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6BFEB0-14E0-479B-9343-1D22F24D2C16}" xr6:coauthVersionLast="47" xr6:coauthVersionMax="47" xr10:uidLastSave="{00000000-0000-0000-0000-000000000000}"/>
  <bookViews>
    <workbookView xWindow="-105" yWindow="0" windowWidth="16410" windowHeight="18450" activeTab="3" xr2:uid="{A5E3CFE4-95D0-4C8E-86EE-33210E569316}"/>
  </bookViews>
  <sheets>
    <sheet name="Dash" sheetId="6" r:id="rId1"/>
    <sheet name="Risk" sheetId="2" r:id="rId2"/>
    <sheet name="Q" sheetId="1" r:id="rId3"/>
    <sheet name="H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51" i="4" l="1"/>
  <c r="N13" i="6"/>
  <c r="N14" i="6"/>
  <c r="N15" i="6"/>
  <c r="N16" i="6"/>
  <c r="N17" i="6"/>
  <c r="N19" i="6"/>
  <c r="N20" i="6"/>
  <c r="N21" i="6"/>
  <c r="N22" i="6"/>
  <c r="N23" i="6"/>
  <c r="N27" i="6"/>
  <c r="N28" i="6"/>
  <c r="N29" i="6"/>
  <c r="N30" i="6"/>
  <c r="N31" i="6"/>
  <c r="N32" i="6"/>
  <c r="N33" i="6"/>
  <c r="N35" i="6"/>
  <c r="N36" i="6"/>
  <c r="N37" i="6"/>
  <c r="N38" i="6"/>
  <c r="N39" i="6"/>
  <c r="N40" i="6"/>
  <c r="F4" i="6"/>
  <c r="F10" i="6"/>
  <c r="F9" i="6"/>
  <c r="F8" i="6"/>
  <c r="F7" i="6"/>
  <c r="F6" i="6"/>
  <c r="F3" i="6"/>
  <c r="C30" i="2"/>
  <c r="C31" i="2"/>
  <c r="C32" i="2"/>
  <c r="C33" i="2"/>
  <c r="C29" i="2"/>
  <c r="C19" i="2"/>
  <c r="C20" i="2"/>
  <c r="C21" i="2"/>
  <c r="C22" i="2"/>
  <c r="C23" i="2"/>
  <c r="C18" i="2"/>
  <c r="C17" i="2"/>
  <c r="C12" i="2"/>
  <c r="C13" i="2"/>
  <c r="C14" i="2"/>
  <c r="C15" i="2"/>
  <c r="C16" i="2"/>
  <c r="C11" i="2"/>
  <c r="M3" i="6"/>
  <c r="C25" i="2"/>
  <c r="C26" i="2"/>
  <c r="C27" i="2"/>
  <c r="C28" i="2"/>
  <c r="C24" i="2"/>
  <c r="T5" i="4"/>
  <c r="U5" i="4"/>
  <c r="V5" i="4"/>
  <c r="W5" i="4"/>
  <c r="X5" i="4"/>
  <c r="T6" i="4"/>
  <c r="U6" i="4"/>
  <c r="V6" i="4"/>
  <c r="W6" i="4"/>
  <c r="X6" i="4"/>
  <c r="T7" i="4"/>
  <c r="U7" i="4"/>
  <c r="V7" i="4"/>
  <c r="W7" i="4"/>
  <c r="X7" i="4"/>
  <c r="T8" i="4"/>
  <c r="U8" i="4"/>
  <c r="V8" i="4"/>
  <c r="W8" i="4"/>
  <c r="X8" i="4"/>
  <c r="T9" i="4"/>
  <c r="U9" i="4"/>
  <c r="V9" i="4"/>
  <c r="W9" i="4"/>
  <c r="X9" i="4"/>
  <c r="T10" i="4"/>
  <c r="U10" i="4"/>
  <c r="V10" i="4"/>
  <c r="W10" i="4"/>
  <c r="X10" i="4"/>
  <c r="T11" i="4"/>
  <c r="U11" i="4"/>
  <c r="V11" i="4"/>
  <c r="W11" i="4"/>
  <c r="X11" i="4"/>
  <c r="T12" i="4"/>
  <c r="U12" i="4"/>
  <c r="V12" i="4"/>
  <c r="W12" i="4"/>
  <c r="X12" i="4"/>
  <c r="T13" i="4"/>
  <c r="U13" i="4"/>
  <c r="V13" i="4"/>
  <c r="W13" i="4"/>
  <c r="X13" i="4"/>
  <c r="T14" i="4"/>
  <c r="U14" i="4"/>
  <c r="V14" i="4"/>
  <c r="W14" i="4"/>
  <c r="X14" i="4"/>
  <c r="T15" i="4"/>
  <c r="U15" i="4"/>
  <c r="V15" i="4"/>
  <c r="W15" i="4"/>
  <c r="X15" i="4"/>
  <c r="T16" i="4"/>
  <c r="U16" i="4"/>
  <c r="V16" i="4"/>
  <c r="W16" i="4"/>
  <c r="X16" i="4"/>
  <c r="T17" i="4"/>
  <c r="U17" i="4"/>
  <c r="V17" i="4"/>
  <c r="W17" i="4"/>
  <c r="X17" i="4"/>
  <c r="T18" i="4"/>
  <c r="U18" i="4"/>
  <c r="V18" i="4"/>
  <c r="W18" i="4"/>
  <c r="X18" i="4"/>
  <c r="T19" i="4"/>
  <c r="U19" i="4"/>
  <c r="V19" i="4"/>
  <c r="W19" i="4"/>
  <c r="X19" i="4"/>
  <c r="T20" i="4"/>
  <c r="U20" i="4"/>
  <c r="V20" i="4"/>
  <c r="W20" i="4"/>
  <c r="X20" i="4"/>
  <c r="T21" i="4"/>
  <c r="U21" i="4"/>
  <c r="V21" i="4"/>
  <c r="W21" i="4"/>
  <c r="X21" i="4"/>
  <c r="T22" i="4"/>
  <c r="U22" i="4"/>
  <c r="V22" i="4"/>
  <c r="W22" i="4"/>
  <c r="X22" i="4"/>
  <c r="T23" i="4"/>
  <c r="U23" i="4"/>
  <c r="V23" i="4"/>
  <c r="W23" i="4"/>
  <c r="X23" i="4"/>
  <c r="T24" i="4"/>
  <c r="U24" i="4"/>
  <c r="V24" i="4"/>
  <c r="W24" i="4"/>
  <c r="X24" i="4"/>
  <c r="T25" i="4"/>
  <c r="U25" i="4"/>
  <c r="V25" i="4"/>
  <c r="W25" i="4"/>
  <c r="X25" i="4"/>
  <c r="T26" i="4"/>
  <c r="U26" i="4"/>
  <c r="V26" i="4"/>
  <c r="W26" i="4"/>
  <c r="X26" i="4"/>
  <c r="T27" i="4"/>
  <c r="U27" i="4"/>
  <c r="V27" i="4"/>
  <c r="W27" i="4"/>
  <c r="X27" i="4"/>
  <c r="T28" i="4"/>
  <c r="U28" i="4"/>
  <c r="V28" i="4"/>
  <c r="W28" i="4"/>
  <c r="X28" i="4"/>
  <c r="T29" i="4"/>
  <c r="U29" i="4"/>
  <c r="V29" i="4"/>
  <c r="W29" i="4"/>
  <c r="X29" i="4"/>
  <c r="T30" i="4"/>
  <c r="U30" i="4"/>
  <c r="V30" i="4"/>
  <c r="W30" i="4"/>
  <c r="X30" i="4"/>
  <c r="T31" i="4"/>
  <c r="U31" i="4"/>
  <c r="V31" i="4"/>
  <c r="W31" i="4"/>
  <c r="X31" i="4"/>
  <c r="T32" i="4"/>
  <c r="U32" i="4"/>
  <c r="V32" i="4"/>
  <c r="W32" i="4"/>
  <c r="X32" i="4"/>
  <c r="T33" i="4"/>
  <c r="U33" i="4"/>
  <c r="V33" i="4"/>
  <c r="W33" i="4"/>
  <c r="X33" i="4"/>
  <c r="T34" i="4"/>
  <c r="U34" i="4"/>
  <c r="V34" i="4"/>
  <c r="W34" i="4"/>
  <c r="X34" i="4"/>
  <c r="T35" i="4"/>
  <c r="U35" i="4"/>
  <c r="V35" i="4"/>
  <c r="W35" i="4"/>
  <c r="X35" i="4"/>
  <c r="T36" i="4"/>
  <c r="U36" i="4"/>
  <c r="V36" i="4"/>
  <c r="W36" i="4"/>
  <c r="X36" i="4"/>
  <c r="T37" i="4"/>
  <c r="U37" i="4"/>
  <c r="V37" i="4"/>
  <c r="W37" i="4"/>
  <c r="X37" i="4"/>
  <c r="T38" i="4"/>
  <c r="U38" i="4"/>
  <c r="V38" i="4"/>
  <c r="W38" i="4"/>
  <c r="X38" i="4"/>
  <c r="T39" i="4"/>
  <c r="U39" i="4"/>
  <c r="V39" i="4"/>
  <c r="W39" i="4"/>
  <c r="X39" i="4"/>
  <c r="T40" i="4"/>
  <c r="U40" i="4"/>
  <c r="V40" i="4"/>
  <c r="W40" i="4"/>
  <c r="X40" i="4"/>
  <c r="T41" i="4"/>
  <c r="U41" i="4"/>
  <c r="V41" i="4"/>
  <c r="W41" i="4"/>
  <c r="X41" i="4"/>
  <c r="T42" i="4"/>
  <c r="U42" i="4"/>
  <c r="V42" i="4"/>
  <c r="W42" i="4"/>
  <c r="X42" i="4"/>
  <c r="T43" i="4"/>
  <c r="U43" i="4"/>
  <c r="V43" i="4"/>
  <c r="W43" i="4"/>
  <c r="X43" i="4"/>
  <c r="T44" i="4"/>
  <c r="U44" i="4"/>
  <c r="V44" i="4"/>
  <c r="W44" i="4"/>
  <c r="X44" i="4"/>
  <c r="T45" i="4"/>
  <c r="U45" i="4"/>
  <c r="V45" i="4"/>
  <c r="W45" i="4"/>
  <c r="X45" i="4"/>
  <c r="T46" i="4"/>
  <c r="U46" i="4"/>
  <c r="V46" i="4"/>
  <c r="W46" i="4"/>
  <c r="X46" i="4"/>
  <c r="T47" i="4"/>
  <c r="U47" i="4"/>
  <c r="V47" i="4"/>
  <c r="W47" i="4"/>
  <c r="X47" i="4"/>
  <c r="T48" i="4"/>
  <c r="U48" i="4"/>
  <c r="V48" i="4"/>
  <c r="W48" i="4"/>
  <c r="X48" i="4"/>
  <c r="T49" i="4"/>
  <c r="U49" i="4"/>
  <c r="V49" i="4"/>
  <c r="W49" i="4"/>
  <c r="X49" i="4"/>
  <c r="T50" i="4"/>
  <c r="U50" i="4"/>
  <c r="V50" i="4"/>
  <c r="W50" i="4"/>
  <c r="X50" i="4"/>
  <c r="T51" i="4"/>
  <c r="U51" i="4"/>
  <c r="V51" i="4"/>
  <c r="W51" i="4"/>
  <c r="X51" i="4"/>
  <c r="T52" i="4"/>
  <c r="U52" i="4"/>
  <c r="V52" i="4"/>
  <c r="W52" i="4"/>
  <c r="X52" i="4"/>
  <c r="T53" i="4"/>
  <c r="U53" i="4"/>
  <c r="V53" i="4"/>
  <c r="W53" i="4"/>
  <c r="X53" i="4"/>
  <c r="T54" i="4"/>
  <c r="U54" i="4"/>
  <c r="V54" i="4"/>
  <c r="W54" i="4"/>
  <c r="X54" i="4"/>
  <c r="T55" i="4"/>
  <c r="U55" i="4"/>
  <c r="V55" i="4"/>
  <c r="W55" i="4"/>
  <c r="X55" i="4"/>
  <c r="T56" i="4"/>
  <c r="U56" i="4"/>
  <c r="V56" i="4"/>
  <c r="W56" i="4"/>
  <c r="X56" i="4"/>
  <c r="T57" i="4"/>
  <c r="U57" i="4"/>
  <c r="V57" i="4"/>
  <c r="W57" i="4"/>
  <c r="X57" i="4"/>
  <c r="T58" i="4"/>
  <c r="U58" i="4"/>
  <c r="V58" i="4"/>
  <c r="W58" i="4"/>
  <c r="X58" i="4"/>
  <c r="T59" i="4"/>
  <c r="U59" i="4"/>
  <c r="V59" i="4"/>
  <c r="W59" i="4"/>
  <c r="X59" i="4"/>
  <c r="T60" i="4"/>
  <c r="U60" i="4"/>
  <c r="V60" i="4"/>
  <c r="W60" i="4"/>
  <c r="X60" i="4"/>
  <c r="T61" i="4"/>
  <c r="U61" i="4"/>
  <c r="V61" i="4"/>
  <c r="W61" i="4"/>
  <c r="X61" i="4"/>
  <c r="T62" i="4"/>
  <c r="U62" i="4"/>
  <c r="V62" i="4"/>
  <c r="W62" i="4"/>
  <c r="X62" i="4"/>
  <c r="T63" i="4"/>
  <c r="U63" i="4"/>
  <c r="V63" i="4"/>
  <c r="W63" i="4"/>
  <c r="X63" i="4"/>
  <c r="T64" i="4"/>
  <c r="U64" i="4"/>
  <c r="V64" i="4"/>
  <c r="W64" i="4"/>
  <c r="X64" i="4"/>
  <c r="T65" i="4"/>
  <c r="U65" i="4"/>
  <c r="V65" i="4"/>
  <c r="W65" i="4"/>
  <c r="X65" i="4"/>
  <c r="T66" i="4"/>
  <c r="U66" i="4"/>
  <c r="V66" i="4"/>
  <c r="W66" i="4"/>
  <c r="X66" i="4"/>
  <c r="T67" i="4"/>
  <c r="U67" i="4"/>
  <c r="V67" i="4"/>
  <c r="W67" i="4"/>
  <c r="X67" i="4"/>
  <c r="T68" i="4"/>
  <c r="U68" i="4"/>
  <c r="V68" i="4"/>
  <c r="W68" i="4"/>
  <c r="X68" i="4"/>
  <c r="T69" i="4"/>
  <c r="U69" i="4"/>
  <c r="V69" i="4"/>
  <c r="W69" i="4"/>
  <c r="X69" i="4"/>
  <c r="T70" i="4"/>
  <c r="U70" i="4"/>
  <c r="V70" i="4"/>
  <c r="W70" i="4"/>
  <c r="X70" i="4"/>
  <c r="T71" i="4"/>
  <c r="U71" i="4"/>
  <c r="V71" i="4"/>
  <c r="W71" i="4"/>
  <c r="X71" i="4"/>
  <c r="T72" i="4"/>
  <c r="U72" i="4"/>
  <c r="V72" i="4"/>
  <c r="W72" i="4"/>
  <c r="X72" i="4"/>
  <c r="T73" i="4"/>
  <c r="U73" i="4"/>
  <c r="V73" i="4"/>
  <c r="W73" i="4"/>
  <c r="X73" i="4"/>
  <c r="T74" i="4"/>
  <c r="U74" i="4"/>
  <c r="V74" i="4"/>
  <c r="W74" i="4"/>
  <c r="X74" i="4"/>
  <c r="T75" i="4"/>
  <c r="U75" i="4"/>
  <c r="V75" i="4"/>
  <c r="W75" i="4"/>
  <c r="X75" i="4"/>
  <c r="T76" i="4"/>
  <c r="U76" i="4"/>
  <c r="V76" i="4"/>
  <c r="W76" i="4"/>
  <c r="X76" i="4"/>
  <c r="T77" i="4"/>
  <c r="U77" i="4"/>
  <c r="V77" i="4"/>
  <c r="W77" i="4"/>
  <c r="X77" i="4"/>
  <c r="T78" i="4"/>
  <c r="U78" i="4"/>
  <c r="V78" i="4"/>
  <c r="W78" i="4"/>
  <c r="X78" i="4"/>
  <c r="T79" i="4"/>
  <c r="U79" i="4"/>
  <c r="V79" i="4"/>
  <c r="W79" i="4"/>
  <c r="X79" i="4"/>
  <c r="T80" i="4"/>
  <c r="U80" i="4"/>
  <c r="V80" i="4"/>
  <c r="W80" i="4"/>
  <c r="X80" i="4"/>
  <c r="T81" i="4"/>
  <c r="U81" i="4"/>
  <c r="V81" i="4"/>
  <c r="W81" i="4"/>
  <c r="X81" i="4"/>
  <c r="T82" i="4"/>
  <c r="U82" i="4"/>
  <c r="V82" i="4"/>
  <c r="W82" i="4"/>
  <c r="X82" i="4"/>
  <c r="T83" i="4"/>
  <c r="U83" i="4"/>
  <c r="V83" i="4"/>
  <c r="W83" i="4"/>
  <c r="X83" i="4"/>
  <c r="T84" i="4"/>
  <c r="U84" i="4"/>
  <c r="V84" i="4"/>
  <c r="W84" i="4"/>
  <c r="X84" i="4"/>
  <c r="T85" i="4"/>
  <c r="U85" i="4"/>
  <c r="V85" i="4"/>
  <c r="W85" i="4"/>
  <c r="X85" i="4"/>
  <c r="T86" i="4"/>
  <c r="U86" i="4"/>
  <c r="V86" i="4"/>
  <c r="W86" i="4"/>
  <c r="X86" i="4"/>
  <c r="T87" i="4"/>
  <c r="U87" i="4"/>
  <c r="V87" i="4"/>
  <c r="W87" i="4"/>
  <c r="X87" i="4"/>
  <c r="T88" i="4"/>
  <c r="U88" i="4"/>
  <c r="V88" i="4"/>
  <c r="W88" i="4"/>
  <c r="X88" i="4"/>
  <c r="T89" i="4"/>
  <c r="U89" i="4"/>
  <c r="V89" i="4"/>
  <c r="W89" i="4"/>
  <c r="X89" i="4"/>
  <c r="T90" i="4"/>
  <c r="U90" i="4"/>
  <c r="V90" i="4"/>
  <c r="W90" i="4"/>
  <c r="X90" i="4"/>
  <c r="T91" i="4"/>
  <c r="U91" i="4"/>
  <c r="V91" i="4"/>
  <c r="W91" i="4"/>
  <c r="X91" i="4"/>
  <c r="T92" i="4"/>
  <c r="U92" i="4"/>
  <c r="V92" i="4"/>
  <c r="W92" i="4"/>
  <c r="X92" i="4"/>
  <c r="T93" i="4"/>
  <c r="U93" i="4"/>
  <c r="V93" i="4"/>
  <c r="W93" i="4"/>
  <c r="X93" i="4"/>
  <c r="T94" i="4"/>
  <c r="U94" i="4"/>
  <c r="V94" i="4"/>
  <c r="W94" i="4"/>
  <c r="X94" i="4"/>
  <c r="T95" i="4"/>
  <c r="U95" i="4"/>
  <c r="V95" i="4"/>
  <c r="W95" i="4"/>
  <c r="X95" i="4"/>
  <c r="T96" i="4"/>
  <c r="U96" i="4"/>
  <c r="V96" i="4"/>
  <c r="W96" i="4"/>
  <c r="X96" i="4"/>
  <c r="T97" i="4"/>
  <c r="U97" i="4"/>
  <c r="V97" i="4"/>
  <c r="W97" i="4"/>
  <c r="X97" i="4"/>
  <c r="T98" i="4"/>
  <c r="U98" i="4"/>
  <c r="V98" i="4"/>
  <c r="W98" i="4"/>
  <c r="X98" i="4"/>
  <c r="T99" i="4"/>
  <c r="U99" i="4"/>
  <c r="V99" i="4"/>
  <c r="W99" i="4"/>
  <c r="X99" i="4"/>
  <c r="T100" i="4"/>
  <c r="U100" i="4"/>
  <c r="V100" i="4"/>
  <c r="W100" i="4"/>
  <c r="X100" i="4"/>
  <c r="T101" i="4"/>
  <c r="U101" i="4"/>
  <c r="V101" i="4"/>
  <c r="W101" i="4"/>
  <c r="X101" i="4"/>
  <c r="T102" i="4"/>
  <c r="U102" i="4"/>
  <c r="V102" i="4"/>
  <c r="W102" i="4"/>
  <c r="X102" i="4"/>
  <c r="T103" i="4"/>
  <c r="U103" i="4"/>
  <c r="V103" i="4"/>
  <c r="W103" i="4"/>
  <c r="X103" i="4"/>
  <c r="T104" i="4"/>
  <c r="U104" i="4"/>
  <c r="V104" i="4"/>
  <c r="W104" i="4"/>
  <c r="X104" i="4"/>
  <c r="T105" i="4"/>
  <c r="U105" i="4"/>
  <c r="V105" i="4"/>
  <c r="W105" i="4"/>
  <c r="X105" i="4"/>
  <c r="T106" i="4"/>
  <c r="U106" i="4"/>
  <c r="V106" i="4"/>
  <c r="W106" i="4"/>
  <c r="X106" i="4"/>
  <c r="T107" i="4"/>
  <c r="U107" i="4"/>
  <c r="V107" i="4"/>
  <c r="W107" i="4"/>
  <c r="X107" i="4"/>
  <c r="T108" i="4"/>
  <c r="U108" i="4"/>
  <c r="V108" i="4"/>
  <c r="W108" i="4"/>
  <c r="X108" i="4"/>
  <c r="T109" i="4"/>
  <c r="U109" i="4"/>
  <c r="V109" i="4"/>
  <c r="W109" i="4"/>
  <c r="X109" i="4"/>
  <c r="T110" i="4"/>
  <c r="U110" i="4"/>
  <c r="V110" i="4"/>
  <c r="W110" i="4"/>
  <c r="X110" i="4"/>
  <c r="T111" i="4"/>
  <c r="U111" i="4"/>
  <c r="V111" i="4"/>
  <c r="W111" i="4"/>
  <c r="X111" i="4"/>
  <c r="T112" i="4"/>
  <c r="U112" i="4"/>
  <c r="V112" i="4"/>
  <c r="W112" i="4"/>
  <c r="X112" i="4"/>
  <c r="T113" i="4"/>
  <c r="U113" i="4"/>
  <c r="V113" i="4"/>
  <c r="W113" i="4"/>
  <c r="X113" i="4"/>
  <c r="T114" i="4"/>
  <c r="U114" i="4"/>
  <c r="V114" i="4"/>
  <c r="W114" i="4"/>
  <c r="X114" i="4"/>
  <c r="T115" i="4"/>
  <c r="U115" i="4"/>
  <c r="V115" i="4"/>
  <c r="W115" i="4"/>
  <c r="X115" i="4"/>
  <c r="T116" i="4"/>
  <c r="U116" i="4"/>
  <c r="V116" i="4"/>
  <c r="W116" i="4"/>
  <c r="X116" i="4"/>
  <c r="T117" i="4"/>
  <c r="U117" i="4"/>
  <c r="V117" i="4"/>
  <c r="W117" i="4"/>
  <c r="X117" i="4"/>
  <c r="T118" i="4"/>
  <c r="U118" i="4"/>
  <c r="V118" i="4"/>
  <c r="W118" i="4"/>
  <c r="X118" i="4"/>
  <c r="T119" i="4"/>
  <c r="U119" i="4"/>
  <c r="V119" i="4"/>
  <c r="W119" i="4"/>
  <c r="X119" i="4"/>
  <c r="T120" i="4"/>
  <c r="U120" i="4"/>
  <c r="V120" i="4"/>
  <c r="W120" i="4"/>
  <c r="X120" i="4"/>
  <c r="T121" i="4"/>
  <c r="U121" i="4"/>
  <c r="V121" i="4"/>
  <c r="W121" i="4"/>
  <c r="X121" i="4"/>
  <c r="T122" i="4"/>
  <c r="U122" i="4"/>
  <c r="V122" i="4"/>
  <c r="W122" i="4"/>
  <c r="X122" i="4"/>
  <c r="T123" i="4"/>
  <c r="U123" i="4"/>
  <c r="V123" i="4"/>
  <c r="W123" i="4"/>
  <c r="X123" i="4"/>
  <c r="T124" i="4"/>
  <c r="U124" i="4"/>
  <c r="V124" i="4"/>
  <c r="W124" i="4"/>
  <c r="X124" i="4"/>
  <c r="T125" i="4"/>
  <c r="U125" i="4"/>
  <c r="V125" i="4"/>
  <c r="W125" i="4"/>
  <c r="X125" i="4"/>
  <c r="T126" i="4"/>
  <c r="U126" i="4"/>
  <c r="V126" i="4"/>
  <c r="W126" i="4"/>
  <c r="X126" i="4"/>
  <c r="T127" i="4"/>
  <c r="U127" i="4"/>
  <c r="V127" i="4"/>
  <c r="W127" i="4"/>
  <c r="X127" i="4"/>
  <c r="T128" i="4"/>
  <c r="U128" i="4"/>
  <c r="V128" i="4"/>
  <c r="W128" i="4"/>
  <c r="X128" i="4"/>
  <c r="T129" i="4"/>
  <c r="U129" i="4"/>
  <c r="V129" i="4"/>
  <c r="W129" i="4"/>
  <c r="X129" i="4"/>
  <c r="T130" i="4"/>
  <c r="U130" i="4"/>
  <c r="V130" i="4"/>
  <c r="W130" i="4"/>
  <c r="X130" i="4"/>
  <c r="T131" i="4"/>
  <c r="U131" i="4"/>
  <c r="V131" i="4"/>
  <c r="W131" i="4"/>
  <c r="X131" i="4"/>
  <c r="T132" i="4"/>
  <c r="U132" i="4"/>
  <c r="V132" i="4"/>
  <c r="W132" i="4"/>
  <c r="X132" i="4"/>
  <c r="T133" i="4"/>
  <c r="U133" i="4"/>
  <c r="V133" i="4"/>
  <c r="W133" i="4"/>
  <c r="X133" i="4"/>
  <c r="T134" i="4"/>
  <c r="U134" i="4"/>
  <c r="V134" i="4"/>
  <c r="W134" i="4"/>
  <c r="X134" i="4"/>
  <c r="T135" i="4"/>
  <c r="U135" i="4"/>
  <c r="V135" i="4"/>
  <c r="W135" i="4"/>
  <c r="X135" i="4"/>
  <c r="T136" i="4"/>
  <c r="U136" i="4"/>
  <c r="V136" i="4"/>
  <c r="W136" i="4"/>
  <c r="X136" i="4"/>
  <c r="T137" i="4"/>
  <c r="U137" i="4"/>
  <c r="V137" i="4"/>
  <c r="W137" i="4"/>
  <c r="X137" i="4"/>
  <c r="T138" i="4"/>
  <c r="U138" i="4"/>
  <c r="V138" i="4"/>
  <c r="W138" i="4"/>
  <c r="X138" i="4"/>
  <c r="T139" i="4"/>
  <c r="U139" i="4"/>
  <c r="V139" i="4"/>
  <c r="W139" i="4"/>
  <c r="X139" i="4"/>
  <c r="T140" i="4"/>
  <c r="U140" i="4"/>
  <c r="V140" i="4"/>
  <c r="W140" i="4"/>
  <c r="X140" i="4"/>
  <c r="T141" i="4"/>
  <c r="U141" i="4"/>
  <c r="V141" i="4"/>
  <c r="W141" i="4"/>
  <c r="X141" i="4"/>
  <c r="T142" i="4"/>
  <c r="U142" i="4"/>
  <c r="V142" i="4"/>
  <c r="W142" i="4"/>
  <c r="X142" i="4"/>
  <c r="T143" i="4"/>
  <c r="U143" i="4"/>
  <c r="V143" i="4"/>
  <c r="W143" i="4"/>
  <c r="X143" i="4"/>
  <c r="T144" i="4"/>
  <c r="U144" i="4"/>
  <c r="V144" i="4"/>
  <c r="W144" i="4"/>
  <c r="X144" i="4"/>
  <c r="T145" i="4"/>
  <c r="U145" i="4"/>
  <c r="V145" i="4"/>
  <c r="W145" i="4"/>
  <c r="X145" i="4"/>
  <c r="T146" i="4"/>
  <c r="U146" i="4"/>
  <c r="V146" i="4"/>
  <c r="W146" i="4"/>
  <c r="X146" i="4"/>
  <c r="T147" i="4"/>
  <c r="U147" i="4"/>
  <c r="V147" i="4"/>
  <c r="W147" i="4"/>
  <c r="X147" i="4"/>
  <c r="T148" i="4"/>
  <c r="U148" i="4"/>
  <c r="V148" i="4"/>
  <c r="W148" i="4"/>
  <c r="X148" i="4"/>
  <c r="T149" i="4"/>
  <c r="U149" i="4"/>
  <c r="V149" i="4"/>
  <c r="W149" i="4"/>
  <c r="X149" i="4"/>
  <c r="T150" i="4"/>
  <c r="U150" i="4"/>
  <c r="V150" i="4"/>
  <c r="W150" i="4"/>
  <c r="X150" i="4"/>
  <c r="T151" i="4"/>
  <c r="U151" i="4"/>
  <c r="V151" i="4"/>
  <c r="W151" i="4"/>
  <c r="X151" i="4"/>
  <c r="T152" i="4"/>
  <c r="U152" i="4"/>
  <c r="V152" i="4"/>
  <c r="W152" i="4"/>
  <c r="X152" i="4"/>
  <c r="T153" i="4"/>
  <c r="U153" i="4"/>
  <c r="V153" i="4"/>
  <c r="W153" i="4"/>
  <c r="X153" i="4"/>
  <c r="T154" i="4"/>
  <c r="U154" i="4"/>
  <c r="V154" i="4"/>
  <c r="W154" i="4"/>
  <c r="X154" i="4"/>
  <c r="T155" i="4"/>
  <c r="U155" i="4"/>
  <c r="V155" i="4"/>
  <c r="W155" i="4"/>
  <c r="X155" i="4"/>
  <c r="T156" i="4"/>
  <c r="U156" i="4"/>
  <c r="V156" i="4"/>
  <c r="W156" i="4"/>
  <c r="X156" i="4"/>
  <c r="T157" i="4"/>
  <c r="U157" i="4"/>
  <c r="V157" i="4"/>
  <c r="W157" i="4"/>
  <c r="X157" i="4"/>
  <c r="T158" i="4"/>
  <c r="U158" i="4"/>
  <c r="V158" i="4"/>
  <c r="W158" i="4"/>
  <c r="X158" i="4"/>
  <c r="T159" i="4"/>
  <c r="U159" i="4"/>
  <c r="V159" i="4"/>
  <c r="W159" i="4"/>
  <c r="X159" i="4"/>
  <c r="T160" i="4"/>
  <c r="U160" i="4"/>
  <c r="V160" i="4"/>
  <c r="W160" i="4"/>
  <c r="X160" i="4"/>
  <c r="T161" i="4"/>
  <c r="U161" i="4"/>
  <c r="V161" i="4"/>
  <c r="W161" i="4"/>
  <c r="X161" i="4"/>
  <c r="T162" i="4"/>
  <c r="U162" i="4"/>
  <c r="V162" i="4"/>
  <c r="W162" i="4"/>
  <c r="X162" i="4"/>
  <c r="T163" i="4"/>
  <c r="U163" i="4"/>
  <c r="V163" i="4"/>
  <c r="W163" i="4"/>
  <c r="X163" i="4"/>
  <c r="T164" i="4"/>
  <c r="U164" i="4"/>
  <c r="V164" i="4"/>
  <c r="W164" i="4"/>
  <c r="X164" i="4"/>
  <c r="T165" i="4"/>
  <c r="U165" i="4"/>
  <c r="V165" i="4"/>
  <c r="W165" i="4"/>
  <c r="X165" i="4"/>
  <c r="T166" i="4"/>
  <c r="U166" i="4"/>
  <c r="V166" i="4"/>
  <c r="W166" i="4"/>
  <c r="X166" i="4"/>
  <c r="T167" i="4"/>
  <c r="U167" i="4"/>
  <c r="V167" i="4"/>
  <c r="W167" i="4"/>
  <c r="X167" i="4"/>
  <c r="T168" i="4"/>
  <c r="U168" i="4"/>
  <c r="V168" i="4"/>
  <c r="W168" i="4"/>
  <c r="X168" i="4"/>
  <c r="T169" i="4"/>
  <c r="U169" i="4"/>
  <c r="V169" i="4"/>
  <c r="W169" i="4"/>
  <c r="X169" i="4"/>
  <c r="T170" i="4"/>
  <c r="U170" i="4"/>
  <c r="V170" i="4"/>
  <c r="W170" i="4"/>
  <c r="X170" i="4"/>
  <c r="T171" i="4"/>
  <c r="U171" i="4"/>
  <c r="V171" i="4"/>
  <c r="W171" i="4"/>
  <c r="X171" i="4"/>
  <c r="T172" i="4"/>
  <c r="U172" i="4"/>
  <c r="V172" i="4"/>
  <c r="W172" i="4"/>
  <c r="X172" i="4"/>
  <c r="T173" i="4"/>
  <c r="U173" i="4"/>
  <c r="V173" i="4"/>
  <c r="W173" i="4"/>
  <c r="X173" i="4"/>
  <c r="T174" i="4"/>
  <c r="U174" i="4"/>
  <c r="V174" i="4"/>
  <c r="W174" i="4"/>
  <c r="X174" i="4"/>
  <c r="T175" i="4"/>
  <c r="U175" i="4"/>
  <c r="V175" i="4"/>
  <c r="W175" i="4"/>
  <c r="X175" i="4"/>
  <c r="T176" i="4"/>
  <c r="U176" i="4"/>
  <c r="V176" i="4"/>
  <c r="W176" i="4"/>
  <c r="X176" i="4"/>
  <c r="T177" i="4"/>
  <c r="U177" i="4"/>
  <c r="V177" i="4"/>
  <c r="W177" i="4"/>
  <c r="X177" i="4"/>
  <c r="T178" i="4"/>
  <c r="U178" i="4"/>
  <c r="V178" i="4"/>
  <c r="W178" i="4"/>
  <c r="X178" i="4"/>
  <c r="T179" i="4"/>
  <c r="U179" i="4"/>
  <c r="V179" i="4"/>
  <c r="W179" i="4"/>
  <c r="X179" i="4"/>
  <c r="T180" i="4"/>
  <c r="U180" i="4"/>
  <c r="V180" i="4"/>
  <c r="W180" i="4"/>
  <c r="X180" i="4"/>
  <c r="T181" i="4"/>
  <c r="U181" i="4"/>
  <c r="V181" i="4"/>
  <c r="W181" i="4"/>
  <c r="X181" i="4"/>
  <c r="T182" i="4"/>
  <c r="U182" i="4"/>
  <c r="V182" i="4"/>
  <c r="W182" i="4"/>
  <c r="X182" i="4"/>
  <c r="T183" i="4"/>
  <c r="U183" i="4"/>
  <c r="V183" i="4"/>
  <c r="W183" i="4"/>
  <c r="X183" i="4"/>
  <c r="T184" i="4"/>
  <c r="U184" i="4"/>
  <c r="V184" i="4"/>
  <c r="W184" i="4"/>
  <c r="X184" i="4"/>
  <c r="T185" i="4"/>
  <c r="U185" i="4"/>
  <c r="V185" i="4"/>
  <c r="W185" i="4"/>
  <c r="X185" i="4"/>
  <c r="T186" i="4"/>
  <c r="U186" i="4"/>
  <c r="V186" i="4"/>
  <c r="W186" i="4"/>
  <c r="X186" i="4"/>
  <c r="T187" i="4"/>
  <c r="U187" i="4"/>
  <c r="V187" i="4"/>
  <c r="W187" i="4"/>
  <c r="X187" i="4"/>
  <c r="T188" i="4"/>
  <c r="U188" i="4"/>
  <c r="V188" i="4"/>
  <c r="W188" i="4"/>
  <c r="X188" i="4"/>
  <c r="T189" i="4"/>
  <c r="U189" i="4"/>
  <c r="V189" i="4"/>
  <c r="W189" i="4"/>
  <c r="X189" i="4"/>
  <c r="T190" i="4"/>
  <c r="U190" i="4"/>
  <c r="V190" i="4"/>
  <c r="W190" i="4"/>
  <c r="X190" i="4"/>
  <c r="T191" i="4"/>
  <c r="U191" i="4"/>
  <c r="V191" i="4"/>
  <c r="W191" i="4"/>
  <c r="X191" i="4"/>
  <c r="T192" i="4"/>
  <c r="U192" i="4"/>
  <c r="V192" i="4"/>
  <c r="W192" i="4"/>
  <c r="X192" i="4"/>
  <c r="T193" i="4"/>
  <c r="U193" i="4"/>
  <c r="V193" i="4"/>
  <c r="W193" i="4"/>
  <c r="X193" i="4"/>
  <c r="T194" i="4"/>
  <c r="U194" i="4"/>
  <c r="V194" i="4"/>
  <c r="W194" i="4"/>
  <c r="X194" i="4"/>
  <c r="T195" i="4"/>
  <c r="U195" i="4"/>
  <c r="V195" i="4"/>
  <c r="W195" i="4"/>
  <c r="X195" i="4"/>
  <c r="T196" i="4"/>
  <c r="U196" i="4"/>
  <c r="V196" i="4"/>
  <c r="W196" i="4"/>
  <c r="X196" i="4"/>
  <c r="T197" i="4"/>
  <c r="U197" i="4"/>
  <c r="V197" i="4"/>
  <c r="W197" i="4"/>
  <c r="X197" i="4"/>
  <c r="T198" i="4"/>
  <c r="U198" i="4"/>
  <c r="V198" i="4"/>
  <c r="W198" i="4"/>
  <c r="X198" i="4"/>
  <c r="T199" i="4"/>
  <c r="U199" i="4"/>
  <c r="V199" i="4"/>
  <c r="W199" i="4"/>
  <c r="X199" i="4"/>
  <c r="T200" i="4"/>
  <c r="U200" i="4"/>
  <c r="V200" i="4"/>
  <c r="W200" i="4"/>
  <c r="X200" i="4"/>
  <c r="T201" i="4"/>
  <c r="U201" i="4"/>
  <c r="V201" i="4"/>
  <c r="W201" i="4"/>
  <c r="X201" i="4"/>
  <c r="T202" i="4"/>
  <c r="U202" i="4"/>
  <c r="V202" i="4"/>
  <c r="W202" i="4"/>
  <c r="X202" i="4"/>
  <c r="T203" i="4"/>
  <c r="U203" i="4"/>
  <c r="V203" i="4"/>
  <c r="W203" i="4"/>
  <c r="X203" i="4"/>
  <c r="T204" i="4"/>
  <c r="U204" i="4"/>
  <c r="V204" i="4"/>
  <c r="W204" i="4"/>
  <c r="X204" i="4"/>
  <c r="T205" i="4"/>
  <c r="U205" i="4"/>
  <c r="V205" i="4"/>
  <c r="W205" i="4"/>
  <c r="X205" i="4"/>
  <c r="T206" i="4"/>
  <c r="U206" i="4"/>
  <c r="V206" i="4"/>
  <c r="W206" i="4"/>
  <c r="X206" i="4"/>
  <c r="T207" i="4"/>
  <c r="U207" i="4"/>
  <c r="V207" i="4"/>
  <c r="W207" i="4"/>
  <c r="X207" i="4"/>
  <c r="T208" i="4"/>
  <c r="U208" i="4"/>
  <c r="V208" i="4"/>
  <c r="W208" i="4"/>
  <c r="X208" i="4"/>
  <c r="T209" i="4"/>
  <c r="U209" i="4"/>
  <c r="V209" i="4"/>
  <c r="W209" i="4"/>
  <c r="X209" i="4"/>
  <c r="T210" i="4"/>
  <c r="U210" i="4"/>
  <c r="V210" i="4"/>
  <c r="W210" i="4"/>
  <c r="X210" i="4"/>
  <c r="T211" i="4"/>
  <c r="U211" i="4"/>
  <c r="V211" i="4"/>
  <c r="W211" i="4"/>
  <c r="X211" i="4"/>
  <c r="T212" i="4"/>
  <c r="U212" i="4"/>
  <c r="V212" i="4"/>
  <c r="W212" i="4"/>
  <c r="X212" i="4"/>
  <c r="T213" i="4"/>
  <c r="U213" i="4"/>
  <c r="V213" i="4"/>
  <c r="W213" i="4"/>
  <c r="X213" i="4"/>
  <c r="T214" i="4"/>
  <c r="U214" i="4"/>
  <c r="V214" i="4"/>
  <c r="W214" i="4"/>
  <c r="X214" i="4"/>
  <c r="T215" i="4"/>
  <c r="U215" i="4"/>
  <c r="V215" i="4"/>
  <c r="W215" i="4"/>
  <c r="X215" i="4"/>
  <c r="T216" i="4"/>
  <c r="U216" i="4"/>
  <c r="V216" i="4"/>
  <c r="W216" i="4"/>
  <c r="X216" i="4"/>
  <c r="T217" i="4"/>
  <c r="U217" i="4"/>
  <c r="V217" i="4"/>
  <c r="W217" i="4"/>
  <c r="X217" i="4"/>
  <c r="T218" i="4"/>
  <c r="U218" i="4"/>
  <c r="V218" i="4"/>
  <c r="W218" i="4"/>
  <c r="X218" i="4"/>
  <c r="T219" i="4"/>
  <c r="U219" i="4"/>
  <c r="V219" i="4"/>
  <c r="W219" i="4"/>
  <c r="X219" i="4"/>
  <c r="T220" i="4"/>
  <c r="U220" i="4"/>
  <c r="V220" i="4"/>
  <c r="W220" i="4"/>
  <c r="X220" i="4"/>
  <c r="T221" i="4"/>
  <c r="U221" i="4"/>
  <c r="V221" i="4"/>
  <c r="W221" i="4"/>
  <c r="X221" i="4"/>
  <c r="T222" i="4"/>
  <c r="U222" i="4"/>
  <c r="V222" i="4"/>
  <c r="W222" i="4"/>
  <c r="X222" i="4"/>
  <c r="T223" i="4"/>
  <c r="U223" i="4"/>
  <c r="V223" i="4"/>
  <c r="W223" i="4"/>
  <c r="X223" i="4"/>
  <c r="T224" i="4"/>
  <c r="U224" i="4"/>
  <c r="V224" i="4"/>
  <c r="W224" i="4"/>
  <c r="X224" i="4"/>
  <c r="T225" i="4"/>
  <c r="U225" i="4"/>
  <c r="V225" i="4"/>
  <c r="W225" i="4"/>
  <c r="X225" i="4"/>
  <c r="T226" i="4"/>
  <c r="U226" i="4"/>
  <c r="V226" i="4"/>
  <c r="W226" i="4"/>
  <c r="X226" i="4"/>
  <c r="T227" i="4"/>
  <c r="U227" i="4"/>
  <c r="V227" i="4"/>
  <c r="W227" i="4"/>
  <c r="X227" i="4"/>
  <c r="T228" i="4"/>
  <c r="U228" i="4"/>
  <c r="V228" i="4"/>
  <c r="W228" i="4"/>
  <c r="X228" i="4"/>
  <c r="T229" i="4"/>
  <c r="U229" i="4"/>
  <c r="V229" i="4"/>
  <c r="W229" i="4"/>
  <c r="X229" i="4"/>
  <c r="T230" i="4"/>
  <c r="U230" i="4"/>
  <c r="V230" i="4"/>
  <c r="W230" i="4"/>
  <c r="X230" i="4"/>
  <c r="T231" i="4"/>
  <c r="U231" i="4"/>
  <c r="V231" i="4"/>
  <c r="W231" i="4"/>
  <c r="X231" i="4"/>
  <c r="T232" i="4"/>
  <c r="U232" i="4"/>
  <c r="V232" i="4"/>
  <c r="W232" i="4"/>
  <c r="X232" i="4"/>
  <c r="T233" i="4"/>
  <c r="U233" i="4"/>
  <c r="V233" i="4"/>
  <c r="W233" i="4"/>
  <c r="X233" i="4"/>
  <c r="T234" i="4"/>
  <c r="U234" i="4"/>
  <c r="V234" i="4"/>
  <c r="W234" i="4"/>
  <c r="X234" i="4"/>
  <c r="T235" i="4"/>
  <c r="U235" i="4"/>
  <c r="V235" i="4"/>
  <c r="W235" i="4"/>
  <c r="X235" i="4"/>
  <c r="T236" i="4"/>
  <c r="U236" i="4"/>
  <c r="V236" i="4"/>
  <c r="W236" i="4"/>
  <c r="X236" i="4"/>
  <c r="T237" i="4"/>
  <c r="U237" i="4"/>
  <c r="V237" i="4"/>
  <c r="W237" i="4"/>
  <c r="X237" i="4"/>
  <c r="T238" i="4"/>
  <c r="U238" i="4"/>
  <c r="V238" i="4"/>
  <c r="W238" i="4"/>
  <c r="X238" i="4"/>
  <c r="T239" i="4"/>
  <c r="U239" i="4"/>
  <c r="V239" i="4"/>
  <c r="W239" i="4"/>
  <c r="X239" i="4"/>
  <c r="T240" i="4"/>
  <c r="U240" i="4"/>
  <c r="V240" i="4"/>
  <c r="W240" i="4"/>
  <c r="X240" i="4"/>
  <c r="T241" i="4"/>
  <c r="U241" i="4"/>
  <c r="V241" i="4"/>
  <c r="W241" i="4"/>
  <c r="X241" i="4"/>
  <c r="T242" i="4"/>
  <c r="U242" i="4"/>
  <c r="V242" i="4"/>
  <c r="W242" i="4"/>
  <c r="X242" i="4"/>
  <c r="T243" i="4"/>
  <c r="U243" i="4"/>
  <c r="V243" i="4"/>
  <c r="W243" i="4"/>
  <c r="X243" i="4"/>
  <c r="T244" i="4"/>
  <c r="U244" i="4"/>
  <c r="V244" i="4"/>
  <c r="W244" i="4"/>
  <c r="X244" i="4"/>
  <c r="T245" i="4"/>
  <c r="U245" i="4"/>
  <c r="V245" i="4"/>
  <c r="W245" i="4"/>
  <c r="X245" i="4"/>
  <c r="T246" i="4"/>
  <c r="U246" i="4"/>
  <c r="V246" i="4"/>
  <c r="W246" i="4"/>
  <c r="X246" i="4"/>
  <c r="T247" i="4"/>
  <c r="U247" i="4"/>
  <c r="V247" i="4"/>
  <c r="W247" i="4"/>
  <c r="X247" i="4"/>
  <c r="T248" i="4"/>
  <c r="U248" i="4"/>
  <c r="V248" i="4"/>
  <c r="W248" i="4"/>
  <c r="X248" i="4"/>
  <c r="T249" i="4"/>
  <c r="U249" i="4"/>
  <c r="V249" i="4"/>
  <c r="W249" i="4"/>
  <c r="X249" i="4"/>
  <c r="T250" i="4"/>
  <c r="U250" i="4"/>
  <c r="V250" i="4"/>
  <c r="W250" i="4"/>
  <c r="X250" i="4"/>
  <c r="T251" i="4"/>
  <c r="U251" i="4"/>
  <c r="V251" i="4"/>
  <c r="W251" i="4"/>
  <c r="X251" i="4"/>
  <c r="T252" i="4"/>
  <c r="U252" i="4"/>
  <c r="V252" i="4"/>
  <c r="W252" i="4"/>
  <c r="X252" i="4"/>
  <c r="T253" i="4"/>
  <c r="U253" i="4"/>
  <c r="V253" i="4"/>
  <c r="W253" i="4"/>
  <c r="X253" i="4"/>
  <c r="T254" i="4"/>
  <c r="U254" i="4"/>
  <c r="V254" i="4"/>
  <c r="W254" i="4"/>
  <c r="X254" i="4"/>
  <c r="T255" i="4"/>
  <c r="U255" i="4"/>
  <c r="V255" i="4"/>
  <c r="W255" i="4"/>
  <c r="X255" i="4"/>
  <c r="T256" i="4"/>
  <c r="U256" i="4"/>
  <c r="V256" i="4"/>
  <c r="W256" i="4"/>
  <c r="X256" i="4"/>
  <c r="T257" i="4"/>
  <c r="U257" i="4"/>
  <c r="V257" i="4"/>
  <c r="W257" i="4"/>
  <c r="X257" i="4"/>
  <c r="T258" i="4"/>
  <c r="U258" i="4"/>
  <c r="V258" i="4"/>
  <c r="W258" i="4"/>
  <c r="X258" i="4"/>
  <c r="T259" i="4"/>
  <c r="U259" i="4"/>
  <c r="V259" i="4"/>
  <c r="W259" i="4"/>
  <c r="X259" i="4"/>
  <c r="T260" i="4"/>
  <c r="U260" i="4"/>
  <c r="V260" i="4"/>
  <c r="W260" i="4"/>
  <c r="X260" i="4"/>
  <c r="T261" i="4"/>
  <c r="U261" i="4"/>
  <c r="V261" i="4"/>
  <c r="W261" i="4"/>
  <c r="X261" i="4"/>
  <c r="T262" i="4"/>
  <c r="U262" i="4"/>
  <c r="V262" i="4"/>
  <c r="W262" i="4"/>
  <c r="X262" i="4"/>
  <c r="T263" i="4"/>
  <c r="U263" i="4"/>
  <c r="V263" i="4"/>
  <c r="W263" i="4"/>
  <c r="X263" i="4"/>
  <c r="T264" i="4"/>
  <c r="U264" i="4"/>
  <c r="V264" i="4"/>
  <c r="W264" i="4"/>
  <c r="X264" i="4"/>
  <c r="T265" i="4"/>
  <c r="U265" i="4"/>
  <c r="V265" i="4"/>
  <c r="W265" i="4"/>
  <c r="X265" i="4"/>
  <c r="T266" i="4"/>
  <c r="U266" i="4"/>
  <c r="V266" i="4"/>
  <c r="W266" i="4"/>
  <c r="X266" i="4"/>
  <c r="T267" i="4"/>
  <c r="U267" i="4"/>
  <c r="V267" i="4"/>
  <c r="W267" i="4"/>
  <c r="X267" i="4"/>
  <c r="T268" i="4"/>
  <c r="U268" i="4"/>
  <c r="V268" i="4"/>
  <c r="W268" i="4"/>
  <c r="X268" i="4"/>
  <c r="T269" i="4"/>
  <c r="U269" i="4"/>
  <c r="V269" i="4"/>
  <c r="W269" i="4"/>
  <c r="X269" i="4"/>
  <c r="T270" i="4"/>
  <c r="U270" i="4"/>
  <c r="V270" i="4"/>
  <c r="W270" i="4"/>
  <c r="X270" i="4"/>
  <c r="T271" i="4"/>
  <c r="U271" i="4"/>
  <c r="V271" i="4"/>
  <c r="W271" i="4"/>
  <c r="X271" i="4"/>
  <c r="T272" i="4"/>
  <c r="U272" i="4"/>
  <c r="V272" i="4"/>
  <c r="W272" i="4"/>
  <c r="X272" i="4"/>
  <c r="T273" i="4"/>
  <c r="U273" i="4"/>
  <c r="V273" i="4"/>
  <c r="W273" i="4"/>
  <c r="X273" i="4"/>
  <c r="T274" i="4"/>
  <c r="U274" i="4"/>
  <c r="V274" i="4"/>
  <c r="W274" i="4"/>
  <c r="X274" i="4"/>
  <c r="T275" i="4"/>
  <c r="U275" i="4"/>
  <c r="V275" i="4"/>
  <c r="W275" i="4"/>
  <c r="X275" i="4"/>
  <c r="T276" i="4"/>
  <c r="U276" i="4"/>
  <c r="V276" i="4"/>
  <c r="W276" i="4"/>
  <c r="X276" i="4"/>
  <c r="T277" i="4"/>
  <c r="U277" i="4"/>
  <c r="V277" i="4"/>
  <c r="W277" i="4"/>
  <c r="X277" i="4"/>
  <c r="T278" i="4"/>
  <c r="U278" i="4"/>
  <c r="V278" i="4"/>
  <c r="W278" i="4"/>
  <c r="X278" i="4"/>
  <c r="T279" i="4"/>
  <c r="U279" i="4"/>
  <c r="V279" i="4"/>
  <c r="W279" i="4"/>
  <c r="X279" i="4"/>
  <c r="T280" i="4"/>
  <c r="U280" i="4"/>
  <c r="V280" i="4"/>
  <c r="W280" i="4"/>
  <c r="X280" i="4"/>
  <c r="T281" i="4"/>
  <c r="U281" i="4"/>
  <c r="V281" i="4"/>
  <c r="W281" i="4"/>
  <c r="X281" i="4"/>
  <c r="T282" i="4"/>
  <c r="U282" i="4"/>
  <c r="V282" i="4"/>
  <c r="W282" i="4"/>
  <c r="X282" i="4"/>
  <c r="T283" i="4"/>
  <c r="U283" i="4"/>
  <c r="V283" i="4"/>
  <c r="W283" i="4"/>
  <c r="X283" i="4"/>
  <c r="T284" i="4"/>
  <c r="U284" i="4"/>
  <c r="V284" i="4"/>
  <c r="W284" i="4"/>
  <c r="X284" i="4"/>
  <c r="T285" i="4"/>
  <c r="U285" i="4"/>
  <c r="V285" i="4"/>
  <c r="W285" i="4"/>
  <c r="X285" i="4"/>
  <c r="T286" i="4"/>
  <c r="U286" i="4"/>
  <c r="V286" i="4"/>
  <c r="W286" i="4"/>
  <c r="X286" i="4"/>
  <c r="T287" i="4"/>
  <c r="U287" i="4"/>
  <c r="V287" i="4"/>
  <c r="W287" i="4"/>
  <c r="X287" i="4"/>
  <c r="T288" i="4"/>
  <c r="U288" i="4"/>
  <c r="V288" i="4"/>
  <c r="W288" i="4"/>
  <c r="X288" i="4"/>
  <c r="T289" i="4"/>
  <c r="U289" i="4"/>
  <c r="V289" i="4"/>
  <c r="W289" i="4"/>
  <c r="X289" i="4"/>
  <c r="T290" i="4"/>
  <c r="U290" i="4"/>
  <c r="V290" i="4"/>
  <c r="W290" i="4"/>
  <c r="X290" i="4"/>
  <c r="T291" i="4"/>
  <c r="U291" i="4"/>
  <c r="V291" i="4"/>
  <c r="W291" i="4"/>
  <c r="X291" i="4"/>
  <c r="T292" i="4"/>
  <c r="U292" i="4"/>
  <c r="V292" i="4"/>
  <c r="W292" i="4"/>
  <c r="X292" i="4"/>
  <c r="T293" i="4"/>
  <c r="U293" i="4"/>
  <c r="V293" i="4"/>
  <c r="W293" i="4"/>
  <c r="X293" i="4"/>
  <c r="T294" i="4"/>
  <c r="U294" i="4"/>
  <c r="V294" i="4"/>
  <c r="W294" i="4"/>
  <c r="X294" i="4"/>
  <c r="T295" i="4"/>
  <c r="U295" i="4"/>
  <c r="V295" i="4"/>
  <c r="W295" i="4"/>
  <c r="X295" i="4"/>
  <c r="T296" i="4"/>
  <c r="U296" i="4"/>
  <c r="V296" i="4"/>
  <c r="W296" i="4"/>
  <c r="X296" i="4"/>
  <c r="T297" i="4"/>
  <c r="U297" i="4"/>
  <c r="V297" i="4"/>
  <c r="W297" i="4"/>
  <c r="X297" i="4"/>
  <c r="T298" i="4"/>
  <c r="U298" i="4"/>
  <c r="V298" i="4"/>
  <c r="W298" i="4"/>
  <c r="X298" i="4"/>
  <c r="T299" i="4"/>
  <c r="U299" i="4"/>
  <c r="V299" i="4"/>
  <c r="W299" i="4"/>
  <c r="X299" i="4"/>
  <c r="T300" i="4"/>
  <c r="U300" i="4"/>
  <c r="V300" i="4"/>
  <c r="W300" i="4"/>
  <c r="X300" i="4"/>
  <c r="T301" i="4"/>
  <c r="U301" i="4"/>
  <c r="V301" i="4"/>
  <c r="W301" i="4"/>
  <c r="X301" i="4"/>
  <c r="T302" i="4"/>
  <c r="U302" i="4"/>
  <c r="V302" i="4"/>
  <c r="W302" i="4"/>
  <c r="X302" i="4"/>
  <c r="T303" i="4"/>
  <c r="U303" i="4"/>
  <c r="V303" i="4"/>
  <c r="W303" i="4"/>
  <c r="X303" i="4"/>
  <c r="T304" i="4"/>
  <c r="U304" i="4"/>
  <c r="V304" i="4"/>
  <c r="W304" i="4"/>
  <c r="X304" i="4"/>
  <c r="T305" i="4"/>
  <c r="U305" i="4"/>
  <c r="V305" i="4"/>
  <c r="W305" i="4"/>
  <c r="X305" i="4"/>
  <c r="T306" i="4"/>
  <c r="U306" i="4"/>
  <c r="V306" i="4"/>
  <c r="W306" i="4"/>
  <c r="X306" i="4"/>
  <c r="T307" i="4"/>
  <c r="U307" i="4"/>
  <c r="V307" i="4"/>
  <c r="W307" i="4"/>
  <c r="X307" i="4"/>
  <c r="T308" i="4"/>
  <c r="U308" i="4"/>
  <c r="V308" i="4"/>
  <c r="W308" i="4"/>
  <c r="X308" i="4"/>
  <c r="T309" i="4"/>
  <c r="U309" i="4"/>
  <c r="V309" i="4"/>
  <c r="W309" i="4"/>
  <c r="X309" i="4"/>
  <c r="T310" i="4"/>
  <c r="U310" i="4"/>
  <c r="V310" i="4"/>
  <c r="W310" i="4"/>
  <c r="X310" i="4"/>
  <c r="T311" i="4"/>
  <c r="U311" i="4"/>
  <c r="V311" i="4"/>
  <c r="W311" i="4"/>
  <c r="X311" i="4"/>
  <c r="T312" i="4"/>
  <c r="U312" i="4"/>
  <c r="V312" i="4"/>
  <c r="W312" i="4"/>
  <c r="X312" i="4"/>
  <c r="T313" i="4"/>
  <c r="U313" i="4"/>
  <c r="V313" i="4"/>
  <c r="W313" i="4"/>
  <c r="X313" i="4"/>
  <c r="T314" i="4"/>
  <c r="U314" i="4"/>
  <c r="V314" i="4"/>
  <c r="W314" i="4"/>
  <c r="X314" i="4"/>
  <c r="T315" i="4"/>
  <c r="U315" i="4"/>
  <c r="V315" i="4"/>
  <c r="W315" i="4"/>
  <c r="X315" i="4"/>
  <c r="T316" i="4"/>
  <c r="U316" i="4"/>
  <c r="V316" i="4"/>
  <c r="W316" i="4"/>
  <c r="X316" i="4"/>
  <c r="T317" i="4"/>
  <c r="U317" i="4"/>
  <c r="V317" i="4"/>
  <c r="W317" i="4"/>
  <c r="X317" i="4"/>
  <c r="T318" i="4"/>
  <c r="U318" i="4"/>
  <c r="V318" i="4"/>
  <c r="W318" i="4"/>
  <c r="X318" i="4"/>
  <c r="T319" i="4"/>
  <c r="U319" i="4"/>
  <c r="V319" i="4"/>
  <c r="W319" i="4"/>
  <c r="X319" i="4"/>
  <c r="T320" i="4"/>
  <c r="U320" i="4"/>
  <c r="V320" i="4"/>
  <c r="W320" i="4"/>
  <c r="X320" i="4"/>
  <c r="T321" i="4"/>
  <c r="U321" i="4"/>
  <c r="V321" i="4"/>
  <c r="W321" i="4"/>
  <c r="X321" i="4"/>
  <c r="T322" i="4"/>
  <c r="U322" i="4"/>
  <c r="V322" i="4"/>
  <c r="W322" i="4"/>
  <c r="X322" i="4"/>
  <c r="T323" i="4"/>
  <c r="U323" i="4"/>
  <c r="V323" i="4"/>
  <c r="W323" i="4"/>
  <c r="X323" i="4"/>
  <c r="T324" i="4"/>
  <c r="U324" i="4"/>
  <c r="V324" i="4"/>
  <c r="W324" i="4"/>
  <c r="X324" i="4"/>
  <c r="T325" i="4"/>
  <c r="U325" i="4"/>
  <c r="V325" i="4"/>
  <c r="W325" i="4"/>
  <c r="X325" i="4"/>
  <c r="T326" i="4"/>
  <c r="U326" i="4"/>
  <c r="V326" i="4"/>
  <c r="W326" i="4"/>
  <c r="X326" i="4"/>
  <c r="T327" i="4"/>
  <c r="U327" i="4"/>
  <c r="V327" i="4"/>
  <c r="W327" i="4"/>
  <c r="X327" i="4"/>
  <c r="T328" i="4"/>
  <c r="U328" i="4"/>
  <c r="V328" i="4"/>
  <c r="W328" i="4"/>
  <c r="X328" i="4"/>
  <c r="T329" i="4"/>
  <c r="U329" i="4"/>
  <c r="V329" i="4"/>
  <c r="W329" i="4"/>
  <c r="X329" i="4"/>
  <c r="T330" i="4"/>
  <c r="U330" i="4"/>
  <c r="V330" i="4"/>
  <c r="W330" i="4"/>
  <c r="X330" i="4"/>
  <c r="T331" i="4"/>
  <c r="U331" i="4"/>
  <c r="V331" i="4"/>
  <c r="W331" i="4"/>
  <c r="X331" i="4"/>
  <c r="T332" i="4"/>
  <c r="U332" i="4"/>
  <c r="V332" i="4"/>
  <c r="W332" i="4"/>
  <c r="X332" i="4"/>
  <c r="T333" i="4"/>
  <c r="U333" i="4"/>
  <c r="V333" i="4"/>
  <c r="W333" i="4"/>
  <c r="X333" i="4"/>
  <c r="T334" i="4"/>
  <c r="U334" i="4"/>
  <c r="V334" i="4"/>
  <c r="W334" i="4"/>
  <c r="X334" i="4"/>
  <c r="T335" i="4"/>
  <c r="U335" i="4"/>
  <c r="V335" i="4"/>
  <c r="W335" i="4"/>
  <c r="X335" i="4"/>
  <c r="T336" i="4"/>
  <c r="U336" i="4"/>
  <c r="V336" i="4"/>
  <c r="W336" i="4"/>
  <c r="X336" i="4"/>
  <c r="T337" i="4"/>
  <c r="U337" i="4"/>
  <c r="V337" i="4"/>
  <c r="W337" i="4"/>
  <c r="X337" i="4"/>
  <c r="T338" i="4"/>
  <c r="U338" i="4"/>
  <c r="V338" i="4"/>
  <c r="W338" i="4"/>
  <c r="X338" i="4"/>
  <c r="T339" i="4"/>
  <c r="U339" i="4"/>
  <c r="V339" i="4"/>
  <c r="W339" i="4"/>
  <c r="X339" i="4"/>
  <c r="T340" i="4"/>
  <c r="U340" i="4"/>
  <c r="V340" i="4"/>
  <c r="W340" i="4"/>
  <c r="X340" i="4"/>
  <c r="T341" i="4"/>
  <c r="U341" i="4"/>
  <c r="V341" i="4"/>
  <c r="W341" i="4"/>
  <c r="X341" i="4"/>
  <c r="T342" i="4"/>
  <c r="U342" i="4"/>
  <c r="V342" i="4"/>
  <c r="W342" i="4"/>
  <c r="X342" i="4"/>
  <c r="T343" i="4"/>
  <c r="U343" i="4"/>
  <c r="V343" i="4"/>
  <c r="W343" i="4"/>
  <c r="X343" i="4"/>
  <c r="T344" i="4"/>
  <c r="U344" i="4"/>
  <c r="V344" i="4"/>
  <c r="W344" i="4"/>
  <c r="X344" i="4"/>
  <c r="T345" i="4"/>
  <c r="U345" i="4"/>
  <c r="V345" i="4"/>
  <c r="W345" i="4"/>
  <c r="X345" i="4"/>
  <c r="T346" i="4"/>
  <c r="U346" i="4"/>
  <c r="V346" i="4"/>
  <c r="W346" i="4"/>
  <c r="X346" i="4"/>
  <c r="T347" i="4"/>
  <c r="U347" i="4"/>
  <c r="V347" i="4"/>
  <c r="W347" i="4"/>
  <c r="X347" i="4"/>
  <c r="T348" i="4"/>
  <c r="U348" i="4"/>
  <c r="V348" i="4"/>
  <c r="W348" i="4"/>
  <c r="X348" i="4"/>
  <c r="T349" i="4"/>
  <c r="U349" i="4"/>
  <c r="V349" i="4"/>
  <c r="W349" i="4"/>
  <c r="X349" i="4"/>
  <c r="T350" i="4"/>
  <c r="U350" i="4"/>
  <c r="V350" i="4"/>
  <c r="W350" i="4"/>
  <c r="X350" i="4"/>
  <c r="T351" i="4"/>
  <c r="U351" i="4"/>
  <c r="V351" i="4"/>
  <c r="W351" i="4"/>
  <c r="X351" i="4"/>
  <c r="T352" i="4"/>
  <c r="U352" i="4"/>
  <c r="V352" i="4"/>
  <c r="W352" i="4"/>
  <c r="X352" i="4"/>
  <c r="T353" i="4"/>
  <c r="U353" i="4"/>
  <c r="V353" i="4"/>
  <c r="W353" i="4"/>
  <c r="X353" i="4"/>
  <c r="T354" i="4"/>
  <c r="U354" i="4"/>
  <c r="V354" i="4"/>
  <c r="W354" i="4"/>
  <c r="X354" i="4"/>
  <c r="T355" i="4"/>
  <c r="U355" i="4"/>
  <c r="V355" i="4"/>
  <c r="W355" i="4"/>
  <c r="X355" i="4"/>
  <c r="T356" i="4"/>
  <c r="U356" i="4"/>
  <c r="V356" i="4"/>
  <c r="W356" i="4"/>
  <c r="X356" i="4"/>
  <c r="T357" i="4"/>
  <c r="U357" i="4"/>
  <c r="V357" i="4"/>
  <c r="W357" i="4"/>
  <c r="X357" i="4"/>
  <c r="T358" i="4"/>
  <c r="U358" i="4"/>
  <c r="V358" i="4"/>
  <c r="W358" i="4"/>
  <c r="X358" i="4"/>
  <c r="T359" i="4"/>
  <c r="U359" i="4"/>
  <c r="V359" i="4"/>
  <c r="W359" i="4"/>
  <c r="X359" i="4"/>
  <c r="T360" i="4"/>
  <c r="U360" i="4"/>
  <c r="V360" i="4"/>
  <c r="W360" i="4"/>
  <c r="X360" i="4"/>
  <c r="T361" i="4"/>
  <c r="U361" i="4"/>
  <c r="V361" i="4"/>
  <c r="W361" i="4"/>
  <c r="X361" i="4"/>
  <c r="T362" i="4"/>
  <c r="U362" i="4"/>
  <c r="V362" i="4"/>
  <c r="W362" i="4"/>
  <c r="X362" i="4"/>
  <c r="T363" i="4"/>
  <c r="U363" i="4"/>
  <c r="V363" i="4"/>
  <c r="W363" i="4"/>
  <c r="X363" i="4"/>
  <c r="T364" i="4"/>
  <c r="U364" i="4"/>
  <c r="V364" i="4"/>
  <c r="W364" i="4"/>
  <c r="X364" i="4"/>
  <c r="T365" i="4"/>
  <c r="U365" i="4"/>
  <c r="V365" i="4"/>
  <c r="W365" i="4"/>
  <c r="X365" i="4"/>
  <c r="T366" i="4"/>
  <c r="U366" i="4"/>
  <c r="V366" i="4"/>
  <c r="W366" i="4"/>
  <c r="X366" i="4"/>
  <c r="T367" i="4"/>
  <c r="U367" i="4"/>
  <c r="V367" i="4"/>
  <c r="W367" i="4"/>
  <c r="X367" i="4"/>
  <c r="T368" i="4"/>
  <c r="U368" i="4"/>
  <c r="V368" i="4"/>
  <c r="W368" i="4"/>
  <c r="X368" i="4"/>
  <c r="T369" i="4"/>
  <c r="U369" i="4"/>
  <c r="V369" i="4"/>
  <c r="W369" i="4"/>
  <c r="X369" i="4"/>
  <c r="T370" i="4"/>
  <c r="U370" i="4"/>
  <c r="V370" i="4"/>
  <c r="W370" i="4"/>
  <c r="X370" i="4"/>
  <c r="T371" i="4"/>
  <c r="U371" i="4"/>
  <c r="V371" i="4"/>
  <c r="W371" i="4"/>
  <c r="X371" i="4"/>
  <c r="T372" i="4"/>
  <c r="U372" i="4"/>
  <c r="V372" i="4"/>
  <c r="W372" i="4"/>
  <c r="X372" i="4"/>
  <c r="T373" i="4"/>
  <c r="U373" i="4"/>
  <c r="V373" i="4"/>
  <c r="W373" i="4"/>
  <c r="X373" i="4"/>
  <c r="T374" i="4"/>
  <c r="U374" i="4"/>
  <c r="V374" i="4"/>
  <c r="W374" i="4"/>
  <c r="X374" i="4"/>
  <c r="T375" i="4"/>
  <c r="U375" i="4"/>
  <c r="V375" i="4"/>
  <c r="W375" i="4"/>
  <c r="X375" i="4"/>
  <c r="T376" i="4"/>
  <c r="U376" i="4"/>
  <c r="V376" i="4"/>
  <c r="W376" i="4"/>
  <c r="X376" i="4"/>
  <c r="T377" i="4"/>
  <c r="U377" i="4"/>
  <c r="V377" i="4"/>
  <c r="W377" i="4"/>
  <c r="X377" i="4"/>
  <c r="T378" i="4"/>
  <c r="U378" i="4"/>
  <c r="V378" i="4"/>
  <c r="W378" i="4"/>
  <c r="X378" i="4"/>
  <c r="T379" i="4"/>
  <c r="U379" i="4"/>
  <c r="V379" i="4"/>
  <c r="W379" i="4"/>
  <c r="X379" i="4"/>
  <c r="T380" i="4"/>
  <c r="U380" i="4"/>
  <c r="V380" i="4"/>
  <c r="W380" i="4"/>
  <c r="X380" i="4"/>
  <c r="T381" i="4"/>
  <c r="U381" i="4"/>
  <c r="V381" i="4"/>
  <c r="W381" i="4"/>
  <c r="X381" i="4"/>
  <c r="T382" i="4"/>
  <c r="U382" i="4"/>
  <c r="V382" i="4"/>
  <c r="W382" i="4"/>
  <c r="X382" i="4"/>
  <c r="T383" i="4"/>
  <c r="U383" i="4"/>
  <c r="V383" i="4"/>
  <c r="W383" i="4"/>
  <c r="X383" i="4"/>
  <c r="T384" i="4"/>
  <c r="U384" i="4"/>
  <c r="V384" i="4"/>
  <c r="W384" i="4"/>
  <c r="X384" i="4"/>
  <c r="T385" i="4"/>
  <c r="U385" i="4"/>
  <c r="V385" i="4"/>
  <c r="W385" i="4"/>
  <c r="X385" i="4"/>
  <c r="T386" i="4"/>
  <c r="U386" i="4"/>
  <c r="V386" i="4"/>
  <c r="W386" i="4"/>
  <c r="X386" i="4"/>
  <c r="T387" i="4"/>
  <c r="U387" i="4"/>
  <c r="V387" i="4"/>
  <c r="W387" i="4"/>
  <c r="X387" i="4"/>
  <c r="T388" i="4"/>
  <c r="U388" i="4"/>
  <c r="V388" i="4"/>
  <c r="W388" i="4"/>
  <c r="X388" i="4"/>
  <c r="T389" i="4"/>
  <c r="U389" i="4"/>
  <c r="V389" i="4"/>
  <c r="W389" i="4"/>
  <c r="X389" i="4"/>
  <c r="T390" i="4"/>
  <c r="U390" i="4"/>
  <c r="V390" i="4"/>
  <c r="W390" i="4"/>
  <c r="X390" i="4"/>
  <c r="T391" i="4"/>
  <c r="U391" i="4"/>
  <c r="V391" i="4"/>
  <c r="W391" i="4"/>
  <c r="X391" i="4"/>
  <c r="T392" i="4"/>
  <c r="U392" i="4"/>
  <c r="V392" i="4"/>
  <c r="W392" i="4"/>
  <c r="X392" i="4"/>
  <c r="T393" i="4"/>
  <c r="U393" i="4"/>
  <c r="V393" i="4"/>
  <c r="W393" i="4"/>
  <c r="X393" i="4"/>
  <c r="T394" i="4"/>
  <c r="U394" i="4"/>
  <c r="V394" i="4"/>
  <c r="W394" i="4"/>
  <c r="X394" i="4"/>
  <c r="T395" i="4"/>
  <c r="U395" i="4"/>
  <c r="V395" i="4"/>
  <c r="W395" i="4"/>
  <c r="X395" i="4"/>
  <c r="T396" i="4"/>
  <c r="U396" i="4"/>
  <c r="V396" i="4"/>
  <c r="W396" i="4"/>
  <c r="X396" i="4"/>
  <c r="T397" i="4"/>
  <c r="U397" i="4"/>
  <c r="V397" i="4"/>
  <c r="W397" i="4"/>
  <c r="X397" i="4"/>
  <c r="T398" i="4"/>
  <c r="U398" i="4"/>
  <c r="V398" i="4"/>
  <c r="W398" i="4"/>
  <c r="X398" i="4"/>
  <c r="T399" i="4"/>
  <c r="U399" i="4"/>
  <c r="V399" i="4"/>
  <c r="W399" i="4"/>
  <c r="X399" i="4"/>
  <c r="T400" i="4"/>
  <c r="U400" i="4"/>
  <c r="V400" i="4"/>
  <c r="W400" i="4"/>
  <c r="X400" i="4"/>
  <c r="T401" i="4"/>
  <c r="U401" i="4"/>
  <c r="V401" i="4"/>
  <c r="W401" i="4"/>
  <c r="X401" i="4"/>
  <c r="T402" i="4"/>
  <c r="U402" i="4"/>
  <c r="V402" i="4"/>
  <c r="W402" i="4"/>
  <c r="X402" i="4"/>
  <c r="T403" i="4"/>
  <c r="U403" i="4"/>
  <c r="V403" i="4"/>
  <c r="W403" i="4"/>
  <c r="X403" i="4"/>
  <c r="T404" i="4"/>
  <c r="U404" i="4"/>
  <c r="V404" i="4"/>
  <c r="W404" i="4"/>
  <c r="X404" i="4"/>
  <c r="T405" i="4"/>
  <c r="U405" i="4"/>
  <c r="V405" i="4"/>
  <c r="W405" i="4"/>
  <c r="X405" i="4"/>
  <c r="T406" i="4"/>
  <c r="U406" i="4"/>
  <c r="V406" i="4"/>
  <c r="W406" i="4"/>
  <c r="X406" i="4"/>
  <c r="T407" i="4"/>
  <c r="U407" i="4"/>
  <c r="V407" i="4"/>
  <c r="W407" i="4"/>
  <c r="X407" i="4"/>
  <c r="T408" i="4"/>
  <c r="U408" i="4"/>
  <c r="V408" i="4"/>
  <c r="W408" i="4"/>
  <c r="X408" i="4"/>
  <c r="T409" i="4"/>
  <c r="U409" i="4"/>
  <c r="V409" i="4"/>
  <c r="W409" i="4"/>
  <c r="X409" i="4"/>
  <c r="T410" i="4"/>
  <c r="U410" i="4"/>
  <c r="V410" i="4"/>
  <c r="W410" i="4"/>
  <c r="X410" i="4"/>
  <c r="T411" i="4"/>
  <c r="U411" i="4"/>
  <c r="V411" i="4"/>
  <c r="W411" i="4"/>
  <c r="X411" i="4"/>
  <c r="T412" i="4"/>
  <c r="U412" i="4"/>
  <c r="V412" i="4"/>
  <c r="W412" i="4"/>
  <c r="X412" i="4"/>
  <c r="T413" i="4"/>
  <c r="U413" i="4"/>
  <c r="V413" i="4"/>
  <c r="W413" i="4"/>
  <c r="X413" i="4"/>
  <c r="T414" i="4"/>
  <c r="U414" i="4"/>
  <c r="V414" i="4"/>
  <c r="W414" i="4"/>
  <c r="X414" i="4"/>
  <c r="T415" i="4"/>
  <c r="U415" i="4"/>
  <c r="V415" i="4"/>
  <c r="W415" i="4"/>
  <c r="X415" i="4"/>
  <c r="T416" i="4"/>
  <c r="U416" i="4"/>
  <c r="V416" i="4"/>
  <c r="W416" i="4"/>
  <c r="X416" i="4"/>
  <c r="T417" i="4"/>
  <c r="U417" i="4"/>
  <c r="V417" i="4"/>
  <c r="W417" i="4"/>
  <c r="X417" i="4"/>
  <c r="T418" i="4"/>
  <c r="U418" i="4"/>
  <c r="V418" i="4"/>
  <c r="W418" i="4"/>
  <c r="X418" i="4"/>
  <c r="T419" i="4"/>
  <c r="U419" i="4"/>
  <c r="V419" i="4"/>
  <c r="W419" i="4"/>
  <c r="X419" i="4"/>
  <c r="T420" i="4"/>
  <c r="U420" i="4"/>
  <c r="V420" i="4"/>
  <c r="W420" i="4"/>
  <c r="X420" i="4"/>
  <c r="T421" i="4"/>
  <c r="U421" i="4"/>
  <c r="V421" i="4"/>
  <c r="W421" i="4"/>
  <c r="X421" i="4"/>
  <c r="T422" i="4"/>
  <c r="U422" i="4"/>
  <c r="V422" i="4"/>
  <c r="W422" i="4"/>
  <c r="X422" i="4"/>
  <c r="T423" i="4"/>
  <c r="U423" i="4"/>
  <c r="V423" i="4"/>
  <c r="W423" i="4"/>
  <c r="X423" i="4"/>
  <c r="T424" i="4"/>
  <c r="U424" i="4"/>
  <c r="V424" i="4"/>
  <c r="W424" i="4"/>
  <c r="X424" i="4"/>
  <c r="T425" i="4"/>
  <c r="U425" i="4"/>
  <c r="V425" i="4"/>
  <c r="W425" i="4"/>
  <c r="X425" i="4"/>
  <c r="T426" i="4"/>
  <c r="U426" i="4"/>
  <c r="V426" i="4"/>
  <c r="W426" i="4"/>
  <c r="X426" i="4"/>
  <c r="T427" i="4"/>
  <c r="U427" i="4"/>
  <c r="V427" i="4"/>
  <c r="W427" i="4"/>
  <c r="X427" i="4"/>
  <c r="T428" i="4"/>
  <c r="U428" i="4"/>
  <c r="V428" i="4"/>
  <c r="W428" i="4"/>
  <c r="X428" i="4"/>
  <c r="T429" i="4"/>
  <c r="U429" i="4"/>
  <c r="V429" i="4"/>
  <c r="W429" i="4"/>
  <c r="X429" i="4"/>
  <c r="T430" i="4"/>
  <c r="U430" i="4"/>
  <c r="V430" i="4"/>
  <c r="W430" i="4"/>
  <c r="X430" i="4"/>
  <c r="T431" i="4"/>
  <c r="U431" i="4"/>
  <c r="V431" i="4"/>
  <c r="W431" i="4"/>
  <c r="X431" i="4"/>
  <c r="T432" i="4"/>
  <c r="U432" i="4"/>
  <c r="V432" i="4"/>
  <c r="W432" i="4"/>
  <c r="X432" i="4"/>
  <c r="T433" i="4"/>
  <c r="U433" i="4"/>
  <c r="V433" i="4"/>
  <c r="W433" i="4"/>
  <c r="X433" i="4"/>
  <c r="T434" i="4"/>
  <c r="U434" i="4"/>
  <c r="V434" i="4"/>
  <c r="W434" i="4"/>
  <c r="X434" i="4"/>
  <c r="T435" i="4"/>
  <c r="U435" i="4"/>
  <c r="V435" i="4"/>
  <c r="W435" i="4"/>
  <c r="X435" i="4"/>
  <c r="T436" i="4"/>
  <c r="U436" i="4"/>
  <c r="V436" i="4"/>
  <c r="W436" i="4"/>
  <c r="X436" i="4"/>
  <c r="T437" i="4"/>
  <c r="U437" i="4"/>
  <c r="V437" i="4"/>
  <c r="W437" i="4"/>
  <c r="X437" i="4"/>
  <c r="T438" i="4"/>
  <c r="U438" i="4"/>
  <c r="V438" i="4"/>
  <c r="W438" i="4"/>
  <c r="X438" i="4"/>
  <c r="T439" i="4"/>
  <c r="U439" i="4"/>
  <c r="V439" i="4"/>
  <c r="W439" i="4"/>
  <c r="X439" i="4"/>
  <c r="T440" i="4"/>
  <c r="U440" i="4"/>
  <c r="V440" i="4"/>
  <c r="W440" i="4"/>
  <c r="X440" i="4"/>
  <c r="T441" i="4"/>
  <c r="U441" i="4"/>
  <c r="V441" i="4"/>
  <c r="W441" i="4"/>
  <c r="X441" i="4"/>
  <c r="T442" i="4"/>
  <c r="U442" i="4"/>
  <c r="V442" i="4"/>
  <c r="W442" i="4"/>
  <c r="X442" i="4"/>
  <c r="T443" i="4"/>
  <c r="U443" i="4"/>
  <c r="V443" i="4"/>
  <c r="W443" i="4"/>
  <c r="X443" i="4"/>
  <c r="T444" i="4"/>
  <c r="U444" i="4"/>
  <c r="V444" i="4"/>
  <c r="W444" i="4"/>
  <c r="X444" i="4"/>
  <c r="T445" i="4"/>
  <c r="U445" i="4"/>
  <c r="V445" i="4"/>
  <c r="W445" i="4"/>
  <c r="X445" i="4"/>
  <c r="T446" i="4"/>
  <c r="U446" i="4"/>
  <c r="V446" i="4"/>
  <c r="W446" i="4"/>
  <c r="X446" i="4"/>
  <c r="T447" i="4"/>
  <c r="U447" i="4"/>
  <c r="V447" i="4"/>
  <c r="W447" i="4"/>
  <c r="X447" i="4"/>
  <c r="T448" i="4"/>
  <c r="U448" i="4"/>
  <c r="V448" i="4"/>
  <c r="W448" i="4"/>
  <c r="X448" i="4"/>
  <c r="T449" i="4"/>
  <c r="U449" i="4"/>
  <c r="V449" i="4"/>
  <c r="W449" i="4"/>
  <c r="X449" i="4"/>
  <c r="T450" i="4"/>
  <c r="U450" i="4"/>
  <c r="V450" i="4"/>
  <c r="W450" i="4"/>
  <c r="X450" i="4"/>
  <c r="T451" i="4"/>
  <c r="U451" i="4"/>
  <c r="V451" i="4"/>
  <c r="W451" i="4"/>
  <c r="X451" i="4"/>
  <c r="T452" i="4"/>
  <c r="U452" i="4"/>
  <c r="V452" i="4"/>
  <c r="W452" i="4"/>
  <c r="X452" i="4"/>
  <c r="T453" i="4"/>
  <c r="U453" i="4"/>
  <c r="V453" i="4"/>
  <c r="W453" i="4"/>
  <c r="X453" i="4"/>
  <c r="T454" i="4"/>
  <c r="U454" i="4"/>
  <c r="V454" i="4"/>
  <c r="W454" i="4"/>
  <c r="X454" i="4"/>
  <c r="T455" i="4"/>
  <c r="U455" i="4"/>
  <c r="V455" i="4"/>
  <c r="W455" i="4"/>
  <c r="X455" i="4"/>
  <c r="T456" i="4"/>
  <c r="U456" i="4"/>
  <c r="V456" i="4"/>
  <c r="W456" i="4"/>
  <c r="X456" i="4"/>
  <c r="T457" i="4"/>
  <c r="U457" i="4"/>
  <c r="V457" i="4"/>
  <c r="W457" i="4"/>
  <c r="X457" i="4"/>
  <c r="T458" i="4"/>
  <c r="U458" i="4"/>
  <c r="V458" i="4"/>
  <c r="W458" i="4"/>
  <c r="X458" i="4"/>
  <c r="T459" i="4"/>
  <c r="U459" i="4"/>
  <c r="V459" i="4"/>
  <c r="W459" i="4"/>
  <c r="X459" i="4"/>
  <c r="T460" i="4"/>
  <c r="U460" i="4"/>
  <c r="V460" i="4"/>
  <c r="W460" i="4"/>
  <c r="X460" i="4"/>
  <c r="T461" i="4"/>
  <c r="U461" i="4"/>
  <c r="V461" i="4"/>
  <c r="W461" i="4"/>
  <c r="X461" i="4"/>
  <c r="T462" i="4"/>
  <c r="U462" i="4"/>
  <c r="V462" i="4"/>
  <c r="W462" i="4"/>
  <c r="X462" i="4"/>
  <c r="T463" i="4"/>
  <c r="U463" i="4"/>
  <c r="V463" i="4"/>
  <c r="W463" i="4"/>
  <c r="X463" i="4"/>
  <c r="T464" i="4"/>
  <c r="U464" i="4"/>
  <c r="V464" i="4"/>
  <c r="W464" i="4"/>
  <c r="X464" i="4"/>
  <c r="T465" i="4"/>
  <c r="U465" i="4"/>
  <c r="V465" i="4"/>
  <c r="W465" i="4"/>
  <c r="X465" i="4"/>
  <c r="T466" i="4"/>
  <c r="U466" i="4"/>
  <c r="V466" i="4"/>
  <c r="W466" i="4"/>
  <c r="X466" i="4"/>
  <c r="T467" i="4"/>
  <c r="U467" i="4"/>
  <c r="V467" i="4"/>
  <c r="W467" i="4"/>
  <c r="X467" i="4"/>
  <c r="T468" i="4"/>
  <c r="U468" i="4"/>
  <c r="V468" i="4"/>
  <c r="W468" i="4"/>
  <c r="X468" i="4"/>
  <c r="T469" i="4"/>
  <c r="U469" i="4"/>
  <c r="V469" i="4"/>
  <c r="W469" i="4"/>
  <c r="X469" i="4"/>
  <c r="T470" i="4"/>
  <c r="U470" i="4"/>
  <c r="V470" i="4"/>
  <c r="W470" i="4"/>
  <c r="X470" i="4"/>
  <c r="T471" i="4"/>
  <c r="U471" i="4"/>
  <c r="V471" i="4"/>
  <c r="W471" i="4"/>
  <c r="X471" i="4"/>
  <c r="T472" i="4"/>
  <c r="U472" i="4"/>
  <c r="V472" i="4"/>
  <c r="W472" i="4"/>
  <c r="X472" i="4"/>
  <c r="T473" i="4"/>
  <c r="U473" i="4"/>
  <c r="V473" i="4"/>
  <c r="W473" i="4"/>
  <c r="X473" i="4"/>
  <c r="T474" i="4"/>
  <c r="U474" i="4"/>
  <c r="V474" i="4"/>
  <c r="W474" i="4"/>
  <c r="X474" i="4"/>
  <c r="T475" i="4"/>
  <c r="U475" i="4"/>
  <c r="V475" i="4"/>
  <c r="W475" i="4"/>
  <c r="X475" i="4"/>
  <c r="T476" i="4"/>
  <c r="U476" i="4"/>
  <c r="V476" i="4"/>
  <c r="W476" i="4"/>
  <c r="X476" i="4"/>
  <c r="T477" i="4"/>
  <c r="U477" i="4"/>
  <c r="V477" i="4"/>
  <c r="W477" i="4"/>
  <c r="X477" i="4"/>
  <c r="T478" i="4"/>
  <c r="U478" i="4"/>
  <c r="V478" i="4"/>
  <c r="W478" i="4"/>
  <c r="X478" i="4"/>
  <c r="T479" i="4"/>
  <c r="U479" i="4"/>
  <c r="V479" i="4"/>
  <c r="W479" i="4"/>
  <c r="X479" i="4"/>
  <c r="T480" i="4"/>
  <c r="U480" i="4"/>
  <c r="V480" i="4"/>
  <c r="W480" i="4"/>
  <c r="X480" i="4"/>
  <c r="T481" i="4"/>
  <c r="U481" i="4"/>
  <c r="V481" i="4"/>
  <c r="W481" i="4"/>
  <c r="X481" i="4"/>
  <c r="T482" i="4"/>
  <c r="U482" i="4"/>
  <c r="V482" i="4"/>
  <c r="W482" i="4"/>
  <c r="X482" i="4"/>
  <c r="T483" i="4"/>
  <c r="U483" i="4"/>
  <c r="V483" i="4"/>
  <c r="W483" i="4"/>
  <c r="X483" i="4"/>
  <c r="T484" i="4"/>
  <c r="U484" i="4"/>
  <c r="V484" i="4"/>
  <c r="W484" i="4"/>
  <c r="X484" i="4"/>
  <c r="T485" i="4"/>
  <c r="U485" i="4"/>
  <c r="V485" i="4"/>
  <c r="W485" i="4"/>
  <c r="X485" i="4"/>
  <c r="T486" i="4"/>
  <c r="U486" i="4"/>
  <c r="V486" i="4"/>
  <c r="W486" i="4"/>
  <c r="X486" i="4"/>
  <c r="T487" i="4"/>
  <c r="U487" i="4"/>
  <c r="V487" i="4"/>
  <c r="W487" i="4"/>
  <c r="X487" i="4"/>
  <c r="T488" i="4"/>
  <c r="U488" i="4"/>
  <c r="V488" i="4"/>
  <c r="W488" i="4"/>
  <c r="X488" i="4"/>
  <c r="T489" i="4"/>
  <c r="U489" i="4"/>
  <c r="V489" i="4"/>
  <c r="W489" i="4"/>
  <c r="X489" i="4"/>
  <c r="T490" i="4"/>
  <c r="U490" i="4"/>
  <c r="V490" i="4"/>
  <c r="W490" i="4"/>
  <c r="X490" i="4"/>
  <c r="T491" i="4"/>
  <c r="U491" i="4"/>
  <c r="V491" i="4"/>
  <c r="W491" i="4"/>
  <c r="X491" i="4"/>
  <c r="T492" i="4"/>
  <c r="U492" i="4"/>
  <c r="V492" i="4"/>
  <c r="W492" i="4"/>
  <c r="X492" i="4"/>
  <c r="T493" i="4"/>
  <c r="U493" i="4"/>
  <c r="V493" i="4"/>
  <c r="W493" i="4"/>
  <c r="X493" i="4"/>
  <c r="T494" i="4"/>
  <c r="U494" i="4"/>
  <c r="V494" i="4"/>
  <c r="W494" i="4"/>
  <c r="X494" i="4"/>
  <c r="T495" i="4"/>
  <c r="U495" i="4"/>
  <c r="V495" i="4"/>
  <c r="W495" i="4"/>
  <c r="X495" i="4"/>
  <c r="T496" i="4"/>
  <c r="U496" i="4"/>
  <c r="V496" i="4"/>
  <c r="W496" i="4"/>
  <c r="X496" i="4"/>
  <c r="T497" i="4"/>
  <c r="U497" i="4"/>
  <c r="V497" i="4"/>
  <c r="W497" i="4"/>
  <c r="X497" i="4"/>
  <c r="T498" i="4"/>
  <c r="U498" i="4"/>
  <c r="V498" i="4"/>
  <c r="W498" i="4"/>
  <c r="X498" i="4"/>
  <c r="T499" i="4"/>
  <c r="U499" i="4"/>
  <c r="V499" i="4"/>
  <c r="W499" i="4"/>
  <c r="X499" i="4"/>
  <c r="T500" i="4"/>
  <c r="U500" i="4"/>
  <c r="V500" i="4"/>
  <c r="W500" i="4"/>
  <c r="X500" i="4"/>
  <c r="T501" i="4"/>
  <c r="U501" i="4"/>
  <c r="V501" i="4"/>
  <c r="W501" i="4"/>
  <c r="X501" i="4"/>
  <c r="T502" i="4"/>
  <c r="U502" i="4"/>
  <c r="V502" i="4"/>
  <c r="W502" i="4"/>
  <c r="X502" i="4"/>
  <c r="T503" i="4"/>
  <c r="U503" i="4"/>
  <c r="V503" i="4"/>
  <c r="W503" i="4"/>
  <c r="X503" i="4"/>
  <c r="T504" i="4"/>
  <c r="U504" i="4"/>
  <c r="V504" i="4"/>
  <c r="W504" i="4"/>
  <c r="X504" i="4"/>
  <c r="T505" i="4"/>
  <c r="U505" i="4"/>
  <c r="V505" i="4"/>
  <c r="W505" i="4"/>
  <c r="X505" i="4"/>
  <c r="T506" i="4"/>
  <c r="U506" i="4"/>
  <c r="V506" i="4"/>
  <c r="W506" i="4"/>
  <c r="X506" i="4"/>
  <c r="T507" i="4"/>
  <c r="U507" i="4"/>
  <c r="V507" i="4"/>
  <c r="W507" i="4"/>
  <c r="X507" i="4"/>
  <c r="T508" i="4"/>
  <c r="U508" i="4"/>
  <c r="V508" i="4"/>
  <c r="W508" i="4"/>
  <c r="X508" i="4"/>
  <c r="T509" i="4"/>
  <c r="U509" i="4"/>
  <c r="V509" i="4"/>
  <c r="W509" i="4"/>
  <c r="X509" i="4"/>
  <c r="T510" i="4"/>
  <c r="U510" i="4"/>
  <c r="V510" i="4"/>
  <c r="W510" i="4"/>
  <c r="X510" i="4"/>
  <c r="T511" i="4"/>
  <c r="U511" i="4"/>
  <c r="V511" i="4"/>
  <c r="W511" i="4"/>
  <c r="X511" i="4"/>
  <c r="T512" i="4"/>
  <c r="U512" i="4"/>
  <c r="V512" i="4"/>
  <c r="W512" i="4"/>
  <c r="X512" i="4"/>
  <c r="T513" i="4"/>
  <c r="U513" i="4"/>
  <c r="V513" i="4"/>
  <c r="W513" i="4"/>
  <c r="X513" i="4"/>
  <c r="T514" i="4"/>
  <c r="U514" i="4"/>
  <c r="V514" i="4"/>
  <c r="W514" i="4"/>
  <c r="X514" i="4"/>
  <c r="T515" i="4"/>
  <c r="U515" i="4"/>
  <c r="V515" i="4"/>
  <c r="W515" i="4"/>
  <c r="X515" i="4"/>
  <c r="T516" i="4"/>
  <c r="U516" i="4"/>
  <c r="V516" i="4"/>
  <c r="W516" i="4"/>
  <c r="X516" i="4"/>
  <c r="T517" i="4"/>
  <c r="U517" i="4"/>
  <c r="V517" i="4"/>
  <c r="W517" i="4"/>
  <c r="X517" i="4"/>
  <c r="T518" i="4"/>
  <c r="U518" i="4"/>
  <c r="V518" i="4"/>
  <c r="W518" i="4"/>
  <c r="X518" i="4"/>
  <c r="T519" i="4"/>
  <c r="U519" i="4"/>
  <c r="V519" i="4"/>
  <c r="W519" i="4"/>
  <c r="X519" i="4"/>
  <c r="T520" i="4"/>
  <c r="U520" i="4"/>
  <c r="V520" i="4"/>
  <c r="W520" i="4"/>
  <c r="X520" i="4"/>
  <c r="T521" i="4"/>
  <c r="U521" i="4"/>
  <c r="V521" i="4"/>
  <c r="W521" i="4"/>
  <c r="X521" i="4"/>
  <c r="T522" i="4"/>
  <c r="U522" i="4"/>
  <c r="V522" i="4"/>
  <c r="W522" i="4"/>
  <c r="X522" i="4"/>
  <c r="T523" i="4"/>
  <c r="U523" i="4"/>
  <c r="V523" i="4"/>
  <c r="W523" i="4"/>
  <c r="X523" i="4"/>
  <c r="T524" i="4"/>
  <c r="U524" i="4"/>
  <c r="V524" i="4"/>
  <c r="W524" i="4"/>
  <c r="X524" i="4"/>
  <c r="T525" i="4"/>
  <c r="U525" i="4"/>
  <c r="V525" i="4"/>
  <c r="W525" i="4"/>
  <c r="X525" i="4"/>
  <c r="T526" i="4"/>
  <c r="U526" i="4"/>
  <c r="V526" i="4"/>
  <c r="W526" i="4"/>
  <c r="X526" i="4"/>
  <c r="T527" i="4"/>
  <c r="U527" i="4"/>
  <c r="V527" i="4"/>
  <c r="W527" i="4"/>
  <c r="X527" i="4"/>
  <c r="T528" i="4"/>
  <c r="U528" i="4"/>
  <c r="V528" i="4"/>
  <c r="W528" i="4"/>
  <c r="X528" i="4"/>
  <c r="T529" i="4"/>
  <c r="U529" i="4"/>
  <c r="V529" i="4"/>
  <c r="W529" i="4"/>
  <c r="X529" i="4"/>
  <c r="T530" i="4"/>
  <c r="U530" i="4"/>
  <c r="V530" i="4"/>
  <c r="W530" i="4"/>
  <c r="X530" i="4"/>
  <c r="T531" i="4"/>
  <c r="U531" i="4"/>
  <c r="V531" i="4"/>
  <c r="W531" i="4"/>
  <c r="X531" i="4"/>
  <c r="T532" i="4"/>
  <c r="U532" i="4"/>
  <c r="V532" i="4"/>
  <c r="W532" i="4"/>
  <c r="X532" i="4"/>
  <c r="T533" i="4"/>
  <c r="U533" i="4"/>
  <c r="V533" i="4"/>
  <c r="W533" i="4"/>
  <c r="X533" i="4"/>
  <c r="T534" i="4"/>
  <c r="U534" i="4"/>
  <c r="V534" i="4"/>
  <c r="W534" i="4"/>
  <c r="X534" i="4"/>
  <c r="T535" i="4"/>
  <c r="U535" i="4"/>
  <c r="V535" i="4"/>
  <c r="W535" i="4"/>
  <c r="X535" i="4"/>
  <c r="T536" i="4"/>
  <c r="U536" i="4"/>
  <c r="V536" i="4"/>
  <c r="W536" i="4"/>
  <c r="X536" i="4"/>
  <c r="T537" i="4"/>
  <c r="U537" i="4"/>
  <c r="V537" i="4"/>
  <c r="W537" i="4"/>
  <c r="X537" i="4"/>
  <c r="T538" i="4"/>
  <c r="U538" i="4"/>
  <c r="V538" i="4"/>
  <c r="W538" i="4"/>
  <c r="X538" i="4"/>
  <c r="T539" i="4"/>
  <c r="U539" i="4"/>
  <c r="V539" i="4"/>
  <c r="W539" i="4"/>
  <c r="X539" i="4"/>
  <c r="T540" i="4"/>
  <c r="U540" i="4"/>
  <c r="V540" i="4"/>
  <c r="W540" i="4"/>
  <c r="X540" i="4"/>
  <c r="T541" i="4"/>
  <c r="U541" i="4"/>
  <c r="V541" i="4"/>
  <c r="W541" i="4"/>
  <c r="X541" i="4"/>
  <c r="T542" i="4"/>
  <c r="U542" i="4"/>
  <c r="V542" i="4"/>
  <c r="W542" i="4"/>
  <c r="X542" i="4"/>
  <c r="T543" i="4"/>
  <c r="U543" i="4"/>
  <c r="V543" i="4"/>
  <c r="W543" i="4"/>
  <c r="X543" i="4"/>
  <c r="T544" i="4"/>
  <c r="U544" i="4"/>
  <c r="V544" i="4"/>
  <c r="W544" i="4"/>
  <c r="X544" i="4"/>
  <c r="T545" i="4"/>
  <c r="U545" i="4"/>
  <c r="V545" i="4"/>
  <c r="W545" i="4"/>
  <c r="X545" i="4"/>
  <c r="T546" i="4"/>
  <c r="U546" i="4"/>
  <c r="V546" i="4"/>
  <c r="W546" i="4"/>
  <c r="X546" i="4"/>
  <c r="T547" i="4"/>
  <c r="U547" i="4"/>
  <c r="V547" i="4"/>
  <c r="W547" i="4"/>
  <c r="X547" i="4"/>
  <c r="T548" i="4"/>
  <c r="U548" i="4"/>
  <c r="V548" i="4"/>
  <c r="W548" i="4"/>
  <c r="X548" i="4"/>
  <c r="T549" i="4"/>
  <c r="U549" i="4"/>
  <c r="V549" i="4"/>
  <c r="W549" i="4"/>
  <c r="X549" i="4"/>
  <c r="T550" i="4"/>
  <c r="U550" i="4"/>
  <c r="V550" i="4"/>
  <c r="W550" i="4"/>
  <c r="X550" i="4"/>
  <c r="O6" i="4"/>
  <c r="P6" i="4"/>
  <c r="Q6" i="4"/>
  <c r="R6" i="4"/>
  <c r="S6" i="4"/>
  <c r="O7" i="4"/>
  <c r="P7" i="4"/>
  <c r="Q7" i="4"/>
  <c r="R7" i="4"/>
  <c r="S7" i="4"/>
  <c r="O8" i="4"/>
  <c r="P8" i="4"/>
  <c r="Q8" i="4"/>
  <c r="R8" i="4"/>
  <c r="S8" i="4"/>
  <c r="O9" i="4"/>
  <c r="P9" i="4"/>
  <c r="Q9" i="4"/>
  <c r="R9" i="4"/>
  <c r="S9" i="4"/>
  <c r="O10" i="4"/>
  <c r="P10" i="4"/>
  <c r="Q10" i="4"/>
  <c r="R10" i="4"/>
  <c r="S10" i="4"/>
  <c r="O11" i="4"/>
  <c r="P11" i="4"/>
  <c r="Q11" i="4"/>
  <c r="R11" i="4"/>
  <c r="S11" i="4"/>
  <c r="O12" i="4"/>
  <c r="P12" i="4"/>
  <c r="Q12" i="4"/>
  <c r="R12" i="4"/>
  <c r="S12" i="4"/>
  <c r="O13" i="4"/>
  <c r="P13" i="4"/>
  <c r="Q13" i="4"/>
  <c r="R13" i="4"/>
  <c r="S13" i="4"/>
  <c r="O14" i="4"/>
  <c r="P14" i="4"/>
  <c r="Q14" i="4"/>
  <c r="R14" i="4"/>
  <c r="S14" i="4"/>
  <c r="O15" i="4"/>
  <c r="P15" i="4"/>
  <c r="Q15" i="4"/>
  <c r="R15" i="4"/>
  <c r="S15" i="4"/>
  <c r="O16" i="4"/>
  <c r="P16" i="4"/>
  <c r="Q16" i="4"/>
  <c r="R16" i="4"/>
  <c r="S16" i="4"/>
  <c r="O17" i="4"/>
  <c r="P17" i="4"/>
  <c r="Q17" i="4"/>
  <c r="R17" i="4"/>
  <c r="S17" i="4"/>
  <c r="O18" i="4"/>
  <c r="P18" i="4"/>
  <c r="Q18" i="4"/>
  <c r="R18" i="4"/>
  <c r="S18" i="4"/>
  <c r="O19" i="4"/>
  <c r="P19" i="4"/>
  <c r="Q19" i="4"/>
  <c r="R19" i="4"/>
  <c r="S19" i="4"/>
  <c r="O20" i="4"/>
  <c r="P20" i="4"/>
  <c r="Q20" i="4"/>
  <c r="R20" i="4"/>
  <c r="S20" i="4"/>
  <c r="O21" i="4"/>
  <c r="P21" i="4"/>
  <c r="Q21" i="4"/>
  <c r="R21" i="4"/>
  <c r="S21" i="4"/>
  <c r="O22" i="4"/>
  <c r="P22" i="4"/>
  <c r="Q22" i="4"/>
  <c r="R22" i="4"/>
  <c r="S22" i="4"/>
  <c r="O23" i="4"/>
  <c r="P23" i="4"/>
  <c r="Q23" i="4"/>
  <c r="R23" i="4"/>
  <c r="S23" i="4"/>
  <c r="O24" i="4"/>
  <c r="P24" i="4"/>
  <c r="Q24" i="4"/>
  <c r="R24" i="4"/>
  <c r="S24" i="4"/>
  <c r="O25" i="4"/>
  <c r="P25" i="4"/>
  <c r="Q25" i="4"/>
  <c r="R25" i="4"/>
  <c r="S25" i="4"/>
  <c r="O26" i="4"/>
  <c r="P26" i="4"/>
  <c r="Q26" i="4"/>
  <c r="R26" i="4"/>
  <c r="S26" i="4"/>
  <c r="O27" i="4"/>
  <c r="P27" i="4"/>
  <c r="Q27" i="4"/>
  <c r="R27" i="4"/>
  <c r="S27" i="4"/>
  <c r="O28" i="4"/>
  <c r="P28" i="4"/>
  <c r="Q28" i="4"/>
  <c r="R28" i="4"/>
  <c r="S28" i="4"/>
  <c r="O29" i="4"/>
  <c r="P29" i="4"/>
  <c r="Q29" i="4"/>
  <c r="R29" i="4"/>
  <c r="S29" i="4"/>
  <c r="O30" i="4"/>
  <c r="P30" i="4"/>
  <c r="Q30" i="4"/>
  <c r="R30" i="4"/>
  <c r="S30" i="4"/>
  <c r="O31" i="4"/>
  <c r="P31" i="4"/>
  <c r="Q31" i="4"/>
  <c r="R31" i="4"/>
  <c r="S31" i="4"/>
  <c r="O32" i="4"/>
  <c r="P32" i="4"/>
  <c r="Q32" i="4"/>
  <c r="R32" i="4"/>
  <c r="S32" i="4"/>
  <c r="O33" i="4"/>
  <c r="P33" i="4"/>
  <c r="Q33" i="4"/>
  <c r="R33" i="4"/>
  <c r="S33" i="4"/>
  <c r="O34" i="4"/>
  <c r="P34" i="4"/>
  <c r="Q34" i="4"/>
  <c r="R34" i="4"/>
  <c r="S34" i="4"/>
  <c r="O35" i="4"/>
  <c r="P35" i="4"/>
  <c r="Q35" i="4"/>
  <c r="R35" i="4"/>
  <c r="S35" i="4"/>
  <c r="O36" i="4"/>
  <c r="P36" i="4"/>
  <c r="Q36" i="4"/>
  <c r="R36" i="4"/>
  <c r="S36" i="4"/>
  <c r="O37" i="4"/>
  <c r="P37" i="4"/>
  <c r="Q37" i="4"/>
  <c r="R37" i="4"/>
  <c r="S37" i="4"/>
  <c r="O38" i="4"/>
  <c r="P38" i="4"/>
  <c r="Q38" i="4"/>
  <c r="R38" i="4"/>
  <c r="S38" i="4"/>
  <c r="O39" i="4"/>
  <c r="P39" i="4"/>
  <c r="Q39" i="4"/>
  <c r="R39" i="4"/>
  <c r="S39" i="4"/>
  <c r="O40" i="4"/>
  <c r="P40" i="4"/>
  <c r="Q40" i="4"/>
  <c r="R40" i="4"/>
  <c r="S40" i="4"/>
  <c r="O41" i="4"/>
  <c r="P41" i="4"/>
  <c r="Q41" i="4"/>
  <c r="R41" i="4"/>
  <c r="S41" i="4"/>
  <c r="O42" i="4"/>
  <c r="P42" i="4"/>
  <c r="Q42" i="4"/>
  <c r="R42" i="4"/>
  <c r="S42" i="4"/>
  <c r="O43" i="4"/>
  <c r="P43" i="4"/>
  <c r="Q43" i="4"/>
  <c r="R43" i="4"/>
  <c r="S43" i="4"/>
  <c r="O44" i="4"/>
  <c r="P44" i="4"/>
  <c r="Q44" i="4"/>
  <c r="R44" i="4"/>
  <c r="S44" i="4"/>
  <c r="O45" i="4"/>
  <c r="P45" i="4"/>
  <c r="Q45" i="4"/>
  <c r="R45" i="4"/>
  <c r="S45" i="4"/>
  <c r="O46" i="4"/>
  <c r="P46" i="4"/>
  <c r="Q46" i="4"/>
  <c r="R46" i="4"/>
  <c r="S46" i="4"/>
  <c r="O47" i="4"/>
  <c r="P47" i="4"/>
  <c r="Q47" i="4"/>
  <c r="R47" i="4"/>
  <c r="S47" i="4"/>
  <c r="O48" i="4"/>
  <c r="P48" i="4"/>
  <c r="Q48" i="4"/>
  <c r="R48" i="4"/>
  <c r="S48" i="4"/>
  <c r="O49" i="4"/>
  <c r="P49" i="4"/>
  <c r="Q49" i="4"/>
  <c r="R49" i="4"/>
  <c r="S49" i="4"/>
  <c r="O50" i="4"/>
  <c r="P50" i="4"/>
  <c r="Q50" i="4"/>
  <c r="R50" i="4"/>
  <c r="S50" i="4"/>
  <c r="O51" i="4"/>
  <c r="P51" i="4"/>
  <c r="Q51" i="4"/>
  <c r="R51" i="4"/>
  <c r="S51" i="4"/>
  <c r="O52" i="4"/>
  <c r="P52" i="4"/>
  <c r="Q52" i="4"/>
  <c r="R52" i="4"/>
  <c r="S52" i="4"/>
  <c r="O53" i="4"/>
  <c r="P53" i="4"/>
  <c r="Q53" i="4"/>
  <c r="R53" i="4"/>
  <c r="S53" i="4"/>
  <c r="O54" i="4"/>
  <c r="P54" i="4"/>
  <c r="Q54" i="4"/>
  <c r="R54" i="4"/>
  <c r="S54" i="4"/>
  <c r="O55" i="4"/>
  <c r="P55" i="4"/>
  <c r="Q55" i="4"/>
  <c r="R55" i="4"/>
  <c r="S55" i="4"/>
  <c r="O56" i="4"/>
  <c r="P56" i="4"/>
  <c r="Q56" i="4"/>
  <c r="R56" i="4"/>
  <c r="S56" i="4"/>
  <c r="O57" i="4"/>
  <c r="P57" i="4"/>
  <c r="Q57" i="4"/>
  <c r="R57" i="4"/>
  <c r="S57" i="4"/>
  <c r="O58" i="4"/>
  <c r="P58" i="4"/>
  <c r="Q58" i="4"/>
  <c r="R58" i="4"/>
  <c r="S58" i="4"/>
  <c r="O59" i="4"/>
  <c r="P59" i="4"/>
  <c r="Q59" i="4"/>
  <c r="R59" i="4"/>
  <c r="S59" i="4"/>
  <c r="O60" i="4"/>
  <c r="P60" i="4"/>
  <c r="Q60" i="4"/>
  <c r="R60" i="4"/>
  <c r="S60" i="4"/>
  <c r="O61" i="4"/>
  <c r="P61" i="4"/>
  <c r="Q61" i="4"/>
  <c r="R61" i="4"/>
  <c r="S61" i="4"/>
  <c r="O62" i="4"/>
  <c r="P62" i="4"/>
  <c r="Q62" i="4"/>
  <c r="R62" i="4"/>
  <c r="S62" i="4"/>
  <c r="O63" i="4"/>
  <c r="P63" i="4"/>
  <c r="Q63" i="4"/>
  <c r="R63" i="4"/>
  <c r="S63" i="4"/>
  <c r="O64" i="4"/>
  <c r="P64" i="4"/>
  <c r="Q64" i="4"/>
  <c r="R64" i="4"/>
  <c r="S64" i="4"/>
  <c r="O65" i="4"/>
  <c r="P65" i="4"/>
  <c r="Q65" i="4"/>
  <c r="R65" i="4"/>
  <c r="S65" i="4"/>
  <c r="O66" i="4"/>
  <c r="P66" i="4"/>
  <c r="Q66" i="4"/>
  <c r="R66" i="4"/>
  <c r="S66" i="4"/>
  <c r="O67" i="4"/>
  <c r="P67" i="4"/>
  <c r="Q67" i="4"/>
  <c r="R67" i="4"/>
  <c r="S67" i="4"/>
  <c r="O68" i="4"/>
  <c r="P68" i="4"/>
  <c r="Q68" i="4"/>
  <c r="R68" i="4"/>
  <c r="S68" i="4"/>
  <c r="O69" i="4"/>
  <c r="P69" i="4"/>
  <c r="Q69" i="4"/>
  <c r="R69" i="4"/>
  <c r="S69" i="4"/>
  <c r="O70" i="4"/>
  <c r="P70" i="4"/>
  <c r="Q70" i="4"/>
  <c r="R70" i="4"/>
  <c r="S70" i="4"/>
  <c r="O71" i="4"/>
  <c r="P71" i="4"/>
  <c r="Q71" i="4"/>
  <c r="R71" i="4"/>
  <c r="S71" i="4"/>
  <c r="O72" i="4"/>
  <c r="P72" i="4"/>
  <c r="Q72" i="4"/>
  <c r="R72" i="4"/>
  <c r="S72" i="4"/>
  <c r="O73" i="4"/>
  <c r="P73" i="4"/>
  <c r="Q73" i="4"/>
  <c r="R73" i="4"/>
  <c r="S73" i="4"/>
  <c r="O74" i="4"/>
  <c r="P74" i="4"/>
  <c r="Q74" i="4"/>
  <c r="R74" i="4"/>
  <c r="S74" i="4"/>
  <c r="O75" i="4"/>
  <c r="P75" i="4"/>
  <c r="Q75" i="4"/>
  <c r="R75" i="4"/>
  <c r="S75" i="4"/>
  <c r="O76" i="4"/>
  <c r="P76" i="4"/>
  <c r="Q76" i="4"/>
  <c r="R76" i="4"/>
  <c r="S76" i="4"/>
  <c r="O77" i="4"/>
  <c r="P77" i="4"/>
  <c r="Q77" i="4"/>
  <c r="R77" i="4"/>
  <c r="S77" i="4"/>
  <c r="O78" i="4"/>
  <c r="P78" i="4"/>
  <c r="Q78" i="4"/>
  <c r="R78" i="4"/>
  <c r="S78" i="4"/>
  <c r="O79" i="4"/>
  <c r="P79" i="4"/>
  <c r="Q79" i="4"/>
  <c r="R79" i="4"/>
  <c r="S79" i="4"/>
  <c r="O80" i="4"/>
  <c r="P80" i="4"/>
  <c r="Q80" i="4"/>
  <c r="R80" i="4"/>
  <c r="S80" i="4"/>
  <c r="O81" i="4"/>
  <c r="P81" i="4"/>
  <c r="Q81" i="4"/>
  <c r="R81" i="4"/>
  <c r="S81" i="4"/>
  <c r="O82" i="4"/>
  <c r="P82" i="4"/>
  <c r="Q82" i="4"/>
  <c r="R82" i="4"/>
  <c r="S82" i="4"/>
  <c r="O83" i="4"/>
  <c r="P83" i="4"/>
  <c r="Q83" i="4"/>
  <c r="R83" i="4"/>
  <c r="S83" i="4"/>
  <c r="O84" i="4"/>
  <c r="P84" i="4"/>
  <c r="Q84" i="4"/>
  <c r="R84" i="4"/>
  <c r="S84" i="4"/>
  <c r="O85" i="4"/>
  <c r="P85" i="4"/>
  <c r="Q85" i="4"/>
  <c r="R85" i="4"/>
  <c r="S85" i="4"/>
  <c r="O86" i="4"/>
  <c r="P86" i="4"/>
  <c r="Q86" i="4"/>
  <c r="R86" i="4"/>
  <c r="S86" i="4"/>
  <c r="O87" i="4"/>
  <c r="P87" i="4"/>
  <c r="Q87" i="4"/>
  <c r="R87" i="4"/>
  <c r="S87" i="4"/>
  <c r="O88" i="4"/>
  <c r="P88" i="4"/>
  <c r="Q88" i="4"/>
  <c r="R88" i="4"/>
  <c r="S88" i="4"/>
  <c r="O89" i="4"/>
  <c r="P89" i="4"/>
  <c r="Q89" i="4"/>
  <c r="R89" i="4"/>
  <c r="S89" i="4"/>
  <c r="O90" i="4"/>
  <c r="P90" i="4"/>
  <c r="Q90" i="4"/>
  <c r="R90" i="4"/>
  <c r="S90" i="4"/>
  <c r="O91" i="4"/>
  <c r="P91" i="4"/>
  <c r="Q91" i="4"/>
  <c r="R91" i="4"/>
  <c r="S91" i="4"/>
  <c r="O92" i="4"/>
  <c r="P92" i="4"/>
  <c r="Q92" i="4"/>
  <c r="R92" i="4"/>
  <c r="S92" i="4"/>
  <c r="O93" i="4"/>
  <c r="P93" i="4"/>
  <c r="Q93" i="4"/>
  <c r="R93" i="4"/>
  <c r="S93" i="4"/>
  <c r="O94" i="4"/>
  <c r="P94" i="4"/>
  <c r="Q94" i="4"/>
  <c r="R94" i="4"/>
  <c r="S94" i="4"/>
  <c r="O95" i="4"/>
  <c r="P95" i="4"/>
  <c r="Q95" i="4"/>
  <c r="R95" i="4"/>
  <c r="S95" i="4"/>
  <c r="O96" i="4"/>
  <c r="P96" i="4"/>
  <c r="Q96" i="4"/>
  <c r="R96" i="4"/>
  <c r="S96" i="4"/>
  <c r="O97" i="4"/>
  <c r="P97" i="4"/>
  <c r="Q97" i="4"/>
  <c r="R97" i="4"/>
  <c r="S97" i="4"/>
  <c r="O98" i="4"/>
  <c r="P98" i="4"/>
  <c r="Q98" i="4"/>
  <c r="R98" i="4"/>
  <c r="S98" i="4"/>
  <c r="O99" i="4"/>
  <c r="P99" i="4"/>
  <c r="Q99" i="4"/>
  <c r="R99" i="4"/>
  <c r="S99" i="4"/>
  <c r="O100" i="4"/>
  <c r="P100" i="4"/>
  <c r="Q100" i="4"/>
  <c r="R100" i="4"/>
  <c r="S100" i="4"/>
  <c r="O101" i="4"/>
  <c r="P101" i="4"/>
  <c r="Q101" i="4"/>
  <c r="R101" i="4"/>
  <c r="S101" i="4"/>
  <c r="O102" i="4"/>
  <c r="P102" i="4"/>
  <c r="Q102" i="4"/>
  <c r="R102" i="4"/>
  <c r="S102" i="4"/>
  <c r="O103" i="4"/>
  <c r="P103" i="4"/>
  <c r="Q103" i="4"/>
  <c r="R103" i="4"/>
  <c r="S103" i="4"/>
  <c r="O104" i="4"/>
  <c r="P104" i="4"/>
  <c r="Q104" i="4"/>
  <c r="R104" i="4"/>
  <c r="S104" i="4"/>
  <c r="O105" i="4"/>
  <c r="P105" i="4"/>
  <c r="Q105" i="4"/>
  <c r="R105" i="4"/>
  <c r="S105" i="4"/>
  <c r="O106" i="4"/>
  <c r="P106" i="4"/>
  <c r="Q106" i="4"/>
  <c r="R106" i="4"/>
  <c r="S106" i="4"/>
  <c r="O107" i="4"/>
  <c r="P107" i="4"/>
  <c r="Q107" i="4"/>
  <c r="R107" i="4"/>
  <c r="S107" i="4"/>
  <c r="O108" i="4"/>
  <c r="P108" i="4"/>
  <c r="Q108" i="4"/>
  <c r="R108" i="4"/>
  <c r="S108" i="4"/>
  <c r="O109" i="4"/>
  <c r="P109" i="4"/>
  <c r="Q109" i="4"/>
  <c r="R109" i="4"/>
  <c r="S109" i="4"/>
  <c r="O110" i="4"/>
  <c r="P110" i="4"/>
  <c r="Q110" i="4"/>
  <c r="R110" i="4"/>
  <c r="S110" i="4"/>
  <c r="O111" i="4"/>
  <c r="P111" i="4"/>
  <c r="Q111" i="4"/>
  <c r="R111" i="4"/>
  <c r="S111" i="4"/>
  <c r="O112" i="4"/>
  <c r="P112" i="4"/>
  <c r="Q112" i="4"/>
  <c r="R112" i="4"/>
  <c r="S112" i="4"/>
  <c r="O113" i="4"/>
  <c r="P113" i="4"/>
  <c r="Q113" i="4"/>
  <c r="R113" i="4"/>
  <c r="S113" i="4"/>
  <c r="O114" i="4"/>
  <c r="P114" i="4"/>
  <c r="Q114" i="4"/>
  <c r="R114" i="4"/>
  <c r="S114" i="4"/>
  <c r="O115" i="4"/>
  <c r="P115" i="4"/>
  <c r="Q115" i="4"/>
  <c r="R115" i="4"/>
  <c r="S115" i="4"/>
  <c r="O116" i="4"/>
  <c r="P116" i="4"/>
  <c r="Q116" i="4"/>
  <c r="R116" i="4"/>
  <c r="S116" i="4"/>
  <c r="O117" i="4"/>
  <c r="P117" i="4"/>
  <c r="Q117" i="4"/>
  <c r="R117" i="4"/>
  <c r="S117" i="4"/>
  <c r="O118" i="4"/>
  <c r="P118" i="4"/>
  <c r="Q118" i="4"/>
  <c r="R118" i="4"/>
  <c r="S118" i="4"/>
  <c r="O119" i="4"/>
  <c r="P119" i="4"/>
  <c r="Q119" i="4"/>
  <c r="R119" i="4"/>
  <c r="S119" i="4"/>
  <c r="O120" i="4"/>
  <c r="P120" i="4"/>
  <c r="Q120" i="4"/>
  <c r="R120" i="4"/>
  <c r="S120" i="4"/>
  <c r="O121" i="4"/>
  <c r="P121" i="4"/>
  <c r="Q121" i="4"/>
  <c r="R121" i="4"/>
  <c r="S121" i="4"/>
  <c r="O122" i="4"/>
  <c r="P122" i="4"/>
  <c r="Q122" i="4"/>
  <c r="R122" i="4"/>
  <c r="S122" i="4"/>
  <c r="O123" i="4"/>
  <c r="P123" i="4"/>
  <c r="Q123" i="4"/>
  <c r="R123" i="4"/>
  <c r="S123" i="4"/>
  <c r="O124" i="4"/>
  <c r="P124" i="4"/>
  <c r="Q124" i="4"/>
  <c r="R124" i="4"/>
  <c r="S124" i="4"/>
  <c r="O125" i="4"/>
  <c r="P125" i="4"/>
  <c r="Q125" i="4"/>
  <c r="R125" i="4"/>
  <c r="S125" i="4"/>
  <c r="O126" i="4"/>
  <c r="P126" i="4"/>
  <c r="Q126" i="4"/>
  <c r="R126" i="4"/>
  <c r="S126" i="4"/>
  <c r="O127" i="4"/>
  <c r="P127" i="4"/>
  <c r="Q127" i="4"/>
  <c r="R127" i="4"/>
  <c r="S127" i="4"/>
  <c r="O128" i="4"/>
  <c r="P128" i="4"/>
  <c r="Q128" i="4"/>
  <c r="R128" i="4"/>
  <c r="S128" i="4"/>
  <c r="O129" i="4"/>
  <c r="P129" i="4"/>
  <c r="Q129" i="4"/>
  <c r="R129" i="4"/>
  <c r="S129" i="4"/>
  <c r="O130" i="4"/>
  <c r="P130" i="4"/>
  <c r="Q130" i="4"/>
  <c r="R130" i="4"/>
  <c r="S130" i="4"/>
  <c r="O131" i="4"/>
  <c r="P131" i="4"/>
  <c r="Q131" i="4"/>
  <c r="R131" i="4"/>
  <c r="S131" i="4"/>
  <c r="O132" i="4"/>
  <c r="P132" i="4"/>
  <c r="Q132" i="4"/>
  <c r="R132" i="4"/>
  <c r="S132" i="4"/>
  <c r="O133" i="4"/>
  <c r="P133" i="4"/>
  <c r="Q133" i="4"/>
  <c r="R133" i="4"/>
  <c r="S133" i="4"/>
  <c r="O134" i="4"/>
  <c r="P134" i="4"/>
  <c r="Q134" i="4"/>
  <c r="R134" i="4"/>
  <c r="S134" i="4"/>
  <c r="O135" i="4"/>
  <c r="P135" i="4"/>
  <c r="Q135" i="4"/>
  <c r="R135" i="4"/>
  <c r="S135" i="4"/>
  <c r="O136" i="4"/>
  <c r="P136" i="4"/>
  <c r="Q136" i="4"/>
  <c r="R136" i="4"/>
  <c r="S136" i="4"/>
  <c r="O137" i="4"/>
  <c r="P137" i="4"/>
  <c r="Q137" i="4"/>
  <c r="R137" i="4"/>
  <c r="S137" i="4"/>
  <c r="O138" i="4"/>
  <c r="P138" i="4"/>
  <c r="Q138" i="4"/>
  <c r="R138" i="4"/>
  <c r="S138" i="4"/>
  <c r="O139" i="4"/>
  <c r="P139" i="4"/>
  <c r="Q139" i="4"/>
  <c r="R139" i="4"/>
  <c r="S139" i="4"/>
  <c r="O140" i="4"/>
  <c r="P140" i="4"/>
  <c r="Q140" i="4"/>
  <c r="R140" i="4"/>
  <c r="S140" i="4"/>
  <c r="O141" i="4"/>
  <c r="P141" i="4"/>
  <c r="Q141" i="4"/>
  <c r="R141" i="4"/>
  <c r="S141" i="4"/>
  <c r="O142" i="4"/>
  <c r="P142" i="4"/>
  <c r="Q142" i="4"/>
  <c r="R142" i="4"/>
  <c r="S142" i="4"/>
  <c r="O143" i="4"/>
  <c r="P143" i="4"/>
  <c r="Q143" i="4"/>
  <c r="R143" i="4"/>
  <c r="S143" i="4"/>
  <c r="O144" i="4"/>
  <c r="P144" i="4"/>
  <c r="Q144" i="4"/>
  <c r="R144" i="4"/>
  <c r="S144" i="4"/>
  <c r="O145" i="4"/>
  <c r="P145" i="4"/>
  <c r="Q145" i="4"/>
  <c r="R145" i="4"/>
  <c r="S145" i="4"/>
  <c r="O146" i="4"/>
  <c r="P146" i="4"/>
  <c r="Q146" i="4"/>
  <c r="R146" i="4"/>
  <c r="S146" i="4"/>
  <c r="O147" i="4"/>
  <c r="P147" i="4"/>
  <c r="Q147" i="4"/>
  <c r="R147" i="4"/>
  <c r="S147" i="4"/>
  <c r="O148" i="4"/>
  <c r="P148" i="4"/>
  <c r="Q148" i="4"/>
  <c r="R148" i="4"/>
  <c r="S148" i="4"/>
  <c r="O149" i="4"/>
  <c r="P149" i="4"/>
  <c r="Q149" i="4"/>
  <c r="R149" i="4"/>
  <c r="S149" i="4"/>
  <c r="O150" i="4"/>
  <c r="P150" i="4"/>
  <c r="Q150" i="4"/>
  <c r="R150" i="4"/>
  <c r="S150" i="4"/>
  <c r="O151" i="4"/>
  <c r="P151" i="4"/>
  <c r="Q151" i="4"/>
  <c r="R151" i="4"/>
  <c r="S151" i="4"/>
  <c r="O152" i="4"/>
  <c r="P152" i="4"/>
  <c r="Q152" i="4"/>
  <c r="R152" i="4"/>
  <c r="S152" i="4"/>
  <c r="O153" i="4"/>
  <c r="P153" i="4"/>
  <c r="Q153" i="4"/>
  <c r="R153" i="4"/>
  <c r="S153" i="4"/>
  <c r="O154" i="4"/>
  <c r="P154" i="4"/>
  <c r="Q154" i="4"/>
  <c r="R154" i="4"/>
  <c r="S154" i="4"/>
  <c r="O155" i="4"/>
  <c r="P155" i="4"/>
  <c r="Q155" i="4"/>
  <c r="R155" i="4"/>
  <c r="S155" i="4"/>
  <c r="O156" i="4"/>
  <c r="P156" i="4"/>
  <c r="Q156" i="4"/>
  <c r="R156" i="4"/>
  <c r="S156" i="4"/>
  <c r="O157" i="4"/>
  <c r="P157" i="4"/>
  <c r="Q157" i="4"/>
  <c r="R157" i="4"/>
  <c r="S157" i="4"/>
  <c r="O158" i="4"/>
  <c r="P158" i="4"/>
  <c r="Q158" i="4"/>
  <c r="R158" i="4"/>
  <c r="S158" i="4"/>
  <c r="O159" i="4"/>
  <c r="P159" i="4"/>
  <c r="Q159" i="4"/>
  <c r="R159" i="4"/>
  <c r="S159" i="4"/>
  <c r="O160" i="4"/>
  <c r="P160" i="4"/>
  <c r="Q160" i="4"/>
  <c r="R160" i="4"/>
  <c r="S160" i="4"/>
  <c r="O161" i="4"/>
  <c r="P161" i="4"/>
  <c r="Q161" i="4"/>
  <c r="R161" i="4"/>
  <c r="S161" i="4"/>
  <c r="O162" i="4"/>
  <c r="P162" i="4"/>
  <c r="Q162" i="4"/>
  <c r="R162" i="4"/>
  <c r="S162" i="4"/>
  <c r="O163" i="4"/>
  <c r="P163" i="4"/>
  <c r="Q163" i="4"/>
  <c r="R163" i="4"/>
  <c r="S163" i="4"/>
  <c r="O164" i="4"/>
  <c r="P164" i="4"/>
  <c r="Q164" i="4"/>
  <c r="R164" i="4"/>
  <c r="S164" i="4"/>
  <c r="O165" i="4"/>
  <c r="P165" i="4"/>
  <c r="Q165" i="4"/>
  <c r="R165" i="4"/>
  <c r="S165" i="4"/>
  <c r="O166" i="4"/>
  <c r="P166" i="4"/>
  <c r="Q166" i="4"/>
  <c r="R166" i="4"/>
  <c r="S166" i="4"/>
  <c r="O167" i="4"/>
  <c r="P167" i="4"/>
  <c r="Q167" i="4"/>
  <c r="R167" i="4"/>
  <c r="S167" i="4"/>
  <c r="O168" i="4"/>
  <c r="P168" i="4"/>
  <c r="Q168" i="4"/>
  <c r="R168" i="4"/>
  <c r="S168" i="4"/>
  <c r="O169" i="4"/>
  <c r="P169" i="4"/>
  <c r="Q169" i="4"/>
  <c r="R169" i="4"/>
  <c r="S169" i="4"/>
  <c r="O170" i="4"/>
  <c r="P170" i="4"/>
  <c r="Q170" i="4"/>
  <c r="R170" i="4"/>
  <c r="S170" i="4"/>
  <c r="O171" i="4"/>
  <c r="P171" i="4"/>
  <c r="Q171" i="4"/>
  <c r="R171" i="4"/>
  <c r="S171" i="4"/>
  <c r="O172" i="4"/>
  <c r="P172" i="4"/>
  <c r="Q172" i="4"/>
  <c r="R172" i="4"/>
  <c r="S172" i="4"/>
  <c r="O173" i="4"/>
  <c r="P173" i="4"/>
  <c r="Q173" i="4"/>
  <c r="R173" i="4"/>
  <c r="S173" i="4"/>
  <c r="O174" i="4"/>
  <c r="P174" i="4"/>
  <c r="Q174" i="4"/>
  <c r="R174" i="4"/>
  <c r="S174" i="4"/>
  <c r="O175" i="4"/>
  <c r="P175" i="4"/>
  <c r="Q175" i="4"/>
  <c r="R175" i="4"/>
  <c r="S175" i="4"/>
  <c r="O176" i="4"/>
  <c r="P176" i="4"/>
  <c r="Q176" i="4"/>
  <c r="R176" i="4"/>
  <c r="S176" i="4"/>
  <c r="O177" i="4"/>
  <c r="P177" i="4"/>
  <c r="Q177" i="4"/>
  <c r="R177" i="4"/>
  <c r="S177" i="4"/>
  <c r="O178" i="4"/>
  <c r="P178" i="4"/>
  <c r="Q178" i="4"/>
  <c r="R178" i="4"/>
  <c r="S178" i="4"/>
  <c r="O179" i="4"/>
  <c r="P179" i="4"/>
  <c r="Q179" i="4"/>
  <c r="R179" i="4"/>
  <c r="S179" i="4"/>
  <c r="O180" i="4"/>
  <c r="P180" i="4"/>
  <c r="Q180" i="4"/>
  <c r="R180" i="4"/>
  <c r="S180" i="4"/>
  <c r="O181" i="4"/>
  <c r="P181" i="4"/>
  <c r="Q181" i="4"/>
  <c r="R181" i="4"/>
  <c r="S181" i="4"/>
  <c r="O182" i="4"/>
  <c r="P182" i="4"/>
  <c r="Q182" i="4"/>
  <c r="R182" i="4"/>
  <c r="S182" i="4"/>
  <c r="O183" i="4"/>
  <c r="P183" i="4"/>
  <c r="Q183" i="4"/>
  <c r="R183" i="4"/>
  <c r="S183" i="4"/>
  <c r="O184" i="4"/>
  <c r="P184" i="4"/>
  <c r="Q184" i="4"/>
  <c r="R184" i="4"/>
  <c r="S184" i="4"/>
  <c r="O185" i="4"/>
  <c r="P185" i="4"/>
  <c r="Q185" i="4"/>
  <c r="R185" i="4"/>
  <c r="S185" i="4"/>
  <c r="O186" i="4"/>
  <c r="P186" i="4"/>
  <c r="Q186" i="4"/>
  <c r="R186" i="4"/>
  <c r="S186" i="4"/>
  <c r="O187" i="4"/>
  <c r="P187" i="4"/>
  <c r="Q187" i="4"/>
  <c r="R187" i="4"/>
  <c r="S187" i="4"/>
  <c r="O188" i="4"/>
  <c r="P188" i="4"/>
  <c r="Q188" i="4"/>
  <c r="R188" i="4"/>
  <c r="S188" i="4"/>
  <c r="O189" i="4"/>
  <c r="P189" i="4"/>
  <c r="Q189" i="4"/>
  <c r="R189" i="4"/>
  <c r="S189" i="4"/>
  <c r="O190" i="4"/>
  <c r="P190" i="4"/>
  <c r="Q190" i="4"/>
  <c r="R190" i="4"/>
  <c r="S190" i="4"/>
  <c r="O191" i="4"/>
  <c r="P191" i="4"/>
  <c r="Q191" i="4"/>
  <c r="R191" i="4"/>
  <c r="S191" i="4"/>
  <c r="O192" i="4"/>
  <c r="P192" i="4"/>
  <c r="Q192" i="4"/>
  <c r="R192" i="4"/>
  <c r="S192" i="4"/>
  <c r="O193" i="4"/>
  <c r="P193" i="4"/>
  <c r="Q193" i="4"/>
  <c r="R193" i="4"/>
  <c r="S193" i="4"/>
  <c r="O194" i="4"/>
  <c r="P194" i="4"/>
  <c r="Q194" i="4"/>
  <c r="R194" i="4"/>
  <c r="S194" i="4"/>
  <c r="O195" i="4"/>
  <c r="P195" i="4"/>
  <c r="Q195" i="4"/>
  <c r="R195" i="4"/>
  <c r="S195" i="4"/>
  <c r="O196" i="4"/>
  <c r="P196" i="4"/>
  <c r="Q196" i="4"/>
  <c r="R196" i="4"/>
  <c r="S196" i="4"/>
  <c r="O197" i="4"/>
  <c r="P197" i="4"/>
  <c r="Q197" i="4"/>
  <c r="R197" i="4"/>
  <c r="S197" i="4"/>
  <c r="O198" i="4"/>
  <c r="P198" i="4"/>
  <c r="Q198" i="4"/>
  <c r="R198" i="4"/>
  <c r="S198" i="4"/>
  <c r="O199" i="4"/>
  <c r="P199" i="4"/>
  <c r="Q199" i="4"/>
  <c r="R199" i="4"/>
  <c r="S199" i="4"/>
  <c r="O200" i="4"/>
  <c r="P200" i="4"/>
  <c r="Q200" i="4"/>
  <c r="R200" i="4"/>
  <c r="S200" i="4"/>
  <c r="O201" i="4"/>
  <c r="P201" i="4"/>
  <c r="Q201" i="4"/>
  <c r="R201" i="4"/>
  <c r="S201" i="4"/>
  <c r="O202" i="4"/>
  <c r="P202" i="4"/>
  <c r="Q202" i="4"/>
  <c r="R202" i="4"/>
  <c r="S202" i="4"/>
  <c r="O203" i="4"/>
  <c r="P203" i="4"/>
  <c r="Q203" i="4"/>
  <c r="R203" i="4"/>
  <c r="S203" i="4"/>
  <c r="O204" i="4"/>
  <c r="P204" i="4"/>
  <c r="Q204" i="4"/>
  <c r="R204" i="4"/>
  <c r="S204" i="4"/>
  <c r="O205" i="4"/>
  <c r="P205" i="4"/>
  <c r="Q205" i="4"/>
  <c r="R205" i="4"/>
  <c r="S205" i="4"/>
  <c r="O206" i="4"/>
  <c r="P206" i="4"/>
  <c r="Q206" i="4"/>
  <c r="R206" i="4"/>
  <c r="S206" i="4"/>
  <c r="O207" i="4"/>
  <c r="P207" i="4"/>
  <c r="Q207" i="4"/>
  <c r="R207" i="4"/>
  <c r="S207" i="4"/>
  <c r="O208" i="4"/>
  <c r="P208" i="4"/>
  <c r="Q208" i="4"/>
  <c r="R208" i="4"/>
  <c r="S208" i="4"/>
  <c r="O209" i="4"/>
  <c r="P209" i="4"/>
  <c r="Q209" i="4"/>
  <c r="R209" i="4"/>
  <c r="S209" i="4"/>
  <c r="O210" i="4"/>
  <c r="P210" i="4"/>
  <c r="Q210" i="4"/>
  <c r="R210" i="4"/>
  <c r="S210" i="4"/>
  <c r="O211" i="4"/>
  <c r="P211" i="4"/>
  <c r="Q211" i="4"/>
  <c r="R211" i="4"/>
  <c r="S211" i="4"/>
  <c r="O212" i="4"/>
  <c r="P212" i="4"/>
  <c r="Q212" i="4"/>
  <c r="R212" i="4"/>
  <c r="S212" i="4"/>
  <c r="O213" i="4"/>
  <c r="P213" i="4"/>
  <c r="Q213" i="4"/>
  <c r="R213" i="4"/>
  <c r="S213" i="4"/>
  <c r="O214" i="4"/>
  <c r="P214" i="4"/>
  <c r="Q214" i="4"/>
  <c r="R214" i="4"/>
  <c r="S214" i="4"/>
  <c r="O215" i="4"/>
  <c r="P215" i="4"/>
  <c r="Q215" i="4"/>
  <c r="R215" i="4"/>
  <c r="S215" i="4"/>
  <c r="O216" i="4"/>
  <c r="P216" i="4"/>
  <c r="Q216" i="4"/>
  <c r="R216" i="4"/>
  <c r="S216" i="4"/>
  <c r="O217" i="4"/>
  <c r="P217" i="4"/>
  <c r="Q217" i="4"/>
  <c r="R217" i="4"/>
  <c r="S217" i="4"/>
  <c r="O218" i="4"/>
  <c r="P218" i="4"/>
  <c r="Q218" i="4"/>
  <c r="R218" i="4"/>
  <c r="S218" i="4"/>
  <c r="O219" i="4"/>
  <c r="P219" i="4"/>
  <c r="Q219" i="4"/>
  <c r="R219" i="4"/>
  <c r="S219" i="4"/>
  <c r="O220" i="4"/>
  <c r="P220" i="4"/>
  <c r="Q220" i="4"/>
  <c r="R220" i="4"/>
  <c r="S220" i="4"/>
  <c r="O221" i="4"/>
  <c r="P221" i="4"/>
  <c r="Q221" i="4"/>
  <c r="R221" i="4"/>
  <c r="S221" i="4"/>
  <c r="O222" i="4"/>
  <c r="P222" i="4"/>
  <c r="Q222" i="4"/>
  <c r="R222" i="4"/>
  <c r="S222" i="4"/>
  <c r="O223" i="4"/>
  <c r="P223" i="4"/>
  <c r="Q223" i="4"/>
  <c r="R223" i="4"/>
  <c r="S223" i="4"/>
  <c r="O224" i="4"/>
  <c r="P224" i="4"/>
  <c r="Q224" i="4"/>
  <c r="R224" i="4"/>
  <c r="S224" i="4"/>
  <c r="O225" i="4"/>
  <c r="P225" i="4"/>
  <c r="Q225" i="4"/>
  <c r="R225" i="4"/>
  <c r="S225" i="4"/>
  <c r="O226" i="4"/>
  <c r="P226" i="4"/>
  <c r="Q226" i="4"/>
  <c r="R226" i="4"/>
  <c r="S226" i="4"/>
  <c r="O227" i="4"/>
  <c r="P227" i="4"/>
  <c r="Q227" i="4"/>
  <c r="R227" i="4"/>
  <c r="S227" i="4"/>
  <c r="O228" i="4"/>
  <c r="P228" i="4"/>
  <c r="Q228" i="4"/>
  <c r="R228" i="4"/>
  <c r="S228" i="4"/>
  <c r="O229" i="4"/>
  <c r="P229" i="4"/>
  <c r="Q229" i="4"/>
  <c r="R229" i="4"/>
  <c r="S229" i="4"/>
  <c r="O230" i="4"/>
  <c r="P230" i="4"/>
  <c r="Q230" i="4"/>
  <c r="R230" i="4"/>
  <c r="S230" i="4"/>
  <c r="O231" i="4"/>
  <c r="P231" i="4"/>
  <c r="Q231" i="4"/>
  <c r="R231" i="4"/>
  <c r="S231" i="4"/>
  <c r="O232" i="4"/>
  <c r="P232" i="4"/>
  <c r="Q232" i="4"/>
  <c r="R232" i="4"/>
  <c r="S232" i="4"/>
  <c r="O233" i="4"/>
  <c r="P233" i="4"/>
  <c r="Q233" i="4"/>
  <c r="R233" i="4"/>
  <c r="S233" i="4"/>
  <c r="O234" i="4"/>
  <c r="P234" i="4"/>
  <c r="Q234" i="4"/>
  <c r="R234" i="4"/>
  <c r="S234" i="4"/>
  <c r="O235" i="4"/>
  <c r="P235" i="4"/>
  <c r="Q235" i="4"/>
  <c r="R235" i="4"/>
  <c r="S235" i="4"/>
  <c r="O236" i="4"/>
  <c r="P236" i="4"/>
  <c r="Q236" i="4"/>
  <c r="R236" i="4"/>
  <c r="S236" i="4"/>
  <c r="O237" i="4"/>
  <c r="P237" i="4"/>
  <c r="Q237" i="4"/>
  <c r="R237" i="4"/>
  <c r="S237" i="4"/>
  <c r="O238" i="4"/>
  <c r="P238" i="4"/>
  <c r="Q238" i="4"/>
  <c r="R238" i="4"/>
  <c r="S238" i="4"/>
  <c r="O239" i="4"/>
  <c r="P239" i="4"/>
  <c r="Q239" i="4"/>
  <c r="R239" i="4"/>
  <c r="S239" i="4"/>
  <c r="O240" i="4"/>
  <c r="P240" i="4"/>
  <c r="Q240" i="4"/>
  <c r="R240" i="4"/>
  <c r="S240" i="4"/>
  <c r="O241" i="4"/>
  <c r="P241" i="4"/>
  <c r="Q241" i="4"/>
  <c r="R241" i="4"/>
  <c r="S241" i="4"/>
  <c r="O242" i="4"/>
  <c r="P242" i="4"/>
  <c r="Q242" i="4"/>
  <c r="R242" i="4"/>
  <c r="S242" i="4"/>
  <c r="O243" i="4"/>
  <c r="P243" i="4"/>
  <c r="Q243" i="4"/>
  <c r="R243" i="4"/>
  <c r="S243" i="4"/>
  <c r="O244" i="4"/>
  <c r="P244" i="4"/>
  <c r="Q244" i="4"/>
  <c r="R244" i="4"/>
  <c r="S244" i="4"/>
  <c r="O245" i="4"/>
  <c r="P245" i="4"/>
  <c r="Q245" i="4"/>
  <c r="R245" i="4"/>
  <c r="S245" i="4"/>
  <c r="O246" i="4"/>
  <c r="P246" i="4"/>
  <c r="Q246" i="4"/>
  <c r="R246" i="4"/>
  <c r="S246" i="4"/>
  <c r="O247" i="4"/>
  <c r="P247" i="4"/>
  <c r="Q247" i="4"/>
  <c r="R247" i="4"/>
  <c r="S247" i="4"/>
  <c r="O248" i="4"/>
  <c r="P248" i="4"/>
  <c r="Q248" i="4"/>
  <c r="R248" i="4"/>
  <c r="S248" i="4"/>
  <c r="O249" i="4"/>
  <c r="P249" i="4"/>
  <c r="Q249" i="4"/>
  <c r="R249" i="4"/>
  <c r="S249" i="4"/>
  <c r="O250" i="4"/>
  <c r="P250" i="4"/>
  <c r="Q250" i="4"/>
  <c r="R250" i="4"/>
  <c r="S250" i="4"/>
  <c r="O251" i="4"/>
  <c r="P251" i="4"/>
  <c r="Q251" i="4"/>
  <c r="R251" i="4"/>
  <c r="S251" i="4"/>
  <c r="O252" i="4"/>
  <c r="P252" i="4"/>
  <c r="Q252" i="4"/>
  <c r="R252" i="4"/>
  <c r="S252" i="4"/>
  <c r="O253" i="4"/>
  <c r="P253" i="4"/>
  <c r="Q253" i="4"/>
  <c r="R253" i="4"/>
  <c r="S253" i="4"/>
  <c r="O254" i="4"/>
  <c r="P254" i="4"/>
  <c r="Q254" i="4"/>
  <c r="R254" i="4"/>
  <c r="S254" i="4"/>
  <c r="O255" i="4"/>
  <c r="P255" i="4"/>
  <c r="Q255" i="4"/>
  <c r="R255" i="4"/>
  <c r="S255" i="4"/>
  <c r="O256" i="4"/>
  <c r="P256" i="4"/>
  <c r="Q256" i="4"/>
  <c r="R256" i="4"/>
  <c r="S256" i="4"/>
  <c r="O257" i="4"/>
  <c r="P257" i="4"/>
  <c r="Q257" i="4"/>
  <c r="R257" i="4"/>
  <c r="S257" i="4"/>
  <c r="O258" i="4"/>
  <c r="P258" i="4"/>
  <c r="Q258" i="4"/>
  <c r="R258" i="4"/>
  <c r="S258" i="4"/>
  <c r="O259" i="4"/>
  <c r="P259" i="4"/>
  <c r="Q259" i="4"/>
  <c r="R259" i="4"/>
  <c r="S259" i="4"/>
  <c r="O260" i="4"/>
  <c r="P260" i="4"/>
  <c r="Q260" i="4"/>
  <c r="R260" i="4"/>
  <c r="S260" i="4"/>
  <c r="O261" i="4"/>
  <c r="P261" i="4"/>
  <c r="Q261" i="4"/>
  <c r="R261" i="4"/>
  <c r="S261" i="4"/>
  <c r="O262" i="4"/>
  <c r="P262" i="4"/>
  <c r="Q262" i="4"/>
  <c r="R262" i="4"/>
  <c r="S262" i="4"/>
  <c r="O263" i="4"/>
  <c r="P263" i="4"/>
  <c r="Q263" i="4"/>
  <c r="R263" i="4"/>
  <c r="S263" i="4"/>
  <c r="O264" i="4"/>
  <c r="P264" i="4"/>
  <c r="Q264" i="4"/>
  <c r="R264" i="4"/>
  <c r="S264" i="4"/>
  <c r="O265" i="4"/>
  <c r="P265" i="4"/>
  <c r="Q265" i="4"/>
  <c r="R265" i="4"/>
  <c r="S265" i="4"/>
  <c r="O266" i="4"/>
  <c r="P266" i="4"/>
  <c r="Q266" i="4"/>
  <c r="R266" i="4"/>
  <c r="S266" i="4"/>
  <c r="O267" i="4"/>
  <c r="P267" i="4"/>
  <c r="Q267" i="4"/>
  <c r="R267" i="4"/>
  <c r="S267" i="4"/>
  <c r="O268" i="4"/>
  <c r="P268" i="4"/>
  <c r="Q268" i="4"/>
  <c r="R268" i="4"/>
  <c r="S268" i="4"/>
  <c r="O269" i="4"/>
  <c r="P269" i="4"/>
  <c r="Q269" i="4"/>
  <c r="R269" i="4"/>
  <c r="S269" i="4"/>
  <c r="O270" i="4"/>
  <c r="P270" i="4"/>
  <c r="Q270" i="4"/>
  <c r="R270" i="4"/>
  <c r="S270" i="4"/>
  <c r="O271" i="4"/>
  <c r="P271" i="4"/>
  <c r="Q271" i="4"/>
  <c r="R271" i="4"/>
  <c r="S271" i="4"/>
  <c r="O272" i="4"/>
  <c r="P272" i="4"/>
  <c r="Q272" i="4"/>
  <c r="R272" i="4"/>
  <c r="S272" i="4"/>
  <c r="O273" i="4"/>
  <c r="P273" i="4"/>
  <c r="Q273" i="4"/>
  <c r="R273" i="4"/>
  <c r="S273" i="4"/>
  <c r="O274" i="4"/>
  <c r="P274" i="4"/>
  <c r="Q274" i="4"/>
  <c r="R274" i="4"/>
  <c r="S274" i="4"/>
  <c r="O275" i="4"/>
  <c r="P275" i="4"/>
  <c r="Q275" i="4"/>
  <c r="R275" i="4"/>
  <c r="S275" i="4"/>
  <c r="O276" i="4"/>
  <c r="P276" i="4"/>
  <c r="Q276" i="4"/>
  <c r="R276" i="4"/>
  <c r="S276" i="4"/>
  <c r="O277" i="4"/>
  <c r="P277" i="4"/>
  <c r="Q277" i="4"/>
  <c r="R277" i="4"/>
  <c r="S277" i="4"/>
  <c r="O278" i="4"/>
  <c r="P278" i="4"/>
  <c r="Q278" i="4"/>
  <c r="R278" i="4"/>
  <c r="S278" i="4"/>
  <c r="O279" i="4"/>
  <c r="P279" i="4"/>
  <c r="Q279" i="4"/>
  <c r="R279" i="4"/>
  <c r="S279" i="4"/>
  <c r="O280" i="4"/>
  <c r="P280" i="4"/>
  <c r="Q280" i="4"/>
  <c r="R280" i="4"/>
  <c r="S280" i="4"/>
  <c r="O281" i="4"/>
  <c r="P281" i="4"/>
  <c r="Q281" i="4"/>
  <c r="R281" i="4"/>
  <c r="S281" i="4"/>
  <c r="O282" i="4"/>
  <c r="P282" i="4"/>
  <c r="Q282" i="4"/>
  <c r="R282" i="4"/>
  <c r="S282" i="4"/>
  <c r="O283" i="4"/>
  <c r="P283" i="4"/>
  <c r="Q283" i="4"/>
  <c r="R283" i="4"/>
  <c r="S283" i="4"/>
  <c r="O284" i="4"/>
  <c r="P284" i="4"/>
  <c r="Q284" i="4"/>
  <c r="R284" i="4"/>
  <c r="S284" i="4"/>
  <c r="O285" i="4"/>
  <c r="P285" i="4"/>
  <c r="Q285" i="4"/>
  <c r="R285" i="4"/>
  <c r="S285" i="4"/>
  <c r="O286" i="4"/>
  <c r="P286" i="4"/>
  <c r="Q286" i="4"/>
  <c r="R286" i="4"/>
  <c r="S286" i="4"/>
  <c r="O287" i="4"/>
  <c r="P287" i="4"/>
  <c r="Q287" i="4"/>
  <c r="R287" i="4"/>
  <c r="S287" i="4"/>
  <c r="O288" i="4"/>
  <c r="P288" i="4"/>
  <c r="Q288" i="4"/>
  <c r="R288" i="4"/>
  <c r="S288" i="4"/>
  <c r="O289" i="4"/>
  <c r="P289" i="4"/>
  <c r="Q289" i="4"/>
  <c r="R289" i="4"/>
  <c r="S289" i="4"/>
  <c r="O290" i="4"/>
  <c r="P290" i="4"/>
  <c r="Q290" i="4"/>
  <c r="R290" i="4"/>
  <c r="S290" i="4"/>
  <c r="O291" i="4"/>
  <c r="P291" i="4"/>
  <c r="Q291" i="4"/>
  <c r="R291" i="4"/>
  <c r="S291" i="4"/>
  <c r="O292" i="4"/>
  <c r="P292" i="4"/>
  <c r="Q292" i="4"/>
  <c r="R292" i="4"/>
  <c r="S292" i="4"/>
  <c r="O293" i="4"/>
  <c r="P293" i="4"/>
  <c r="Q293" i="4"/>
  <c r="R293" i="4"/>
  <c r="S293" i="4"/>
  <c r="O294" i="4"/>
  <c r="P294" i="4"/>
  <c r="Q294" i="4"/>
  <c r="R294" i="4"/>
  <c r="S294" i="4"/>
  <c r="O295" i="4"/>
  <c r="P295" i="4"/>
  <c r="Q295" i="4"/>
  <c r="R295" i="4"/>
  <c r="S295" i="4"/>
  <c r="O296" i="4"/>
  <c r="P296" i="4"/>
  <c r="Q296" i="4"/>
  <c r="R296" i="4"/>
  <c r="S296" i="4"/>
  <c r="O297" i="4"/>
  <c r="P297" i="4"/>
  <c r="Q297" i="4"/>
  <c r="R297" i="4"/>
  <c r="S297" i="4"/>
  <c r="O298" i="4"/>
  <c r="P298" i="4"/>
  <c r="Q298" i="4"/>
  <c r="R298" i="4"/>
  <c r="S298" i="4"/>
  <c r="O299" i="4"/>
  <c r="P299" i="4"/>
  <c r="Q299" i="4"/>
  <c r="R299" i="4"/>
  <c r="S299" i="4"/>
  <c r="O300" i="4"/>
  <c r="P300" i="4"/>
  <c r="Q300" i="4"/>
  <c r="R300" i="4"/>
  <c r="S300" i="4"/>
  <c r="O301" i="4"/>
  <c r="P301" i="4"/>
  <c r="Q301" i="4"/>
  <c r="R301" i="4"/>
  <c r="S301" i="4"/>
  <c r="O302" i="4"/>
  <c r="P302" i="4"/>
  <c r="Q302" i="4"/>
  <c r="R302" i="4"/>
  <c r="S302" i="4"/>
  <c r="O303" i="4"/>
  <c r="P303" i="4"/>
  <c r="Q303" i="4"/>
  <c r="R303" i="4"/>
  <c r="S303" i="4"/>
  <c r="O304" i="4"/>
  <c r="P304" i="4"/>
  <c r="Q304" i="4"/>
  <c r="R304" i="4"/>
  <c r="S304" i="4"/>
  <c r="O305" i="4"/>
  <c r="P305" i="4"/>
  <c r="Q305" i="4"/>
  <c r="R305" i="4"/>
  <c r="S305" i="4"/>
  <c r="O306" i="4"/>
  <c r="P306" i="4"/>
  <c r="Q306" i="4"/>
  <c r="R306" i="4"/>
  <c r="S306" i="4"/>
  <c r="O307" i="4"/>
  <c r="P307" i="4"/>
  <c r="Q307" i="4"/>
  <c r="R307" i="4"/>
  <c r="S307" i="4"/>
  <c r="O308" i="4"/>
  <c r="P308" i="4"/>
  <c r="Q308" i="4"/>
  <c r="R308" i="4"/>
  <c r="S308" i="4"/>
  <c r="O309" i="4"/>
  <c r="P309" i="4"/>
  <c r="Q309" i="4"/>
  <c r="R309" i="4"/>
  <c r="S309" i="4"/>
  <c r="O310" i="4"/>
  <c r="P310" i="4"/>
  <c r="Q310" i="4"/>
  <c r="R310" i="4"/>
  <c r="S310" i="4"/>
  <c r="O311" i="4"/>
  <c r="P311" i="4"/>
  <c r="Q311" i="4"/>
  <c r="R311" i="4"/>
  <c r="S311" i="4"/>
  <c r="O312" i="4"/>
  <c r="P312" i="4"/>
  <c r="Q312" i="4"/>
  <c r="R312" i="4"/>
  <c r="S312" i="4"/>
  <c r="O313" i="4"/>
  <c r="P313" i="4"/>
  <c r="Q313" i="4"/>
  <c r="R313" i="4"/>
  <c r="S313" i="4"/>
  <c r="O314" i="4"/>
  <c r="P314" i="4"/>
  <c r="Q314" i="4"/>
  <c r="R314" i="4"/>
  <c r="S314" i="4"/>
  <c r="O315" i="4"/>
  <c r="P315" i="4"/>
  <c r="Q315" i="4"/>
  <c r="R315" i="4"/>
  <c r="S315" i="4"/>
  <c r="O316" i="4"/>
  <c r="P316" i="4"/>
  <c r="Q316" i="4"/>
  <c r="R316" i="4"/>
  <c r="S316" i="4"/>
  <c r="O317" i="4"/>
  <c r="P317" i="4"/>
  <c r="Q317" i="4"/>
  <c r="R317" i="4"/>
  <c r="S317" i="4"/>
  <c r="O318" i="4"/>
  <c r="P318" i="4"/>
  <c r="Q318" i="4"/>
  <c r="R318" i="4"/>
  <c r="S318" i="4"/>
  <c r="O319" i="4"/>
  <c r="P319" i="4"/>
  <c r="Q319" i="4"/>
  <c r="R319" i="4"/>
  <c r="S319" i="4"/>
  <c r="O320" i="4"/>
  <c r="P320" i="4"/>
  <c r="Q320" i="4"/>
  <c r="R320" i="4"/>
  <c r="S320" i="4"/>
  <c r="O321" i="4"/>
  <c r="P321" i="4"/>
  <c r="Q321" i="4"/>
  <c r="R321" i="4"/>
  <c r="S321" i="4"/>
  <c r="O322" i="4"/>
  <c r="P322" i="4"/>
  <c r="Q322" i="4"/>
  <c r="R322" i="4"/>
  <c r="S322" i="4"/>
  <c r="O323" i="4"/>
  <c r="P323" i="4"/>
  <c r="Q323" i="4"/>
  <c r="R323" i="4"/>
  <c r="S323" i="4"/>
  <c r="O324" i="4"/>
  <c r="P324" i="4"/>
  <c r="Q324" i="4"/>
  <c r="R324" i="4"/>
  <c r="S324" i="4"/>
  <c r="O325" i="4"/>
  <c r="P325" i="4"/>
  <c r="Q325" i="4"/>
  <c r="R325" i="4"/>
  <c r="S325" i="4"/>
  <c r="O326" i="4"/>
  <c r="P326" i="4"/>
  <c r="Q326" i="4"/>
  <c r="R326" i="4"/>
  <c r="S326" i="4"/>
  <c r="O327" i="4"/>
  <c r="P327" i="4"/>
  <c r="Q327" i="4"/>
  <c r="R327" i="4"/>
  <c r="S327" i="4"/>
  <c r="O328" i="4"/>
  <c r="P328" i="4"/>
  <c r="Q328" i="4"/>
  <c r="R328" i="4"/>
  <c r="S328" i="4"/>
  <c r="O329" i="4"/>
  <c r="P329" i="4"/>
  <c r="Q329" i="4"/>
  <c r="R329" i="4"/>
  <c r="S329" i="4"/>
  <c r="O330" i="4"/>
  <c r="P330" i="4"/>
  <c r="Q330" i="4"/>
  <c r="R330" i="4"/>
  <c r="S330" i="4"/>
  <c r="O331" i="4"/>
  <c r="P331" i="4"/>
  <c r="Q331" i="4"/>
  <c r="R331" i="4"/>
  <c r="S331" i="4"/>
  <c r="O332" i="4"/>
  <c r="P332" i="4"/>
  <c r="Q332" i="4"/>
  <c r="R332" i="4"/>
  <c r="S332" i="4"/>
  <c r="O333" i="4"/>
  <c r="P333" i="4"/>
  <c r="Q333" i="4"/>
  <c r="R333" i="4"/>
  <c r="S333" i="4"/>
  <c r="O334" i="4"/>
  <c r="P334" i="4"/>
  <c r="Q334" i="4"/>
  <c r="R334" i="4"/>
  <c r="S334" i="4"/>
  <c r="O335" i="4"/>
  <c r="P335" i="4"/>
  <c r="Q335" i="4"/>
  <c r="R335" i="4"/>
  <c r="S335" i="4"/>
  <c r="O336" i="4"/>
  <c r="P336" i="4"/>
  <c r="Q336" i="4"/>
  <c r="R336" i="4"/>
  <c r="S336" i="4"/>
  <c r="O337" i="4"/>
  <c r="P337" i="4"/>
  <c r="Q337" i="4"/>
  <c r="R337" i="4"/>
  <c r="S337" i="4"/>
  <c r="O338" i="4"/>
  <c r="P338" i="4"/>
  <c r="Q338" i="4"/>
  <c r="R338" i="4"/>
  <c r="S338" i="4"/>
  <c r="O339" i="4"/>
  <c r="P339" i="4"/>
  <c r="Q339" i="4"/>
  <c r="R339" i="4"/>
  <c r="S339" i="4"/>
  <c r="O340" i="4"/>
  <c r="P340" i="4"/>
  <c r="Q340" i="4"/>
  <c r="R340" i="4"/>
  <c r="S340" i="4"/>
  <c r="O341" i="4"/>
  <c r="P341" i="4"/>
  <c r="Q341" i="4"/>
  <c r="R341" i="4"/>
  <c r="S341" i="4"/>
  <c r="O342" i="4"/>
  <c r="P342" i="4"/>
  <c r="Q342" i="4"/>
  <c r="R342" i="4"/>
  <c r="S342" i="4"/>
  <c r="O343" i="4"/>
  <c r="P343" i="4"/>
  <c r="Q343" i="4"/>
  <c r="R343" i="4"/>
  <c r="S343" i="4"/>
  <c r="O344" i="4"/>
  <c r="P344" i="4"/>
  <c r="Q344" i="4"/>
  <c r="R344" i="4"/>
  <c r="S344" i="4"/>
  <c r="O345" i="4"/>
  <c r="P345" i="4"/>
  <c r="Q345" i="4"/>
  <c r="R345" i="4"/>
  <c r="S345" i="4"/>
  <c r="O346" i="4"/>
  <c r="P346" i="4"/>
  <c r="Q346" i="4"/>
  <c r="R346" i="4"/>
  <c r="S346" i="4"/>
  <c r="O347" i="4"/>
  <c r="P347" i="4"/>
  <c r="Q347" i="4"/>
  <c r="R347" i="4"/>
  <c r="S347" i="4"/>
  <c r="O348" i="4"/>
  <c r="P348" i="4"/>
  <c r="Q348" i="4"/>
  <c r="R348" i="4"/>
  <c r="S348" i="4"/>
  <c r="O349" i="4"/>
  <c r="P349" i="4"/>
  <c r="Q349" i="4"/>
  <c r="R349" i="4"/>
  <c r="S349" i="4"/>
  <c r="O350" i="4"/>
  <c r="P350" i="4"/>
  <c r="Q350" i="4"/>
  <c r="R350" i="4"/>
  <c r="S350" i="4"/>
  <c r="O351" i="4"/>
  <c r="P351" i="4"/>
  <c r="Q351" i="4"/>
  <c r="R351" i="4"/>
  <c r="S351" i="4"/>
  <c r="O352" i="4"/>
  <c r="P352" i="4"/>
  <c r="Q352" i="4"/>
  <c r="R352" i="4"/>
  <c r="S352" i="4"/>
  <c r="O353" i="4"/>
  <c r="P353" i="4"/>
  <c r="Q353" i="4"/>
  <c r="R353" i="4"/>
  <c r="S353" i="4"/>
  <c r="O354" i="4"/>
  <c r="P354" i="4"/>
  <c r="Q354" i="4"/>
  <c r="R354" i="4"/>
  <c r="S354" i="4"/>
  <c r="O355" i="4"/>
  <c r="P355" i="4"/>
  <c r="Q355" i="4"/>
  <c r="R355" i="4"/>
  <c r="S355" i="4"/>
  <c r="O356" i="4"/>
  <c r="P356" i="4"/>
  <c r="Q356" i="4"/>
  <c r="R356" i="4"/>
  <c r="S356" i="4"/>
  <c r="O357" i="4"/>
  <c r="P357" i="4"/>
  <c r="Q357" i="4"/>
  <c r="R357" i="4"/>
  <c r="S357" i="4"/>
  <c r="O358" i="4"/>
  <c r="P358" i="4"/>
  <c r="Q358" i="4"/>
  <c r="R358" i="4"/>
  <c r="S358" i="4"/>
  <c r="O359" i="4"/>
  <c r="P359" i="4"/>
  <c r="Q359" i="4"/>
  <c r="R359" i="4"/>
  <c r="S359" i="4"/>
  <c r="O360" i="4"/>
  <c r="P360" i="4"/>
  <c r="Q360" i="4"/>
  <c r="R360" i="4"/>
  <c r="S360" i="4"/>
  <c r="O361" i="4"/>
  <c r="P361" i="4"/>
  <c r="Q361" i="4"/>
  <c r="R361" i="4"/>
  <c r="S361" i="4"/>
  <c r="O362" i="4"/>
  <c r="P362" i="4"/>
  <c r="Q362" i="4"/>
  <c r="R362" i="4"/>
  <c r="S362" i="4"/>
  <c r="O363" i="4"/>
  <c r="P363" i="4"/>
  <c r="Q363" i="4"/>
  <c r="R363" i="4"/>
  <c r="S363" i="4"/>
  <c r="O364" i="4"/>
  <c r="P364" i="4"/>
  <c r="Q364" i="4"/>
  <c r="R364" i="4"/>
  <c r="S364" i="4"/>
  <c r="O365" i="4"/>
  <c r="P365" i="4"/>
  <c r="Q365" i="4"/>
  <c r="R365" i="4"/>
  <c r="S365" i="4"/>
  <c r="O366" i="4"/>
  <c r="P366" i="4"/>
  <c r="Q366" i="4"/>
  <c r="R366" i="4"/>
  <c r="S366" i="4"/>
  <c r="O367" i="4"/>
  <c r="P367" i="4"/>
  <c r="Q367" i="4"/>
  <c r="R367" i="4"/>
  <c r="S367" i="4"/>
  <c r="O368" i="4"/>
  <c r="P368" i="4"/>
  <c r="Q368" i="4"/>
  <c r="R368" i="4"/>
  <c r="S368" i="4"/>
  <c r="O369" i="4"/>
  <c r="P369" i="4"/>
  <c r="Q369" i="4"/>
  <c r="R369" i="4"/>
  <c r="S369" i="4"/>
  <c r="O370" i="4"/>
  <c r="P370" i="4"/>
  <c r="Q370" i="4"/>
  <c r="R370" i="4"/>
  <c r="S370" i="4"/>
  <c r="O371" i="4"/>
  <c r="P371" i="4"/>
  <c r="Q371" i="4"/>
  <c r="R371" i="4"/>
  <c r="S371" i="4"/>
  <c r="O372" i="4"/>
  <c r="P372" i="4"/>
  <c r="Q372" i="4"/>
  <c r="R372" i="4"/>
  <c r="S372" i="4"/>
  <c r="O373" i="4"/>
  <c r="P373" i="4"/>
  <c r="Q373" i="4"/>
  <c r="R373" i="4"/>
  <c r="S373" i="4"/>
  <c r="O374" i="4"/>
  <c r="P374" i="4"/>
  <c r="Q374" i="4"/>
  <c r="R374" i="4"/>
  <c r="S374" i="4"/>
  <c r="O375" i="4"/>
  <c r="P375" i="4"/>
  <c r="Q375" i="4"/>
  <c r="R375" i="4"/>
  <c r="S375" i="4"/>
  <c r="O376" i="4"/>
  <c r="P376" i="4"/>
  <c r="Q376" i="4"/>
  <c r="R376" i="4"/>
  <c r="S376" i="4"/>
  <c r="O377" i="4"/>
  <c r="P377" i="4"/>
  <c r="Q377" i="4"/>
  <c r="R377" i="4"/>
  <c r="S377" i="4"/>
  <c r="O378" i="4"/>
  <c r="P378" i="4"/>
  <c r="Q378" i="4"/>
  <c r="R378" i="4"/>
  <c r="S378" i="4"/>
  <c r="O379" i="4"/>
  <c r="P379" i="4"/>
  <c r="Q379" i="4"/>
  <c r="R379" i="4"/>
  <c r="S379" i="4"/>
  <c r="O380" i="4"/>
  <c r="P380" i="4"/>
  <c r="Q380" i="4"/>
  <c r="R380" i="4"/>
  <c r="S380" i="4"/>
  <c r="O381" i="4"/>
  <c r="P381" i="4"/>
  <c r="Q381" i="4"/>
  <c r="R381" i="4"/>
  <c r="S381" i="4"/>
  <c r="O382" i="4"/>
  <c r="P382" i="4"/>
  <c r="Q382" i="4"/>
  <c r="R382" i="4"/>
  <c r="S382" i="4"/>
  <c r="O383" i="4"/>
  <c r="P383" i="4"/>
  <c r="Q383" i="4"/>
  <c r="R383" i="4"/>
  <c r="S383" i="4"/>
  <c r="O384" i="4"/>
  <c r="P384" i="4"/>
  <c r="Q384" i="4"/>
  <c r="R384" i="4"/>
  <c r="S384" i="4"/>
  <c r="O385" i="4"/>
  <c r="P385" i="4"/>
  <c r="Q385" i="4"/>
  <c r="R385" i="4"/>
  <c r="S385" i="4"/>
  <c r="O386" i="4"/>
  <c r="P386" i="4"/>
  <c r="Q386" i="4"/>
  <c r="R386" i="4"/>
  <c r="S386" i="4"/>
  <c r="O387" i="4"/>
  <c r="P387" i="4"/>
  <c r="Q387" i="4"/>
  <c r="R387" i="4"/>
  <c r="S387" i="4"/>
  <c r="O388" i="4"/>
  <c r="P388" i="4"/>
  <c r="Q388" i="4"/>
  <c r="R388" i="4"/>
  <c r="S388" i="4"/>
  <c r="O389" i="4"/>
  <c r="P389" i="4"/>
  <c r="Q389" i="4"/>
  <c r="R389" i="4"/>
  <c r="S389" i="4"/>
  <c r="O390" i="4"/>
  <c r="P390" i="4"/>
  <c r="Q390" i="4"/>
  <c r="R390" i="4"/>
  <c r="S390" i="4"/>
  <c r="O391" i="4"/>
  <c r="P391" i="4"/>
  <c r="Q391" i="4"/>
  <c r="R391" i="4"/>
  <c r="S391" i="4"/>
  <c r="O392" i="4"/>
  <c r="P392" i="4"/>
  <c r="Q392" i="4"/>
  <c r="R392" i="4"/>
  <c r="S392" i="4"/>
  <c r="O393" i="4"/>
  <c r="P393" i="4"/>
  <c r="Q393" i="4"/>
  <c r="R393" i="4"/>
  <c r="S393" i="4"/>
  <c r="O394" i="4"/>
  <c r="P394" i="4"/>
  <c r="Q394" i="4"/>
  <c r="R394" i="4"/>
  <c r="S394" i="4"/>
  <c r="O395" i="4"/>
  <c r="P395" i="4"/>
  <c r="Q395" i="4"/>
  <c r="R395" i="4"/>
  <c r="S395" i="4"/>
  <c r="O396" i="4"/>
  <c r="P396" i="4"/>
  <c r="Q396" i="4"/>
  <c r="R396" i="4"/>
  <c r="S396" i="4"/>
  <c r="O397" i="4"/>
  <c r="P397" i="4"/>
  <c r="Q397" i="4"/>
  <c r="R397" i="4"/>
  <c r="S397" i="4"/>
  <c r="O398" i="4"/>
  <c r="P398" i="4"/>
  <c r="Q398" i="4"/>
  <c r="R398" i="4"/>
  <c r="S398" i="4"/>
  <c r="O399" i="4"/>
  <c r="P399" i="4"/>
  <c r="Q399" i="4"/>
  <c r="R399" i="4"/>
  <c r="S399" i="4"/>
  <c r="O400" i="4"/>
  <c r="P400" i="4"/>
  <c r="Q400" i="4"/>
  <c r="R400" i="4"/>
  <c r="S400" i="4"/>
  <c r="O401" i="4"/>
  <c r="P401" i="4"/>
  <c r="Q401" i="4"/>
  <c r="R401" i="4"/>
  <c r="S401" i="4"/>
  <c r="O402" i="4"/>
  <c r="P402" i="4"/>
  <c r="Q402" i="4"/>
  <c r="R402" i="4"/>
  <c r="S402" i="4"/>
  <c r="O403" i="4"/>
  <c r="P403" i="4"/>
  <c r="Q403" i="4"/>
  <c r="R403" i="4"/>
  <c r="S403" i="4"/>
  <c r="O404" i="4"/>
  <c r="P404" i="4"/>
  <c r="Q404" i="4"/>
  <c r="R404" i="4"/>
  <c r="S404" i="4"/>
  <c r="O405" i="4"/>
  <c r="P405" i="4"/>
  <c r="Q405" i="4"/>
  <c r="R405" i="4"/>
  <c r="S405" i="4"/>
  <c r="O406" i="4"/>
  <c r="P406" i="4"/>
  <c r="Q406" i="4"/>
  <c r="R406" i="4"/>
  <c r="S406" i="4"/>
  <c r="O407" i="4"/>
  <c r="P407" i="4"/>
  <c r="Q407" i="4"/>
  <c r="R407" i="4"/>
  <c r="S407" i="4"/>
  <c r="O408" i="4"/>
  <c r="P408" i="4"/>
  <c r="Q408" i="4"/>
  <c r="R408" i="4"/>
  <c r="S408" i="4"/>
  <c r="O409" i="4"/>
  <c r="P409" i="4"/>
  <c r="Q409" i="4"/>
  <c r="R409" i="4"/>
  <c r="S409" i="4"/>
  <c r="O410" i="4"/>
  <c r="P410" i="4"/>
  <c r="Q410" i="4"/>
  <c r="R410" i="4"/>
  <c r="S410" i="4"/>
  <c r="O411" i="4"/>
  <c r="P411" i="4"/>
  <c r="Q411" i="4"/>
  <c r="R411" i="4"/>
  <c r="S411" i="4"/>
  <c r="O412" i="4"/>
  <c r="P412" i="4"/>
  <c r="Q412" i="4"/>
  <c r="R412" i="4"/>
  <c r="S412" i="4"/>
  <c r="O413" i="4"/>
  <c r="P413" i="4"/>
  <c r="Q413" i="4"/>
  <c r="R413" i="4"/>
  <c r="S413" i="4"/>
  <c r="O414" i="4"/>
  <c r="P414" i="4"/>
  <c r="Q414" i="4"/>
  <c r="R414" i="4"/>
  <c r="S414" i="4"/>
  <c r="O415" i="4"/>
  <c r="P415" i="4"/>
  <c r="Q415" i="4"/>
  <c r="R415" i="4"/>
  <c r="S415" i="4"/>
  <c r="O416" i="4"/>
  <c r="P416" i="4"/>
  <c r="Q416" i="4"/>
  <c r="R416" i="4"/>
  <c r="S416" i="4"/>
  <c r="O417" i="4"/>
  <c r="P417" i="4"/>
  <c r="Q417" i="4"/>
  <c r="R417" i="4"/>
  <c r="S417" i="4"/>
  <c r="O418" i="4"/>
  <c r="P418" i="4"/>
  <c r="Q418" i="4"/>
  <c r="R418" i="4"/>
  <c r="S418" i="4"/>
  <c r="O419" i="4"/>
  <c r="P419" i="4"/>
  <c r="Q419" i="4"/>
  <c r="R419" i="4"/>
  <c r="S419" i="4"/>
  <c r="O420" i="4"/>
  <c r="P420" i="4"/>
  <c r="Q420" i="4"/>
  <c r="R420" i="4"/>
  <c r="S420" i="4"/>
  <c r="O421" i="4"/>
  <c r="P421" i="4"/>
  <c r="Q421" i="4"/>
  <c r="R421" i="4"/>
  <c r="S421" i="4"/>
  <c r="O422" i="4"/>
  <c r="P422" i="4"/>
  <c r="Q422" i="4"/>
  <c r="R422" i="4"/>
  <c r="S422" i="4"/>
  <c r="O423" i="4"/>
  <c r="P423" i="4"/>
  <c r="Q423" i="4"/>
  <c r="R423" i="4"/>
  <c r="S423" i="4"/>
  <c r="O424" i="4"/>
  <c r="P424" i="4"/>
  <c r="Q424" i="4"/>
  <c r="R424" i="4"/>
  <c r="S424" i="4"/>
  <c r="O425" i="4"/>
  <c r="P425" i="4"/>
  <c r="Q425" i="4"/>
  <c r="R425" i="4"/>
  <c r="S425" i="4"/>
  <c r="O426" i="4"/>
  <c r="P426" i="4"/>
  <c r="Q426" i="4"/>
  <c r="R426" i="4"/>
  <c r="S426" i="4"/>
  <c r="O427" i="4"/>
  <c r="P427" i="4"/>
  <c r="Q427" i="4"/>
  <c r="R427" i="4"/>
  <c r="S427" i="4"/>
  <c r="O428" i="4"/>
  <c r="P428" i="4"/>
  <c r="Q428" i="4"/>
  <c r="R428" i="4"/>
  <c r="S428" i="4"/>
  <c r="O429" i="4"/>
  <c r="P429" i="4"/>
  <c r="Q429" i="4"/>
  <c r="R429" i="4"/>
  <c r="S429" i="4"/>
  <c r="O430" i="4"/>
  <c r="P430" i="4"/>
  <c r="Q430" i="4"/>
  <c r="R430" i="4"/>
  <c r="S430" i="4"/>
  <c r="O431" i="4"/>
  <c r="P431" i="4"/>
  <c r="Q431" i="4"/>
  <c r="R431" i="4"/>
  <c r="S431" i="4"/>
  <c r="O432" i="4"/>
  <c r="P432" i="4"/>
  <c r="Q432" i="4"/>
  <c r="R432" i="4"/>
  <c r="S432" i="4"/>
  <c r="O433" i="4"/>
  <c r="P433" i="4"/>
  <c r="Q433" i="4"/>
  <c r="R433" i="4"/>
  <c r="S433" i="4"/>
  <c r="O434" i="4"/>
  <c r="P434" i="4"/>
  <c r="Q434" i="4"/>
  <c r="R434" i="4"/>
  <c r="S434" i="4"/>
  <c r="O435" i="4"/>
  <c r="P435" i="4"/>
  <c r="Q435" i="4"/>
  <c r="R435" i="4"/>
  <c r="S435" i="4"/>
  <c r="O436" i="4"/>
  <c r="P436" i="4"/>
  <c r="Q436" i="4"/>
  <c r="R436" i="4"/>
  <c r="S436" i="4"/>
  <c r="O437" i="4"/>
  <c r="P437" i="4"/>
  <c r="Q437" i="4"/>
  <c r="R437" i="4"/>
  <c r="S437" i="4"/>
  <c r="O438" i="4"/>
  <c r="P438" i="4"/>
  <c r="Q438" i="4"/>
  <c r="R438" i="4"/>
  <c r="S438" i="4"/>
  <c r="O439" i="4"/>
  <c r="P439" i="4"/>
  <c r="Q439" i="4"/>
  <c r="R439" i="4"/>
  <c r="S439" i="4"/>
  <c r="O440" i="4"/>
  <c r="P440" i="4"/>
  <c r="Q440" i="4"/>
  <c r="R440" i="4"/>
  <c r="S440" i="4"/>
  <c r="O441" i="4"/>
  <c r="P441" i="4"/>
  <c r="Q441" i="4"/>
  <c r="R441" i="4"/>
  <c r="S441" i="4"/>
  <c r="O442" i="4"/>
  <c r="P442" i="4"/>
  <c r="Q442" i="4"/>
  <c r="R442" i="4"/>
  <c r="S442" i="4"/>
  <c r="O443" i="4"/>
  <c r="P443" i="4"/>
  <c r="Q443" i="4"/>
  <c r="R443" i="4"/>
  <c r="S443" i="4"/>
  <c r="O444" i="4"/>
  <c r="P444" i="4"/>
  <c r="Q444" i="4"/>
  <c r="R444" i="4"/>
  <c r="S444" i="4"/>
  <c r="O445" i="4"/>
  <c r="P445" i="4"/>
  <c r="Q445" i="4"/>
  <c r="R445" i="4"/>
  <c r="S445" i="4"/>
  <c r="O446" i="4"/>
  <c r="P446" i="4"/>
  <c r="Q446" i="4"/>
  <c r="R446" i="4"/>
  <c r="S446" i="4"/>
  <c r="O447" i="4"/>
  <c r="P447" i="4"/>
  <c r="Q447" i="4"/>
  <c r="R447" i="4"/>
  <c r="S447" i="4"/>
  <c r="O448" i="4"/>
  <c r="P448" i="4"/>
  <c r="Q448" i="4"/>
  <c r="R448" i="4"/>
  <c r="S448" i="4"/>
  <c r="O449" i="4"/>
  <c r="P449" i="4"/>
  <c r="Q449" i="4"/>
  <c r="R449" i="4"/>
  <c r="S449" i="4"/>
  <c r="O450" i="4"/>
  <c r="P450" i="4"/>
  <c r="Q450" i="4"/>
  <c r="R450" i="4"/>
  <c r="S450" i="4"/>
  <c r="O451" i="4"/>
  <c r="P451" i="4"/>
  <c r="Q451" i="4"/>
  <c r="R451" i="4"/>
  <c r="S451" i="4"/>
  <c r="O452" i="4"/>
  <c r="P452" i="4"/>
  <c r="Q452" i="4"/>
  <c r="R452" i="4"/>
  <c r="S452" i="4"/>
  <c r="O453" i="4"/>
  <c r="P453" i="4"/>
  <c r="Q453" i="4"/>
  <c r="R453" i="4"/>
  <c r="S453" i="4"/>
  <c r="O454" i="4"/>
  <c r="P454" i="4"/>
  <c r="Q454" i="4"/>
  <c r="R454" i="4"/>
  <c r="S454" i="4"/>
  <c r="O455" i="4"/>
  <c r="P455" i="4"/>
  <c r="Q455" i="4"/>
  <c r="R455" i="4"/>
  <c r="S455" i="4"/>
  <c r="O456" i="4"/>
  <c r="P456" i="4"/>
  <c r="Q456" i="4"/>
  <c r="R456" i="4"/>
  <c r="S456" i="4"/>
  <c r="O457" i="4"/>
  <c r="P457" i="4"/>
  <c r="Q457" i="4"/>
  <c r="R457" i="4"/>
  <c r="S457" i="4"/>
  <c r="O458" i="4"/>
  <c r="P458" i="4"/>
  <c r="Q458" i="4"/>
  <c r="R458" i="4"/>
  <c r="S458" i="4"/>
  <c r="O459" i="4"/>
  <c r="P459" i="4"/>
  <c r="Q459" i="4"/>
  <c r="R459" i="4"/>
  <c r="S459" i="4"/>
  <c r="O460" i="4"/>
  <c r="P460" i="4"/>
  <c r="Q460" i="4"/>
  <c r="R460" i="4"/>
  <c r="S460" i="4"/>
  <c r="O461" i="4"/>
  <c r="P461" i="4"/>
  <c r="Q461" i="4"/>
  <c r="R461" i="4"/>
  <c r="S461" i="4"/>
  <c r="O462" i="4"/>
  <c r="P462" i="4"/>
  <c r="Q462" i="4"/>
  <c r="R462" i="4"/>
  <c r="S462" i="4"/>
  <c r="O463" i="4"/>
  <c r="P463" i="4"/>
  <c r="Q463" i="4"/>
  <c r="R463" i="4"/>
  <c r="S463" i="4"/>
  <c r="O464" i="4"/>
  <c r="P464" i="4"/>
  <c r="Q464" i="4"/>
  <c r="R464" i="4"/>
  <c r="S464" i="4"/>
  <c r="O465" i="4"/>
  <c r="P465" i="4"/>
  <c r="Q465" i="4"/>
  <c r="R465" i="4"/>
  <c r="S465" i="4"/>
  <c r="O466" i="4"/>
  <c r="P466" i="4"/>
  <c r="Q466" i="4"/>
  <c r="R466" i="4"/>
  <c r="S466" i="4"/>
  <c r="O467" i="4"/>
  <c r="P467" i="4"/>
  <c r="Q467" i="4"/>
  <c r="R467" i="4"/>
  <c r="S467" i="4"/>
  <c r="O468" i="4"/>
  <c r="P468" i="4"/>
  <c r="Q468" i="4"/>
  <c r="R468" i="4"/>
  <c r="S468" i="4"/>
  <c r="O469" i="4"/>
  <c r="P469" i="4"/>
  <c r="Q469" i="4"/>
  <c r="R469" i="4"/>
  <c r="S469" i="4"/>
  <c r="O470" i="4"/>
  <c r="P470" i="4"/>
  <c r="Q470" i="4"/>
  <c r="R470" i="4"/>
  <c r="S470" i="4"/>
  <c r="O471" i="4"/>
  <c r="P471" i="4"/>
  <c r="Q471" i="4"/>
  <c r="R471" i="4"/>
  <c r="S471" i="4"/>
  <c r="O472" i="4"/>
  <c r="P472" i="4"/>
  <c r="Q472" i="4"/>
  <c r="R472" i="4"/>
  <c r="S472" i="4"/>
  <c r="O473" i="4"/>
  <c r="P473" i="4"/>
  <c r="Q473" i="4"/>
  <c r="R473" i="4"/>
  <c r="S473" i="4"/>
  <c r="O474" i="4"/>
  <c r="P474" i="4"/>
  <c r="Q474" i="4"/>
  <c r="R474" i="4"/>
  <c r="S474" i="4"/>
  <c r="O475" i="4"/>
  <c r="P475" i="4"/>
  <c r="Q475" i="4"/>
  <c r="R475" i="4"/>
  <c r="S475" i="4"/>
  <c r="O476" i="4"/>
  <c r="P476" i="4"/>
  <c r="Q476" i="4"/>
  <c r="R476" i="4"/>
  <c r="S476" i="4"/>
  <c r="O477" i="4"/>
  <c r="P477" i="4"/>
  <c r="Q477" i="4"/>
  <c r="R477" i="4"/>
  <c r="S477" i="4"/>
  <c r="O478" i="4"/>
  <c r="P478" i="4"/>
  <c r="Q478" i="4"/>
  <c r="R478" i="4"/>
  <c r="S478" i="4"/>
  <c r="O479" i="4"/>
  <c r="P479" i="4"/>
  <c r="Q479" i="4"/>
  <c r="R479" i="4"/>
  <c r="S479" i="4"/>
  <c r="O480" i="4"/>
  <c r="P480" i="4"/>
  <c r="Q480" i="4"/>
  <c r="R480" i="4"/>
  <c r="S480" i="4"/>
  <c r="O481" i="4"/>
  <c r="P481" i="4"/>
  <c r="Q481" i="4"/>
  <c r="R481" i="4"/>
  <c r="S481" i="4"/>
  <c r="O482" i="4"/>
  <c r="P482" i="4"/>
  <c r="Q482" i="4"/>
  <c r="R482" i="4"/>
  <c r="S482" i="4"/>
  <c r="O483" i="4"/>
  <c r="P483" i="4"/>
  <c r="Q483" i="4"/>
  <c r="R483" i="4"/>
  <c r="S483" i="4"/>
  <c r="O484" i="4"/>
  <c r="P484" i="4"/>
  <c r="Q484" i="4"/>
  <c r="R484" i="4"/>
  <c r="S484" i="4"/>
  <c r="O485" i="4"/>
  <c r="P485" i="4"/>
  <c r="Q485" i="4"/>
  <c r="R485" i="4"/>
  <c r="S485" i="4"/>
  <c r="O486" i="4"/>
  <c r="P486" i="4"/>
  <c r="Q486" i="4"/>
  <c r="R486" i="4"/>
  <c r="S486" i="4"/>
  <c r="O487" i="4"/>
  <c r="P487" i="4"/>
  <c r="Q487" i="4"/>
  <c r="R487" i="4"/>
  <c r="S487" i="4"/>
  <c r="O488" i="4"/>
  <c r="P488" i="4"/>
  <c r="Q488" i="4"/>
  <c r="R488" i="4"/>
  <c r="S488" i="4"/>
  <c r="O489" i="4"/>
  <c r="P489" i="4"/>
  <c r="Q489" i="4"/>
  <c r="R489" i="4"/>
  <c r="S489" i="4"/>
  <c r="O490" i="4"/>
  <c r="P490" i="4"/>
  <c r="Q490" i="4"/>
  <c r="R490" i="4"/>
  <c r="S490" i="4"/>
  <c r="O491" i="4"/>
  <c r="P491" i="4"/>
  <c r="Q491" i="4"/>
  <c r="R491" i="4"/>
  <c r="S491" i="4"/>
  <c r="O492" i="4"/>
  <c r="P492" i="4"/>
  <c r="Q492" i="4"/>
  <c r="R492" i="4"/>
  <c r="S492" i="4"/>
  <c r="O493" i="4"/>
  <c r="P493" i="4"/>
  <c r="Q493" i="4"/>
  <c r="R493" i="4"/>
  <c r="S493" i="4"/>
  <c r="O494" i="4"/>
  <c r="P494" i="4"/>
  <c r="Q494" i="4"/>
  <c r="R494" i="4"/>
  <c r="S494" i="4"/>
  <c r="O495" i="4"/>
  <c r="P495" i="4"/>
  <c r="Q495" i="4"/>
  <c r="R495" i="4"/>
  <c r="S495" i="4"/>
  <c r="O496" i="4"/>
  <c r="P496" i="4"/>
  <c r="Q496" i="4"/>
  <c r="R496" i="4"/>
  <c r="S496" i="4"/>
  <c r="O497" i="4"/>
  <c r="P497" i="4"/>
  <c r="Q497" i="4"/>
  <c r="R497" i="4"/>
  <c r="S497" i="4"/>
  <c r="O498" i="4"/>
  <c r="P498" i="4"/>
  <c r="Q498" i="4"/>
  <c r="R498" i="4"/>
  <c r="S498" i="4"/>
  <c r="O499" i="4"/>
  <c r="P499" i="4"/>
  <c r="Q499" i="4"/>
  <c r="R499" i="4"/>
  <c r="S499" i="4"/>
  <c r="O500" i="4"/>
  <c r="P500" i="4"/>
  <c r="Q500" i="4"/>
  <c r="R500" i="4"/>
  <c r="S500" i="4"/>
  <c r="O501" i="4"/>
  <c r="P501" i="4"/>
  <c r="Q501" i="4"/>
  <c r="R501" i="4"/>
  <c r="S501" i="4"/>
  <c r="O502" i="4"/>
  <c r="P502" i="4"/>
  <c r="Q502" i="4"/>
  <c r="R502" i="4"/>
  <c r="S502" i="4"/>
  <c r="O503" i="4"/>
  <c r="P503" i="4"/>
  <c r="Q503" i="4"/>
  <c r="R503" i="4"/>
  <c r="S503" i="4"/>
  <c r="O504" i="4"/>
  <c r="P504" i="4"/>
  <c r="Q504" i="4"/>
  <c r="R504" i="4"/>
  <c r="S504" i="4"/>
  <c r="O505" i="4"/>
  <c r="P505" i="4"/>
  <c r="Q505" i="4"/>
  <c r="R505" i="4"/>
  <c r="S505" i="4"/>
  <c r="O506" i="4"/>
  <c r="P506" i="4"/>
  <c r="Q506" i="4"/>
  <c r="R506" i="4"/>
  <c r="S506" i="4"/>
  <c r="O507" i="4"/>
  <c r="P507" i="4"/>
  <c r="Q507" i="4"/>
  <c r="R507" i="4"/>
  <c r="S507" i="4"/>
  <c r="O508" i="4"/>
  <c r="P508" i="4"/>
  <c r="Q508" i="4"/>
  <c r="R508" i="4"/>
  <c r="S508" i="4"/>
  <c r="O509" i="4"/>
  <c r="P509" i="4"/>
  <c r="Q509" i="4"/>
  <c r="R509" i="4"/>
  <c r="S509" i="4"/>
  <c r="O510" i="4"/>
  <c r="P510" i="4"/>
  <c r="Q510" i="4"/>
  <c r="R510" i="4"/>
  <c r="S510" i="4"/>
  <c r="O511" i="4"/>
  <c r="P511" i="4"/>
  <c r="Q511" i="4"/>
  <c r="R511" i="4"/>
  <c r="S511" i="4"/>
  <c r="O512" i="4"/>
  <c r="P512" i="4"/>
  <c r="Q512" i="4"/>
  <c r="R512" i="4"/>
  <c r="S512" i="4"/>
  <c r="O513" i="4"/>
  <c r="P513" i="4"/>
  <c r="Q513" i="4"/>
  <c r="R513" i="4"/>
  <c r="S513" i="4"/>
  <c r="O514" i="4"/>
  <c r="P514" i="4"/>
  <c r="Q514" i="4"/>
  <c r="R514" i="4"/>
  <c r="S514" i="4"/>
  <c r="O515" i="4"/>
  <c r="P515" i="4"/>
  <c r="Q515" i="4"/>
  <c r="R515" i="4"/>
  <c r="S515" i="4"/>
  <c r="O516" i="4"/>
  <c r="P516" i="4"/>
  <c r="Q516" i="4"/>
  <c r="R516" i="4"/>
  <c r="S516" i="4"/>
  <c r="O517" i="4"/>
  <c r="P517" i="4"/>
  <c r="Q517" i="4"/>
  <c r="R517" i="4"/>
  <c r="S517" i="4"/>
  <c r="O518" i="4"/>
  <c r="P518" i="4"/>
  <c r="Q518" i="4"/>
  <c r="R518" i="4"/>
  <c r="S518" i="4"/>
  <c r="O519" i="4"/>
  <c r="P519" i="4"/>
  <c r="Q519" i="4"/>
  <c r="R519" i="4"/>
  <c r="S519" i="4"/>
  <c r="O520" i="4"/>
  <c r="P520" i="4"/>
  <c r="Q520" i="4"/>
  <c r="R520" i="4"/>
  <c r="S520" i="4"/>
  <c r="O521" i="4"/>
  <c r="P521" i="4"/>
  <c r="Q521" i="4"/>
  <c r="R521" i="4"/>
  <c r="S521" i="4"/>
  <c r="O522" i="4"/>
  <c r="P522" i="4"/>
  <c r="Q522" i="4"/>
  <c r="R522" i="4"/>
  <c r="S522" i="4"/>
  <c r="O523" i="4"/>
  <c r="P523" i="4"/>
  <c r="Q523" i="4"/>
  <c r="R523" i="4"/>
  <c r="S523" i="4"/>
  <c r="O524" i="4"/>
  <c r="P524" i="4"/>
  <c r="Q524" i="4"/>
  <c r="R524" i="4"/>
  <c r="S524" i="4"/>
  <c r="O525" i="4"/>
  <c r="P525" i="4"/>
  <c r="Q525" i="4"/>
  <c r="R525" i="4"/>
  <c r="S525" i="4"/>
  <c r="O526" i="4"/>
  <c r="P526" i="4"/>
  <c r="Q526" i="4"/>
  <c r="R526" i="4"/>
  <c r="S526" i="4"/>
  <c r="O527" i="4"/>
  <c r="P527" i="4"/>
  <c r="Q527" i="4"/>
  <c r="R527" i="4"/>
  <c r="S527" i="4"/>
  <c r="O528" i="4"/>
  <c r="P528" i="4"/>
  <c r="Q528" i="4"/>
  <c r="R528" i="4"/>
  <c r="S528" i="4"/>
  <c r="O529" i="4"/>
  <c r="P529" i="4"/>
  <c r="Q529" i="4"/>
  <c r="R529" i="4"/>
  <c r="S529" i="4"/>
  <c r="O530" i="4"/>
  <c r="P530" i="4"/>
  <c r="Q530" i="4"/>
  <c r="R530" i="4"/>
  <c r="S530" i="4"/>
  <c r="O531" i="4"/>
  <c r="P531" i="4"/>
  <c r="Q531" i="4"/>
  <c r="R531" i="4"/>
  <c r="S531" i="4"/>
  <c r="O532" i="4"/>
  <c r="P532" i="4"/>
  <c r="Q532" i="4"/>
  <c r="R532" i="4"/>
  <c r="S532" i="4"/>
  <c r="O533" i="4"/>
  <c r="P533" i="4"/>
  <c r="Q533" i="4"/>
  <c r="R533" i="4"/>
  <c r="S533" i="4"/>
  <c r="O534" i="4"/>
  <c r="P534" i="4"/>
  <c r="Q534" i="4"/>
  <c r="R534" i="4"/>
  <c r="S534" i="4"/>
  <c r="O535" i="4"/>
  <c r="P535" i="4"/>
  <c r="Q535" i="4"/>
  <c r="R535" i="4"/>
  <c r="S535" i="4"/>
  <c r="O536" i="4"/>
  <c r="P536" i="4"/>
  <c r="Q536" i="4"/>
  <c r="R536" i="4"/>
  <c r="S536" i="4"/>
  <c r="O537" i="4"/>
  <c r="P537" i="4"/>
  <c r="Q537" i="4"/>
  <c r="R537" i="4"/>
  <c r="S537" i="4"/>
  <c r="O538" i="4"/>
  <c r="P538" i="4"/>
  <c r="Q538" i="4"/>
  <c r="R538" i="4"/>
  <c r="S538" i="4"/>
  <c r="O539" i="4"/>
  <c r="P539" i="4"/>
  <c r="Q539" i="4"/>
  <c r="R539" i="4"/>
  <c r="S539" i="4"/>
  <c r="O540" i="4"/>
  <c r="P540" i="4"/>
  <c r="Q540" i="4"/>
  <c r="R540" i="4"/>
  <c r="S540" i="4"/>
  <c r="O541" i="4"/>
  <c r="P541" i="4"/>
  <c r="Q541" i="4"/>
  <c r="R541" i="4"/>
  <c r="S541" i="4"/>
  <c r="O542" i="4"/>
  <c r="P542" i="4"/>
  <c r="Q542" i="4"/>
  <c r="R542" i="4"/>
  <c r="S542" i="4"/>
  <c r="O543" i="4"/>
  <c r="P543" i="4"/>
  <c r="Q543" i="4"/>
  <c r="R543" i="4"/>
  <c r="S543" i="4"/>
  <c r="O544" i="4"/>
  <c r="P544" i="4"/>
  <c r="Q544" i="4"/>
  <c r="R544" i="4"/>
  <c r="S544" i="4"/>
  <c r="O545" i="4"/>
  <c r="P545" i="4"/>
  <c r="Q545" i="4"/>
  <c r="R545" i="4"/>
  <c r="S545" i="4"/>
  <c r="O546" i="4"/>
  <c r="P546" i="4"/>
  <c r="Q546" i="4"/>
  <c r="R546" i="4"/>
  <c r="S546" i="4"/>
  <c r="O547" i="4"/>
  <c r="P547" i="4"/>
  <c r="Q547" i="4"/>
  <c r="R547" i="4"/>
  <c r="S547" i="4"/>
  <c r="O548" i="4"/>
  <c r="P548" i="4"/>
  <c r="Q548" i="4"/>
  <c r="R548" i="4"/>
  <c r="S548" i="4"/>
  <c r="O549" i="4"/>
  <c r="P549" i="4"/>
  <c r="Q549" i="4"/>
  <c r="R549" i="4"/>
  <c r="S549" i="4"/>
  <c r="O550" i="4"/>
  <c r="P550" i="4"/>
  <c r="Q550" i="4"/>
  <c r="R550" i="4"/>
  <c r="S550" i="4"/>
  <c r="P5" i="4"/>
  <c r="Q5" i="4"/>
  <c r="R5" i="4"/>
  <c r="S5" i="4"/>
  <c r="O5" i="4"/>
  <c r="K5" i="4"/>
  <c r="J5" i="4"/>
  <c r="I5" i="4"/>
  <c r="H5" i="4"/>
  <c r="G5" i="4"/>
  <c r="F5" i="4"/>
  <c r="E5" i="4"/>
  <c r="D5" i="4"/>
  <c r="C5" i="4"/>
  <c r="B5" i="4"/>
  <c r="M5" i="4"/>
  <c r="N5" i="4"/>
  <c r="L5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B550" i="4"/>
  <c r="B3" i="4" l="1" a="1"/>
  <c r="B3" i="4" s="1"/>
  <c r="M11" i="2" a="1"/>
  <c r="O3" i="4" a="1"/>
  <c r="AW227" i="4" s="1"/>
  <c r="AR5" i="4" l="1"/>
  <c r="AR508" i="4"/>
  <c r="AE509" i="4"/>
  <c r="AG508" i="4"/>
  <c r="AF506" i="4"/>
  <c r="AM438" i="4"/>
  <c r="AM501" i="4"/>
  <c r="AD549" i="4"/>
  <c r="AL549" i="4"/>
  <c r="AI491" i="4"/>
  <c r="AB526" i="4"/>
  <c r="AI515" i="4"/>
  <c r="AC482" i="4"/>
  <c r="AK497" i="4"/>
  <c r="AL533" i="4"/>
  <c r="AK466" i="4"/>
  <c r="AC5" i="4"/>
  <c r="AB534" i="4"/>
  <c r="AG460" i="4"/>
  <c r="AD541" i="4"/>
  <c r="AC502" i="4"/>
  <c r="AB542" i="4"/>
  <c r="AB506" i="4"/>
  <c r="AJ519" i="4"/>
  <c r="AM493" i="4"/>
  <c r="AF472" i="4"/>
  <c r="AJ520" i="4"/>
  <c r="AD469" i="4"/>
  <c r="AJ526" i="4"/>
  <c r="AK514" i="4"/>
  <c r="AM481" i="4"/>
  <c r="AC497" i="4"/>
  <c r="AK521" i="4"/>
  <c r="AJ542" i="4"/>
  <c r="AC514" i="4"/>
  <c r="AI459" i="4"/>
  <c r="AC512" i="4"/>
  <c r="AK498" i="4"/>
  <c r="AM476" i="4"/>
  <c r="AE5" i="4"/>
  <c r="AL514" i="4"/>
  <c r="AJ522" i="4"/>
  <c r="AL529" i="4"/>
  <c r="AL537" i="4"/>
  <c r="AD545" i="4"/>
  <c r="AD8" i="4"/>
  <c r="AE513" i="4"/>
  <c r="AC506" i="4"/>
  <c r="AM497" i="4"/>
  <c r="AE489" i="4"/>
  <c r="AE473" i="4"/>
  <c r="AM453" i="4"/>
  <c r="AD493" i="4"/>
  <c r="AB458" i="4"/>
  <c r="AM464" i="4"/>
  <c r="AE511" i="4"/>
  <c r="AF528" i="4"/>
  <c r="AB550" i="4"/>
  <c r="AE481" i="4"/>
  <c r="AH467" i="4"/>
  <c r="AB522" i="4"/>
  <c r="AF544" i="4"/>
  <c r="AK506" i="4"/>
  <c r="AI479" i="4"/>
  <c r="AF460" i="4"/>
  <c r="AF5" i="4"/>
  <c r="AG515" i="4"/>
  <c r="AF524" i="4"/>
  <c r="AB530" i="4"/>
  <c r="AB538" i="4"/>
  <c r="AL545" i="4"/>
  <c r="AL8" i="4"/>
  <c r="AG512" i="4"/>
  <c r="AE505" i="4"/>
  <c r="AE497" i="4"/>
  <c r="AG488" i="4"/>
  <c r="AG472" i="4"/>
  <c r="AE453" i="4"/>
  <c r="AB490" i="4"/>
  <c r="AE442" i="4"/>
  <c r="AG438" i="4"/>
  <c r="AK5" i="4"/>
  <c r="AE501" i="4"/>
  <c r="AF504" i="4"/>
  <c r="AD529" i="4"/>
  <c r="AM513" i="4"/>
  <c r="AK458" i="4"/>
  <c r="AI5" i="4"/>
  <c r="AH5" i="4"/>
  <c r="AB516" i="4"/>
  <c r="AD525" i="4"/>
  <c r="AJ530" i="4"/>
  <c r="AJ538" i="4"/>
  <c r="AJ546" i="4"/>
  <c r="AC518" i="4"/>
  <c r="AI511" i="4"/>
  <c r="AI503" i="4"/>
  <c r="AG496" i="4"/>
  <c r="AE485" i="4"/>
  <c r="AC470" i="4"/>
  <c r="AI441" i="4"/>
  <c r="AJ482" i="4"/>
  <c r="AG441" i="4"/>
  <c r="AF437" i="4"/>
  <c r="AJ534" i="4"/>
  <c r="AI507" i="4"/>
  <c r="AK490" i="4"/>
  <c r="AI478" i="4"/>
  <c r="AD5" i="4"/>
  <c r="AF536" i="4"/>
  <c r="AF7" i="4"/>
  <c r="AC490" i="4"/>
  <c r="AL493" i="4"/>
  <c r="AJ5" i="4"/>
  <c r="AG5" i="4"/>
  <c r="AJ518" i="4"/>
  <c r="AL525" i="4"/>
  <c r="AD533" i="4"/>
  <c r="AF540" i="4"/>
  <c r="AF548" i="4"/>
  <c r="AM517" i="4"/>
  <c r="AM509" i="4"/>
  <c r="AK502" i="4"/>
  <c r="AC494" i="4"/>
  <c r="AI483" i="4"/>
  <c r="AE469" i="4"/>
  <c r="AK440" i="4"/>
  <c r="AL481" i="4"/>
  <c r="AI506" i="4"/>
  <c r="AI495" i="4"/>
  <c r="AI487" i="4"/>
  <c r="AE477" i="4"/>
  <c r="AC466" i="4"/>
  <c r="AI451" i="4"/>
  <c r="AJ502" i="4"/>
  <c r="AD481" i="4"/>
  <c r="AL457" i="4"/>
  <c r="AM496" i="4"/>
  <c r="AB513" i="4"/>
  <c r="AK486" i="4"/>
  <c r="AI475" i="4"/>
  <c r="AM465" i="4"/>
  <c r="AJ450" i="4"/>
  <c r="AD501" i="4"/>
  <c r="AH479" i="4"/>
  <c r="AB454" i="4"/>
  <c r="AG491" i="4"/>
  <c r="AB493" i="4"/>
  <c r="AK474" i="4"/>
  <c r="AE461" i="4"/>
  <c r="AG442" i="4"/>
  <c r="AB494" i="4"/>
  <c r="AD473" i="4"/>
  <c r="AM443" i="4"/>
  <c r="AG479" i="4"/>
  <c r="AI499" i="4"/>
  <c r="AE493" i="4"/>
  <c r="AM485" i="4"/>
  <c r="AC478" i="4"/>
  <c r="AI471" i="4"/>
  <c r="AE465" i="4"/>
  <c r="AC458" i="4"/>
  <c r="AF449" i="4"/>
  <c r="AJ510" i="4"/>
  <c r="AF500" i="4"/>
  <c r="AF488" i="4"/>
  <c r="AJ478" i="4"/>
  <c r="AJ466" i="4"/>
  <c r="AF452" i="4"/>
  <c r="AK505" i="4"/>
  <c r="AI490" i="4"/>
  <c r="AG463" i="4"/>
  <c r="AB485" i="4"/>
  <c r="AM477" i="4"/>
  <c r="AK470" i="4"/>
  <c r="AG464" i="4"/>
  <c r="AE457" i="4"/>
  <c r="AG446" i="4"/>
  <c r="AL509" i="4"/>
  <c r="AH499" i="4"/>
  <c r="AH487" i="4"/>
  <c r="AF476" i="4"/>
  <c r="AB466" i="4"/>
  <c r="AH451" i="4"/>
  <c r="AC505" i="4"/>
  <c r="AC489" i="4"/>
  <c r="AC461" i="4"/>
  <c r="AB477" i="4"/>
  <c r="AI463" i="4"/>
  <c r="AK454" i="4"/>
  <c r="AD445" i="4"/>
  <c r="AD509" i="4"/>
  <c r="AL497" i="4"/>
  <c r="AJ486" i="4"/>
  <c r="AB474" i="4"/>
  <c r="AD465" i="4"/>
  <c r="AH450" i="4"/>
  <c r="AE504" i="4"/>
  <c r="AG487" i="4"/>
  <c r="AM460" i="4"/>
  <c r="AB469" i="4"/>
  <c r="AK482" i="4"/>
  <c r="AG476" i="4"/>
  <c r="AM469" i="4"/>
  <c r="AC462" i="4"/>
  <c r="AC454" i="4"/>
  <c r="AB443" i="4"/>
  <c r="AH507" i="4"/>
  <c r="AJ494" i="4"/>
  <c r="AB486" i="4"/>
  <c r="AL473" i="4"/>
  <c r="AD461" i="4"/>
  <c r="AH444" i="4"/>
  <c r="AI498" i="4"/>
  <c r="AC481" i="4"/>
  <c r="AF444" i="4"/>
  <c r="AG456" i="4"/>
  <c r="AJ447" i="4"/>
  <c r="AI437" i="4"/>
  <c r="AL505" i="4"/>
  <c r="AJ498" i="4"/>
  <c r="AF492" i="4"/>
  <c r="AD485" i="4"/>
  <c r="AB478" i="4"/>
  <c r="AJ470" i="4"/>
  <c r="AH463" i="4"/>
  <c r="AD457" i="4"/>
  <c r="AE449" i="4"/>
  <c r="AI440" i="4"/>
  <c r="AG503" i="4"/>
  <c r="AI494" i="4"/>
  <c r="AI486" i="4"/>
  <c r="AG475" i="4"/>
  <c r="AE460" i="4"/>
  <c r="AB509" i="4"/>
  <c r="AM449" i="4"/>
  <c r="AC435" i="4"/>
  <c r="AD505" i="4"/>
  <c r="AB498" i="4"/>
  <c r="AH491" i="4"/>
  <c r="AF484" i="4"/>
  <c r="AD477" i="4"/>
  <c r="AB470" i="4"/>
  <c r="AJ462" i="4"/>
  <c r="AF456" i="4"/>
  <c r="AL448" i="4"/>
  <c r="AL438" i="4"/>
  <c r="AC501" i="4"/>
  <c r="AC493" i="4"/>
  <c r="AK485" i="4"/>
  <c r="AC473" i="4"/>
  <c r="AK453" i="4"/>
  <c r="AH506" i="4"/>
  <c r="AI448" i="4"/>
  <c r="AB462" i="4"/>
  <c r="AH455" i="4"/>
  <c r="AI447" i="4"/>
  <c r="AG437" i="4"/>
  <c r="AM500" i="4"/>
  <c r="AM492" i="4"/>
  <c r="AC485" i="4"/>
  <c r="AI470" i="4"/>
  <c r="AM452" i="4"/>
  <c r="AH502" i="4"/>
  <c r="AC504" i="4"/>
  <c r="AB510" i="4"/>
  <c r="AH503" i="4"/>
  <c r="AD497" i="4"/>
  <c r="AD489" i="4"/>
  <c r="AB482" i="4"/>
  <c r="AH475" i="4"/>
  <c r="AF468" i="4"/>
  <c r="AL461" i="4"/>
  <c r="AJ454" i="4"/>
  <c r="AM445" i="4"/>
  <c r="AB435" i="4"/>
  <c r="AE500" i="4"/>
  <c r="AE492" i="4"/>
  <c r="AM484" i="4"/>
  <c r="AE468" i="4"/>
  <c r="AG450" i="4"/>
  <c r="AJ501" i="4"/>
  <c r="AM480" i="4"/>
  <c r="AK469" i="4"/>
  <c r="AC457" i="4"/>
  <c r="AL520" i="4"/>
  <c r="AL488" i="4"/>
  <c r="AM459" i="4"/>
  <c r="AI502" i="4"/>
  <c r="AG495" i="4"/>
  <c r="AE488" i="4"/>
  <c r="AE480" i="4"/>
  <c r="AM468" i="4"/>
  <c r="AI454" i="4"/>
  <c r="AH518" i="4"/>
  <c r="AH486" i="4"/>
  <c r="AJ460" i="4"/>
  <c r="AK481" i="4"/>
  <c r="AI474" i="4"/>
  <c r="AI466" i="4"/>
  <c r="AI458" i="4"/>
  <c r="AK448" i="4"/>
  <c r="AB517" i="4"/>
  <c r="AF499" i="4"/>
  <c r="AD476" i="4"/>
  <c r="AI445" i="4"/>
  <c r="AK473" i="4"/>
  <c r="AK465" i="4"/>
  <c r="AK457" i="4"/>
  <c r="AH447" i="4"/>
  <c r="AJ513" i="4"/>
  <c r="AH498" i="4"/>
  <c r="AF475" i="4"/>
  <c r="AM435" i="4"/>
  <c r="AE472" i="4"/>
  <c r="AE464" i="4"/>
  <c r="AE456" i="4"/>
  <c r="AH440" i="4"/>
  <c r="AD512" i="4"/>
  <c r="AH490" i="4"/>
  <c r="AL452" i="4"/>
  <c r="AD520" i="4"/>
  <c r="AL508" i="4"/>
  <c r="AL496" i="4"/>
  <c r="AF483" i="4"/>
  <c r="AD468" i="4"/>
  <c r="AI497" i="4"/>
  <c r="AB452" i="4"/>
  <c r="AF507" i="4"/>
  <c r="AH494" i="4"/>
  <c r="AH482" i="4"/>
  <c r="AB465" i="4"/>
  <c r="AK488" i="4"/>
  <c r="AM494" i="4"/>
  <c r="AB481" i="4"/>
  <c r="AH462" i="4"/>
  <c r="AC488" i="4"/>
  <c r="AG493" i="4"/>
  <c r="AI482" i="4"/>
  <c r="AE476" i="4"/>
  <c r="AC469" i="4"/>
  <c r="AI462" i="4"/>
  <c r="AG455" i="4"/>
  <c r="AD442" i="4"/>
  <c r="AF515" i="4"/>
  <c r="AL504" i="4"/>
  <c r="AF491" i="4"/>
  <c r="AJ477" i="4"/>
  <c r="AB457" i="4"/>
  <c r="AM463" i="4"/>
  <c r="AD446" i="4"/>
  <c r="AB521" i="4"/>
  <c r="AH514" i="4"/>
  <c r="AD508" i="4"/>
  <c r="AD500" i="4"/>
  <c r="AL492" i="4"/>
  <c r="AD484" i="4"/>
  <c r="AL476" i="4"/>
  <c r="AH466" i="4"/>
  <c r="AE450" i="4"/>
  <c r="AC496" i="4"/>
  <c r="AE459" i="4"/>
  <c r="AC495" i="4"/>
  <c r="AE452" i="4"/>
  <c r="AF441" i="4"/>
  <c r="AF519" i="4"/>
  <c r="AL512" i="4"/>
  <c r="AB505" i="4"/>
  <c r="AB497" i="4"/>
  <c r="AB489" i="4"/>
  <c r="AJ481" i="4"/>
  <c r="AH474" i="4"/>
  <c r="AL460" i="4"/>
  <c r="AF439" i="4"/>
  <c r="AE487" i="4"/>
  <c r="AH481" i="4"/>
  <c r="AM447" i="4"/>
  <c r="AD472" i="4"/>
  <c r="AD460" i="4"/>
  <c r="AE438" i="4"/>
  <c r="AM479" i="4"/>
  <c r="AB480" i="4"/>
  <c r="AB495" i="4"/>
  <c r="AD449" i="4"/>
  <c r="AJ439" i="4"/>
  <c r="AJ517" i="4"/>
  <c r="AH510" i="4"/>
  <c r="AF503" i="4"/>
  <c r="AD496" i="4"/>
  <c r="AD488" i="4"/>
  <c r="AH478" i="4"/>
  <c r="AH470" i="4"/>
  <c r="AH458" i="4"/>
  <c r="AI505" i="4"/>
  <c r="AI477" i="4"/>
  <c r="AL479" i="4"/>
  <c r="AK496" i="4"/>
  <c r="AE479" i="4"/>
  <c r="AD438" i="4"/>
  <c r="AD459" i="4"/>
  <c r="AL444" i="4"/>
  <c r="AM495" i="4"/>
  <c r="AM475" i="4"/>
  <c r="AH505" i="4"/>
  <c r="AC439" i="4"/>
  <c r="AJ467" i="4"/>
  <c r="AI489" i="4"/>
  <c r="AM467" i="4"/>
  <c r="AH489" i="4"/>
  <c r="AK495" i="4"/>
  <c r="AL464" i="4"/>
  <c r="AL456" i="4"/>
  <c r="AM446" i="4"/>
  <c r="AE503" i="4"/>
  <c r="AE495" i="4"/>
  <c r="AI485" i="4"/>
  <c r="AK472" i="4"/>
  <c r="AG458" i="4"/>
  <c r="AF498" i="4"/>
  <c r="AJ476" i="4"/>
  <c r="AK435" i="4"/>
  <c r="AM482" i="4"/>
  <c r="AD466" i="4"/>
  <c r="AF471" i="4"/>
  <c r="AD464" i="4"/>
  <c r="AD456" i="4"/>
  <c r="AC446" i="4"/>
  <c r="AG502" i="4"/>
  <c r="AG494" i="4"/>
  <c r="AE483" i="4"/>
  <c r="AC472" i="4"/>
  <c r="AG454" i="4"/>
  <c r="AH497" i="4"/>
  <c r="AD471" i="4"/>
  <c r="AD434" i="4"/>
  <c r="AI468" i="4"/>
  <c r="AF461" i="4"/>
  <c r="AJ453" i="4"/>
  <c r="AD444" i="4"/>
  <c r="AI501" i="4"/>
  <c r="AE491" i="4"/>
  <c r="AI481" i="4"/>
  <c r="AG470" i="4"/>
  <c r="AC452" i="4"/>
  <c r="AB496" i="4"/>
  <c r="AL463" i="4"/>
  <c r="AK515" i="4"/>
  <c r="AM466" i="4"/>
  <c r="AE444" i="4"/>
  <c r="AJ469" i="4"/>
  <c r="AJ461" i="4"/>
  <c r="AB453" i="4"/>
  <c r="AJ443" i="4"/>
  <c r="AC500" i="4"/>
  <c r="AG490" i="4"/>
  <c r="AK480" i="4"/>
  <c r="AI469" i="4"/>
  <c r="AE447" i="4"/>
  <c r="AB492" i="4"/>
  <c r="AH461" i="4"/>
  <c r="AI508" i="4"/>
  <c r="AE466" i="4"/>
  <c r="AE467" i="4"/>
  <c r="AI453" i="4"/>
  <c r="AE434" i="4"/>
  <c r="AF490" i="4"/>
  <c r="AL471" i="4"/>
  <c r="AH453" i="4"/>
  <c r="AG509" i="4"/>
  <c r="AK483" i="4"/>
  <c r="AB447" i="4"/>
  <c r="AG447" i="4"/>
  <c r="AE463" i="4"/>
  <c r="AM451" i="4"/>
  <c r="AJ500" i="4"/>
  <c r="AB488" i="4"/>
  <c r="AH469" i="4"/>
  <c r="AD451" i="4"/>
  <c r="AC507" i="4"/>
  <c r="AG477" i="4"/>
  <c r="AL502" i="4"/>
  <c r="AC429" i="4"/>
  <c r="AI461" i="4"/>
  <c r="AH448" i="4"/>
  <c r="AD499" i="4"/>
  <c r="AD487" i="4"/>
  <c r="AJ468" i="4"/>
  <c r="AM450" i="4"/>
  <c r="AE506" i="4"/>
  <c r="AI476" i="4"/>
  <c r="AJ495" i="4"/>
  <c r="AK463" i="4"/>
  <c r="AL486" i="4"/>
  <c r="AM424" i="4"/>
  <c r="AG453" i="4"/>
  <c r="AH468" i="4"/>
  <c r="AM483" i="4"/>
  <c r="AE475" i="4"/>
  <c r="AI465" i="4"/>
  <c r="AK456" i="4"/>
  <c r="AL446" i="4"/>
  <c r="AB504" i="4"/>
  <c r="AL495" i="4"/>
  <c r="AH485" i="4"/>
  <c r="AB476" i="4"/>
  <c r="AB468" i="4"/>
  <c r="AF458" i="4"/>
  <c r="AC450" i="4"/>
  <c r="AM514" i="4"/>
  <c r="AC503" i="4"/>
  <c r="AC491" i="4"/>
  <c r="AK475" i="4"/>
  <c r="AK459" i="4"/>
  <c r="AK436" i="4"/>
  <c r="AF485" i="4"/>
  <c r="AL458" i="4"/>
  <c r="AC421" i="4"/>
  <c r="AI473" i="4"/>
  <c r="AK464" i="4"/>
  <c r="AE455" i="4"/>
  <c r="AB446" i="4"/>
  <c r="AL503" i="4"/>
  <c r="AJ492" i="4"/>
  <c r="AB484" i="4"/>
  <c r="AL475" i="4"/>
  <c r="AH465" i="4"/>
  <c r="AH457" i="4"/>
  <c r="AJ449" i="4"/>
  <c r="AE514" i="4"/>
  <c r="AM502" i="4"/>
  <c r="AC487" i="4"/>
  <c r="AC475" i="4"/>
  <c r="AC459" i="4"/>
  <c r="AJ435" i="4"/>
  <c r="AJ483" i="4"/>
  <c r="AD448" i="4"/>
  <c r="AG391" i="4"/>
  <c r="AD483" i="4"/>
  <c r="AD475" i="4"/>
  <c r="AJ464" i="4"/>
  <c r="AB456" i="4"/>
  <c r="AC447" i="4"/>
  <c r="AK511" i="4"/>
  <c r="AE502" i="4"/>
  <c r="AM486" i="4"/>
  <c r="AM474" i="4"/>
  <c r="AM458" i="4"/>
  <c r="AH504" i="4"/>
  <c r="AD478" i="4"/>
  <c r="AE445" i="4"/>
  <c r="AK385" i="4"/>
  <c r="AM442" i="4"/>
  <c r="AB500" i="4"/>
  <c r="AL491" i="4"/>
  <c r="AF482" i="4"/>
  <c r="AH473" i="4"/>
  <c r="AB464" i="4"/>
  <c r="AL455" i="4"/>
  <c r="AL442" i="4"/>
  <c r="AC511" i="4"/>
  <c r="AG501" i="4"/>
  <c r="AI484" i="4"/>
  <c r="AG469" i="4"/>
  <c r="AE454" i="4"/>
  <c r="AJ503" i="4"/>
  <c r="AF477" i="4"/>
  <c r="AK444" i="4"/>
  <c r="AI500" i="4"/>
  <c r="AM490" i="4"/>
  <c r="AE482" i="4"/>
  <c r="AK471" i="4"/>
  <c r="AC463" i="4"/>
  <c r="AI452" i="4"/>
  <c r="AJ511" i="4"/>
  <c r="AD494" i="4"/>
  <c r="AH476" i="4"/>
  <c r="AD458" i="4"/>
  <c r="AG443" i="4"/>
  <c r="AJ421" i="4"/>
  <c r="AK507" i="4"/>
  <c r="AM498" i="4"/>
  <c r="AE490" i="4"/>
  <c r="AI480" i="4"/>
  <c r="AM470" i="4"/>
  <c r="AM462" i="4"/>
  <c r="AK451" i="4"/>
  <c r="AB511" i="4"/>
  <c r="AF493" i="4"/>
  <c r="AJ475" i="4"/>
  <c r="AH456" i="4"/>
  <c r="AK441" i="4"/>
  <c r="AL420" i="4"/>
  <c r="AG497" i="4"/>
  <c r="AK487" i="4"/>
  <c r="AC479" i="4"/>
  <c r="AE470" i="4"/>
  <c r="AI460" i="4"/>
  <c r="AB450" i="4"/>
  <c r="AD506" i="4"/>
  <c r="AB487" i="4"/>
  <c r="AF469" i="4"/>
  <c r="AK450" i="4"/>
  <c r="AK429" i="4"/>
  <c r="AK455" i="4"/>
  <c r="AL510" i="4"/>
  <c r="AH500" i="4"/>
  <c r="AH492" i="4"/>
  <c r="AB483" i="4"/>
  <c r="AL474" i="4"/>
  <c r="AJ463" i="4"/>
  <c r="AJ455" i="4"/>
  <c r="AJ441" i="4"/>
  <c r="AE440" i="4"/>
  <c r="AK409" i="4"/>
  <c r="AF407" i="4"/>
  <c r="AM454" i="4"/>
  <c r="AJ446" i="4"/>
  <c r="AD510" i="4"/>
  <c r="AJ499" i="4"/>
  <c r="AJ491" i="4"/>
  <c r="AL482" i="4"/>
  <c r="AJ471" i="4"/>
  <c r="AB463" i="4"/>
  <c r="AB455" i="4"/>
  <c r="AL440" i="4"/>
  <c r="AG439" i="4"/>
  <c r="AM408" i="4"/>
  <c r="AK424" i="4"/>
  <c r="AJ507" i="4"/>
  <c r="AB499" i="4"/>
  <c r="AD490" i="4"/>
  <c r="AJ479" i="4"/>
  <c r="AB471" i="4"/>
  <c r="AL462" i="4"/>
  <c r="AF453" i="4"/>
  <c r="AE435" i="4"/>
  <c r="AE432" i="4"/>
  <c r="AC397" i="4"/>
  <c r="AE407" i="4"/>
  <c r="AE443" i="4"/>
  <c r="AL506" i="4"/>
  <c r="AL498" i="4"/>
  <c r="AH488" i="4"/>
  <c r="AB479" i="4"/>
  <c r="AL470" i="4"/>
  <c r="AD462" i="4"/>
  <c r="AJ451" i="4"/>
  <c r="AM448" i="4"/>
  <c r="AG431" i="4"/>
  <c r="AG395" i="4"/>
  <c r="AK404" i="4"/>
  <c r="AE416" i="4"/>
  <c r="AM382" i="4"/>
  <c r="AF446" i="4"/>
  <c r="AB451" i="4"/>
  <c r="AC449" i="4"/>
  <c r="AK437" i="4"/>
  <c r="AC413" i="4"/>
  <c r="AF431" i="4"/>
  <c r="AH402" i="4"/>
  <c r="AB436" i="4"/>
  <c r="AC437" i="4"/>
  <c r="AE424" i="4"/>
  <c r="AG407" i="4"/>
  <c r="AM381" i="4"/>
  <c r="AD392" i="4"/>
  <c r="AD411" i="4"/>
  <c r="AK445" i="4"/>
  <c r="AG435" i="4"/>
  <c r="AG423" i="4"/>
  <c r="AE400" i="4"/>
  <c r="AC381" i="4"/>
  <c r="AD388" i="4"/>
  <c r="AH409" i="4"/>
  <c r="AC433" i="4"/>
  <c r="AI422" i="4"/>
  <c r="AK397" i="4"/>
  <c r="AD436" i="4"/>
  <c r="AM427" i="4"/>
  <c r="AD382" i="4"/>
  <c r="AJ429" i="4"/>
  <c r="AD400" i="4"/>
  <c r="AM423" i="4"/>
  <c r="AB432" i="4"/>
  <c r="AI418" i="4"/>
  <c r="AI406" i="4"/>
  <c r="AI390" i="4"/>
  <c r="AG375" i="4"/>
  <c r="AH418" i="4"/>
  <c r="AC383" i="4"/>
  <c r="AI393" i="4"/>
  <c r="AH378" i="4"/>
  <c r="AM428" i="4"/>
  <c r="AC417" i="4"/>
  <c r="AM404" i="4"/>
  <c r="AC389" i="4"/>
  <c r="AI370" i="4"/>
  <c r="AD416" i="4"/>
  <c r="AJ380" i="4"/>
  <c r="AC392" i="4"/>
  <c r="AF371" i="4"/>
  <c r="AH442" i="4"/>
  <c r="AC445" i="4"/>
  <c r="AM436" i="4"/>
  <c r="AE428" i="4"/>
  <c r="AM416" i="4"/>
  <c r="AM400" i="4"/>
  <c r="AM388" i="4"/>
  <c r="AE369" i="4"/>
  <c r="AB409" i="4"/>
  <c r="AK432" i="4"/>
  <c r="AB448" i="4"/>
  <c r="AH434" i="4"/>
  <c r="AF419" i="4"/>
  <c r="AD404" i="4"/>
  <c r="AL384" i="4"/>
  <c r="AI425" i="4"/>
  <c r="AC404" i="4"/>
  <c r="AL443" i="4"/>
  <c r="AF390" i="4"/>
  <c r="AL428" i="4"/>
  <c r="AL412" i="4"/>
  <c r="AJ393" i="4"/>
  <c r="AD376" i="4"/>
  <c r="AE419" i="4"/>
  <c r="AE387" i="4"/>
  <c r="AL419" i="4"/>
  <c r="AE394" i="4"/>
  <c r="AM372" i="4"/>
  <c r="AF427" i="4"/>
  <c r="AF411" i="4"/>
  <c r="AB393" i="4"/>
  <c r="AF375" i="4"/>
  <c r="AC412" i="4"/>
  <c r="AG386" i="4"/>
  <c r="AJ416" i="4"/>
  <c r="AG393" i="4"/>
  <c r="AB425" i="4"/>
  <c r="AH410" i="4"/>
  <c r="AL392" i="4"/>
  <c r="AL372" i="4"/>
  <c r="AM407" i="4"/>
  <c r="AK384" i="4"/>
  <c r="AL415" i="4"/>
  <c r="AL400" i="4"/>
  <c r="AJ385" i="4"/>
  <c r="AC369" i="4"/>
  <c r="AI417" i="4"/>
  <c r="AG402" i="4"/>
  <c r="AD379" i="4"/>
  <c r="AL431" i="4"/>
  <c r="AD399" i="4"/>
  <c r="AG444" i="4"/>
  <c r="AK416" i="4"/>
  <c r="AK396" i="4"/>
  <c r="AG371" i="4"/>
  <c r="AH429" i="4"/>
  <c r="AF398" i="4"/>
  <c r="AG420" i="4"/>
  <c r="AH398" i="4"/>
  <c r="AC384" i="4"/>
  <c r="AK428" i="4"/>
  <c r="AG414" i="4"/>
  <c r="AC396" i="4"/>
  <c r="AC370" i="4"/>
  <c r="AL427" i="4"/>
  <c r="AH397" i="4"/>
  <c r="AM430" i="4"/>
  <c r="AK391" i="4"/>
  <c r="AC414" i="4"/>
  <c r="AL395" i="4"/>
  <c r="AE426" i="4"/>
  <c r="AM376" i="4"/>
  <c r="AD425" i="4"/>
  <c r="AI424" i="4"/>
  <c r="AF429" i="4"/>
  <c r="AD409" i="4"/>
  <c r="AK383" i="4"/>
  <c r="AJ440" i="4"/>
  <c r="AH425" i="4"/>
  <c r="AJ408" i="4"/>
  <c r="AH389" i="4"/>
  <c r="AG413" i="4"/>
  <c r="AD418" i="4"/>
  <c r="AB367" i="4"/>
  <c r="AB440" i="4"/>
  <c r="AF422" i="4"/>
  <c r="AL407" i="4"/>
  <c r="AJ388" i="4"/>
  <c r="AI412" i="4"/>
  <c r="AD394" i="4"/>
  <c r="AD326" i="4"/>
  <c r="AM395" i="4"/>
  <c r="AH372" i="4"/>
  <c r="AF438" i="4"/>
  <c r="AB420" i="4"/>
  <c r="AJ404" i="4"/>
  <c r="AI382" i="4"/>
  <c r="AM406" i="4"/>
  <c r="AL386" i="4"/>
  <c r="AL399" i="4"/>
  <c r="AL387" i="4"/>
  <c r="AG425" i="4"/>
  <c r="AE410" i="4"/>
  <c r="AI392" i="4"/>
  <c r="AB427" i="4"/>
  <c r="AF385" i="4"/>
  <c r="AM413" i="4"/>
  <c r="AH403" i="4"/>
  <c r="AI316" i="4"/>
  <c r="AK402" i="4"/>
  <c r="AI379" i="4"/>
  <c r="AD349" i="4"/>
  <c r="AM422" i="4"/>
  <c r="AI404" i="4"/>
  <c r="AE390" i="4"/>
  <c r="AL414" i="4"/>
  <c r="AM441" i="4"/>
  <c r="AK398" i="4"/>
  <c r="AM373" i="4"/>
  <c r="AJ322" i="4"/>
  <c r="AE373" i="4"/>
  <c r="AK419" i="4"/>
  <c r="AC403" i="4"/>
  <c r="AH382" i="4"/>
  <c r="AJ407" i="4"/>
  <c r="AK434" i="4"/>
  <c r="AM389" i="4"/>
  <c r="AC367" i="4"/>
  <c r="AI377" i="4"/>
  <c r="AG417" i="4"/>
  <c r="AG401" i="4"/>
  <c r="AH381" i="4"/>
  <c r="AL406" i="4"/>
  <c r="AM433" i="4"/>
  <c r="AF383" i="4"/>
  <c r="AG361" i="4"/>
  <c r="AC340" i="4"/>
  <c r="AM368" i="4"/>
  <c r="AC415" i="4"/>
  <c r="AC399" i="4"/>
  <c r="AE380" i="4"/>
  <c r="AB395" i="4"/>
  <c r="AK422" i="4"/>
  <c r="AB426" i="4"/>
  <c r="AL318" i="4"/>
  <c r="AL430" i="4"/>
  <c r="AF409" i="4"/>
  <c r="AJ387" i="4"/>
  <c r="AI435" i="4"/>
  <c r="AK414" i="4"/>
  <c r="AG392" i="4"/>
  <c r="AJ422" i="4"/>
  <c r="AI380" i="4"/>
  <c r="AH364" i="4"/>
  <c r="AE364" i="4"/>
  <c r="AF425" i="4"/>
  <c r="AJ403" i="4"/>
  <c r="AG383" i="4"/>
  <c r="AI431" i="4"/>
  <c r="AC410" i="4"/>
  <c r="AF381" i="4"/>
  <c r="AB402" i="4"/>
  <c r="AM358" i="4"/>
  <c r="AC346" i="4"/>
  <c r="AJ296" i="4"/>
  <c r="AJ419" i="4"/>
  <c r="AJ399" i="4"/>
  <c r="AD372" i="4"/>
  <c r="AC426" i="4"/>
  <c r="AE405" i="4"/>
  <c r="AH376" i="4"/>
  <c r="AL397" i="4"/>
  <c r="AE354" i="4"/>
  <c r="AG336" i="4"/>
  <c r="AL273" i="4"/>
  <c r="AL418" i="4"/>
  <c r="AF397" i="4"/>
  <c r="AM369" i="4"/>
  <c r="AE425" i="4"/>
  <c r="AG404" i="4"/>
  <c r="AL433" i="4"/>
  <c r="AB386" i="4"/>
  <c r="AD322" i="4"/>
  <c r="AF360" i="4"/>
  <c r="AF382" i="4"/>
  <c r="AL425" i="4"/>
  <c r="AJ402" i="4"/>
  <c r="AK374" i="4"/>
  <c r="AC359" i="4"/>
  <c r="AK313" i="4"/>
  <c r="AK366" i="4"/>
  <c r="AH343" i="4"/>
  <c r="AH337" i="4"/>
  <c r="AI395" i="4"/>
  <c r="AH439" i="4"/>
  <c r="AH415" i="4"/>
  <c r="AD393" i="4"/>
  <c r="AG373" i="4"/>
  <c r="AK343" i="4"/>
  <c r="AB355" i="4"/>
  <c r="AK334" i="4"/>
  <c r="AE316" i="4"/>
  <c r="AH288" i="4"/>
  <c r="AJ438" i="4"/>
  <c r="AJ414" i="4"/>
  <c r="AJ390" i="4"/>
  <c r="AI372" i="4"/>
  <c r="AC343" i="4"/>
  <c r="AH336" i="4"/>
  <c r="AK322" i="4"/>
  <c r="AH358" i="4"/>
  <c r="AB266" i="4"/>
  <c r="AK390" i="4"/>
  <c r="AH435" i="4"/>
  <c r="AB414" i="4"/>
  <c r="AF388" i="4"/>
  <c r="AK371" i="4"/>
  <c r="AK339" i="4"/>
  <c r="AJ327" i="4"/>
  <c r="AL305" i="4"/>
  <c r="AL352" i="4"/>
  <c r="AM310" i="4"/>
  <c r="AJ320" i="4"/>
  <c r="AI320" i="4"/>
  <c r="AC368" i="4"/>
  <c r="AM313" i="4"/>
  <c r="AM334" i="4"/>
  <c r="AJ351" i="4"/>
  <c r="AE361" i="4"/>
  <c r="AJ382" i="4"/>
  <c r="AG355" i="4"/>
  <c r="AC332" i="4"/>
  <c r="AJ301" i="4"/>
  <c r="AE325" i="4"/>
  <c r="AB339" i="4"/>
  <c r="AE349" i="4"/>
  <c r="AL361" i="4"/>
  <c r="AM332" i="4"/>
  <c r="AH345" i="4"/>
  <c r="AG415" i="4"/>
  <c r="AC405" i="4"/>
  <c r="AM396" i="4"/>
  <c r="AG387" i="4"/>
  <c r="AE376" i="4"/>
  <c r="AF435" i="4"/>
  <c r="AH426" i="4"/>
  <c r="AJ417" i="4"/>
  <c r="AL408" i="4"/>
  <c r="AF399" i="4"/>
  <c r="AF391" i="4"/>
  <c r="AK381" i="4"/>
  <c r="AI433" i="4"/>
  <c r="AC424" i="4"/>
  <c r="AK412" i="4"/>
  <c r="AE403" i="4"/>
  <c r="AK392" i="4"/>
  <c r="AB383" i="4"/>
  <c r="AD447" i="4"/>
  <c r="AH437" i="4"/>
  <c r="AD427" i="4"/>
  <c r="AB416" i="4"/>
  <c r="AH405" i="4"/>
  <c r="AJ396" i="4"/>
  <c r="AJ384" i="4"/>
  <c r="AC431" i="4"/>
  <c r="AE422" i="4"/>
  <c r="AC411" i="4"/>
  <c r="AI400" i="4"/>
  <c r="AC391" i="4"/>
  <c r="AF378" i="4"/>
  <c r="AL426" i="4"/>
  <c r="AB415" i="4"/>
  <c r="AD406" i="4"/>
  <c r="AL394" i="4"/>
  <c r="AH384" i="4"/>
  <c r="AK442" i="4"/>
  <c r="AG432" i="4"/>
  <c r="AM421" i="4"/>
  <c r="AK410" i="4"/>
  <c r="AG400" i="4"/>
  <c r="AC390" i="4"/>
  <c r="AC378" i="4"/>
  <c r="AJ434" i="4"/>
  <c r="AH423" i="4"/>
  <c r="AH411" i="4"/>
  <c r="AB398" i="4"/>
  <c r="AJ386" i="4"/>
  <c r="AK370" i="4"/>
  <c r="AK367" i="4"/>
  <c r="AG357" i="4"/>
  <c r="AE338" i="4"/>
  <c r="AL317" i="4"/>
  <c r="AD354" i="4"/>
  <c r="AB327" i="4"/>
  <c r="AC362" i="4"/>
  <c r="AI335" i="4"/>
  <c r="AK303" i="4"/>
  <c r="AD345" i="4"/>
  <c r="AM356" i="4"/>
  <c r="AB357" i="4"/>
  <c r="AI333" i="4"/>
  <c r="AL287" i="4"/>
  <c r="AG187" i="4"/>
  <c r="AK421" i="4"/>
  <c r="AE412" i="4"/>
  <c r="AG403" i="4"/>
  <c r="AK393" i="4"/>
  <c r="AM384" i="4"/>
  <c r="AI374" i="4"/>
  <c r="AJ433" i="4"/>
  <c r="AL424" i="4"/>
  <c r="AF415" i="4"/>
  <c r="AJ405" i="4"/>
  <c r="AB397" i="4"/>
  <c r="AF387" i="4"/>
  <c r="AF379" i="4"/>
  <c r="AM431" i="4"/>
  <c r="AC420" i="4"/>
  <c r="AM411" i="4"/>
  <c r="AK400" i="4"/>
  <c r="AK388" i="4"/>
  <c r="AD374" i="4"/>
  <c r="AH445" i="4"/>
  <c r="AD435" i="4"/>
  <c r="AB424" i="4"/>
  <c r="AF414" i="4"/>
  <c r="AB404" i="4"/>
  <c r="AB392" i="4"/>
  <c r="AI381" i="4"/>
  <c r="AG429" i="4"/>
  <c r="AM418" i="4"/>
  <c r="AK407" i="4"/>
  <c r="AM398" i="4"/>
  <c r="AI388" i="4"/>
  <c r="AF433" i="4"/>
  <c r="AB423" i="4"/>
  <c r="AF413" i="4"/>
  <c r="AD402" i="4"/>
  <c r="AF393" i="4"/>
  <c r="AG382" i="4"/>
  <c r="AG440" i="4"/>
  <c r="AG428" i="4"/>
  <c r="AI419" i="4"/>
  <c r="AG408" i="4"/>
  <c r="AC398" i="4"/>
  <c r="AE389" i="4"/>
  <c r="AL374" i="4"/>
  <c r="AD433" i="4"/>
  <c r="AH419" i="4"/>
  <c r="AF408" i="4"/>
  <c r="AF396" i="4"/>
  <c r="AD385" i="4"/>
  <c r="AE378" i="4"/>
  <c r="AM366" i="4"/>
  <c r="AK351" i="4"/>
  <c r="AG333" i="4"/>
  <c r="AD312" i="4"/>
  <c r="AL350" i="4"/>
  <c r="AM325" i="4"/>
  <c r="AG360" i="4"/>
  <c r="AM333" i="4"/>
  <c r="AL381" i="4"/>
  <c r="AD341" i="4"/>
  <c r="AK349" i="4"/>
  <c r="AD352" i="4"/>
  <c r="AB316" i="4"/>
  <c r="AF268" i="4"/>
  <c r="AD245" i="4"/>
  <c r="AG411" i="4"/>
  <c r="AC401" i="4"/>
  <c r="AM392" i="4"/>
  <c r="AM383" i="4"/>
  <c r="AK373" i="4"/>
  <c r="AL432" i="4"/>
  <c r="AF423" i="4"/>
  <c r="AH414" i="4"/>
  <c r="AL404" i="4"/>
  <c r="AH394" i="4"/>
  <c r="AH386" i="4"/>
  <c r="AK378" i="4"/>
  <c r="AE431" i="4"/>
  <c r="AM419" i="4"/>
  <c r="AG410" i="4"/>
  <c r="AE399" i="4"/>
  <c r="AC388" i="4"/>
  <c r="AF373" i="4"/>
  <c r="AJ444" i="4"/>
  <c r="AJ432" i="4"/>
  <c r="AL423" i="4"/>
  <c r="AH413" i="4"/>
  <c r="AF402" i="4"/>
  <c r="AL391" i="4"/>
  <c r="AB379" i="4"/>
  <c r="AI428" i="4"/>
  <c r="AE418" i="4"/>
  <c r="AC407" i="4"/>
  <c r="AE398" i="4"/>
  <c r="AE386" i="4"/>
  <c r="AH432" i="4"/>
  <c r="AD422" i="4"/>
  <c r="AJ411" i="4"/>
  <c r="AF401" i="4"/>
  <c r="AB391" i="4"/>
  <c r="AL379" i="4"/>
  <c r="AC438" i="4"/>
  <c r="AI427" i="4"/>
  <c r="AK418" i="4"/>
  <c r="AK406" i="4"/>
  <c r="AM397" i="4"/>
  <c r="AK386" i="4"/>
  <c r="AK369" i="4"/>
  <c r="AJ430" i="4"/>
  <c r="AL417" i="4"/>
  <c r="AH407" i="4"/>
  <c r="AH395" i="4"/>
  <c r="AE383" i="4"/>
  <c r="AI376" i="4"/>
  <c r="AE366" i="4"/>
  <c r="AI348" i="4"/>
  <c r="AK331" i="4"/>
  <c r="AH368" i="4"/>
  <c r="AF341" i="4"/>
  <c r="AK317" i="4"/>
  <c r="AI351" i="4"/>
  <c r="AC325" i="4"/>
  <c r="AB370" i="4"/>
  <c r="AH327" i="4"/>
  <c r="AK333" i="4"/>
  <c r="AI312" i="4"/>
  <c r="AJ352" i="4"/>
  <c r="AF301" i="4"/>
  <c r="AG385" i="4"/>
  <c r="AJ431" i="4"/>
  <c r="AF421" i="4"/>
  <c r="AB411" i="4"/>
  <c r="AH400" i="4"/>
  <c r="AL390" i="4"/>
  <c r="AB373" i="4"/>
  <c r="AM437" i="4"/>
  <c r="AK426" i="4"/>
  <c r="AG416" i="4"/>
  <c r="AC406" i="4"/>
  <c r="AG396" i="4"/>
  <c r="AM385" i="4"/>
  <c r="AF440" i="4"/>
  <c r="AL429" i="4"/>
  <c r="AD417" i="4"/>
  <c r="AD405" i="4"/>
  <c r="AB394" i="4"/>
  <c r="AE381" i="4"/>
  <c r="AK375" i="4"/>
  <c r="AI364" i="4"/>
  <c r="AG345" i="4"/>
  <c r="AC327" i="4"/>
  <c r="AJ367" i="4"/>
  <c r="AH340" i="4"/>
  <c r="AB317" i="4"/>
  <c r="AM349" i="4"/>
  <c r="AB323" i="4"/>
  <c r="AL369" i="4"/>
  <c r="AJ326" i="4"/>
  <c r="AC333" i="4"/>
  <c r="AB311" i="4"/>
  <c r="AH349" i="4"/>
  <c r="AH300" i="4"/>
  <c r="AE324" i="4"/>
  <c r="AJ311" i="4"/>
  <c r="AD362" i="4"/>
  <c r="AD350" i="4"/>
  <c r="AB335" i="4"/>
  <c r="AC322" i="4"/>
  <c r="AJ308" i="4"/>
  <c r="AK358" i="4"/>
  <c r="AG344" i="4"/>
  <c r="AC330" i="4"/>
  <c r="AJ319" i="4"/>
  <c r="AF376" i="4"/>
  <c r="AH359" i="4"/>
  <c r="AF340" i="4"/>
  <c r="AL307" i="4"/>
  <c r="AM348" i="4"/>
  <c r="AB315" i="4"/>
  <c r="AH342" i="4"/>
  <c r="AI365" i="4"/>
  <c r="AH312" i="4"/>
  <c r="AH329" i="4"/>
  <c r="AD265" i="4"/>
  <c r="AC306" i="4"/>
  <c r="AK265" i="4"/>
  <c r="AE350" i="4"/>
  <c r="AK335" i="4"/>
  <c r="AD323" i="4"/>
  <c r="AB310" i="4"/>
  <c r="AF361" i="4"/>
  <c r="AF349" i="4"/>
  <c r="AD334" i="4"/>
  <c r="AC321" i="4"/>
  <c r="AC307" i="4"/>
  <c r="AM357" i="4"/>
  <c r="AK342" i="4"/>
  <c r="AM329" i="4"/>
  <c r="AJ317" i="4"/>
  <c r="AL373" i="4"/>
  <c r="AJ358" i="4"/>
  <c r="AF336" i="4"/>
  <c r="AE306" i="4"/>
  <c r="AI346" i="4"/>
  <c r="AJ312" i="4"/>
  <c r="AD336" i="4"/>
  <c r="AG354" i="4"/>
  <c r="AJ309" i="4"/>
  <c r="AD317" i="4"/>
  <c r="AE294" i="4"/>
  <c r="AE301" i="4"/>
  <c r="AC233" i="4"/>
  <c r="AJ306" i="4"/>
  <c r="AJ359" i="4"/>
  <c r="AF345" i="4"/>
  <c r="AB331" i="4"/>
  <c r="AL320" i="4"/>
  <c r="AG368" i="4"/>
  <c r="AK354" i="4"/>
  <c r="AM341" i="4"/>
  <c r="AG328" i="4"/>
  <c r="AF311" i="4"/>
  <c r="AD373" i="4"/>
  <c r="AB354" i="4"/>
  <c r="AL333" i="4"/>
  <c r="AG301" i="4"/>
  <c r="AE336" i="4"/>
  <c r="AF308" i="4"/>
  <c r="AD332" i="4"/>
  <c r="AI349" i="4"/>
  <c r="AH373" i="4"/>
  <c r="AL306" i="4"/>
  <c r="AJ285" i="4"/>
  <c r="AH287" i="4"/>
  <c r="AF198" i="4"/>
  <c r="AK359" i="4"/>
  <c r="AK347" i="4"/>
  <c r="AE334" i="4"/>
  <c r="AD321" i="4"/>
  <c r="AL370" i="4"/>
  <c r="AF357" i="4"/>
  <c r="AJ343" i="4"/>
  <c r="AF329" i="4"/>
  <c r="AK319" i="4"/>
  <c r="AI367" i="4"/>
  <c r="AM353" i="4"/>
  <c r="AE341" i="4"/>
  <c r="AL325" i="4"/>
  <c r="AD309" i="4"/>
  <c r="AF372" i="4"/>
  <c r="AF352" i="4"/>
  <c r="AF328" i="4"/>
  <c r="AG367" i="4"/>
  <c r="AI334" i="4"/>
  <c r="AK307" i="4"/>
  <c r="AF318" i="4"/>
  <c r="AK348" i="4"/>
  <c r="AF366" i="4"/>
  <c r="AK299" i="4"/>
  <c r="AJ254" i="4"/>
  <c r="AL253" i="4"/>
  <c r="AL218" i="4"/>
  <c r="AD239" i="4"/>
  <c r="AH283" i="4"/>
  <c r="AK309" i="4"/>
  <c r="AL340" i="4"/>
  <c r="AC376" i="4"/>
  <c r="AK336" i="4"/>
  <c r="AJ372" i="4"/>
  <c r="AL335" i="4"/>
  <c r="AJ292" i="4"/>
  <c r="AG293" i="4"/>
  <c r="AJ287" i="4"/>
  <c r="AH286" i="4"/>
  <c r="AL296" i="4"/>
  <c r="AH197" i="4"/>
  <c r="AL363" i="4"/>
  <c r="AD327" i="4"/>
  <c r="AC287" i="4"/>
  <c r="AJ284" i="4"/>
  <c r="AL275" i="4"/>
  <c r="AB250" i="4"/>
  <c r="AG217" i="4"/>
  <c r="AJ200" i="4"/>
  <c r="AJ357" i="4"/>
  <c r="AG320" i="4"/>
  <c r="AC360" i="4"/>
  <c r="AF320" i="4"/>
  <c r="AH353" i="4"/>
  <c r="AD318" i="4"/>
  <c r="AB275" i="4"/>
  <c r="AD272" i="4"/>
  <c r="AC314" i="4"/>
  <c r="AF292" i="4"/>
  <c r="AI278" i="4"/>
  <c r="AH338" i="4"/>
  <c r="AF317" i="4"/>
  <c r="AE371" i="4"/>
  <c r="AI353" i="4"/>
  <c r="AC336" i="4"/>
  <c r="AB313" i="4"/>
  <c r="AB368" i="4"/>
  <c r="AF350" i="4"/>
  <c r="AD335" i="4"/>
  <c r="AF307" i="4"/>
  <c r="AB292" i="4"/>
  <c r="AE272" i="4"/>
  <c r="AC291" i="4"/>
  <c r="AH247" i="4"/>
  <c r="AI285" i="4"/>
  <c r="AM309" i="4"/>
  <c r="AG281" i="4"/>
  <c r="AF260" i="4"/>
  <c r="AF291" i="4"/>
  <c r="AC265" i="4"/>
  <c r="AD247" i="4"/>
  <c r="AB382" i="4"/>
  <c r="AH367" i="4"/>
  <c r="AJ350" i="4"/>
  <c r="AB334" i="4"/>
  <c r="AF316" i="4"/>
  <c r="AK361" i="4"/>
  <c r="AK345" i="4"/>
  <c r="AE328" i="4"/>
  <c r="AJ365" i="4"/>
  <c r="AD348" i="4"/>
  <c r="AH330" i="4"/>
  <c r="AI300" i="4"/>
  <c r="AC364" i="4"/>
  <c r="AC348" i="4"/>
  <c r="AG330" i="4"/>
  <c r="AB308" i="4"/>
  <c r="AH361" i="4"/>
  <c r="AJ344" i="4"/>
  <c r="AF325" i="4"/>
  <c r="AB304" i="4"/>
  <c r="AK285" i="4"/>
  <c r="AJ221" i="4"/>
  <c r="AJ283" i="4"/>
  <c r="AL298" i="4"/>
  <c r="AD261" i="4"/>
  <c r="AC298" i="4"/>
  <c r="AF232" i="4"/>
  <c r="AI298" i="4"/>
  <c r="AE295" i="4"/>
  <c r="AH266" i="4"/>
  <c r="AD266" i="4"/>
  <c r="AJ314" i="4"/>
  <c r="AM360" i="4"/>
  <c r="AE344" i="4"/>
  <c r="AI326" i="4"/>
  <c r="AD364" i="4"/>
  <c r="AF347" i="4"/>
  <c r="AL328" i="4"/>
  <c r="AE379" i="4"/>
  <c r="AE363" i="4"/>
  <c r="AC344" i="4"/>
  <c r="AG326" i="4"/>
  <c r="AD375" i="4"/>
  <c r="AB360" i="4"/>
  <c r="AJ340" i="4"/>
  <c r="AE321" i="4"/>
  <c r="AJ300" i="4"/>
  <c r="AK284" i="4"/>
  <c r="AC299" i="4"/>
  <c r="AC277" i="4"/>
  <c r="AL294" i="4"/>
  <c r="AL257" i="4"/>
  <c r="AM297" i="4"/>
  <c r="AB298" i="4"/>
  <c r="AI294" i="4"/>
  <c r="AG294" i="4"/>
  <c r="AB261" i="4"/>
  <c r="AC258" i="4"/>
  <c r="AD361" i="4"/>
  <c r="AB346" i="4"/>
  <c r="AD333" i="4"/>
  <c r="AG313" i="4"/>
  <c r="AI358" i="4"/>
  <c r="AG343" i="4"/>
  <c r="AH320" i="4"/>
  <c r="AF363" i="4"/>
  <c r="AD344" i="4"/>
  <c r="AF327" i="4"/>
  <c r="AG378" i="4"/>
  <c r="AI361" i="4"/>
  <c r="AM343" i="4"/>
  <c r="AG323" i="4"/>
  <c r="AF374" i="4"/>
  <c r="AD359" i="4"/>
  <c r="AD339" i="4"/>
  <c r="AM318" i="4"/>
  <c r="AF298" i="4"/>
  <c r="AJ282" i="4"/>
  <c r="AM294" i="4"/>
  <c r="AK273" i="4"/>
  <c r="AD290" i="4"/>
  <c r="AH243" i="4"/>
  <c r="AG292" i="4"/>
  <c r="AJ294" i="4"/>
  <c r="AH231" i="4"/>
  <c r="AC285" i="4"/>
  <c r="AF219" i="4"/>
  <c r="AJ266" i="4"/>
  <c r="AM301" i="4"/>
  <c r="AF280" i="4"/>
  <c r="AH291" i="4"/>
  <c r="AI290" i="4"/>
  <c r="AI325" i="4"/>
  <c r="AE256" i="4"/>
  <c r="AG266" i="4"/>
  <c r="AE190" i="4"/>
  <c r="AM272" i="4"/>
  <c r="AG286" i="4"/>
  <c r="AM288" i="4"/>
  <c r="AK308" i="4"/>
  <c r="AK253" i="4"/>
  <c r="AE247" i="4"/>
  <c r="AI247" i="4"/>
  <c r="AG287" i="4"/>
  <c r="AI310" i="4"/>
  <c r="AC289" i="4"/>
  <c r="AD296" i="4"/>
  <c r="AG318" i="4"/>
  <c r="AB279" i="4"/>
  <c r="AI254" i="4"/>
  <c r="AF263" i="4"/>
  <c r="AC264" i="4"/>
  <c r="AK226" i="4"/>
  <c r="AG200" i="4"/>
  <c r="AJ302" i="4"/>
  <c r="AE279" i="4"/>
  <c r="AE308" i="4"/>
  <c r="AL278" i="4"/>
  <c r="AL279" i="4"/>
  <c r="AM307" i="4"/>
  <c r="AD275" i="4"/>
  <c r="AM244" i="4"/>
  <c r="AL256" i="4"/>
  <c r="AG238" i="4"/>
  <c r="AG185" i="4"/>
  <c r="AC182" i="4"/>
  <c r="AM305" i="4"/>
  <c r="AH284" i="4"/>
  <c r="AL301" i="4"/>
  <c r="AH275" i="4"/>
  <c r="AM304" i="4"/>
  <c r="AG275" i="4"/>
  <c r="AC279" i="4"/>
  <c r="AK304" i="4"/>
  <c r="AL269" i="4"/>
  <c r="AM236" i="4"/>
  <c r="AD244" i="4"/>
  <c r="AD230" i="4"/>
  <c r="AF218" i="4"/>
  <c r="AE170" i="4"/>
  <c r="AF273" i="4"/>
  <c r="AE300" i="4"/>
  <c r="AJ238" i="4"/>
  <c r="AH259" i="4"/>
  <c r="AI297" i="4"/>
  <c r="AH230" i="4"/>
  <c r="AG235" i="4"/>
  <c r="AD225" i="4"/>
  <c r="AD219" i="4"/>
  <c r="AB200" i="4"/>
  <c r="AL140" i="4"/>
  <c r="M13" i="6"/>
  <c r="M17" i="6"/>
  <c r="M22" i="6"/>
  <c r="M29" i="6"/>
  <c r="M33" i="6"/>
  <c r="M38" i="6"/>
  <c r="M14" i="6"/>
  <c r="M19" i="6"/>
  <c r="M23" i="6"/>
  <c r="M30" i="6"/>
  <c r="M35" i="6"/>
  <c r="M39" i="6"/>
  <c r="M15" i="6"/>
  <c r="M20" i="6"/>
  <c r="M31" i="6"/>
  <c r="M36" i="6"/>
  <c r="M40" i="6"/>
  <c r="M16" i="6"/>
  <c r="M21" i="6"/>
  <c r="M28" i="6"/>
  <c r="M32" i="6"/>
  <c r="M37" i="6"/>
  <c r="AK276" i="4"/>
  <c r="AC225" i="4"/>
  <c r="AL207" i="4"/>
  <c r="AD242" i="4"/>
  <c r="AL150" i="4"/>
  <c r="AL222" i="4"/>
  <c r="AL236" i="4"/>
  <c r="AG254" i="4"/>
  <c r="AD251" i="4"/>
  <c r="AC247" i="4"/>
  <c r="AG224" i="4"/>
  <c r="AB126" i="4"/>
  <c r="AL210" i="4"/>
  <c r="AE228" i="4"/>
  <c r="AI253" i="4"/>
  <c r="AF250" i="4"/>
  <c r="AG233" i="4"/>
  <c r="AM176" i="4"/>
  <c r="AE110" i="4"/>
  <c r="AI180" i="4"/>
  <c r="AK286" i="4"/>
  <c r="AM220" i="4"/>
  <c r="AE52" i="4"/>
  <c r="AK251" i="4"/>
  <c r="AG272" i="4"/>
  <c r="AK201" i="4"/>
  <c r="AK516" i="4"/>
  <c r="AJ245" i="4"/>
  <c r="AE267" i="4"/>
  <c r="AM229" i="4"/>
  <c r="AF242" i="4"/>
  <c r="AM262" i="4"/>
  <c r="AD246" i="4"/>
  <c r="AC211" i="4"/>
  <c r="AB166" i="4"/>
  <c r="AC59" i="4"/>
  <c r="AL220" i="4"/>
  <c r="AJ236" i="4"/>
  <c r="AE250" i="4"/>
  <c r="AE218" i="4"/>
  <c r="AF192" i="4"/>
  <c r="AI139" i="4"/>
  <c r="AK8" i="4"/>
  <c r="AP531" i="4"/>
  <c r="AR538" i="4"/>
  <c r="AR526" i="4"/>
  <c r="AR546" i="4"/>
  <c r="AO5" i="4"/>
  <c r="AR535" i="4"/>
  <c r="AP5" i="4"/>
  <c r="AR530" i="4"/>
  <c r="AQ510" i="4"/>
  <c r="AP539" i="4"/>
  <c r="AP6" i="4"/>
  <c r="AQ5" i="4"/>
  <c r="AQ513" i="4"/>
  <c r="AP535" i="4"/>
  <c r="AP529" i="4"/>
  <c r="AO507" i="4"/>
  <c r="AR542" i="4"/>
  <c r="AO536" i="4"/>
  <c r="AQ526" i="4"/>
  <c r="AR522" i="4"/>
  <c r="AP527" i="4"/>
  <c r="AQ517" i="4"/>
  <c r="AP523" i="4"/>
  <c r="AP543" i="4"/>
  <c r="AR527" i="4"/>
  <c r="AQ532" i="4"/>
  <c r="AR534" i="4"/>
  <c r="AR524" i="4"/>
  <c r="AP516" i="4"/>
  <c r="AP540" i="4"/>
  <c r="AP549" i="4"/>
  <c r="AO512" i="4"/>
  <c r="AO528" i="4"/>
  <c r="AP7" i="4"/>
  <c r="AO530" i="4"/>
  <c r="AO452" i="4"/>
  <c r="AR550" i="4"/>
  <c r="AQ535" i="4"/>
  <c r="AQ514" i="4"/>
  <c r="AQ533" i="4"/>
  <c r="AP506" i="4"/>
  <c r="AQ547" i="4"/>
  <c r="AO541" i="4"/>
  <c r="AP547" i="4"/>
  <c r="AO548" i="4"/>
  <c r="AQ548" i="4"/>
  <c r="AP534" i="4"/>
  <c r="AO524" i="4"/>
  <c r="AO514" i="4"/>
  <c r="AQ524" i="4"/>
  <c r="AP533" i="4"/>
  <c r="AR529" i="4"/>
  <c r="AQ451" i="4"/>
  <c r="AQ531" i="4"/>
  <c r="AR531" i="4"/>
  <c r="AQ540" i="4"/>
  <c r="AP8" i="4"/>
  <c r="AR519" i="4"/>
  <c r="AP502" i="4"/>
  <c r="AO540" i="4"/>
  <c r="AR547" i="4"/>
  <c r="AO519" i="4"/>
  <c r="AP509" i="4"/>
  <c r="AQ515" i="4"/>
  <c r="AO518" i="4"/>
  <c r="AO538" i="4"/>
  <c r="AO517" i="4"/>
  <c r="AP542" i="4"/>
  <c r="AQ538" i="4"/>
  <c r="AO500" i="4"/>
  <c r="AP483" i="4"/>
  <c r="AP450" i="4"/>
  <c r="AQ516" i="4"/>
  <c r="AR543" i="4"/>
  <c r="AO525" i="4"/>
  <c r="AO8" i="4"/>
  <c r="AP537" i="4"/>
  <c r="AP519" i="4"/>
  <c r="AQ541" i="4"/>
  <c r="AQ518" i="4"/>
  <c r="AR545" i="4"/>
  <c r="AO539" i="4"/>
  <c r="AO492" i="4"/>
  <c r="AR450" i="4"/>
  <c r="AO450" i="4"/>
  <c r="AQ523" i="4"/>
  <c r="AQ539" i="4"/>
  <c r="AP524" i="4"/>
  <c r="AP544" i="4"/>
  <c r="AO529" i="4"/>
  <c r="AR514" i="4"/>
  <c r="AR540" i="4"/>
  <c r="AP520" i="4"/>
  <c r="AO546" i="4"/>
  <c r="AQ520" i="4"/>
  <c r="AQ509" i="4"/>
  <c r="AO547" i="4"/>
  <c r="AQ491" i="4"/>
  <c r="AP446" i="4"/>
  <c r="AP444" i="4"/>
  <c r="AP545" i="4"/>
  <c r="AO522" i="4"/>
  <c r="AQ549" i="4"/>
  <c r="AQ521" i="4"/>
  <c r="AR512" i="4"/>
  <c r="AQ550" i="4"/>
  <c r="AO476" i="4"/>
  <c r="AQ474" i="4"/>
  <c r="AP512" i="4"/>
  <c r="AQ527" i="4"/>
  <c r="AO544" i="4"/>
  <c r="AP528" i="4"/>
  <c r="AR6" i="4"/>
  <c r="AO537" i="4"/>
  <c r="AO521" i="4"/>
  <c r="AR548" i="4"/>
  <c r="AQ525" i="4"/>
  <c r="AO550" i="4"/>
  <c r="AP526" i="4"/>
  <c r="AR518" i="4"/>
  <c r="AO468" i="4"/>
  <c r="AO471" i="4"/>
  <c r="AR507" i="4"/>
  <c r="AO532" i="4"/>
  <c r="AQ6" i="4"/>
  <c r="AP536" i="4"/>
  <c r="AR516" i="4"/>
  <c r="AO545" i="4"/>
  <c r="AR532" i="4"/>
  <c r="AO510" i="4"/>
  <c r="AO534" i="4"/>
  <c r="AR537" i="4"/>
  <c r="AO527" i="4"/>
  <c r="AQ503" i="4"/>
  <c r="AR486" i="4"/>
  <c r="AP454" i="4"/>
  <c r="AO7" i="4"/>
  <c r="AP532" i="4"/>
  <c r="AP548" i="4"/>
  <c r="AQ528" i="4"/>
  <c r="AQ544" i="4"/>
  <c r="AO520" i="4"/>
  <c r="AR536" i="4"/>
  <c r="AR7" i="4"/>
  <c r="AP521" i="4"/>
  <c r="AQ537" i="4"/>
  <c r="AQ8" i="4"/>
  <c r="AQ519" i="4"/>
  <c r="AR533" i="4"/>
  <c r="AP550" i="4"/>
  <c r="AO523" i="4"/>
  <c r="AO543" i="4"/>
  <c r="AQ507" i="4"/>
  <c r="AQ483" i="4"/>
  <c r="AP499" i="4"/>
  <c r="AO491" i="4"/>
  <c r="AR477" i="4"/>
  <c r="AQ437" i="4"/>
  <c r="AQ543" i="4"/>
  <c r="AR523" i="4"/>
  <c r="AR539" i="4"/>
  <c r="AO506" i="4"/>
  <c r="AO533" i="4"/>
  <c r="AO549" i="4"/>
  <c r="AP525" i="4"/>
  <c r="AP541" i="4"/>
  <c r="AO511" i="4"/>
  <c r="AO526" i="4"/>
  <c r="AO542" i="4"/>
  <c r="AP511" i="4"/>
  <c r="AP522" i="4"/>
  <c r="AP538" i="4"/>
  <c r="AP513" i="4"/>
  <c r="AO531" i="4"/>
  <c r="AQ499" i="4"/>
  <c r="AQ467" i="4"/>
  <c r="AP467" i="4"/>
  <c r="AO451" i="4"/>
  <c r="AQ493" i="4"/>
  <c r="AQ422" i="4"/>
  <c r="AQ536" i="4"/>
  <c r="AQ7" i="4"/>
  <c r="AR528" i="4"/>
  <c r="AR544" i="4"/>
  <c r="AO515" i="4"/>
  <c r="AQ529" i="4"/>
  <c r="AQ545" i="4"/>
  <c r="AP515" i="4"/>
  <c r="AR525" i="4"/>
  <c r="AR541" i="4"/>
  <c r="AR515" i="4"/>
  <c r="AQ534" i="4"/>
  <c r="AO516" i="4"/>
  <c r="AO496" i="4"/>
  <c r="AO460" i="4"/>
  <c r="AR466" i="4"/>
  <c r="AQ450" i="4"/>
  <c r="AQ489" i="4"/>
  <c r="AP434" i="4"/>
  <c r="AP530" i="4"/>
  <c r="AR549" i="4"/>
  <c r="AQ522" i="4"/>
  <c r="AQ542" i="4"/>
  <c r="AO508" i="4"/>
  <c r="AO484" i="4"/>
  <c r="AR502" i="4"/>
  <c r="AQ494" i="4"/>
  <c r="AR481" i="4"/>
  <c r="AQ448" i="4"/>
  <c r="AP546" i="4"/>
  <c r="AP517" i="4"/>
  <c r="AQ530" i="4"/>
  <c r="AQ546" i="4"/>
  <c r="AQ511" i="4"/>
  <c r="AQ495" i="4"/>
  <c r="AQ479" i="4"/>
  <c r="AQ463" i="4"/>
  <c r="AR446" i="4"/>
  <c r="AP495" i="4"/>
  <c r="AR478" i="4"/>
  <c r="AP459" i="4"/>
  <c r="AQ506" i="4"/>
  <c r="AO487" i="4"/>
  <c r="AQ466" i="4"/>
  <c r="AP442" i="4"/>
  <c r="AR497" i="4"/>
  <c r="AP470" i="4"/>
  <c r="AO442" i="4"/>
  <c r="AO482" i="4"/>
  <c r="AR500" i="4"/>
  <c r="AO493" i="4"/>
  <c r="AP476" i="4"/>
  <c r="AP410" i="4"/>
  <c r="AR510" i="4"/>
  <c r="AR494" i="4"/>
  <c r="AP475" i="4"/>
  <c r="AR458" i="4"/>
  <c r="AO503" i="4"/>
  <c r="AO483" i="4"/>
  <c r="AQ462" i="4"/>
  <c r="AP518" i="4"/>
  <c r="AR493" i="4"/>
  <c r="AP466" i="4"/>
  <c r="AR441" i="4"/>
  <c r="AO474" i="4"/>
  <c r="AR484" i="4"/>
  <c r="AO485" i="4"/>
  <c r="AP464" i="4"/>
  <c r="AQ425" i="4"/>
  <c r="AQ475" i="4"/>
  <c r="AQ459" i="4"/>
  <c r="AP507" i="4"/>
  <c r="AP491" i="4"/>
  <c r="AR474" i="4"/>
  <c r="AP455" i="4"/>
  <c r="AQ502" i="4"/>
  <c r="AQ482" i="4"/>
  <c r="AO459" i="4"/>
  <c r="AP514" i="4"/>
  <c r="AP490" i="4"/>
  <c r="AR465" i="4"/>
  <c r="AQ505" i="4"/>
  <c r="AO470" i="4"/>
  <c r="AR480" i="4"/>
  <c r="AQ468" i="4"/>
  <c r="AP460" i="4"/>
  <c r="AO390" i="4"/>
  <c r="AR8" i="4"/>
  <c r="AR520" i="4"/>
  <c r="AO535" i="4"/>
  <c r="AO6" i="4"/>
  <c r="AO504" i="4"/>
  <c r="AO488" i="4"/>
  <c r="AO472" i="4"/>
  <c r="AO456" i="4"/>
  <c r="AR506" i="4"/>
  <c r="AR490" i="4"/>
  <c r="AP471" i="4"/>
  <c r="AR454" i="4"/>
  <c r="AO499" i="4"/>
  <c r="AQ478" i="4"/>
  <c r="AQ458" i="4"/>
  <c r="AR513" i="4"/>
  <c r="AP486" i="4"/>
  <c r="AR461" i="4"/>
  <c r="AQ501" i="4"/>
  <c r="AQ465" i="4"/>
  <c r="AP473" i="4"/>
  <c r="AO461" i="4"/>
  <c r="AQ442" i="4"/>
  <c r="AR436" i="4"/>
  <c r="AQ487" i="4"/>
  <c r="AQ471" i="4"/>
  <c r="AQ455" i="4"/>
  <c r="AP503" i="4"/>
  <c r="AP487" i="4"/>
  <c r="AR470" i="4"/>
  <c r="AP451" i="4"/>
  <c r="AQ498" i="4"/>
  <c r="AO475" i="4"/>
  <c r="AO455" i="4"/>
  <c r="AR509" i="4"/>
  <c r="AP482" i="4"/>
  <c r="AP458" i="4"/>
  <c r="AO498" i="4"/>
  <c r="AO462" i="4"/>
  <c r="AR456" i="4"/>
  <c r="AO453" i="4"/>
  <c r="AQ426" i="4"/>
  <c r="AR411" i="4"/>
  <c r="AO480" i="4"/>
  <c r="AO464" i="4"/>
  <c r="AQ449" i="4"/>
  <c r="AR498" i="4"/>
  <c r="AR482" i="4"/>
  <c r="AR462" i="4"/>
  <c r="AR442" i="4"/>
  <c r="AQ490" i="4"/>
  <c r="AO467" i="4"/>
  <c r="AO446" i="4"/>
  <c r="AP498" i="4"/>
  <c r="AP474" i="4"/>
  <c r="AQ447" i="4"/>
  <c r="AQ485" i="4"/>
  <c r="AR504" i="4"/>
  <c r="AQ500" i="4"/>
  <c r="AR499" i="4"/>
  <c r="AR425" i="4"/>
  <c r="AO494" i="4"/>
  <c r="AO478" i="4"/>
  <c r="AO454" i="4"/>
  <c r="AR496" i="4"/>
  <c r="AR468" i="4"/>
  <c r="AQ512" i="4"/>
  <c r="AQ480" i="4"/>
  <c r="AQ445" i="4"/>
  <c r="AP492" i="4"/>
  <c r="AR449" i="4"/>
  <c r="AO399" i="4"/>
  <c r="AP398" i="4"/>
  <c r="AR380" i="4"/>
  <c r="AP489" i="4"/>
  <c r="AP465" i="4"/>
  <c r="AO509" i="4"/>
  <c r="AO477" i="4"/>
  <c r="AR443" i="4"/>
  <c r="AR483" i="4"/>
  <c r="AO445" i="4"/>
  <c r="AQ398" i="4"/>
  <c r="AQ433" i="4"/>
  <c r="AQ424" i="4"/>
  <c r="AR521" i="4"/>
  <c r="AR505" i="4"/>
  <c r="AR489" i="4"/>
  <c r="AR473" i="4"/>
  <c r="AR457" i="4"/>
  <c r="AR435" i="4"/>
  <c r="AO490" i="4"/>
  <c r="AQ473" i="4"/>
  <c r="AP447" i="4"/>
  <c r="AR488" i="4"/>
  <c r="AP457" i="4"/>
  <c r="AO501" i="4"/>
  <c r="AO469" i="4"/>
  <c r="AO433" i="4"/>
  <c r="AP480" i="4"/>
  <c r="AO443" i="4"/>
  <c r="AO391" i="4"/>
  <c r="AO430" i="4"/>
  <c r="AR423" i="4"/>
  <c r="AQ486" i="4"/>
  <c r="AQ470" i="4"/>
  <c r="AQ454" i="4"/>
  <c r="AR517" i="4"/>
  <c r="AR501" i="4"/>
  <c r="AR485" i="4"/>
  <c r="AR469" i="4"/>
  <c r="AR453" i="4"/>
  <c r="AO502" i="4"/>
  <c r="AO486" i="4"/>
  <c r="AO466" i="4"/>
  <c r="AP505" i="4"/>
  <c r="AP481" i="4"/>
  <c r="AR452" i="4"/>
  <c r="AQ496" i="4"/>
  <c r="AQ464" i="4"/>
  <c r="AP508" i="4"/>
  <c r="AR467" i="4"/>
  <c r="AQ438" i="4"/>
  <c r="AR433" i="4"/>
  <c r="AQ393" i="4"/>
  <c r="AR373" i="4"/>
  <c r="AP479" i="4"/>
  <c r="AP463" i="4"/>
  <c r="AO449" i="4"/>
  <c r="AO495" i="4"/>
  <c r="AO479" i="4"/>
  <c r="AO463" i="4"/>
  <c r="AR447" i="4"/>
  <c r="AP510" i="4"/>
  <c r="AP494" i="4"/>
  <c r="AP478" i="4"/>
  <c r="AP462" i="4"/>
  <c r="AQ444" i="4"/>
  <c r="AQ497" i="4"/>
  <c r="AQ481" i="4"/>
  <c r="AQ457" i="4"/>
  <c r="AP497" i="4"/>
  <c r="AR472" i="4"/>
  <c r="AP436" i="4"/>
  <c r="AQ484" i="4"/>
  <c r="AQ452" i="4"/>
  <c r="AP496" i="4"/>
  <c r="AR451" i="4"/>
  <c r="AO415" i="4"/>
  <c r="AP406" i="4"/>
  <c r="AP397" i="4"/>
  <c r="AR491" i="4"/>
  <c r="AR475" i="4"/>
  <c r="AR459" i="4"/>
  <c r="AP443" i="4"/>
  <c r="AO435" i="4"/>
  <c r="AO411" i="4"/>
  <c r="AQ390" i="4"/>
  <c r="AP422" i="4"/>
  <c r="AP394" i="4"/>
  <c r="AO414" i="4"/>
  <c r="AP433" i="4"/>
  <c r="AO405" i="4"/>
  <c r="AO396" i="4"/>
  <c r="AR464" i="4"/>
  <c r="AR445" i="4"/>
  <c r="AQ508" i="4"/>
  <c r="AQ492" i="4"/>
  <c r="AQ476" i="4"/>
  <c r="AQ460" i="4"/>
  <c r="AP440" i="4"/>
  <c r="AP504" i="4"/>
  <c r="AP488" i="4"/>
  <c r="AP472" i="4"/>
  <c r="AP456" i="4"/>
  <c r="AO438" i="4"/>
  <c r="AO431" i="4"/>
  <c r="AQ410" i="4"/>
  <c r="AR379" i="4"/>
  <c r="AR421" i="4"/>
  <c r="AR393" i="4"/>
  <c r="AQ413" i="4"/>
  <c r="AR428" i="4"/>
  <c r="AQ404" i="4"/>
  <c r="AR438" i="4"/>
  <c r="AQ477" i="4"/>
  <c r="AQ461" i="4"/>
  <c r="AQ441" i="4"/>
  <c r="AP493" i="4"/>
  <c r="AP477" i="4"/>
  <c r="AP461" i="4"/>
  <c r="AO441" i="4"/>
  <c r="AO505" i="4"/>
  <c r="AO489" i="4"/>
  <c r="AO473" i="4"/>
  <c r="AO457" i="4"/>
  <c r="AR439" i="4"/>
  <c r="AR503" i="4"/>
  <c r="AR487" i="4"/>
  <c r="AR471" i="4"/>
  <c r="AR455" i="4"/>
  <c r="AO447" i="4"/>
  <c r="AQ430" i="4"/>
  <c r="AO407" i="4"/>
  <c r="AR377" i="4"/>
  <c r="AR417" i="4"/>
  <c r="AR389" i="4"/>
  <c r="AQ409" i="4"/>
  <c r="AP409" i="4"/>
  <c r="AO393" i="4"/>
  <c r="AP303" i="4"/>
  <c r="AO458" i="4"/>
  <c r="AQ436" i="4"/>
  <c r="AR492" i="4"/>
  <c r="AR476" i="4"/>
  <c r="AR460" i="4"/>
  <c r="AQ440" i="4"/>
  <c r="AQ504" i="4"/>
  <c r="AQ488" i="4"/>
  <c r="AQ472" i="4"/>
  <c r="AQ456" i="4"/>
  <c r="AO437" i="4"/>
  <c r="AP500" i="4"/>
  <c r="AP484" i="4"/>
  <c r="AP468" i="4"/>
  <c r="AP452" i="4"/>
  <c r="AQ446" i="4"/>
  <c r="AO427" i="4"/>
  <c r="AO403" i="4"/>
  <c r="AP438" i="4"/>
  <c r="AP414" i="4"/>
  <c r="AP386" i="4"/>
  <c r="AO406" i="4"/>
  <c r="AP401" i="4"/>
  <c r="AR369" i="4"/>
  <c r="AP371" i="4"/>
  <c r="AQ469" i="4"/>
  <c r="AQ453" i="4"/>
  <c r="AP501" i="4"/>
  <c r="AP485" i="4"/>
  <c r="AP469" i="4"/>
  <c r="AP453" i="4"/>
  <c r="AO513" i="4"/>
  <c r="AO497" i="4"/>
  <c r="AO481" i="4"/>
  <c r="AO465" i="4"/>
  <c r="AP448" i="4"/>
  <c r="AR511" i="4"/>
  <c r="AR495" i="4"/>
  <c r="AR479" i="4"/>
  <c r="AR463" i="4"/>
  <c r="AO448" i="4"/>
  <c r="AO439" i="4"/>
  <c r="AO419" i="4"/>
  <c r="AQ394" i="4"/>
  <c r="AP430" i="4"/>
  <c r="AR405" i="4"/>
  <c r="AO426" i="4"/>
  <c r="AO379" i="4"/>
  <c r="AQ375" i="4"/>
  <c r="AP382" i="4"/>
  <c r="AQ439" i="4"/>
  <c r="AP415" i="4"/>
  <c r="AO351" i="4"/>
  <c r="AR375" i="4"/>
  <c r="AR420" i="4"/>
  <c r="AP393" i="4"/>
  <c r="AO421" i="4"/>
  <c r="AQ392" i="4"/>
  <c r="AP408" i="4"/>
  <c r="AO436" i="4"/>
  <c r="AP399" i="4"/>
  <c r="AP311" i="4"/>
  <c r="AP402" i="4"/>
  <c r="AR385" i="4"/>
  <c r="AO422" i="4"/>
  <c r="AQ401" i="4"/>
  <c r="AR448" i="4"/>
  <c r="AP417" i="4"/>
  <c r="AR392" i="4"/>
  <c r="AQ420" i="4"/>
  <c r="AQ382" i="4"/>
  <c r="AR395" i="4"/>
  <c r="AO420" i="4"/>
  <c r="AO337" i="4"/>
  <c r="AR337" i="4"/>
  <c r="AQ414" i="4"/>
  <c r="AO395" i="4"/>
  <c r="AR437" i="4"/>
  <c r="AP418" i="4"/>
  <c r="AR401" i="4"/>
  <c r="AQ379" i="4"/>
  <c r="AO418" i="4"/>
  <c r="AO398" i="4"/>
  <c r="AP445" i="4"/>
  <c r="AR416" i="4"/>
  <c r="AR384" i="4"/>
  <c r="AO413" i="4"/>
  <c r="AQ381" i="4"/>
  <c r="AP392" i="4"/>
  <c r="AO416" i="4"/>
  <c r="AO305" i="4"/>
  <c r="AP373" i="4"/>
  <c r="AO434" i="4"/>
  <c r="AQ417" i="4"/>
  <c r="AQ397" i="4"/>
  <c r="AR440" i="4"/>
  <c r="AR412" i="4"/>
  <c r="AR381" i="4"/>
  <c r="AQ412" i="4"/>
  <c r="AO375" i="4"/>
  <c r="AR387" i="4"/>
  <c r="AQ399" i="4"/>
  <c r="AR331" i="4"/>
  <c r="AR340" i="4"/>
  <c r="AO423" i="4"/>
  <c r="AQ406" i="4"/>
  <c r="AO387" i="4"/>
  <c r="AP426" i="4"/>
  <c r="AR409" i="4"/>
  <c r="AP390" i="4"/>
  <c r="AQ429" i="4"/>
  <c r="AO410" i="4"/>
  <c r="AQ385" i="4"/>
  <c r="AP429" i="4"/>
  <c r="AR400" i="4"/>
  <c r="AO429" i="4"/>
  <c r="AO401" i="4"/>
  <c r="AR419" i="4"/>
  <c r="AQ443" i="4"/>
  <c r="AP431" i="4"/>
  <c r="AP355" i="4"/>
  <c r="AR326" i="4"/>
  <c r="AP319" i="4"/>
  <c r="AR278" i="4"/>
  <c r="AP318" i="4"/>
  <c r="AQ296" i="4"/>
  <c r="AQ434" i="4"/>
  <c r="AQ418" i="4"/>
  <c r="AQ402" i="4"/>
  <c r="AQ386" i="4"/>
  <c r="AR429" i="4"/>
  <c r="AR413" i="4"/>
  <c r="AR397" i="4"/>
  <c r="AP377" i="4"/>
  <c r="AQ421" i="4"/>
  <c r="AQ405" i="4"/>
  <c r="AQ389" i="4"/>
  <c r="AR444" i="4"/>
  <c r="AP425" i="4"/>
  <c r="AR408" i="4"/>
  <c r="AR388" i="4"/>
  <c r="AQ428" i="4"/>
  <c r="AO409" i="4"/>
  <c r="AO389" i="4"/>
  <c r="AP428" i="4"/>
  <c r="AR407" i="4"/>
  <c r="AP381" i="4"/>
  <c r="AO432" i="4"/>
  <c r="AQ391" i="4"/>
  <c r="AQ368" i="4"/>
  <c r="AO368" i="4"/>
  <c r="AQ346" i="4"/>
  <c r="AO366" i="4"/>
  <c r="AP292" i="4"/>
  <c r="AO402" i="4"/>
  <c r="AO386" i="4"/>
  <c r="AP441" i="4"/>
  <c r="AR424" i="4"/>
  <c r="AR404" i="4"/>
  <c r="AP385" i="4"/>
  <c r="AO425" i="4"/>
  <c r="AQ408" i="4"/>
  <c r="AQ388" i="4"/>
  <c r="AR427" i="4"/>
  <c r="AR403" i="4"/>
  <c r="AO380" i="4"/>
  <c r="AQ427" i="4"/>
  <c r="AO388" i="4"/>
  <c r="AO361" i="4"/>
  <c r="AQ347" i="4"/>
  <c r="AQ330" i="4"/>
  <c r="AP323" i="4"/>
  <c r="AP282" i="4"/>
  <c r="AO385" i="4"/>
  <c r="AP424" i="4"/>
  <c r="AP396" i="4"/>
  <c r="AQ378" i="4"/>
  <c r="AQ423" i="4"/>
  <c r="AO382" i="4"/>
  <c r="AO345" i="4"/>
  <c r="AR374" i="4"/>
  <c r="AR323" i="4"/>
  <c r="AP322" i="4"/>
  <c r="AP299" i="4"/>
  <c r="AO394" i="4"/>
  <c r="AP449" i="4"/>
  <c r="AR432" i="4"/>
  <c r="AP413" i="4"/>
  <c r="AR396" i="4"/>
  <c r="AO376" i="4"/>
  <c r="AO417" i="4"/>
  <c r="AQ396" i="4"/>
  <c r="AP380" i="4"/>
  <c r="AP412" i="4"/>
  <c r="AR391" i="4"/>
  <c r="AO440" i="4"/>
  <c r="AO412" i="4"/>
  <c r="AR422" i="4"/>
  <c r="AR339" i="4"/>
  <c r="AR350" i="4"/>
  <c r="AR329" i="4"/>
  <c r="AR292" i="4"/>
  <c r="AP365" i="4"/>
  <c r="AR282" i="4"/>
  <c r="AO291" i="4"/>
  <c r="AQ374" i="4"/>
  <c r="AP420" i="4"/>
  <c r="AP404" i="4"/>
  <c r="AP388" i="4"/>
  <c r="AP374" i="4"/>
  <c r="AQ435" i="4"/>
  <c r="AQ415" i="4"/>
  <c r="AO383" i="4"/>
  <c r="AR406" i="4"/>
  <c r="AR307" i="4"/>
  <c r="AO352" i="4"/>
  <c r="AR334" i="4"/>
  <c r="AP313" i="4"/>
  <c r="AQ373" i="4"/>
  <c r="AR348" i="4"/>
  <c r="AR295" i="4"/>
  <c r="AO306" i="4"/>
  <c r="AP251" i="4"/>
  <c r="AP376" i="4"/>
  <c r="AP437" i="4"/>
  <c r="AP421" i="4"/>
  <c r="AP405" i="4"/>
  <c r="AP389" i="4"/>
  <c r="AQ432" i="4"/>
  <c r="AQ416" i="4"/>
  <c r="AQ400" i="4"/>
  <c r="AQ384" i="4"/>
  <c r="AP432" i="4"/>
  <c r="AP416" i="4"/>
  <c r="AP400" i="4"/>
  <c r="AP384" i="4"/>
  <c r="AQ370" i="4"/>
  <c r="AQ431" i="4"/>
  <c r="AQ407" i="4"/>
  <c r="AP372" i="4"/>
  <c r="AO372" i="4"/>
  <c r="AP360" i="4"/>
  <c r="AQ331" i="4"/>
  <c r="AO309" i="4"/>
  <c r="AP358" i="4"/>
  <c r="AQ349" i="4"/>
  <c r="AP314" i="4"/>
  <c r="AP239" i="4"/>
  <c r="AR241" i="4"/>
  <c r="AO397" i="4"/>
  <c r="AR383" i="4"/>
  <c r="AR431" i="4"/>
  <c r="AR415" i="4"/>
  <c r="AR399" i="4"/>
  <c r="AQ383" i="4"/>
  <c r="AO444" i="4"/>
  <c r="AO428" i="4"/>
  <c r="AO404" i="4"/>
  <c r="AQ371" i="4"/>
  <c r="AO371" i="4"/>
  <c r="AR355" i="4"/>
  <c r="AO315" i="4"/>
  <c r="AR306" i="4"/>
  <c r="AR353" i="4"/>
  <c r="AO338" i="4"/>
  <c r="AR312" i="4"/>
  <c r="AO312" i="4"/>
  <c r="AP211" i="4"/>
  <c r="AO299" i="4"/>
  <c r="AO424" i="4"/>
  <c r="AO408" i="4"/>
  <c r="AO392" i="4"/>
  <c r="AP378" i="4"/>
  <c r="AP423" i="4"/>
  <c r="AP391" i="4"/>
  <c r="AQ352" i="4"/>
  <c r="AR363" i="4"/>
  <c r="AP312" i="4"/>
  <c r="AO336" i="4"/>
  <c r="AR358" i="4"/>
  <c r="AR317" i="4"/>
  <c r="AO335" i="4"/>
  <c r="AR361" i="4"/>
  <c r="AQ323" i="4"/>
  <c r="AO354" i="4"/>
  <c r="AR376" i="4"/>
  <c r="AP329" i="4"/>
  <c r="AP247" i="4"/>
  <c r="AP278" i="4"/>
  <c r="AP284" i="4"/>
  <c r="AP215" i="4"/>
  <c r="AQ419" i="4"/>
  <c r="AQ403" i="4"/>
  <c r="AQ387" i="4"/>
  <c r="AP370" i="4"/>
  <c r="AR414" i="4"/>
  <c r="AO377" i="4"/>
  <c r="AQ336" i="4"/>
  <c r="AR347" i="4"/>
  <c r="AQ363" i="4"/>
  <c r="AP309" i="4"/>
  <c r="AR342" i="4"/>
  <c r="AQ362" i="4"/>
  <c r="AR322" i="4"/>
  <c r="AR345" i="4"/>
  <c r="AO313" i="4"/>
  <c r="AQ337" i="4"/>
  <c r="AP357" i="4"/>
  <c r="AR304" i="4"/>
  <c r="AR281" i="4"/>
  <c r="AO292" i="4"/>
  <c r="AR293" i="4"/>
  <c r="AR244" i="4"/>
  <c r="AO400" i="4"/>
  <c r="AO384" i="4"/>
  <c r="AP439" i="4"/>
  <c r="AP407" i="4"/>
  <c r="AO369" i="4"/>
  <c r="AO329" i="4"/>
  <c r="AP344" i="4"/>
  <c r="AQ355" i="4"/>
  <c r="AR382" i="4"/>
  <c r="AP339" i="4"/>
  <c r="AQ354" i="4"/>
  <c r="AQ319" i="4"/>
  <c r="AP342" i="4"/>
  <c r="AO374" i="4"/>
  <c r="AO330" i="4"/>
  <c r="AR356" i="4"/>
  <c r="AP293" i="4"/>
  <c r="AP272" i="4"/>
  <c r="AQ291" i="4"/>
  <c r="AO314" i="4"/>
  <c r="AP260" i="4"/>
  <c r="AQ411" i="4"/>
  <c r="AQ395" i="4"/>
  <c r="AO381" i="4"/>
  <c r="AR430" i="4"/>
  <c r="AR398" i="4"/>
  <c r="AO353" i="4"/>
  <c r="AR371" i="4"/>
  <c r="AP328" i="4"/>
  <c r="AQ339" i="4"/>
  <c r="AR366" i="4"/>
  <c r="AR320" i="4"/>
  <c r="AQ338" i="4"/>
  <c r="AQ300" i="4"/>
  <c r="AP326" i="4"/>
  <c r="AQ357" i="4"/>
  <c r="AQ314" i="4"/>
  <c r="AR336" i="4"/>
  <c r="AR254" i="4"/>
  <c r="AR285" i="4"/>
  <c r="AR298" i="4"/>
  <c r="AO243" i="4"/>
  <c r="AR426" i="4"/>
  <c r="AR410" i="4"/>
  <c r="AR394" i="4"/>
  <c r="AQ380" i="4"/>
  <c r="AQ364" i="4"/>
  <c r="AQ348" i="4"/>
  <c r="AQ332" i="4"/>
  <c r="AR303" i="4"/>
  <c r="AP356" i="4"/>
  <c r="AP340" i="4"/>
  <c r="AP315" i="4"/>
  <c r="AO364" i="4"/>
  <c r="AO348" i="4"/>
  <c r="AO332" i="4"/>
  <c r="AP383" i="4"/>
  <c r="AP367" i="4"/>
  <c r="AP351" i="4"/>
  <c r="AP335" i="4"/>
  <c r="AR318" i="4"/>
  <c r="AO363" i="4"/>
  <c r="AO347" i="4"/>
  <c r="AO331" i="4"/>
  <c r="AQ320" i="4"/>
  <c r="AP306" i="4"/>
  <c r="AP354" i="4"/>
  <c r="AP338" i="4"/>
  <c r="AQ324" i="4"/>
  <c r="AR314" i="4"/>
  <c r="AQ369" i="4"/>
  <c r="AO350" i="4"/>
  <c r="AQ333" i="4"/>
  <c r="AO320" i="4"/>
  <c r="AR368" i="4"/>
  <c r="AP349" i="4"/>
  <c r="AR332" i="4"/>
  <c r="AP305" i="4"/>
  <c r="AR288" i="4"/>
  <c r="AR215" i="4"/>
  <c r="AQ278" i="4"/>
  <c r="AR287" i="4"/>
  <c r="AQ315" i="4"/>
  <c r="AQ284" i="4"/>
  <c r="AP285" i="4"/>
  <c r="AP259" i="4"/>
  <c r="AQ297" i="4"/>
  <c r="AP246" i="4"/>
  <c r="AO237" i="4"/>
  <c r="AR390" i="4"/>
  <c r="AQ376" i="4"/>
  <c r="AQ360" i="4"/>
  <c r="AQ344" i="4"/>
  <c r="AQ328" i="4"/>
  <c r="AP368" i="4"/>
  <c r="AP352" i="4"/>
  <c r="AP336" i="4"/>
  <c r="AR309" i="4"/>
  <c r="AO360" i="4"/>
  <c r="AO344" i="4"/>
  <c r="AO328" i="4"/>
  <c r="AP379" i="4"/>
  <c r="AP363" i="4"/>
  <c r="AP347" i="4"/>
  <c r="AP331" i="4"/>
  <c r="AQ316" i="4"/>
  <c r="AO359" i="4"/>
  <c r="AO343" i="4"/>
  <c r="AO327" i="4"/>
  <c r="AQ318" i="4"/>
  <c r="AP366" i="4"/>
  <c r="AP350" i="4"/>
  <c r="AP334" i="4"/>
  <c r="AQ322" i="4"/>
  <c r="AQ308" i="4"/>
  <c r="AQ365" i="4"/>
  <c r="AO346" i="4"/>
  <c r="AO326" i="4"/>
  <c r="AR310" i="4"/>
  <c r="AR364" i="4"/>
  <c r="AP345" i="4"/>
  <c r="AR328" i="4"/>
  <c r="AP301" i="4"/>
  <c r="AO277" i="4"/>
  <c r="AO293" i="4"/>
  <c r="AR264" i="4"/>
  <c r="AR283" i="4"/>
  <c r="AO308" i="4"/>
  <c r="AO279" i="4"/>
  <c r="AP263" i="4"/>
  <c r="AP290" i="4"/>
  <c r="AQ270" i="4"/>
  <c r="AR211" i="4"/>
  <c r="AO276" i="4"/>
  <c r="AP435" i="4"/>
  <c r="AP419" i="4"/>
  <c r="AP403" i="4"/>
  <c r="AP387" i="4"/>
  <c r="AO373" i="4"/>
  <c r="AO357" i="4"/>
  <c r="AO341" i="4"/>
  <c r="AR315" i="4"/>
  <c r="AR367" i="4"/>
  <c r="AR351" i="4"/>
  <c r="AR335" i="4"/>
  <c r="AP307" i="4"/>
  <c r="AQ359" i="4"/>
  <c r="AQ343" i="4"/>
  <c r="AQ327" i="4"/>
  <c r="AR378" i="4"/>
  <c r="AR362" i="4"/>
  <c r="AR346" i="4"/>
  <c r="AR330" i="4"/>
  <c r="AR313" i="4"/>
  <c r="AQ358" i="4"/>
  <c r="AQ342" i="4"/>
  <c r="AQ326" i="4"/>
  <c r="AP317" i="4"/>
  <c r="AR365" i="4"/>
  <c r="AR349" i="4"/>
  <c r="AR333" i="4"/>
  <c r="AP321" i="4"/>
  <c r="AO378" i="4"/>
  <c r="AO362" i="4"/>
  <c r="AO342" i="4"/>
  <c r="AP325" i="4"/>
  <c r="AP308" i="4"/>
  <c r="AP361" i="4"/>
  <c r="AR344" i="4"/>
  <c r="AO325" i="4"/>
  <c r="AR300" i="4"/>
  <c r="AR272" i="4"/>
  <c r="AQ292" i="4"/>
  <c r="AQ220" i="4"/>
  <c r="AQ280" i="4"/>
  <c r="AO300" i="4"/>
  <c r="AR276" i="4"/>
  <c r="AP227" i="4"/>
  <c r="AR275" i="4"/>
  <c r="AO259" i="4"/>
  <c r="AO258" i="4"/>
  <c r="AR230" i="4"/>
  <c r="AR434" i="4"/>
  <c r="AR418" i="4"/>
  <c r="AR402" i="4"/>
  <c r="AR386" i="4"/>
  <c r="AQ372" i="4"/>
  <c r="AQ356" i="4"/>
  <c r="AQ340" i="4"/>
  <c r="AQ312" i="4"/>
  <c r="AP364" i="4"/>
  <c r="AP348" i="4"/>
  <c r="AP332" i="4"/>
  <c r="AP304" i="4"/>
  <c r="AO356" i="4"/>
  <c r="AO340" i="4"/>
  <c r="AR316" i="4"/>
  <c r="AP375" i="4"/>
  <c r="AP359" i="4"/>
  <c r="AP343" i="4"/>
  <c r="AP327" i="4"/>
  <c r="AR311" i="4"/>
  <c r="AO355" i="4"/>
  <c r="AO339" i="4"/>
  <c r="AR324" i="4"/>
  <c r="AP316" i="4"/>
  <c r="AP362" i="4"/>
  <c r="AP346" i="4"/>
  <c r="AP330" i="4"/>
  <c r="AP320" i="4"/>
  <c r="AQ377" i="4"/>
  <c r="AO358" i="4"/>
  <c r="AQ341" i="4"/>
  <c r="AP324" i="4"/>
  <c r="AR305" i="4"/>
  <c r="AR360" i="4"/>
  <c r="AP341" i="4"/>
  <c r="AO324" i="4"/>
  <c r="AR296" i="4"/>
  <c r="AR266" i="4"/>
  <c r="AO289" i="4"/>
  <c r="AP300" i="4"/>
  <c r="AP279" i="4"/>
  <c r="AQ299" i="4"/>
  <c r="AP274" i="4"/>
  <c r="AQ306" i="4"/>
  <c r="AO322" i="4"/>
  <c r="AQ254" i="4"/>
  <c r="AQ241" i="4"/>
  <c r="AP189" i="4"/>
  <c r="AP427" i="4"/>
  <c r="AP411" i="4"/>
  <c r="AP395" i="4"/>
  <c r="AO367" i="4"/>
  <c r="AO365" i="4"/>
  <c r="AO349" i="4"/>
  <c r="AO333" i="4"/>
  <c r="AQ304" i="4"/>
  <c r="AR359" i="4"/>
  <c r="AR343" i="4"/>
  <c r="AR327" i="4"/>
  <c r="AQ367" i="4"/>
  <c r="AQ351" i="4"/>
  <c r="AQ335" i="4"/>
  <c r="AO301" i="4"/>
  <c r="AR370" i="4"/>
  <c r="AR354" i="4"/>
  <c r="AR338" i="4"/>
  <c r="AR319" i="4"/>
  <c r="AQ366" i="4"/>
  <c r="AQ350" i="4"/>
  <c r="AQ334" i="4"/>
  <c r="AR321" i="4"/>
  <c r="AR308" i="4"/>
  <c r="AR357" i="4"/>
  <c r="AR341" i="4"/>
  <c r="AR325" i="4"/>
  <c r="AO317" i="4"/>
  <c r="AO370" i="4"/>
  <c r="AQ353" i="4"/>
  <c r="AO334" i="4"/>
  <c r="AO321" i="4"/>
  <c r="AR372" i="4"/>
  <c r="AR352" i="4"/>
  <c r="AP333" i="4"/>
  <c r="AP310" i="4"/>
  <c r="AP289" i="4"/>
  <c r="AO225" i="4"/>
  <c r="AR279" i="4"/>
  <c r="AP288" i="4"/>
  <c r="AO224" i="4"/>
  <c r="AQ287" i="4"/>
  <c r="AP286" i="4"/>
  <c r="AP265" i="4"/>
  <c r="AO298" i="4"/>
  <c r="AP186" i="4"/>
  <c r="AP237" i="4"/>
  <c r="AQ274" i="4"/>
  <c r="AQ307" i="4"/>
  <c r="AQ286" i="4"/>
  <c r="AP267" i="4"/>
  <c r="AO281" i="4"/>
  <c r="AQ290" i="4"/>
  <c r="AQ230" i="4"/>
  <c r="AO290" i="4"/>
  <c r="AQ242" i="4"/>
  <c r="AQ273" i="4"/>
  <c r="AO273" i="4"/>
  <c r="AO188" i="4"/>
  <c r="AP229" i="4"/>
  <c r="AQ288" i="4"/>
  <c r="AP243" i="4"/>
  <c r="AR286" i="4"/>
  <c r="AR246" i="4"/>
  <c r="AQ303" i="4"/>
  <c r="AQ285" i="4"/>
  <c r="AR302" i="4"/>
  <c r="AP268" i="4"/>
  <c r="AO285" i="4"/>
  <c r="AP226" i="4"/>
  <c r="AR258" i="4"/>
  <c r="AO231" i="4"/>
  <c r="AQ269" i="4"/>
  <c r="AQ240" i="4"/>
  <c r="AR198" i="4"/>
  <c r="AQ361" i="4"/>
  <c r="AQ345" i="4"/>
  <c r="AQ329" i="4"/>
  <c r="AO319" i="4"/>
  <c r="AP369" i="4"/>
  <c r="AP353" i="4"/>
  <c r="AP337" i="4"/>
  <c r="AO323" i="4"/>
  <c r="AP297" i="4"/>
  <c r="AO275" i="4"/>
  <c r="AO297" i="4"/>
  <c r="AR280" i="4"/>
  <c r="AR299" i="4"/>
  <c r="AQ282" i="4"/>
  <c r="AO316" i="4"/>
  <c r="AO296" i="4"/>
  <c r="AP281" i="4"/>
  <c r="AP291" i="4"/>
  <c r="AO307" i="4"/>
  <c r="AR301" i="4"/>
  <c r="AQ313" i="4"/>
  <c r="AQ262" i="4"/>
  <c r="AP262" i="4"/>
  <c r="AQ237" i="4"/>
  <c r="AQ283" i="4"/>
  <c r="AR274" i="4"/>
  <c r="AP296" i="4"/>
  <c r="AR284" i="4"/>
  <c r="AR267" i="4"/>
  <c r="AQ311" i="4"/>
  <c r="AQ295" i="4"/>
  <c r="AP283" i="4"/>
  <c r="AR268" i="4"/>
  <c r="AR294" i="4"/>
  <c r="AO282" i="4"/>
  <c r="AP231" i="4"/>
  <c r="AQ302" i="4"/>
  <c r="AO286" i="4"/>
  <c r="AP302" i="4"/>
  <c r="AR277" i="4"/>
  <c r="AQ325" i="4"/>
  <c r="AQ309" i="4"/>
  <c r="AQ293" i="4"/>
  <c r="AO271" i="4"/>
  <c r="AO255" i="4"/>
  <c r="AQ238" i="4"/>
  <c r="AP266" i="4"/>
  <c r="AR221" i="4"/>
  <c r="AO262" i="4"/>
  <c r="AR214" i="4"/>
  <c r="AP219" i="4"/>
  <c r="AQ222" i="4"/>
  <c r="AO256" i="4"/>
  <c r="AO191" i="4"/>
  <c r="AR242" i="4"/>
  <c r="AR290" i="4"/>
  <c r="AP276" i="4"/>
  <c r="AO223" i="4"/>
  <c r="AQ298" i="4"/>
  <c r="AR273" i="4"/>
  <c r="AP298" i="4"/>
  <c r="AP273" i="4"/>
  <c r="AQ321" i="4"/>
  <c r="AQ305" i="4"/>
  <c r="AQ289" i="4"/>
  <c r="AO267" i="4"/>
  <c r="AO251" i="4"/>
  <c r="AO229" i="4"/>
  <c r="AP258" i="4"/>
  <c r="AR204" i="4"/>
  <c r="AO250" i="4"/>
  <c r="AP193" i="4"/>
  <c r="AQ272" i="4"/>
  <c r="AP256" i="4"/>
  <c r="AR229" i="4"/>
  <c r="AP195" i="4"/>
  <c r="AR250" i="4"/>
  <c r="AR291" i="4"/>
  <c r="AQ281" i="4"/>
  <c r="AP228" i="4"/>
  <c r="AO304" i="4"/>
  <c r="AO288" i="4"/>
  <c r="AP280" i="4"/>
  <c r="AP235" i="4"/>
  <c r="AP287" i="4"/>
  <c r="AP271" i="4"/>
  <c r="AO311" i="4"/>
  <c r="AO295" i="4"/>
  <c r="AP270" i="4"/>
  <c r="AR297" i="4"/>
  <c r="AR262" i="4"/>
  <c r="AO318" i="4"/>
  <c r="AO302" i="4"/>
  <c r="AP277" i="4"/>
  <c r="AQ266" i="4"/>
  <c r="AO247" i="4"/>
  <c r="AO228" i="4"/>
  <c r="AP250" i="4"/>
  <c r="AQ175" i="4"/>
  <c r="AQ249" i="4"/>
  <c r="AP257" i="4"/>
  <c r="AQ260" i="4"/>
  <c r="AP244" i="4"/>
  <c r="AR220" i="4"/>
  <c r="AQ167" i="4"/>
  <c r="AR270" i="4"/>
  <c r="AQ310" i="4"/>
  <c r="AQ294" i="4"/>
  <c r="AP269" i="4"/>
  <c r="AP294" i="4"/>
  <c r="AP255" i="4"/>
  <c r="AQ317" i="4"/>
  <c r="AQ301" i="4"/>
  <c r="AP275" i="4"/>
  <c r="AO263" i="4"/>
  <c r="AQ246" i="4"/>
  <c r="AR217" i="4"/>
  <c r="AR249" i="4"/>
  <c r="AQ155" i="4"/>
  <c r="AO246" i="4"/>
  <c r="AP249" i="4"/>
  <c r="AO257" i="4"/>
  <c r="AP232" i="4"/>
  <c r="AP187" i="4"/>
  <c r="AO222" i="4"/>
  <c r="AR271" i="4"/>
  <c r="AP295" i="4"/>
  <c r="AO283" i="4"/>
  <c r="AR238" i="4"/>
  <c r="AO303" i="4"/>
  <c r="AO287" i="4"/>
  <c r="AR234" i="4"/>
  <c r="AR289" i="4"/>
  <c r="AR208" i="4"/>
  <c r="AO310" i="4"/>
  <c r="AO294" i="4"/>
  <c r="AP205" i="4"/>
  <c r="AQ258" i="4"/>
  <c r="AO239" i="4"/>
  <c r="AR269" i="4"/>
  <c r="AR237" i="4"/>
  <c r="AO266" i="4"/>
  <c r="AO217" i="4"/>
  <c r="AO221" i="4"/>
  <c r="AR223" i="4"/>
  <c r="AQ267" i="4"/>
  <c r="AO147" i="4"/>
  <c r="AO235" i="4"/>
  <c r="AP208" i="4"/>
  <c r="AR257" i="4"/>
  <c r="AP234" i="4"/>
  <c r="AO278" i="4"/>
  <c r="AQ257" i="4"/>
  <c r="AO234" i="4"/>
  <c r="AR256" i="4"/>
  <c r="AR216" i="4"/>
  <c r="AO253" i="4"/>
  <c r="AR192" i="4"/>
  <c r="AR231" i="4"/>
  <c r="AQ255" i="4"/>
  <c r="AO213" i="4"/>
  <c r="AO189" i="4"/>
  <c r="AQ221" i="4"/>
  <c r="AQ250" i="4"/>
  <c r="AQ234" i="4"/>
  <c r="AQ190" i="4"/>
  <c r="AR253" i="4"/>
  <c r="AR233" i="4"/>
  <c r="AO274" i="4"/>
  <c r="AQ253" i="4"/>
  <c r="AQ233" i="4"/>
  <c r="AR252" i="4"/>
  <c r="AP212" i="4"/>
  <c r="AQ252" i="4"/>
  <c r="AO179" i="4"/>
  <c r="AQ223" i="4"/>
  <c r="AQ243" i="4"/>
  <c r="AQ204" i="4"/>
  <c r="AQ207" i="4"/>
  <c r="AP159" i="4"/>
  <c r="AQ173" i="4"/>
  <c r="AO245" i="4"/>
  <c r="AR263" i="4"/>
  <c r="AP222" i="4"/>
  <c r="AO240" i="4"/>
  <c r="AO201" i="4"/>
  <c r="AO200" i="4"/>
  <c r="AQ170" i="4"/>
  <c r="AP220" i="4"/>
  <c r="AR265" i="4"/>
  <c r="AP242" i="4"/>
  <c r="AQ181" i="4"/>
  <c r="AQ265" i="4"/>
  <c r="AO242" i="4"/>
  <c r="AR200" i="4"/>
  <c r="AR236" i="4"/>
  <c r="AO269" i="4"/>
  <c r="AR224" i="4"/>
  <c r="AR247" i="4"/>
  <c r="AQ271" i="4"/>
  <c r="AP225" i="4"/>
  <c r="AP151" i="4"/>
  <c r="AQ194" i="4"/>
  <c r="AP230" i="4"/>
  <c r="AP201" i="4"/>
  <c r="AR261" i="4"/>
  <c r="AR245" i="4"/>
  <c r="AP217" i="4"/>
  <c r="AQ277" i="4"/>
  <c r="AQ261" i="4"/>
  <c r="AQ245" i="4"/>
  <c r="AR219" i="4"/>
  <c r="AR260" i="4"/>
  <c r="AR240" i="4"/>
  <c r="AR213" i="4"/>
  <c r="AO261" i="4"/>
  <c r="AO241" i="4"/>
  <c r="AP213" i="4"/>
  <c r="AP248" i="4"/>
  <c r="AR226" i="4"/>
  <c r="AO272" i="4"/>
  <c r="AO244" i="4"/>
  <c r="AQ227" i="4"/>
  <c r="AO205" i="4"/>
  <c r="AQ174" i="4"/>
  <c r="AO212" i="4"/>
  <c r="AO195" i="4"/>
  <c r="AP163" i="4"/>
  <c r="AO227" i="4"/>
  <c r="AO176" i="4"/>
  <c r="AP254" i="4"/>
  <c r="AP238" i="4"/>
  <c r="AP197" i="4"/>
  <c r="AO270" i="4"/>
  <c r="AO254" i="4"/>
  <c r="AO238" i="4"/>
  <c r="AR212" i="4"/>
  <c r="AP253" i="4"/>
  <c r="AP233" i="4"/>
  <c r="AQ276" i="4"/>
  <c r="AQ256" i="4"/>
  <c r="AQ236" i="4"/>
  <c r="AP264" i="4"/>
  <c r="AP240" i="4"/>
  <c r="AR218" i="4"/>
  <c r="AO260" i="4"/>
  <c r="AQ239" i="4"/>
  <c r="AP218" i="4"/>
  <c r="AO197" i="4"/>
  <c r="AR203" i="4"/>
  <c r="AQ180" i="4"/>
  <c r="AR209" i="4"/>
  <c r="AR177" i="4"/>
  <c r="AR235" i="4"/>
  <c r="AP216" i="4"/>
  <c r="AQ259" i="4"/>
  <c r="AQ235" i="4"/>
  <c r="AQ191" i="4"/>
  <c r="AP190" i="4"/>
  <c r="AO192" i="4"/>
  <c r="AP203" i="4"/>
  <c r="AQ163" i="4"/>
  <c r="AO120" i="4"/>
  <c r="AP221" i="4"/>
  <c r="AQ189" i="4"/>
  <c r="AP241" i="4"/>
  <c r="AP214" i="4"/>
  <c r="AQ268" i="4"/>
  <c r="AQ244" i="4"/>
  <c r="AQ216" i="4"/>
  <c r="AR251" i="4"/>
  <c r="AR228" i="4"/>
  <c r="AQ275" i="4"/>
  <c r="AQ251" i="4"/>
  <c r="AQ228" i="4"/>
  <c r="AQ208" i="4"/>
  <c r="AO185" i="4"/>
  <c r="AR136" i="4"/>
  <c r="AQ171" i="4"/>
  <c r="AO202" i="4"/>
  <c r="AP185" i="4"/>
  <c r="AR248" i="4"/>
  <c r="AR232" i="4"/>
  <c r="AP209" i="4"/>
  <c r="AO265" i="4"/>
  <c r="AO249" i="4"/>
  <c r="AO233" i="4"/>
  <c r="AQ188" i="4"/>
  <c r="AR255" i="4"/>
  <c r="AR239" i="4"/>
  <c r="AR225" i="4"/>
  <c r="AO280" i="4"/>
  <c r="AO264" i="4"/>
  <c r="AO248" i="4"/>
  <c r="AO232" i="4"/>
  <c r="AP224" i="4"/>
  <c r="AQ212" i="4"/>
  <c r="AO193" i="4"/>
  <c r="AO181" i="4"/>
  <c r="AR199" i="4"/>
  <c r="AO220" i="4"/>
  <c r="AO178" i="4"/>
  <c r="AO219" i="4"/>
  <c r="AP202" i="4"/>
  <c r="AQ186" i="4"/>
  <c r="AR156" i="4"/>
  <c r="AP261" i="4"/>
  <c r="AP245" i="4"/>
  <c r="AR222" i="4"/>
  <c r="AR196" i="4"/>
  <c r="AQ264" i="4"/>
  <c r="AQ248" i="4"/>
  <c r="AQ232" i="4"/>
  <c r="AO184" i="4"/>
  <c r="AP252" i="4"/>
  <c r="AP236" i="4"/>
  <c r="AQ224" i="4"/>
  <c r="AQ279" i="4"/>
  <c r="AQ263" i="4"/>
  <c r="AQ247" i="4"/>
  <c r="AQ231" i="4"/>
  <c r="AP223" i="4"/>
  <c r="AO209" i="4"/>
  <c r="AQ192" i="4"/>
  <c r="AR178" i="4"/>
  <c r="AP196" i="4"/>
  <c r="AO216" i="4"/>
  <c r="AO146" i="4"/>
  <c r="AO211" i="4"/>
  <c r="AR193" i="4"/>
  <c r="AO152" i="4"/>
  <c r="AP153" i="4"/>
  <c r="AP191" i="4"/>
  <c r="AO175" i="4"/>
  <c r="AR195" i="4"/>
  <c r="AQ215" i="4"/>
  <c r="AR141" i="4"/>
  <c r="AO203" i="4"/>
  <c r="AO177" i="4"/>
  <c r="AO148" i="4"/>
  <c r="AO128" i="4"/>
  <c r="AR259" i="4"/>
  <c r="AR243" i="4"/>
  <c r="AR227" i="4"/>
  <c r="AO284" i="4"/>
  <c r="AO268" i="4"/>
  <c r="AO252" i="4"/>
  <c r="AO236" i="4"/>
  <c r="AQ226" i="4"/>
  <c r="AO183" i="4"/>
  <c r="AQ200" i="4"/>
  <c r="AO187" i="4"/>
  <c r="AP204" i="4"/>
  <c r="AO174" i="4"/>
  <c r="AQ199" i="4"/>
  <c r="AO180" i="4"/>
  <c r="AP210" i="4"/>
  <c r="AQ205" i="4"/>
  <c r="AO167" i="4"/>
  <c r="AQ196" i="4"/>
  <c r="AO186" i="4"/>
  <c r="AR207" i="4"/>
  <c r="AO190" i="4"/>
  <c r="AO208" i="4"/>
  <c r="AR206" i="4"/>
  <c r="AQ210" i="4"/>
  <c r="AP194" i="4"/>
  <c r="AR188" i="4"/>
  <c r="AP178" i="4"/>
  <c r="AQ219" i="4"/>
  <c r="AQ203" i="4"/>
  <c r="AP150" i="4"/>
  <c r="AP199" i="4"/>
  <c r="AP110" i="4"/>
  <c r="AQ206" i="4"/>
  <c r="AQ177" i="4"/>
  <c r="AR205" i="4"/>
  <c r="AR185" i="4"/>
  <c r="AP139" i="4"/>
  <c r="AO214" i="4"/>
  <c r="AQ197" i="4"/>
  <c r="AQ184" i="4"/>
  <c r="AO88" i="4"/>
  <c r="AP155" i="4"/>
  <c r="AO159" i="4"/>
  <c r="AR157" i="4"/>
  <c r="AQ164" i="4"/>
  <c r="AO143" i="4"/>
  <c r="AR184" i="4"/>
  <c r="AO230" i="4"/>
  <c r="AQ213" i="4"/>
  <c r="AO194" i="4"/>
  <c r="AP183" i="4"/>
  <c r="AP175" i="4"/>
  <c r="AO150" i="4"/>
  <c r="AQ154" i="4"/>
  <c r="AO170" i="4"/>
  <c r="AP142" i="4"/>
  <c r="AQ129" i="4"/>
  <c r="AQ218" i="4"/>
  <c r="AQ202" i="4"/>
  <c r="AO160" i="4"/>
  <c r="AR201" i="4"/>
  <c r="AQ183" i="4"/>
  <c r="AQ229" i="4"/>
  <c r="AO210" i="4"/>
  <c r="AQ193" i="4"/>
  <c r="AP179" i="4"/>
  <c r="AR174" i="4"/>
  <c r="AR143" i="4"/>
  <c r="AR134" i="4"/>
  <c r="AQ169" i="4"/>
  <c r="AR139" i="4"/>
  <c r="AR132" i="4"/>
  <c r="AO196" i="4"/>
  <c r="AR210" i="4"/>
  <c r="AR194" i="4"/>
  <c r="AO215" i="4"/>
  <c r="AO199" i="4"/>
  <c r="AP149" i="4"/>
  <c r="AP198" i="4"/>
  <c r="AO182" i="4"/>
  <c r="AO226" i="4"/>
  <c r="AQ209" i="4"/>
  <c r="AR190" i="4"/>
  <c r="AQ176" i="4"/>
  <c r="AP171" i="4"/>
  <c r="AR135" i="4"/>
  <c r="AR133" i="4"/>
  <c r="AO108" i="4"/>
  <c r="AP172" i="4"/>
  <c r="AO67" i="4"/>
  <c r="AP200" i="4"/>
  <c r="AQ178" i="4"/>
  <c r="AQ211" i="4"/>
  <c r="AQ195" i="4"/>
  <c r="AP207" i="4"/>
  <c r="AR182" i="4"/>
  <c r="AQ214" i="4"/>
  <c r="AQ198" i="4"/>
  <c r="AO106" i="4"/>
  <c r="AR197" i="4"/>
  <c r="AQ179" i="4"/>
  <c r="AQ225" i="4"/>
  <c r="AO206" i="4"/>
  <c r="AR189" i="4"/>
  <c r="AO172" i="4"/>
  <c r="AR166" i="4"/>
  <c r="AR131" i="4"/>
  <c r="AP109" i="4"/>
  <c r="AP181" i="4"/>
  <c r="AP164" i="4"/>
  <c r="AR73" i="4"/>
  <c r="AO204" i="4"/>
  <c r="AO168" i="4"/>
  <c r="AR202" i="4"/>
  <c r="AO164" i="4"/>
  <c r="AO207" i="4"/>
  <c r="AQ182" i="4"/>
  <c r="AP206" i="4"/>
  <c r="AR186" i="4"/>
  <c r="AO156" i="4"/>
  <c r="AO218" i="4"/>
  <c r="AO198" i="4"/>
  <c r="AQ185" i="4"/>
  <c r="AP128" i="4"/>
  <c r="AR158" i="4"/>
  <c r="AQ162" i="4"/>
  <c r="AR161" i="4"/>
  <c r="AO165" i="4"/>
  <c r="AO80" i="4"/>
  <c r="AP167" i="4"/>
  <c r="AO151" i="4"/>
  <c r="AO171" i="4"/>
  <c r="AO155" i="4"/>
  <c r="AP120" i="4"/>
  <c r="AR173" i="4"/>
  <c r="AR153" i="4"/>
  <c r="AQ161" i="4"/>
  <c r="AP177" i="4"/>
  <c r="AR145" i="4"/>
  <c r="AQ156" i="4"/>
  <c r="AQ95" i="4"/>
  <c r="AP156" i="4"/>
  <c r="AO109" i="4"/>
  <c r="AO123" i="4"/>
  <c r="AO99" i="4"/>
  <c r="AR96" i="4"/>
  <c r="AP170" i="4"/>
  <c r="AP143" i="4"/>
  <c r="AQ157" i="4"/>
  <c r="AR172" i="4"/>
  <c r="AO140" i="4"/>
  <c r="AR151" i="4"/>
  <c r="AP188" i="4"/>
  <c r="AQ149" i="4"/>
  <c r="AQ91" i="4"/>
  <c r="AO119" i="4"/>
  <c r="AO117" i="4"/>
  <c r="AR66" i="4"/>
  <c r="AQ143" i="4"/>
  <c r="AO105" i="4"/>
  <c r="AR169" i="4"/>
  <c r="AP138" i="4"/>
  <c r="AO154" i="4"/>
  <c r="AP169" i="4"/>
  <c r="AR137" i="4"/>
  <c r="AR150" i="4"/>
  <c r="AR187" i="4"/>
  <c r="AP147" i="4"/>
  <c r="AR126" i="4"/>
  <c r="AO76" i="4"/>
  <c r="AQ108" i="4"/>
  <c r="AR95" i="4"/>
  <c r="AR162" i="4"/>
  <c r="AP141" i="4"/>
  <c r="AQ166" i="4"/>
  <c r="AR138" i="4"/>
  <c r="AP182" i="4"/>
  <c r="AP166" i="4"/>
  <c r="AP134" i="4"/>
  <c r="AQ153" i="4"/>
  <c r="AR164" i="4"/>
  <c r="AO173" i="4"/>
  <c r="AQ147" i="4"/>
  <c r="AP180" i="4"/>
  <c r="AO144" i="4"/>
  <c r="AR122" i="4"/>
  <c r="AR113" i="4"/>
  <c r="AP87" i="4"/>
  <c r="AR58" i="4"/>
  <c r="AP136" i="4"/>
  <c r="AO163" i="4"/>
  <c r="AP135" i="4"/>
  <c r="AR181" i="4"/>
  <c r="AP162" i="4"/>
  <c r="AP116" i="4"/>
  <c r="AP112" i="4"/>
  <c r="AP161" i="4"/>
  <c r="AQ172" i="4"/>
  <c r="AQ146" i="4"/>
  <c r="AR179" i="4"/>
  <c r="AQ131" i="4"/>
  <c r="AP115" i="4"/>
  <c r="AQ104" i="4"/>
  <c r="AO79" i="4"/>
  <c r="AQ37" i="4"/>
  <c r="AQ217" i="4"/>
  <c r="AQ201" i="4"/>
  <c r="AQ187" i="4"/>
  <c r="AQ159" i="4"/>
  <c r="AR170" i="4"/>
  <c r="AR154" i="4"/>
  <c r="AP124" i="4"/>
  <c r="AQ158" i="4"/>
  <c r="AR127" i="4"/>
  <c r="AP174" i="4"/>
  <c r="AP154" i="4"/>
  <c r="AO162" i="4"/>
  <c r="AR180" i="4"/>
  <c r="AR146" i="4"/>
  <c r="AO157" i="4"/>
  <c r="AO107" i="4"/>
  <c r="AR163" i="4"/>
  <c r="AO111" i="4"/>
  <c r="AO135" i="4"/>
  <c r="AP129" i="4"/>
  <c r="AP69" i="4"/>
  <c r="AR165" i="4"/>
  <c r="AR140" i="4"/>
  <c r="AQ165" i="4"/>
  <c r="AR119" i="4"/>
  <c r="AP173" i="4"/>
  <c r="AP157" i="4"/>
  <c r="AR142" i="4"/>
  <c r="AQ168" i="4"/>
  <c r="AQ152" i="4"/>
  <c r="AP144" i="4"/>
  <c r="AR191" i="4"/>
  <c r="AR175" i="4"/>
  <c r="AR159" i="4"/>
  <c r="AP145" i="4"/>
  <c r="AQ123" i="4"/>
  <c r="AO98" i="4"/>
  <c r="AR118" i="4"/>
  <c r="AQ138" i="4"/>
  <c r="AQ83" i="4"/>
  <c r="AQ133" i="4"/>
  <c r="AR108" i="4"/>
  <c r="AO66" i="4"/>
  <c r="AR89" i="4"/>
  <c r="AP77" i="4"/>
  <c r="AR42" i="4"/>
  <c r="AR171" i="4"/>
  <c r="AR155" i="4"/>
  <c r="AP132" i="4"/>
  <c r="AO116" i="4"/>
  <c r="AO84" i="4"/>
  <c r="AR102" i="4"/>
  <c r="AQ130" i="4"/>
  <c r="AR129" i="4"/>
  <c r="AO122" i="4"/>
  <c r="AQ144" i="4"/>
  <c r="AP75" i="4"/>
  <c r="AR72" i="4"/>
  <c r="AO89" i="4"/>
  <c r="AQ60" i="4"/>
  <c r="AP158" i="4"/>
  <c r="AR123" i="4"/>
  <c r="AO158" i="4"/>
  <c r="AQ98" i="4"/>
  <c r="AR168" i="4"/>
  <c r="AR152" i="4"/>
  <c r="AR115" i="4"/>
  <c r="AO161" i="4"/>
  <c r="AR149" i="4"/>
  <c r="AP137" i="4"/>
  <c r="AP184" i="4"/>
  <c r="AP168" i="4"/>
  <c r="AP152" i="4"/>
  <c r="AO136" i="4"/>
  <c r="AQ115" i="4"/>
  <c r="AP131" i="4"/>
  <c r="AO100" i="4"/>
  <c r="AO127" i="4"/>
  <c r="AP122" i="4"/>
  <c r="AO118" i="4"/>
  <c r="AO141" i="4"/>
  <c r="AO95" i="4"/>
  <c r="AO94" i="4"/>
  <c r="AO73" i="4"/>
  <c r="AR55" i="4"/>
  <c r="AP165" i="4"/>
  <c r="AR147" i="4"/>
  <c r="AP103" i="4"/>
  <c r="AQ160" i="4"/>
  <c r="AR148" i="4"/>
  <c r="AP111" i="4"/>
  <c r="AR183" i="4"/>
  <c r="AR167" i="4"/>
  <c r="AQ150" i="4"/>
  <c r="AO132" i="4"/>
  <c r="AO112" i="4"/>
  <c r="AP127" i="4"/>
  <c r="AQ87" i="4"/>
  <c r="AQ126" i="4"/>
  <c r="AR121" i="4"/>
  <c r="AR105" i="4"/>
  <c r="AQ128" i="4"/>
  <c r="AQ82" i="4"/>
  <c r="AQ81" i="4"/>
  <c r="AQ66" i="4"/>
  <c r="AQ14" i="4"/>
  <c r="AO166" i="4"/>
  <c r="AP140" i="4"/>
  <c r="AR176" i="4"/>
  <c r="AR160" i="4"/>
  <c r="AR144" i="4"/>
  <c r="AO169" i="4"/>
  <c r="AO153" i="4"/>
  <c r="AQ145" i="4"/>
  <c r="AP192" i="4"/>
  <c r="AP176" i="4"/>
  <c r="AP160" i="4"/>
  <c r="AP146" i="4"/>
  <c r="AQ127" i="4"/>
  <c r="AO103" i="4"/>
  <c r="AP119" i="4"/>
  <c r="AQ142" i="4"/>
  <c r="AO115" i="4"/>
  <c r="AO142" i="4"/>
  <c r="AR116" i="4"/>
  <c r="AO101" i="4"/>
  <c r="AQ47" i="4"/>
  <c r="AP93" i="4"/>
  <c r="AR57" i="4"/>
  <c r="AQ63" i="4"/>
  <c r="AQ79" i="4"/>
  <c r="AR106" i="4"/>
  <c r="AQ107" i="4"/>
  <c r="AO113" i="4"/>
  <c r="AR74" i="4"/>
  <c r="AP102" i="4"/>
  <c r="AO78" i="4"/>
  <c r="AQ64" i="4"/>
  <c r="AR54" i="4"/>
  <c r="AR47" i="4"/>
  <c r="AQ151" i="4"/>
  <c r="AQ139" i="4"/>
  <c r="AO124" i="4"/>
  <c r="AO110" i="4"/>
  <c r="AR130" i="4"/>
  <c r="AR114" i="4"/>
  <c r="AO139" i="4"/>
  <c r="AQ122" i="4"/>
  <c r="AP126" i="4"/>
  <c r="AQ141" i="4"/>
  <c r="AQ67" i="4"/>
  <c r="AP36" i="4"/>
  <c r="AP107" i="4"/>
  <c r="AO91" i="4"/>
  <c r="AP86" i="4"/>
  <c r="AO68" i="4"/>
  <c r="AQ88" i="4"/>
  <c r="AP50" i="4"/>
  <c r="AQ36" i="4"/>
  <c r="AP148" i="4"/>
  <c r="AQ135" i="4"/>
  <c r="AQ119" i="4"/>
  <c r="AQ100" i="4"/>
  <c r="AP123" i="4"/>
  <c r="AQ97" i="4"/>
  <c r="AO131" i="4"/>
  <c r="AQ114" i="4"/>
  <c r="AP118" i="4"/>
  <c r="AQ125" i="4"/>
  <c r="AR120" i="4"/>
  <c r="AO129" i="4"/>
  <c r="AR90" i="4"/>
  <c r="AR70" i="4"/>
  <c r="AP22" i="4"/>
  <c r="AR80" i="4"/>
  <c r="AR99" i="4"/>
  <c r="AR34" i="4"/>
  <c r="AQ134" i="4"/>
  <c r="AQ118" i="4"/>
  <c r="AP130" i="4"/>
  <c r="AP114" i="4"/>
  <c r="AO134" i="4"/>
  <c r="AQ113" i="4"/>
  <c r="AP121" i="4"/>
  <c r="AQ101" i="4"/>
  <c r="AO133" i="4"/>
  <c r="AQ111" i="4"/>
  <c r="AP91" i="4"/>
  <c r="AQ51" i="4"/>
  <c r="AQ74" i="4"/>
  <c r="AP94" i="4"/>
  <c r="AQ68" i="4"/>
  <c r="AQ72" i="4"/>
  <c r="AP85" i="4"/>
  <c r="AQ96" i="4"/>
  <c r="AR107" i="4"/>
  <c r="AO47" i="4"/>
  <c r="AP57" i="4"/>
  <c r="AO22" i="4"/>
  <c r="AQ102" i="4"/>
  <c r="AR125" i="4"/>
  <c r="AO102" i="4"/>
  <c r="AO126" i="4"/>
  <c r="AQ75" i="4"/>
  <c r="AP113" i="4"/>
  <c r="AO149" i="4"/>
  <c r="AO125" i="4"/>
  <c r="AP105" i="4"/>
  <c r="AR82" i="4"/>
  <c r="AQ90" i="4"/>
  <c r="AQ65" i="4"/>
  <c r="AR81" i="4"/>
  <c r="AQ89" i="4"/>
  <c r="AR104" i="4"/>
  <c r="AO72" i="4"/>
  <c r="AO81" i="4"/>
  <c r="AR87" i="4"/>
  <c r="AO58" i="4"/>
  <c r="AP43" i="4"/>
  <c r="AP28" i="4"/>
  <c r="AR112" i="4"/>
  <c r="AO145" i="4"/>
  <c r="AQ120" i="4"/>
  <c r="AQ103" i="4"/>
  <c r="AP79" i="4"/>
  <c r="AO87" i="4"/>
  <c r="AO56" i="4"/>
  <c r="AP78" i="4"/>
  <c r="AO86" i="4"/>
  <c r="AP101" i="4"/>
  <c r="AO71" i="4"/>
  <c r="AQ80" i="4"/>
  <c r="AP80" i="4"/>
  <c r="AQ57" i="4"/>
  <c r="AP31" i="4"/>
  <c r="AQ15" i="4"/>
  <c r="AO48" i="4"/>
  <c r="AR117" i="4"/>
  <c r="AO138" i="4"/>
  <c r="AQ117" i="4"/>
  <c r="AR128" i="4"/>
  <c r="AQ105" i="4"/>
  <c r="AQ136" i="4"/>
  <c r="AQ112" i="4"/>
  <c r="AP95" i="4"/>
  <c r="AP67" i="4"/>
  <c r="AO75" i="4"/>
  <c r="AR97" i="4"/>
  <c r="AQ69" i="4"/>
  <c r="AQ73" i="4"/>
  <c r="AR88" i="4"/>
  <c r="AO97" i="4"/>
  <c r="AP108" i="4"/>
  <c r="AP27" i="4"/>
  <c r="AR60" i="4"/>
  <c r="AQ29" i="4"/>
  <c r="AQ137" i="4"/>
  <c r="AQ121" i="4"/>
  <c r="AP99" i="4"/>
  <c r="AR124" i="4"/>
  <c r="AR109" i="4"/>
  <c r="AO60" i="4"/>
  <c r="AO137" i="4"/>
  <c r="AO121" i="4"/>
  <c r="AQ109" i="4"/>
  <c r="AO92" i="4"/>
  <c r="AP83" i="4"/>
  <c r="AQ58" i="4"/>
  <c r="AO83" i="4"/>
  <c r="AR68" i="4"/>
  <c r="AP98" i="4"/>
  <c r="AP82" i="4"/>
  <c r="AQ70" i="4"/>
  <c r="AO90" i="4"/>
  <c r="AO74" i="4"/>
  <c r="AQ59" i="4"/>
  <c r="AP89" i="4"/>
  <c r="AP73" i="4"/>
  <c r="AO59" i="4"/>
  <c r="AQ84" i="4"/>
  <c r="AQ55" i="4"/>
  <c r="AP88" i="4"/>
  <c r="AR50" i="4"/>
  <c r="AR37" i="4"/>
  <c r="AP65" i="4"/>
  <c r="AQ44" i="4"/>
  <c r="AO23" i="4"/>
  <c r="AR31" i="4"/>
  <c r="AQ99" i="4"/>
  <c r="AO130" i="4"/>
  <c r="AO114" i="4"/>
  <c r="AP133" i="4"/>
  <c r="AP117" i="4"/>
  <c r="AQ106" i="4"/>
  <c r="AQ148" i="4"/>
  <c r="AQ132" i="4"/>
  <c r="AQ116" i="4"/>
  <c r="AP106" i="4"/>
  <c r="AR94" i="4"/>
  <c r="AR78" i="4"/>
  <c r="AQ94" i="4"/>
  <c r="AQ78" i="4"/>
  <c r="AO63" i="4"/>
  <c r="AR93" i="4"/>
  <c r="AR77" i="4"/>
  <c r="AO65" i="4"/>
  <c r="AQ85" i="4"/>
  <c r="AP71" i="4"/>
  <c r="AR100" i="4"/>
  <c r="AR84" i="4"/>
  <c r="AO70" i="4"/>
  <c r="AO93" i="4"/>
  <c r="AO77" i="4"/>
  <c r="AP104" i="4"/>
  <c r="AR79" i="4"/>
  <c r="AR65" i="4"/>
  <c r="AQ49" i="4"/>
  <c r="AR52" i="4"/>
  <c r="AR63" i="4"/>
  <c r="AQ21" i="4"/>
  <c r="AQ31" i="4"/>
  <c r="AP90" i="4"/>
  <c r="AP74" i="4"/>
  <c r="AR62" i="4"/>
  <c r="AO82" i="4"/>
  <c r="AP70" i="4"/>
  <c r="AP97" i="4"/>
  <c r="AP81" i="4"/>
  <c r="AO69" i="4"/>
  <c r="AQ92" i="4"/>
  <c r="AQ76" i="4"/>
  <c r="AR103" i="4"/>
  <c r="AP66" i="4"/>
  <c r="AR61" i="4"/>
  <c r="AO46" i="4"/>
  <c r="AQ40" i="4"/>
  <c r="AP60" i="4"/>
  <c r="AQ10" i="4"/>
  <c r="AO20" i="4"/>
  <c r="AO104" i="4"/>
  <c r="AP125" i="4"/>
  <c r="AR110" i="4"/>
  <c r="AO96" i="4"/>
  <c r="AQ140" i="4"/>
  <c r="AQ124" i="4"/>
  <c r="AQ110" i="4"/>
  <c r="AR98" i="4"/>
  <c r="AR86" i="4"/>
  <c r="AP63" i="4"/>
  <c r="AQ86" i="4"/>
  <c r="AR69" i="4"/>
  <c r="AR101" i="4"/>
  <c r="AR85" i="4"/>
  <c r="AQ71" i="4"/>
  <c r="AQ93" i="4"/>
  <c r="AQ77" i="4"/>
  <c r="AQ62" i="4"/>
  <c r="AR92" i="4"/>
  <c r="AR76" i="4"/>
  <c r="AO62" i="4"/>
  <c r="AO85" i="4"/>
  <c r="AO64" i="4"/>
  <c r="AR91" i="4"/>
  <c r="AP51" i="4"/>
  <c r="AR45" i="4"/>
  <c r="AP19" i="4"/>
  <c r="AO57" i="4"/>
  <c r="AR22" i="4"/>
  <c r="AP12" i="4"/>
  <c r="AP96" i="4"/>
  <c r="AP76" i="4"/>
  <c r="AO51" i="4"/>
  <c r="AR38" i="4"/>
  <c r="AR41" i="4"/>
  <c r="AP49" i="4"/>
  <c r="AP40" i="4"/>
  <c r="AQ30" i="4"/>
  <c r="AQ12" i="4"/>
  <c r="AO28" i="4"/>
  <c r="AR111" i="4"/>
  <c r="AP92" i="4"/>
  <c r="AO55" i="4"/>
  <c r="AR25" i="4"/>
  <c r="AP23" i="4"/>
  <c r="AO35" i="4"/>
  <c r="AP39" i="4"/>
  <c r="AP26" i="4"/>
  <c r="AQ13" i="4"/>
  <c r="AO25" i="4"/>
  <c r="AR11" i="4"/>
  <c r="AR75" i="4"/>
  <c r="AR33" i="4"/>
  <c r="AP58" i="4"/>
  <c r="AP11" i="4"/>
  <c r="AR40" i="4"/>
  <c r="AP53" i="4"/>
  <c r="AR26" i="4"/>
  <c r="AO39" i="4"/>
  <c r="AP52" i="4"/>
  <c r="AQ22" i="4"/>
  <c r="AR14" i="4"/>
  <c r="AO33" i="4"/>
  <c r="AP20" i="4"/>
  <c r="AP15" i="4"/>
  <c r="AP44" i="4"/>
  <c r="AO11" i="4"/>
  <c r="AR28" i="4"/>
  <c r="AQ20" i="4"/>
  <c r="AO44" i="4"/>
  <c r="AP13" i="4"/>
  <c r="AP59" i="4"/>
  <c r="AQ50" i="4"/>
  <c r="AR49" i="4"/>
  <c r="AO54" i="4"/>
  <c r="AR21" i="4"/>
  <c r="AR44" i="4"/>
  <c r="AQ52" i="4"/>
  <c r="AR71" i="4"/>
  <c r="AO41" i="4"/>
  <c r="AR10" i="4"/>
  <c r="AP21" i="4"/>
  <c r="AO17" i="4"/>
  <c r="AQ39" i="4"/>
  <c r="AT24" i="4"/>
  <c r="AR43" i="4"/>
  <c r="AO49" i="4"/>
  <c r="AP68" i="4"/>
  <c r="AR36" i="4"/>
  <c r="AO30" i="4"/>
  <c r="AR20" i="4"/>
  <c r="AO14" i="4"/>
  <c r="AO36" i="4"/>
  <c r="AS10" i="4"/>
  <c r="AO13" i="4"/>
  <c r="AP29" i="4"/>
  <c r="AQ28" i="4"/>
  <c r="AR23" i="4"/>
  <c r="AQ23" i="4"/>
  <c r="AU10" i="4"/>
  <c r="AU158" i="4"/>
  <c r="AP10" i="4"/>
  <c r="AR83" i="4"/>
  <c r="AR29" i="4"/>
  <c r="AR46" i="4"/>
  <c r="AR35" i="4"/>
  <c r="AR53" i="4"/>
  <c r="AR30" i="4"/>
  <c r="AO50" i="4"/>
  <c r="AQ38" i="4"/>
  <c r="AP61" i="4"/>
  <c r="AP45" i="4"/>
  <c r="AP37" i="4"/>
  <c r="AO53" i="4"/>
  <c r="AP41" i="4"/>
  <c r="AP72" i="4"/>
  <c r="AP56" i="4"/>
  <c r="AO42" i="4"/>
  <c r="AQ26" i="4"/>
  <c r="AR17" i="4"/>
  <c r="AQ25" i="4"/>
  <c r="AR32" i="4"/>
  <c r="AR16" i="4"/>
  <c r="AO29" i="4"/>
  <c r="AR15" i="4"/>
  <c r="AP24" i="4"/>
  <c r="AO40" i="4"/>
  <c r="AO24" i="4"/>
  <c r="AQ11" i="4"/>
  <c r="AT7" i="4"/>
  <c r="AP55" i="4"/>
  <c r="AQ54" i="4"/>
  <c r="AP62" i="4"/>
  <c r="AP46" i="4"/>
  <c r="AQ61" i="4"/>
  <c r="AQ45" i="4"/>
  <c r="AP30" i="4"/>
  <c r="AR56" i="4"/>
  <c r="AQ42" i="4"/>
  <c r="AO15" i="4"/>
  <c r="AQ48" i="4"/>
  <c r="AO38" i="4"/>
  <c r="AR67" i="4"/>
  <c r="AR51" i="4"/>
  <c r="AP34" i="4"/>
  <c r="AO19" i="4"/>
  <c r="AO34" i="4"/>
  <c r="AO18" i="4"/>
  <c r="AP25" i="4"/>
  <c r="AO10" i="4"/>
  <c r="AQ24" i="4"/>
  <c r="AQ9" i="4"/>
  <c r="AR19" i="4"/>
  <c r="AQ35" i="4"/>
  <c r="AQ19" i="4"/>
  <c r="AO9" i="4"/>
  <c r="AT119" i="4"/>
  <c r="AQ41" i="4"/>
  <c r="AO61" i="4"/>
  <c r="AO45" i="4"/>
  <c r="AQ34" i="4"/>
  <c r="AP64" i="4"/>
  <c r="AP48" i="4"/>
  <c r="AO31" i="4"/>
  <c r="AQ18" i="4"/>
  <c r="AQ33" i="4"/>
  <c r="AQ17" i="4"/>
  <c r="AR24" i="4"/>
  <c r="AO37" i="4"/>
  <c r="AO21" i="4"/>
  <c r="AP32" i="4"/>
  <c r="AP16" i="4"/>
  <c r="AO32" i="4"/>
  <c r="AO16" i="4"/>
  <c r="AS21" i="4"/>
  <c r="AU106" i="4"/>
  <c r="AP100" i="4"/>
  <c r="AP84" i="4"/>
  <c r="AO52" i="4"/>
  <c r="AP47" i="4"/>
  <c r="AQ46" i="4"/>
  <c r="AP54" i="4"/>
  <c r="AP35" i="4"/>
  <c r="AQ53" i="4"/>
  <c r="AR39" i="4"/>
  <c r="AR64" i="4"/>
  <c r="AR48" i="4"/>
  <c r="AP38" i="4"/>
  <c r="AQ56" i="4"/>
  <c r="AP42" i="4"/>
  <c r="AR18" i="4"/>
  <c r="AR59" i="4"/>
  <c r="AO43" i="4"/>
  <c r="AO27" i="4"/>
  <c r="AP18" i="4"/>
  <c r="AO26" i="4"/>
  <c r="AP33" i="4"/>
  <c r="AP17" i="4"/>
  <c r="AQ32" i="4"/>
  <c r="AQ16" i="4"/>
  <c r="AR27" i="4"/>
  <c r="AQ43" i="4"/>
  <c r="AQ27" i="4"/>
  <c r="AO12" i="4"/>
  <c r="AT18" i="4"/>
  <c r="AS5" i="4"/>
  <c r="AT13" i="4"/>
  <c r="AS14" i="4"/>
  <c r="AS92" i="4"/>
  <c r="AT8" i="4"/>
  <c r="AU16" i="4"/>
  <c r="AV57" i="4"/>
  <c r="AU74" i="4"/>
  <c r="AU11" i="4"/>
  <c r="AW22" i="4"/>
  <c r="AW91" i="4"/>
  <c r="AV37" i="4"/>
  <c r="AP14" i="4"/>
  <c r="AT16" i="4"/>
  <c r="AU5" i="4"/>
  <c r="AU124" i="4"/>
  <c r="AT141" i="4"/>
  <c r="AR13" i="4"/>
  <c r="AW17" i="4"/>
  <c r="AS15" i="4"/>
  <c r="AS144" i="4"/>
  <c r="AW78" i="4"/>
  <c r="AR9" i="4"/>
  <c r="AW9" i="4"/>
  <c r="AV22" i="4"/>
  <c r="AW14" i="4"/>
  <c r="AS7" i="4"/>
  <c r="AW19" i="4"/>
  <c r="AS12" i="4"/>
  <c r="AU36" i="4"/>
  <c r="AU70" i="4"/>
  <c r="AV104" i="4"/>
  <c r="AS133" i="4"/>
  <c r="AU150" i="4"/>
  <c r="AT163" i="4"/>
  <c r="AU114" i="4"/>
  <c r="AV101" i="4"/>
  <c r="AT87" i="4"/>
  <c r="AU66" i="4"/>
  <c r="AV9" i="4"/>
  <c r="AW118" i="4"/>
  <c r="AU48" i="4"/>
  <c r="AV8" i="4"/>
  <c r="AU21" i="4"/>
  <c r="AV13" i="4"/>
  <c r="AV40" i="4"/>
  <c r="AW74" i="4"/>
  <c r="AW108" i="4"/>
  <c r="AV135" i="4"/>
  <c r="AS152" i="4"/>
  <c r="AW164" i="4"/>
  <c r="AW112" i="4"/>
  <c r="AS100" i="4"/>
  <c r="AS84" i="4"/>
  <c r="AT63" i="4"/>
  <c r="AU6" i="4"/>
  <c r="AV115" i="4"/>
  <c r="AV118" i="4"/>
  <c r="AR12" i="4"/>
  <c r="AS13" i="4"/>
  <c r="AT5" i="4"/>
  <c r="AS18" i="4"/>
  <c r="AT10" i="4"/>
  <c r="AS23" i="4"/>
  <c r="AT15" i="4"/>
  <c r="AW44" i="4"/>
  <c r="AS79" i="4"/>
  <c r="AT113" i="4"/>
  <c r="AV137" i="4"/>
  <c r="AV153" i="4"/>
  <c r="AU166" i="4"/>
  <c r="AT111" i="4"/>
  <c r="AW96" i="4"/>
  <c r="AW80" i="4"/>
  <c r="AT55" i="4"/>
  <c r="AS19" i="4"/>
  <c r="AS106" i="4"/>
  <c r="AS109" i="4"/>
  <c r="AP9" i="4"/>
  <c r="AV14" i="4"/>
  <c r="AW6" i="4"/>
  <c r="AV19" i="4"/>
  <c r="AW11" i="4"/>
  <c r="AV24" i="4"/>
  <c r="AW16" i="4"/>
  <c r="AT49" i="4"/>
  <c r="AT83" i="4"/>
  <c r="AU117" i="4"/>
  <c r="AW139" i="4"/>
  <c r="AT155" i="4"/>
  <c r="AS168" i="4"/>
  <c r="AV109" i="4"/>
  <c r="AT95" i="4"/>
  <c r="AT79" i="4"/>
  <c r="AV53" i="4"/>
  <c r="AV12" i="4"/>
  <c r="AW102" i="4"/>
  <c r="AS45" i="4"/>
  <c r="AU8" i="4"/>
  <c r="AT21" i="4"/>
  <c r="AU13" i="4"/>
  <c r="AV5" i="4"/>
  <c r="AU18" i="4"/>
  <c r="AU53" i="4"/>
  <c r="AV87" i="4"/>
  <c r="AT121" i="4"/>
  <c r="AS142" i="4"/>
  <c r="AW156" i="4"/>
  <c r="AV169" i="4"/>
  <c r="AS108" i="4"/>
  <c r="AV93" i="4"/>
  <c r="AS76" i="4"/>
  <c r="AU50" i="4"/>
  <c r="AS146" i="4"/>
  <c r="AS90" i="4"/>
  <c r="AU15" i="4"/>
  <c r="AV6" i="4"/>
  <c r="AU19" i="4"/>
  <c r="AV11" i="4"/>
  <c r="AU24" i="4"/>
  <c r="AV16" i="4"/>
  <c r="AW8" i="4"/>
  <c r="AT25" i="4"/>
  <c r="AS62" i="4"/>
  <c r="AS96" i="4"/>
  <c r="AV127" i="4"/>
  <c r="AT146" i="4"/>
  <c r="AS160" i="4"/>
  <c r="AV117" i="4"/>
  <c r="AW104" i="4"/>
  <c r="AU90" i="4"/>
  <c r="AT71" i="4"/>
  <c r="AV29" i="4"/>
  <c r="AT133" i="4"/>
  <c r="AV75" i="4"/>
  <c r="AV31" i="4"/>
  <c r="AT66" i="4"/>
  <c r="AU100" i="4"/>
  <c r="AU130" i="4"/>
  <c r="AU148" i="4"/>
  <c r="AV161" i="4"/>
  <c r="AS116" i="4"/>
  <c r="AT103" i="4"/>
  <c r="AW88" i="4"/>
  <c r="AS68" i="4"/>
  <c r="AS28" i="4"/>
  <c r="AU120" i="4"/>
  <c r="AT53" i="4"/>
  <c r="I33" i="2"/>
  <c r="AW24" i="4"/>
  <c r="AU144" i="4"/>
  <c r="AV107" i="4"/>
  <c r="AU72" i="4"/>
  <c r="AV38" i="4"/>
  <c r="AW55" i="4"/>
  <c r="AU42" i="4"/>
  <c r="AS31" i="4"/>
  <c r="AV131" i="4"/>
  <c r="AW94" i="4"/>
  <c r="AS34" i="4"/>
  <c r="AU41" i="4"/>
  <c r="AW40" i="4"/>
  <c r="AW21" i="4"/>
  <c r="AU128" i="4"/>
  <c r="AT93" i="4"/>
  <c r="AW121" i="4"/>
  <c r="AV138" i="4"/>
  <c r="AV77" i="4"/>
  <c r="AW64" i="4"/>
  <c r="AS52" i="4"/>
  <c r="AT39" i="4"/>
  <c r="AU26" i="4"/>
  <c r="AV32" i="4"/>
  <c r="AW15" i="4"/>
  <c r="AW142" i="4"/>
  <c r="AS130" i="4"/>
  <c r="AT117" i="4"/>
  <c r="AU104" i="4"/>
  <c r="AV91" i="4"/>
  <c r="AS74" i="4"/>
  <c r="AT37" i="4"/>
  <c r="AT112" i="4"/>
  <c r="AV18" i="4"/>
  <c r="AS27" i="4"/>
  <c r="AV61" i="4"/>
  <c r="AW48" i="4"/>
  <c r="AS36" i="4"/>
  <c r="AS22" i="4"/>
  <c r="AU29" i="4"/>
  <c r="AU9" i="4"/>
  <c r="AV139" i="4"/>
  <c r="AW126" i="4"/>
  <c r="AS114" i="4"/>
  <c r="AT101" i="4"/>
  <c r="AU88" i="4"/>
  <c r="AW70" i="4"/>
  <c r="AT29" i="4"/>
  <c r="AU91" i="4"/>
  <c r="AV108" i="4"/>
  <c r="AU79" i="4"/>
  <c r="AU98" i="4"/>
  <c r="AV85" i="4"/>
  <c r="AW72" i="4"/>
  <c r="AS60" i="4"/>
  <c r="AT47" i="4"/>
  <c r="AU34" i="4"/>
  <c r="AT19" i="4"/>
  <c r="AW27" i="4"/>
  <c r="AT6" i="4"/>
  <c r="AS138" i="4"/>
  <c r="AT125" i="4"/>
  <c r="AU112" i="4"/>
  <c r="AV99" i="4"/>
  <c r="AW86" i="4"/>
  <c r="AT61" i="4"/>
  <c r="AV27" i="4"/>
  <c r="AS85" i="4"/>
  <c r="AW103" i="4"/>
  <c r="AS65" i="4"/>
  <c r="AU58" i="4"/>
  <c r="AV45" i="4"/>
  <c r="AW32" i="4"/>
  <c r="AS16" i="4"/>
  <c r="AT26" i="4"/>
  <c r="AT149" i="4"/>
  <c r="AU136" i="4"/>
  <c r="AV123" i="4"/>
  <c r="AW110" i="4"/>
  <c r="AS98" i="4"/>
  <c r="AT85" i="4"/>
  <c r="AS58" i="4"/>
  <c r="AW23" i="4"/>
  <c r="AS77" i="4"/>
  <c r="AU89" i="4"/>
  <c r="AV34" i="4"/>
  <c r="AU82" i="4"/>
  <c r="AV69" i="4"/>
  <c r="AW56" i="4"/>
  <c r="AS44" i="4"/>
  <c r="AT31" i="4"/>
  <c r="AW12" i="4"/>
  <c r="AS24" i="4"/>
  <c r="AV147" i="4"/>
  <c r="AW134" i="4"/>
  <c r="AS122" i="4"/>
  <c r="AT109" i="4"/>
  <c r="AU96" i="4"/>
  <c r="AS82" i="4"/>
  <c r="AW54" i="4"/>
  <c r="AU123" i="4"/>
  <c r="AV70" i="4"/>
  <c r="AS83" i="4"/>
  <c r="AW13" i="4"/>
  <c r="AU83" i="4"/>
  <c r="AU27" i="4"/>
  <c r="AU97" i="4"/>
  <c r="AV28" i="4"/>
  <c r="AS49" i="4"/>
  <c r="AV83" i="4"/>
  <c r="AT69" i="4"/>
  <c r="AW46" i="4"/>
  <c r="AV15" i="4"/>
  <c r="AU107" i="4"/>
  <c r="AT64" i="4"/>
  <c r="AU129" i="4"/>
  <c r="AT78" i="4"/>
  <c r="AT124" i="4"/>
  <c r="AS199" i="4"/>
  <c r="AS66" i="4"/>
  <c r="AT45" i="4"/>
  <c r="AT9" i="4"/>
  <c r="AU99" i="4"/>
  <c r="AU59" i="4"/>
  <c r="AS123" i="4"/>
  <c r="AU65" i="4"/>
  <c r="AW109" i="4"/>
  <c r="AU205" i="4"/>
  <c r="AU80" i="4"/>
  <c r="AW62" i="4"/>
  <c r="AU40" i="4"/>
  <c r="AS6" i="4"/>
  <c r="AT96" i="4"/>
  <c r="AV46" i="4"/>
  <c r="AV116" i="4"/>
  <c r="AW63" i="4"/>
  <c r="AT92" i="4"/>
  <c r="AU291" i="4"/>
  <c r="I29" i="2"/>
  <c r="AV67" i="4"/>
  <c r="AS50" i="4"/>
  <c r="AU32" i="4"/>
  <c r="AV126" i="4"/>
  <c r="AV102" i="4"/>
  <c r="AT72" i="4"/>
  <c r="AW33" i="4"/>
  <c r="AS115" i="4"/>
  <c r="AW71" i="4"/>
  <c r="AW149" i="4"/>
  <c r="AV50" i="4"/>
  <c r="AU249" i="4"/>
  <c r="AV182" i="4"/>
  <c r="AV59" i="4"/>
  <c r="AS42" i="4"/>
  <c r="AW18" i="4"/>
  <c r="AS117" i="4"/>
  <c r="AW89" i="4"/>
  <c r="AS53" i="4"/>
  <c r="AT134" i="4"/>
  <c r="AS91" i="4"/>
  <c r="AS51" i="4"/>
  <c r="AV106" i="4"/>
  <c r="AS136" i="4"/>
  <c r="AT77" i="4"/>
  <c r="AU64" i="4"/>
  <c r="AV51" i="4"/>
  <c r="AW38" i="4"/>
  <c r="AS26" i="4"/>
  <c r="AT128" i="4"/>
  <c r="AU115" i="4"/>
  <c r="AW97" i="4"/>
  <c r="AV78" i="4"/>
  <c r="AW57" i="4"/>
  <c r="AT32" i="4"/>
  <c r="AW127" i="4"/>
  <c r="AT102" i="4"/>
  <c r="AV76" i="4"/>
  <c r="AU49" i="4"/>
  <c r="AS137" i="4"/>
  <c r="AW77" i="4"/>
  <c r="O3" i="4"/>
  <c r="AN45" i="4" s="1"/>
  <c r="AS243" i="4"/>
  <c r="AV35" i="4"/>
  <c r="AV21" i="4"/>
  <c r="AS125" i="4"/>
  <c r="AV110" i="4"/>
  <c r="AV94" i="4"/>
  <c r="AW73" i="4"/>
  <c r="AU51" i="4"/>
  <c r="AW25" i="4"/>
  <c r="AU121" i="4"/>
  <c r="AW95" i="4"/>
  <c r="AT70" i="4"/>
  <c r="AW39" i="4"/>
  <c r="AV122" i="4"/>
  <c r="AU63" i="4"/>
  <c r="AT138" i="4"/>
  <c r="AS173" i="4"/>
  <c r="AU56" i="4"/>
  <c r="AV43" i="4"/>
  <c r="AW30" i="4"/>
  <c r="AU12" i="4"/>
  <c r="AT120" i="4"/>
  <c r="AT104" i="4"/>
  <c r="AV86" i="4"/>
  <c r="AW65" i="4"/>
  <c r="AT40" i="4"/>
  <c r="AW5" i="4"/>
  <c r="AT110" i="4"/>
  <c r="AV84" i="4"/>
  <c r="AS59" i="4"/>
  <c r="AW7" i="4"/>
  <c r="AW93" i="4"/>
  <c r="AT36" i="4"/>
  <c r="AV278" i="4"/>
  <c r="AW105" i="4"/>
  <c r="AS93" i="4"/>
  <c r="AT80" i="4"/>
  <c r="AU67" i="4"/>
  <c r="AV54" i="4"/>
  <c r="AW41" i="4"/>
  <c r="AS29" i="4"/>
  <c r="AS9" i="4"/>
  <c r="AV124" i="4"/>
  <c r="AW111" i="4"/>
  <c r="AS99" i="4"/>
  <c r="AT86" i="4"/>
  <c r="AU73" i="4"/>
  <c r="AV60" i="4"/>
  <c r="AS43" i="4"/>
  <c r="AU20" i="4"/>
  <c r="AV130" i="4"/>
  <c r="AW101" i="4"/>
  <c r="AS73" i="4"/>
  <c r="AV42" i="4"/>
  <c r="AU54" i="4"/>
  <c r="AV254" i="4"/>
  <c r="AV222" i="4"/>
  <c r="AW113" i="4"/>
  <c r="AS101" i="4"/>
  <c r="AT88" i="4"/>
  <c r="AU75" i="4"/>
  <c r="AV62" i="4"/>
  <c r="AW49" i="4"/>
  <c r="AS37" i="4"/>
  <c r="AV23" i="4"/>
  <c r="AV132" i="4"/>
  <c r="AW119" i="4"/>
  <c r="AS107" i="4"/>
  <c r="AT94" i="4"/>
  <c r="AU81" i="4"/>
  <c r="AV68" i="4"/>
  <c r="AT54" i="4"/>
  <c r="AV36" i="4"/>
  <c r="AV146" i="4"/>
  <c r="AW117" i="4"/>
  <c r="AS89" i="4"/>
  <c r="AT60" i="4"/>
  <c r="AW29" i="4"/>
  <c r="AU152" i="4"/>
  <c r="AT304" i="4"/>
  <c r="AW132" i="4"/>
  <c r="AS61" i="4"/>
  <c r="AT48" i="4"/>
  <c r="AU35" i="4"/>
  <c r="AW20" i="4"/>
  <c r="AS131" i="4"/>
  <c r="AT118" i="4"/>
  <c r="AU105" i="4"/>
  <c r="AV92" i="4"/>
  <c r="AW79" i="4"/>
  <c r="AS67" i="4"/>
  <c r="AV52" i="4"/>
  <c r="AS35" i="4"/>
  <c r="AS145" i="4"/>
  <c r="AT116" i="4"/>
  <c r="AU87" i="4"/>
  <c r="AV58" i="4"/>
  <c r="AT28" i="4"/>
  <c r="AT157" i="4"/>
  <c r="AW305" i="4"/>
  <c r="AW98" i="4"/>
  <c r="AW81" i="4"/>
  <c r="AS69" i="4"/>
  <c r="AT56" i="4"/>
  <c r="AU43" i="4"/>
  <c r="AV30" i="4"/>
  <c r="AT12" i="4"/>
  <c r="AT126" i="4"/>
  <c r="AU113" i="4"/>
  <c r="AV100" i="4"/>
  <c r="AW87" i="4"/>
  <c r="AS75" i="4"/>
  <c r="AT62" i="4"/>
  <c r="AW47" i="4"/>
  <c r="AT23" i="4"/>
  <c r="AT132" i="4"/>
  <c r="AU103" i="4"/>
  <c r="AV74" i="4"/>
  <c r="AW45" i="4"/>
  <c r="AV41" i="4"/>
  <c r="AS253" i="4"/>
  <c r="AT224" i="4"/>
  <c r="AT46" i="4"/>
  <c r="AU33" i="4"/>
  <c r="AU17" i="4"/>
  <c r="AU143" i="4"/>
  <c r="AS129" i="4"/>
  <c r="AV114" i="4"/>
  <c r="AT100" i="4"/>
  <c r="AW85" i="4"/>
  <c r="AU71" i="4"/>
  <c r="AU55" i="4"/>
  <c r="AS41" i="4"/>
  <c r="AV26" i="4"/>
  <c r="AW75" i="4"/>
  <c r="AS30" i="4"/>
  <c r="AU259" i="4"/>
  <c r="AV310" i="4"/>
  <c r="AW201" i="4"/>
  <c r="AT219" i="4"/>
  <c r="AU57" i="4"/>
  <c r="AV44" i="4"/>
  <c r="AW31" i="4"/>
  <c r="AT14" i="4"/>
  <c r="AW141" i="4"/>
  <c r="AU127" i="4"/>
  <c r="AS113" i="4"/>
  <c r="AV98" i="4"/>
  <c r="AT84" i="4"/>
  <c r="AT68" i="4"/>
  <c r="AW53" i="4"/>
  <c r="AU39" i="4"/>
  <c r="AT22" i="4"/>
  <c r="AS80" i="4"/>
  <c r="AW136" i="4"/>
  <c r="AW265" i="4"/>
  <c r="AS317" i="4"/>
  <c r="AV190" i="4"/>
  <c r="AU206" i="4"/>
  <c r="AT30" i="4"/>
  <c r="AS11" i="4"/>
  <c r="AT140" i="4"/>
  <c r="AW125" i="4"/>
  <c r="AU111" i="4"/>
  <c r="AS97" i="4"/>
  <c r="AS81" i="4"/>
  <c r="AV66" i="4"/>
  <c r="AT52" i="4"/>
  <c r="AW37" i="4"/>
  <c r="AS20" i="4"/>
  <c r="AT122" i="4"/>
  <c r="AW165" i="4"/>
  <c r="AV270" i="4"/>
  <c r="AS38" i="4"/>
  <c r="AS189" i="4"/>
  <c r="AW180" i="4"/>
  <c r="AT38" i="4"/>
  <c r="AU25" i="4"/>
  <c r="AT148" i="4"/>
  <c r="AU135" i="4"/>
  <c r="AU119" i="4"/>
  <c r="AS105" i="4"/>
  <c r="AV90" i="4"/>
  <c r="AT76" i="4"/>
  <c r="AW61" i="4"/>
  <c r="AU47" i="4"/>
  <c r="AS33" i="4"/>
  <c r="AU37" i="4"/>
  <c r="AV144" i="4"/>
  <c r="AU217" i="4"/>
  <c r="AT296" i="4"/>
  <c r="AV236" i="4"/>
  <c r="AU167" i="4"/>
  <c r="AV10" i="4"/>
  <c r="AW92" i="4"/>
  <c r="AT165" i="4"/>
  <c r="AS233" i="4"/>
  <c r="AT280" i="4"/>
  <c r="AS72" i="4"/>
  <c r="AT216" i="4"/>
  <c r="AT150" i="4"/>
  <c r="AT147" i="4"/>
  <c r="AW133" i="4"/>
  <c r="AS121" i="4"/>
  <c r="AT108" i="4"/>
  <c r="AU95" i="4"/>
  <c r="AV82" i="4"/>
  <c r="AW69" i="4"/>
  <c r="AS57" i="4"/>
  <c r="AT44" i="4"/>
  <c r="AU31" i="4"/>
  <c r="AU7" i="4"/>
  <c r="AS110" i="4"/>
  <c r="AW166" i="4"/>
  <c r="AV242" i="4"/>
  <c r="AS285" i="4"/>
  <c r="AT43" i="4"/>
  <c r="AT208" i="4"/>
  <c r="AW144" i="4"/>
  <c r="AT75" i="4"/>
  <c r="AW52" i="4"/>
  <c r="AS17" i="4"/>
  <c r="AS46" i="4"/>
  <c r="AT114" i="4"/>
  <c r="AS154" i="4"/>
  <c r="AS148" i="4"/>
  <c r="AT236" i="4"/>
  <c r="AU267" i="4"/>
  <c r="AS293" i="4"/>
  <c r="AV318" i="4"/>
  <c r="AW239" i="4"/>
  <c r="AV206" i="4"/>
  <c r="AU171" i="4"/>
  <c r="AU93" i="4"/>
  <c r="AW124" i="4"/>
  <c r="AW58" i="4"/>
  <c r="AU125" i="4"/>
  <c r="AW158" i="4"/>
  <c r="AU173" i="4"/>
  <c r="AU245" i="4"/>
  <c r="AT272" i="4"/>
  <c r="AW297" i="4"/>
  <c r="AV65" i="4"/>
  <c r="AS235" i="4"/>
  <c r="AV198" i="4"/>
  <c r="AS163" i="4"/>
  <c r="AW35" i="4"/>
  <c r="AU193" i="4"/>
  <c r="AS25" i="4"/>
  <c r="AT33" i="4"/>
  <c r="AV88" i="4"/>
  <c r="AU142" i="4"/>
  <c r="AS170" i="4"/>
  <c r="AT214" i="4"/>
  <c r="AW257" i="4"/>
  <c r="AU283" i="4"/>
  <c r="AS309" i="4"/>
  <c r="AV20" i="4"/>
  <c r="AU219" i="4"/>
  <c r="AT184" i="4"/>
  <c r="AT136" i="4"/>
  <c r="AV193" i="4"/>
  <c r="I30" i="2"/>
  <c r="AW26" i="4"/>
  <c r="AS63" i="4"/>
  <c r="AT97" i="4"/>
  <c r="AV128" i="4"/>
  <c r="AW146" i="4"/>
  <c r="AU160" i="4"/>
  <c r="AW76" i="4"/>
  <c r="AW179" i="4"/>
  <c r="AV220" i="4"/>
  <c r="AU247" i="4"/>
  <c r="AS261" i="4"/>
  <c r="AW273" i="4"/>
  <c r="AV286" i="4"/>
  <c r="AU299" i="4"/>
  <c r="AT312" i="4"/>
  <c r="AU60" i="4"/>
  <c r="AW247" i="4"/>
  <c r="AU233" i="4"/>
  <c r="AV214" i="4"/>
  <c r="AS197" i="4"/>
  <c r="AS181" i="4"/>
  <c r="AS161" i="4"/>
  <c r="AV125" i="4"/>
  <c r="AV247" i="4"/>
  <c r="AT179" i="4"/>
  <c r="AT91" i="4"/>
  <c r="I31" i="2"/>
  <c r="AT67" i="4"/>
  <c r="AU101" i="4"/>
  <c r="AT131" i="4"/>
  <c r="AW148" i="4"/>
  <c r="AS162" i="4"/>
  <c r="AW99" i="4"/>
  <c r="AT186" i="4"/>
  <c r="AW223" i="4"/>
  <c r="AW249" i="4"/>
  <c r="AV262" i="4"/>
  <c r="AU275" i="4"/>
  <c r="AT288" i="4"/>
  <c r="AS301" i="4"/>
  <c r="AW313" i="4"/>
  <c r="AS55" i="4"/>
  <c r="AT246" i="4"/>
  <c r="AW231" i="4"/>
  <c r="AU211" i="4"/>
  <c r="AU195" i="4"/>
  <c r="AW177" i="4"/>
  <c r="AV156" i="4"/>
  <c r="AW115" i="4"/>
  <c r="AW234" i="4"/>
  <c r="AT167" i="4"/>
  <c r="AT74" i="4"/>
  <c r="I32" i="2"/>
  <c r="AV71" i="4"/>
  <c r="AV105" i="4"/>
  <c r="AV133" i="4"/>
  <c r="AW150" i="4"/>
  <c r="AV163" i="4"/>
  <c r="AU122" i="4"/>
  <c r="AV192" i="4"/>
  <c r="AW229" i="4"/>
  <c r="AU251" i="4"/>
  <c r="AT264" i="4"/>
  <c r="AS277" i="4"/>
  <c r="AW289" i="4"/>
  <c r="AV302" i="4"/>
  <c r="AU315" i="4"/>
  <c r="AV48" i="4"/>
  <c r="AV244" i="4"/>
  <c r="AT230" i="4"/>
  <c r="AW209" i="4"/>
  <c r="AW193" i="4"/>
  <c r="AT176" i="4"/>
  <c r="AV154" i="4"/>
  <c r="AU110" i="4"/>
  <c r="AT233" i="4"/>
  <c r="AS150" i="4"/>
  <c r="AV119" i="4"/>
  <c r="AT50" i="4"/>
  <c r="AU84" i="4"/>
  <c r="AU118" i="4"/>
  <c r="AU140" i="4"/>
  <c r="AV155" i="4"/>
  <c r="AU168" i="4"/>
  <c r="AU157" i="4"/>
  <c r="AS211" i="4"/>
  <c r="AU239" i="4"/>
  <c r="AT256" i="4"/>
  <c r="AS269" i="4"/>
  <c r="AW281" i="4"/>
  <c r="AV294" i="4"/>
  <c r="AU307" i="4"/>
  <c r="AU77" i="4"/>
  <c r="AU30" i="4"/>
  <c r="AT238" i="4"/>
  <c r="AS221" i="4"/>
  <c r="AU203" i="4"/>
  <c r="AW185" i="4"/>
  <c r="AU169" i="4"/>
  <c r="AV141" i="4"/>
  <c r="AT59" i="4"/>
  <c r="AW204" i="4"/>
  <c r="AT81" i="4"/>
  <c r="AV225" i="4"/>
  <c r="AS200" i="4"/>
  <c r="AU174" i="4"/>
  <c r="AW138" i="4"/>
  <c r="AU52" i="4"/>
  <c r="AS206" i="4"/>
  <c r="AV152" i="4"/>
  <c r="AV129" i="4"/>
  <c r="AS87" i="4"/>
  <c r="AS246" i="4"/>
  <c r="AV217" i="4"/>
  <c r="AS192" i="4"/>
  <c r="AS165" i="4"/>
  <c r="AV120" i="4"/>
  <c r="AW191" i="4"/>
  <c r="AU102" i="4"/>
  <c r="AV81" i="4"/>
  <c r="AW242" i="4"/>
  <c r="AU214" i="4"/>
  <c r="AW188" i="4"/>
  <c r="AW160" i="4"/>
  <c r="AU109" i="4"/>
  <c r="AS179" i="4"/>
  <c r="AU199" i="4"/>
  <c r="AW217" i="4"/>
  <c r="AS205" i="4"/>
  <c r="AT192" i="4"/>
  <c r="AU179" i="4"/>
  <c r="AU165" i="4"/>
  <c r="AU147" i="4"/>
  <c r="AW120" i="4"/>
  <c r="AV64" i="4"/>
  <c r="AT241" i="4"/>
  <c r="AW212" i="4"/>
  <c r="AT187" i="4"/>
  <c r="AV158" i="4"/>
  <c r="AV103" i="4"/>
  <c r="AS167" i="4"/>
  <c r="AW145" i="4"/>
  <c r="AU241" i="4"/>
  <c r="AW225" i="4"/>
  <c r="AS213" i="4"/>
  <c r="AT200" i="4"/>
  <c r="AU187" i="4"/>
  <c r="AV174" i="4"/>
  <c r="AS159" i="4"/>
  <c r="AS139" i="4"/>
  <c r="AS104" i="4"/>
  <c r="AT42" i="4"/>
  <c r="AS230" i="4"/>
  <c r="AV201" i="4"/>
  <c r="AS176" i="4"/>
  <c r="AU141" i="4"/>
  <c r="AS64" i="4"/>
  <c r="AU234" i="4"/>
  <c r="AU76" i="4"/>
  <c r="AW28" i="4"/>
  <c r="AV239" i="4"/>
  <c r="AS224" i="4"/>
  <c r="AT211" i="4"/>
  <c r="AU198" i="4"/>
  <c r="AV185" i="4"/>
  <c r="AW172" i="4"/>
  <c r="AU156" i="4"/>
  <c r="AW135" i="4"/>
  <c r="AT98" i="4"/>
  <c r="AS47" i="4"/>
  <c r="AV164" i="4"/>
  <c r="AU204" i="4"/>
  <c r="AT123" i="4"/>
  <c r="AS70" i="4"/>
  <c r="AV17" i="4"/>
  <c r="AS238" i="4"/>
  <c r="AU222" i="4"/>
  <c r="AV209" i="4"/>
  <c r="AW196" i="4"/>
  <c r="AS184" i="4"/>
  <c r="AT171" i="4"/>
  <c r="AU154" i="4"/>
  <c r="AU132" i="4"/>
  <c r="AU92" i="4"/>
  <c r="AT206" i="4"/>
  <c r="AS147" i="4"/>
  <c r="AS174" i="4"/>
  <c r="AT207" i="4"/>
  <c r="AT249" i="4"/>
  <c r="AU236" i="4"/>
  <c r="AW220" i="4"/>
  <c r="AS208" i="4"/>
  <c r="AT195" i="4"/>
  <c r="AU182" i="4"/>
  <c r="AT169" i="4"/>
  <c r="AT152" i="4"/>
  <c r="AT129" i="4"/>
  <c r="AU86" i="4"/>
  <c r="AV204" i="4"/>
  <c r="AW143" i="4"/>
  <c r="AV166" i="4"/>
  <c r="AW192" i="4"/>
  <c r="AV47" i="4"/>
  <c r="AU244" i="4"/>
  <c r="AV231" i="4"/>
  <c r="AS216" i="4"/>
  <c r="AT203" i="4"/>
  <c r="AU190" i="4"/>
  <c r="AV177" i="4"/>
  <c r="AW162" i="4"/>
  <c r="AT144" i="4"/>
  <c r="AT115" i="4"/>
  <c r="AU69" i="4"/>
  <c r="AV180" i="4"/>
  <c r="AT239" i="4"/>
  <c r="AS201" i="4"/>
  <c r="AT35" i="4"/>
  <c r="AU201" i="4"/>
  <c r="AV188" i="4"/>
  <c r="AW175" i="4"/>
  <c r="AV160" i="4"/>
  <c r="AS132" i="4"/>
  <c r="AW51" i="4"/>
  <c r="AT225" i="4"/>
  <c r="AT193" i="4"/>
  <c r="AS158" i="4"/>
  <c r="AV73" i="4"/>
  <c r="AS185" i="4"/>
  <c r="AV95" i="4"/>
  <c r="AT151" i="4"/>
  <c r="AU28" i="4"/>
  <c r="AW199" i="4"/>
  <c r="AS187" i="4"/>
  <c r="AT174" i="4"/>
  <c r="AT158" i="4"/>
  <c r="AS124" i="4"/>
  <c r="AU46" i="4"/>
  <c r="AV223" i="4"/>
  <c r="AV191" i="4"/>
  <c r="AU149" i="4"/>
  <c r="AV56" i="4"/>
  <c r="AT180" i="4"/>
  <c r="AW50" i="4"/>
  <c r="AW122" i="4"/>
  <c r="AU14" i="4"/>
  <c r="AT198" i="4"/>
  <c r="AU185" i="4"/>
  <c r="AV172" i="4"/>
  <c r="AT156" i="4"/>
  <c r="AS120" i="4"/>
  <c r="AT27" i="4"/>
  <c r="AW218" i="4"/>
  <c r="AW186" i="4"/>
  <c r="AU146" i="4"/>
  <c r="AT34" i="4"/>
  <c r="AW173" i="4"/>
  <c r="AS39" i="4"/>
  <c r="AU181" i="4"/>
  <c r="AU209" i="4"/>
  <c r="AV196" i="4"/>
  <c r="AW183" i="4"/>
  <c r="AS171" i="4"/>
  <c r="AT154" i="4"/>
  <c r="AW114" i="4"/>
  <c r="AT11" i="4"/>
  <c r="AT217" i="4"/>
  <c r="AU180" i="4"/>
  <c r="AW137" i="4"/>
  <c r="AV25" i="4"/>
  <c r="AW159" i="4"/>
  <c r="AV235" i="4"/>
  <c r="AU221" i="4"/>
  <c r="AT58" i="4"/>
  <c r="AW207" i="4"/>
  <c r="AS195" i="4"/>
  <c r="AT182" i="4"/>
  <c r="AS169" i="4"/>
  <c r="AV149" i="4"/>
  <c r="AV97" i="4"/>
  <c r="AW240" i="4"/>
  <c r="AU212" i="4"/>
  <c r="AW178" i="4"/>
  <c r="AW123" i="4"/>
  <c r="AU207" i="4"/>
  <c r="AW157" i="4"/>
  <c r="AV213" i="4"/>
  <c r="AU277" i="4"/>
  <c r="AT41" i="4"/>
  <c r="AS203" i="4"/>
  <c r="AT190" i="4"/>
  <c r="AU177" i="4"/>
  <c r="AV162" i="4"/>
  <c r="AT135" i="4"/>
  <c r="AW68" i="4"/>
  <c r="AW232" i="4"/>
  <c r="AV199" i="4"/>
  <c r="AU164" i="4"/>
  <c r="AV79" i="4"/>
  <c r="AS193" i="4"/>
  <c r="AS119" i="4"/>
  <c r="AT168" i="4"/>
  <c r="AU138" i="4"/>
  <c r="AS103" i="4"/>
  <c r="AT57" i="4"/>
  <c r="AU242" i="4"/>
  <c r="AV229" i="4"/>
  <c r="AS214" i="4"/>
  <c r="AT201" i="4"/>
  <c r="AU188" i="4"/>
  <c r="AV175" i="4"/>
  <c r="AT160" i="4"/>
  <c r="AW140" i="4"/>
  <c r="AW107" i="4"/>
  <c r="AU62" i="4"/>
  <c r="AS209" i="4"/>
  <c r="AT196" i="4"/>
  <c r="AU175" i="4"/>
  <c r="AS149" i="4"/>
  <c r="AS102" i="4"/>
  <c r="AS242" i="4"/>
  <c r="AW200" i="4"/>
  <c r="AS127" i="4"/>
  <c r="AV264" i="4"/>
  <c r="AW210" i="4"/>
  <c r="AS198" i="4"/>
  <c r="AT185" i="4"/>
  <c r="AU172" i="4"/>
  <c r="AS156" i="4"/>
  <c r="AS135" i="4"/>
  <c r="AV96" i="4"/>
  <c r="AT51" i="4"/>
  <c r="AW205" i="4"/>
  <c r="AU191" i="4"/>
  <c r="AT172" i="4"/>
  <c r="AV140" i="4"/>
  <c r="AU78" i="4"/>
  <c r="AS234" i="4"/>
  <c r="AS188" i="4"/>
  <c r="AW106" i="4"/>
  <c r="AW169" i="4"/>
  <c r="AW151" i="4"/>
  <c r="AW128" i="4"/>
  <c r="AS86" i="4"/>
  <c r="AS40" i="4"/>
  <c r="AV237" i="4"/>
  <c r="AS222" i="4"/>
  <c r="AT209" i="4"/>
  <c r="AU196" i="4"/>
  <c r="AV183" i="4"/>
  <c r="AW170" i="4"/>
  <c r="AW153" i="4"/>
  <c r="AW131" i="4"/>
  <c r="AW90" i="4"/>
  <c r="AU45" i="4"/>
  <c r="AT204" i="4"/>
  <c r="AT188" i="4"/>
  <c r="AT166" i="4"/>
  <c r="AU137" i="4"/>
  <c r="AT73" i="4"/>
  <c r="AT229" i="4"/>
  <c r="AS180" i="4"/>
  <c r="AV49" i="4"/>
  <c r="AV142" i="4"/>
  <c r="AV80" i="4"/>
  <c r="AW34" i="4"/>
  <c r="AS236" i="4"/>
  <c r="AU220" i="4"/>
  <c r="AV207" i="4"/>
  <c r="AW194" i="4"/>
  <c r="AS182" i="4"/>
  <c r="AW168" i="4"/>
  <c r="AV151" i="4"/>
  <c r="AS128" i="4"/>
  <c r="AU85" i="4"/>
  <c r="AV39" i="4"/>
  <c r="AV202" i="4"/>
  <c r="AV186" i="4"/>
  <c r="AT164" i="4"/>
  <c r="AV134" i="4"/>
  <c r="AS56" i="4"/>
  <c r="AU218" i="4"/>
  <c r="AT175" i="4"/>
  <c r="AW82" i="4"/>
  <c r="AU255" i="4"/>
  <c r="M11" i="2"/>
  <c r="AS141" i="4"/>
  <c r="AU108" i="4"/>
  <c r="AV63" i="4"/>
  <c r="AS244" i="4"/>
  <c r="AT231" i="4"/>
  <c r="AV215" i="4"/>
  <c r="AW202" i="4"/>
  <c r="AS190" i="4"/>
  <c r="AT177" i="4"/>
  <c r="AU162" i="4"/>
  <c r="AV143" i="4"/>
  <c r="AV113" i="4"/>
  <c r="AU68" i="4"/>
  <c r="AW10" i="4"/>
  <c r="AW197" i="4"/>
  <c r="AV178" i="4"/>
  <c r="AW155" i="4"/>
  <c r="AT107" i="4"/>
  <c r="AS8" i="4"/>
  <c r="AV205" i="4"/>
  <c r="AV148" i="4"/>
  <c r="AV224" i="4"/>
  <c r="AU183" i="4"/>
  <c r="AV170" i="4"/>
  <c r="AU153" i="4"/>
  <c r="AU131" i="4"/>
  <c r="AT90" i="4"/>
  <c r="AV33" i="4"/>
  <c r="AW224" i="4"/>
  <c r="AT199" i="4"/>
  <c r="AS166" i="4"/>
  <c r="AW83" i="4"/>
  <c r="AT248" i="4"/>
  <c r="AV266" i="4"/>
  <c r="AV194" i="4"/>
  <c r="AW181" i="4"/>
  <c r="AV168" i="4"/>
  <c r="AU151" i="4"/>
  <c r="AT127" i="4"/>
  <c r="AW84" i="4"/>
  <c r="AU23" i="4"/>
  <c r="AS220" i="4"/>
  <c r="AU194" i="4"/>
  <c r="AV159" i="4"/>
  <c r="AS78" i="4"/>
  <c r="AU261" i="4"/>
  <c r="AT210" i="4"/>
  <c r="AW189" i="4"/>
  <c r="AS177" i="4"/>
  <c r="AT162" i="4"/>
  <c r="AT143" i="4"/>
  <c r="AV112" i="4"/>
  <c r="AW67" i="4"/>
  <c r="AU240" i="4"/>
  <c r="AS212" i="4"/>
  <c r="AV181" i="4"/>
  <c r="AS140" i="4"/>
  <c r="AT106" i="4"/>
  <c r="AT161" i="4"/>
  <c r="AU61" i="4"/>
  <c r="AV243" i="4"/>
  <c r="AW230" i="4"/>
  <c r="AT215" i="4"/>
  <c r="AU202" i="4"/>
  <c r="AV189" i="4"/>
  <c r="AW176" i="4"/>
  <c r="AW161" i="4"/>
  <c r="AS143" i="4"/>
  <c r="AS112" i="4"/>
  <c r="AV55" i="4"/>
  <c r="AS151" i="4"/>
  <c r="AS237" i="4"/>
  <c r="AU269" i="4"/>
  <c r="AV195" i="4"/>
  <c r="AU184" i="4"/>
  <c r="AU186" i="4"/>
  <c r="AV173" i="4"/>
  <c r="AV157" i="4"/>
  <c r="AT137" i="4"/>
  <c r="AW100" i="4"/>
  <c r="AU38" i="4"/>
  <c r="AW187" i="4"/>
  <c r="AT250" i="4"/>
  <c r="AS279" i="4"/>
  <c r="AS153" i="4"/>
  <c r="AS251" i="4"/>
  <c r="AU44" i="4"/>
  <c r="AW238" i="4"/>
  <c r="AT223" i="4"/>
  <c r="AU210" i="4"/>
  <c r="AV197" i="4"/>
  <c r="AW184" i="4"/>
  <c r="AS172" i="4"/>
  <c r="AU155" i="4"/>
  <c r="AU134" i="4"/>
  <c r="AS95" i="4"/>
  <c r="AS32" i="4"/>
  <c r="AV200" i="4"/>
  <c r="AU253" i="4"/>
  <c r="AS48" i="4"/>
  <c r="AV208" i="4"/>
  <c r="AW296" i="4"/>
  <c r="AT237" i="4"/>
  <c r="AV221" i="4"/>
  <c r="AW208" i="4"/>
  <c r="AS196" i="4"/>
  <c r="AT183" i="4"/>
  <c r="AU170" i="4"/>
  <c r="AT153" i="4"/>
  <c r="AW130" i="4"/>
  <c r="AV89" i="4"/>
  <c r="AU22" i="4"/>
  <c r="AS207" i="4"/>
  <c r="AS255" i="4"/>
  <c r="AS88" i="4"/>
  <c r="AT222" i="4"/>
  <c r="AT285" i="4"/>
  <c r="AU232" i="4"/>
  <c r="AW216" i="4"/>
  <c r="AS204" i="4"/>
  <c r="AT191" i="4"/>
  <c r="AU178" i="4"/>
  <c r="AS164" i="4"/>
  <c r="AV145" i="4"/>
  <c r="AS118" i="4"/>
  <c r="AV72" i="4"/>
  <c r="AU139" i="4"/>
  <c r="AW233" i="4"/>
  <c r="AW267" i="4"/>
  <c r="AT189" i="4"/>
  <c r="AT284" i="4"/>
  <c r="AU159" i="4"/>
  <c r="AW211" i="4"/>
  <c r="AT240" i="4"/>
  <c r="AV256" i="4"/>
  <c r="AS271" i="4"/>
  <c r="AS111" i="4"/>
  <c r="AS54" i="4"/>
  <c r="AU231" i="4"/>
  <c r="AS210" i="4"/>
  <c r="AT299" i="4"/>
  <c r="AW66" i="4"/>
  <c r="AV7" i="4"/>
  <c r="AW167" i="4"/>
  <c r="AS215" i="4"/>
  <c r="AU243" i="4"/>
  <c r="AT258" i="4"/>
  <c r="AV272" i="4"/>
  <c r="AW129" i="4"/>
  <c r="AT89" i="4"/>
  <c r="AV248" i="4"/>
  <c r="AW250" i="4"/>
  <c r="AU301" i="4"/>
  <c r="AW60" i="4"/>
  <c r="AT17" i="4"/>
  <c r="AS175" i="4"/>
  <c r="AT218" i="4"/>
  <c r="AW245" i="4"/>
  <c r="AW259" i="4"/>
  <c r="AT274" i="4"/>
  <c r="AW152" i="4"/>
  <c r="AV111" i="4"/>
  <c r="AT252" i="4"/>
  <c r="AS262" i="4"/>
  <c r="AU246" i="4"/>
  <c r="AW43" i="4"/>
  <c r="AU126" i="4"/>
  <c r="AT194" i="4"/>
  <c r="AV230" i="4"/>
  <c r="AW251" i="4"/>
  <c r="AT266" i="4"/>
  <c r="AV280" i="4"/>
  <c r="AW182" i="4"/>
  <c r="AS183" i="4"/>
  <c r="AU271" i="4"/>
  <c r="AU257" i="4"/>
  <c r="AV271" i="4"/>
  <c r="AV249" i="4"/>
  <c r="AS296" i="4"/>
  <c r="AU176" i="4"/>
  <c r="AT130" i="4"/>
  <c r="AW237" i="4"/>
  <c r="AV290" i="4"/>
  <c r="AU145" i="4"/>
  <c r="AU282" i="4"/>
  <c r="AT220" i="4"/>
  <c r="AS94" i="4"/>
  <c r="AS191" i="4"/>
  <c r="AW254" i="4"/>
  <c r="AU272" i="4"/>
  <c r="AS263" i="4"/>
  <c r="AW275" i="4"/>
  <c r="AT142" i="4"/>
  <c r="AS202" i="4"/>
  <c r="AW195" i="4"/>
  <c r="AU263" i="4"/>
  <c r="AW222" i="4"/>
  <c r="AT20" i="4"/>
  <c r="AV287" i="4"/>
  <c r="AU161" i="4"/>
  <c r="AV212" i="4"/>
  <c r="AS241" i="4"/>
  <c r="AS257" i="4"/>
  <c r="AS273" i="4"/>
  <c r="AU116" i="4"/>
  <c r="AU228" i="4"/>
  <c r="AW274" i="4"/>
  <c r="AS229" i="4"/>
  <c r="AT270" i="4"/>
  <c r="AT295" i="4"/>
  <c r="AS218" i="4"/>
  <c r="AV251" i="4"/>
  <c r="AS288" i="4"/>
  <c r="AT170" i="4"/>
  <c r="AW215" i="4"/>
  <c r="AT244" i="4"/>
  <c r="AV258" i="4"/>
  <c r="AW277" i="4"/>
  <c r="AW154" i="4"/>
  <c r="AW244" i="4"/>
  <c r="AU276" i="4"/>
  <c r="AU235" i="4"/>
  <c r="AW290" i="4"/>
  <c r="AS297" i="4"/>
  <c r="AS259" i="4"/>
  <c r="AU281" i="4"/>
  <c r="AT290" i="4"/>
  <c r="AV176" i="4"/>
  <c r="AS219" i="4"/>
  <c r="AV246" i="4"/>
  <c r="AT260" i="4"/>
  <c r="AS281" i="4"/>
  <c r="AV171" i="4"/>
  <c r="AW248" i="4"/>
  <c r="AW116" i="4"/>
  <c r="AV238" i="4"/>
  <c r="AS295" i="4"/>
  <c r="AW206" i="4"/>
  <c r="AT262" i="4"/>
  <c r="AT294" i="4"/>
  <c r="AT307" i="4"/>
  <c r="AU189" i="4"/>
  <c r="AU225" i="4"/>
  <c r="AV250" i="4"/>
  <c r="AS265" i="4"/>
  <c r="AW285" i="4"/>
  <c r="AW190" i="4"/>
  <c r="AW258" i="4"/>
  <c r="AS155" i="4"/>
  <c r="AW255" i="4"/>
  <c r="AW174" i="4"/>
  <c r="AU258" i="4"/>
  <c r="AV299" i="4"/>
  <c r="AV312" i="4"/>
  <c r="AT227" i="4"/>
  <c r="AT202" i="4"/>
  <c r="AV234" i="4"/>
  <c r="AW253" i="4"/>
  <c r="AT268" i="4"/>
  <c r="AW293" i="4"/>
  <c r="AU216" i="4"/>
  <c r="AV263" i="4"/>
  <c r="AW203" i="4"/>
  <c r="AU248" i="4"/>
  <c r="AV253" i="4"/>
  <c r="AU297" i="4"/>
  <c r="AT159" i="4"/>
  <c r="AS231" i="4"/>
  <c r="AW261" i="4"/>
  <c r="AV274" i="4"/>
  <c r="AU287" i="4"/>
  <c r="AU133" i="4"/>
  <c r="AT197" i="4"/>
  <c r="AS232" i="4"/>
  <c r="AU252" i="4"/>
  <c r="AT265" i="4"/>
  <c r="AS278" i="4"/>
  <c r="AW163" i="4"/>
  <c r="AU213" i="4"/>
  <c r="AW241" i="4"/>
  <c r="AV136" i="4"/>
  <c r="AU273" i="4"/>
  <c r="AV298" i="4"/>
  <c r="AV257" i="4"/>
  <c r="AW298" i="4"/>
  <c r="AV261" i="4"/>
  <c r="AT301" i="4"/>
  <c r="AU265" i="4"/>
  <c r="AT303" i="4"/>
  <c r="AS256" i="4"/>
  <c r="AS298" i="4"/>
  <c r="AS240" i="4"/>
  <c r="AU292" i="4"/>
  <c r="AW228" i="4"/>
  <c r="AT276" i="4"/>
  <c r="AS289" i="4"/>
  <c r="AT145" i="4"/>
  <c r="AV203" i="4"/>
  <c r="AT235" i="4"/>
  <c r="AS254" i="4"/>
  <c r="AW266" i="4"/>
  <c r="AV279" i="4"/>
  <c r="AW171" i="4"/>
  <c r="AV216" i="4"/>
  <c r="AS245" i="4"/>
  <c r="AT173" i="4"/>
  <c r="AV276" i="4"/>
  <c r="AS306" i="4"/>
  <c r="AU270" i="4"/>
  <c r="AT306" i="4"/>
  <c r="AU274" i="4"/>
  <c r="AT99" i="4"/>
  <c r="AT278" i="4"/>
  <c r="AU310" i="4"/>
  <c r="AW268" i="4"/>
  <c r="AT305" i="4"/>
  <c r="AV259" i="4"/>
  <c r="AS300" i="4"/>
  <c r="AT226" i="4"/>
  <c r="AU238" i="4"/>
  <c r="AV255" i="4"/>
  <c r="AU268" i="4"/>
  <c r="AT65" i="4"/>
  <c r="AT178" i="4"/>
  <c r="AW219" i="4"/>
  <c r="AS247" i="4"/>
  <c r="AV233" i="4"/>
  <c r="AW279" i="4"/>
  <c r="AW36" i="4"/>
  <c r="AW276" i="4"/>
  <c r="AV150" i="4"/>
  <c r="AW280" i="4"/>
  <c r="AS186" i="4"/>
  <c r="AT283" i="4"/>
  <c r="AT314" i="4"/>
  <c r="AT275" i="4"/>
  <c r="AW308" i="4"/>
  <c r="AS266" i="4"/>
  <c r="AV303" i="4"/>
  <c r="AS228" i="4"/>
  <c r="AU279" i="4"/>
  <c r="AT292" i="4"/>
  <c r="AU163" i="4"/>
  <c r="AT213" i="4"/>
  <c r="AV241" i="4"/>
  <c r="AT257" i="4"/>
  <c r="AS270" i="4"/>
  <c r="AU94" i="4"/>
  <c r="AV184" i="4"/>
  <c r="AS223" i="4"/>
  <c r="AS249" i="4"/>
  <c r="AT242" i="4"/>
  <c r="AT282" i="4"/>
  <c r="AT139" i="4"/>
  <c r="AS280" i="4"/>
  <c r="AT181" i="4"/>
  <c r="AS283" i="4"/>
  <c r="AU208" i="4"/>
  <c r="AU285" i="4"/>
  <c r="AT105" i="4"/>
  <c r="AU278" i="4"/>
  <c r="AW310" i="4"/>
  <c r="AT269" i="4"/>
  <c r="AU305" i="4"/>
  <c r="AV228" i="4"/>
  <c r="AW269" i="4"/>
  <c r="AV282" i="4"/>
  <c r="AW59" i="4"/>
  <c r="AS178" i="4"/>
  <c r="AV219" i="4"/>
  <c r="AW246" i="4"/>
  <c r="AU260" i="4"/>
  <c r="AT273" i="4"/>
  <c r="AS134" i="4"/>
  <c r="AU197" i="4"/>
  <c r="AT232" i="4"/>
  <c r="AT254" i="4"/>
  <c r="AT253" i="4"/>
  <c r="AW292" i="4"/>
  <c r="AT234" i="4"/>
  <c r="AS291" i="4"/>
  <c r="AT245" i="4"/>
  <c r="AV293" i="4"/>
  <c r="AT251" i="4"/>
  <c r="AW295" i="4"/>
  <c r="AU230" i="4"/>
  <c r="AS290" i="4"/>
  <c r="AU192" i="4"/>
  <c r="AW283" i="4"/>
  <c r="AV314" i="4"/>
  <c r="AW198" i="4"/>
  <c r="AV260" i="4"/>
  <c r="AU284" i="4"/>
  <c r="AU300" i="4"/>
  <c r="AU200" i="4"/>
  <c r="AW260" i="4"/>
  <c r="AV284" i="4"/>
  <c r="AV300" i="4"/>
  <c r="AS217" i="4"/>
  <c r="AW264" i="4"/>
  <c r="AT287" i="4"/>
  <c r="AS303" i="4"/>
  <c r="AU229" i="4"/>
  <c r="AV268" i="4"/>
  <c r="AV289" i="4"/>
  <c r="AS305" i="4"/>
  <c r="AV187" i="4"/>
  <c r="AT259" i="4"/>
  <c r="AV283" i="4"/>
  <c r="AW299" i="4"/>
  <c r="AU314" i="4"/>
  <c r="AT247" i="4"/>
  <c r="AV275" i="4"/>
  <c r="AU294" i="4"/>
  <c r="AT309" i="4"/>
  <c r="AU227" i="4"/>
  <c r="AV226" i="4"/>
  <c r="AW213" i="4"/>
  <c r="AW263" i="4"/>
  <c r="AU286" i="4"/>
  <c r="AT302" i="4"/>
  <c r="AW214" i="4"/>
  <c r="AS264" i="4"/>
  <c r="AW286" i="4"/>
  <c r="AU302" i="4"/>
  <c r="AS225" i="4"/>
  <c r="AS268" i="4"/>
  <c r="AU289" i="4"/>
  <c r="AW304" i="4"/>
  <c r="AU237" i="4"/>
  <c r="AW271" i="4"/>
  <c r="AW291" i="4"/>
  <c r="AW306" i="4"/>
  <c r="AV210" i="4"/>
  <c r="AU262" i="4"/>
  <c r="AV285" i="4"/>
  <c r="AV301" i="4"/>
  <c r="AV121" i="4"/>
  <c r="AS252" i="4"/>
  <c r="AW278" i="4"/>
  <c r="AU296" i="4"/>
  <c r="AS311" i="4"/>
  <c r="AS226" i="4"/>
  <c r="AT228" i="4"/>
  <c r="AV252" i="4"/>
  <c r="AW221" i="4"/>
  <c r="AS267" i="4"/>
  <c r="AV288" i="4"/>
  <c r="AS304" i="4"/>
  <c r="AU223" i="4"/>
  <c r="AT267" i="4"/>
  <c r="AW288" i="4"/>
  <c r="AU304" i="4"/>
  <c r="AW236" i="4"/>
  <c r="AT271" i="4"/>
  <c r="AV291" i="4"/>
  <c r="AV306" i="4"/>
  <c r="AV245" i="4"/>
  <c r="AS275" i="4"/>
  <c r="AS294" i="4"/>
  <c r="AV308" i="4"/>
  <c r="AV218" i="4"/>
  <c r="AV265" i="4"/>
  <c r="AW287" i="4"/>
  <c r="AU303" i="4"/>
  <c r="AV165" i="4"/>
  <c r="AU256" i="4"/>
  <c r="AV281" i="4"/>
  <c r="AT298" i="4"/>
  <c r="AW312" i="4"/>
  <c r="AV227" i="4"/>
  <c r="AW226" i="4"/>
  <c r="AW307" i="4"/>
  <c r="AT243" i="4"/>
  <c r="AV273" i="4"/>
  <c r="AT293" i="4"/>
  <c r="AT82" i="4"/>
  <c r="AU250" i="4"/>
  <c r="AV277" i="4"/>
  <c r="AV295" i="4"/>
  <c r="AS157" i="4"/>
  <c r="AT255" i="4"/>
  <c r="AT281" i="4"/>
  <c r="AV297" i="4"/>
  <c r="AU312" i="4"/>
  <c r="AS239" i="4"/>
  <c r="AS272" i="4"/>
  <c r="AS292" i="4"/>
  <c r="AS307" i="4"/>
  <c r="AV211" i="4"/>
  <c r="AW262" i="4"/>
  <c r="AS286" i="4"/>
  <c r="AW301" i="4"/>
  <c r="AU316" i="4"/>
  <c r="AW42" i="4"/>
  <c r="AS194" i="4"/>
  <c r="AV240" i="4"/>
  <c r="AS260" i="4"/>
  <c r="AW272" i="4"/>
  <c r="AS284" i="4"/>
  <c r="AV292" i="4"/>
  <c r="AT300" i="4"/>
  <c r="AV307" i="4"/>
  <c r="AT310" i="4"/>
  <c r="AU313" i="4"/>
  <c r="AS316" i="4"/>
  <c r="AS318" i="4"/>
  <c r="AW319" i="4"/>
  <c r="AU321" i="4"/>
  <c r="AS323" i="4"/>
  <c r="AV324" i="4"/>
  <c r="AT326" i="4"/>
  <c r="AW327" i="4"/>
  <c r="AU329" i="4"/>
  <c r="AS331" i="4"/>
  <c r="AV332" i="4"/>
  <c r="AT334" i="4"/>
  <c r="AW335" i="4"/>
  <c r="AU337" i="4"/>
  <c r="AS339" i="4"/>
  <c r="AV340" i="4"/>
  <c r="AT342" i="4"/>
  <c r="AW343" i="4"/>
  <c r="AU345" i="4"/>
  <c r="AS347" i="4"/>
  <c r="AV348" i="4"/>
  <c r="AT350" i="4"/>
  <c r="AW351" i="4"/>
  <c r="AU353" i="4"/>
  <c r="AS355" i="4"/>
  <c r="AV356" i="4"/>
  <c r="AT358" i="4"/>
  <c r="AW359" i="4"/>
  <c r="AU361" i="4"/>
  <c r="AS363" i="4"/>
  <c r="AV364" i="4"/>
  <c r="AT366" i="4"/>
  <c r="AW367" i="4"/>
  <c r="AU369" i="4"/>
  <c r="AS371" i="4"/>
  <c r="AV372" i="4"/>
  <c r="AT374" i="4"/>
  <c r="AW375" i="4"/>
  <c r="AU377" i="4"/>
  <c r="AS379" i="4"/>
  <c r="AV380" i="4"/>
  <c r="AT382" i="4"/>
  <c r="AW383" i="4"/>
  <c r="AU385" i="4"/>
  <c r="AS387" i="4"/>
  <c r="AV388" i="4"/>
  <c r="AT390" i="4"/>
  <c r="AW391" i="4"/>
  <c r="AU393" i="4"/>
  <c r="AS395" i="4"/>
  <c r="AV396" i="4"/>
  <c r="AT398" i="4"/>
  <c r="AW399" i="4"/>
  <c r="AU401" i="4"/>
  <c r="AS403" i="4"/>
  <c r="AV404" i="4"/>
  <c r="AT406" i="4"/>
  <c r="AW407" i="4"/>
  <c r="AU409" i="4"/>
  <c r="AS411" i="4"/>
  <c r="AV412" i="4"/>
  <c r="AT414" i="4"/>
  <c r="AW415" i="4"/>
  <c r="AU417" i="4"/>
  <c r="AS419" i="4"/>
  <c r="AV420" i="4"/>
  <c r="AT422" i="4"/>
  <c r="AW423" i="4"/>
  <c r="AU425" i="4"/>
  <c r="AS427" i="4"/>
  <c r="AV428" i="4"/>
  <c r="AT430" i="4"/>
  <c r="AW431" i="4"/>
  <c r="AU433" i="4"/>
  <c r="AS435" i="4"/>
  <c r="AT205" i="4"/>
  <c r="AW243" i="4"/>
  <c r="AT261" i="4"/>
  <c r="AS274" i="4"/>
  <c r="AW284" i="4"/>
  <c r="AU293" i="4"/>
  <c r="AW300" i="4"/>
  <c r="AS308" i="4"/>
  <c r="AT311" i="4"/>
  <c r="AV313" i="4"/>
  <c r="AT316" i="4"/>
  <c r="AT318" i="4"/>
  <c r="AS320" i="4"/>
  <c r="AV321" i="4"/>
  <c r="AT323" i="4"/>
  <c r="AW324" i="4"/>
  <c r="AU326" i="4"/>
  <c r="AS328" i="4"/>
  <c r="AV329" i="4"/>
  <c r="AT331" i="4"/>
  <c r="AW332" i="4"/>
  <c r="AU334" i="4"/>
  <c r="AS336" i="4"/>
  <c r="AV337" i="4"/>
  <c r="AT339" i="4"/>
  <c r="AW340" i="4"/>
  <c r="AU342" i="4"/>
  <c r="AS344" i="4"/>
  <c r="AV345" i="4"/>
  <c r="AT347" i="4"/>
  <c r="AW348" i="4"/>
  <c r="AU350" i="4"/>
  <c r="AS352" i="4"/>
  <c r="AV353" i="4"/>
  <c r="AT355" i="4"/>
  <c r="AW356" i="4"/>
  <c r="AU358" i="4"/>
  <c r="AS360" i="4"/>
  <c r="AV361" i="4"/>
  <c r="AT363" i="4"/>
  <c r="AW364" i="4"/>
  <c r="AU366" i="4"/>
  <c r="AS368" i="4"/>
  <c r="AV369" i="4"/>
  <c r="AT371" i="4"/>
  <c r="AW372" i="4"/>
  <c r="AU374" i="4"/>
  <c r="AS376" i="4"/>
  <c r="AV377" i="4"/>
  <c r="AT379" i="4"/>
  <c r="AW380" i="4"/>
  <c r="AU382" i="4"/>
  <c r="AS384" i="4"/>
  <c r="AV385" i="4"/>
  <c r="AT387" i="4"/>
  <c r="AW388" i="4"/>
  <c r="AU390" i="4"/>
  <c r="AS392" i="4"/>
  <c r="AV393" i="4"/>
  <c r="AT395" i="4"/>
  <c r="AW396" i="4"/>
  <c r="AU398" i="4"/>
  <c r="AS400" i="4"/>
  <c r="AV401" i="4"/>
  <c r="AT403" i="4"/>
  <c r="AW404" i="4"/>
  <c r="AU406" i="4"/>
  <c r="AS408" i="4"/>
  <c r="AV409" i="4"/>
  <c r="AT411" i="4"/>
  <c r="AW412" i="4"/>
  <c r="AU414" i="4"/>
  <c r="AS416" i="4"/>
  <c r="AV417" i="4"/>
  <c r="AT419" i="4"/>
  <c r="AW420" i="4"/>
  <c r="AU422" i="4"/>
  <c r="AS424" i="4"/>
  <c r="AV425" i="4"/>
  <c r="AT427" i="4"/>
  <c r="AW428" i="4"/>
  <c r="AU430" i="4"/>
  <c r="AS432" i="4"/>
  <c r="AV433" i="4"/>
  <c r="AT435" i="4"/>
  <c r="AT212" i="4"/>
  <c r="AS248" i="4"/>
  <c r="AT263" i="4"/>
  <c r="AS276" i="4"/>
  <c r="AT286" i="4"/>
  <c r="AW294" i="4"/>
  <c r="AS302" i="4"/>
  <c r="AT308" i="4"/>
  <c r="AU311" i="4"/>
  <c r="AS314" i="4"/>
  <c r="AV316" i="4"/>
  <c r="AU318" i="4"/>
  <c r="AT320" i="4"/>
  <c r="AW321" i="4"/>
  <c r="AU323" i="4"/>
  <c r="AS325" i="4"/>
  <c r="AV326" i="4"/>
  <c r="AT328" i="4"/>
  <c r="AW329" i="4"/>
  <c r="AU331" i="4"/>
  <c r="AS333" i="4"/>
  <c r="AV334" i="4"/>
  <c r="AT336" i="4"/>
  <c r="AW337" i="4"/>
  <c r="AU339" i="4"/>
  <c r="AS341" i="4"/>
  <c r="AV342" i="4"/>
  <c r="AT344" i="4"/>
  <c r="AW345" i="4"/>
  <c r="AU347" i="4"/>
  <c r="AS349" i="4"/>
  <c r="AV350" i="4"/>
  <c r="AT352" i="4"/>
  <c r="AW353" i="4"/>
  <c r="AU355" i="4"/>
  <c r="AS357" i="4"/>
  <c r="AV358" i="4"/>
  <c r="AT360" i="4"/>
  <c r="AW361" i="4"/>
  <c r="AU363" i="4"/>
  <c r="AS365" i="4"/>
  <c r="AV366" i="4"/>
  <c r="AT368" i="4"/>
  <c r="AW369" i="4"/>
  <c r="AU371" i="4"/>
  <c r="AS373" i="4"/>
  <c r="AV374" i="4"/>
  <c r="AT376" i="4"/>
  <c r="AW377" i="4"/>
  <c r="AU379" i="4"/>
  <c r="AS381" i="4"/>
  <c r="AV382" i="4"/>
  <c r="AT384" i="4"/>
  <c r="AW385" i="4"/>
  <c r="AU387" i="4"/>
  <c r="AS389" i="4"/>
  <c r="AV390" i="4"/>
  <c r="AT392" i="4"/>
  <c r="AW393" i="4"/>
  <c r="AU395" i="4"/>
  <c r="AS397" i="4"/>
  <c r="AV398" i="4"/>
  <c r="AT400" i="4"/>
  <c r="AW401" i="4"/>
  <c r="AU403" i="4"/>
  <c r="AS405" i="4"/>
  <c r="AV406" i="4"/>
  <c r="AT408" i="4"/>
  <c r="AW409" i="4"/>
  <c r="AU411" i="4"/>
  <c r="AS413" i="4"/>
  <c r="AV414" i="4"/>
  <c r="AT416" i="4"/>
  <c r="AW417" i="4"/>
  <c r="AU419" i="4"/>
  <c r="AS421" i="4"/>
  <c r="AV422" i="4"/>
  <c r="AT424" i="4"/>
  <c r="AW425" i="4"/>
  <c r="AU427" i="4"/>
  <c r="AS429" i="4"/>
  <c r="AV430" i="4"/>
  <c r="AT432" i="4"/>
  <c r="AS71" i="4"/>
  <c r="AU215" i="4"/>
  <c r="AS250" i="4"/>
  <c r="AU264" i="4"/>
  <c r="AT277" i="4"/>
  <c r="AS287" i="4"/>
  <c r="AU295" i="4"/>
  <c r="AW302" i="4"/>
  <c r="AU308" i="4"/>
  <c r="AV311" i="4"/>
  <c r="AW314" i="4"/>
  <c r="AW316" i="4"/>
  <c r="AW318" i="4"/>
  <c r="AU320" i="4"/>
  <c r="AS322" i="4"/>
  <c r="AV323" i="4"/>
  <c r="AT325" i="4"/>
  <c r="AW326" i="4"/>
  <c r="AU328" i="4"/>
  <c r="AS330" i="4"/>
  <c r="AV331" i="4"/>
  <c r="AT333" i="4"/>
  <c r="AW334" i="4"/>
  <c r="AU336" i="4"/>
  <c r="AS338" i="4"/>
  <c r="AV339" i="4"/>
  <c r="AT341" i="4"/>
  <c r="AW342" i="4"/>
  <c r="AU344" i="4"/>
  <c r="AS346" i="4"/>
  <c r="AV347" i="4"/>
  <c r="AT349" i="4"/>
  <c r="AW350" i="4"/>
  <c r="AU352" i="4"/>
  <c r="AS354" i="4"/>
  <c r="AV355" i="4"/>
  <c r="AT357" i="4"/>
  <c r="AW358" i="4"/>
  <c r="AU360" i="4"/>
  <c r="AS362" i="4"/>
  <c r="AV363" i="4"/>
  <c r="AT365" i="4"/>
  <c r="AW366" i="4"/>
  <c r="AU368" i="4"/>
  <c r="AS370" i="4"/>
  <c r="AV371" i="4"/>
  <c r="AT373" i="4"/>
  <c r="AW374" i="4"/>
  <c r="AU376" i="4"/>
  <c r="AS378" i="4"/>
  <c r="AV379" i="4"/>
  <c r="AT381" i="4"/>
  <c r="AW382" i="4"/>
  <c r="AU384" i="4"/>
  <c r="AS386" i="4"/>
  <c r="AV387" i="4"/>
  <c r="AT389" i="4"/>
  <c r="AW390" i="4"/>
  <c r="AU392" i="4"/>
  <c r="AS394" i="4"/>
  <c r="AV395" i="4"/>
  <c r="AT397" i="4"/>
  <c r="AW398" i="4"/>
  <c r="AU400" i="4"/>
  <c r="AS402" i="4"/>
  <c r="AV403" i="4"/>
  <c r="AT405" i="4"/>
  <c r="AW406" i="4"/>
  <c r="AU408" i="4"/>
  <c r="AS410" i="4"/>
  <c r="AV411" i="4"/>
  <c r="AT413" i="4"/>
  <c r="AW414" i="4"/>
  <c r="AU416" i="4"/>
  <c r="AS418" i="4"/>
  <c r="AV419" i="4"/>
  <c r="AT421" i="4"/>
  <c r="AW422" i="4"/>
  <c r="AU424" i="4"/>
  <c r="AS426" i="4"/>
  <c r="AV427" i="4"/>
  <c r="AT429" i="4"/>
  <c r="AW430" i="4"/>
  <c r="AU432" i="4"/>
  <c r="AS434" i="4"/>
  <c r="AS126" i="4"/>
  <c r="AT221" i="4"/>
  <c r="AW252" i="4"/>
  <c r="AU266" i="4"/>
  <c r="AT279" i="4"/>
  <c r="AU288" i="4"/>
  <c r="AV296" i="4"/>
  <c r="AW303" i="4"/>
  <c r="AU309" i="4"/>
  <c r="AW311" i="4"/>
  <c r="AS315" i="4"/>
  <c r="AT317" i="4"/>
  <c r="AS319" i="4"/>
  <c r="AV320" i="4"/>
  <c r="AT322" i="4"/>
  <c r="AW323" i="4"/>
  <c r="AU325" i="4"/>
  <c r="AS327" i="4"/>
  <c r="AV328" i="4"/>
  <c r="AT330" i="4"/>
  <c r="AW331" i="4"/>
  <c r="AU333" i="4"/>
  <c r="AS335" i="4"/>
  <c r="AV336" i="4"/>
  <c r="AT338" i="4"/>
  <c r="AW339" i="4"/>
  <c r="AU341" i="4"/>
  <c r="AS343" i="4"/>
  <c r="AV344" i="4"/>
  <c r="AT346" i="4"/>
  <c r="AW347" i="4"/>
  <c r="AU349" i="4"/>
  <c r="AS351" i="4"/>
  <c r="AV352" i="4"/>
  <c r="AT354" i="4"/>
  <c r="AW355" i="4"/>
  <c r="AU357" i="4"/>
  <c r="AS359" i="4"/>
  <c r="AV360" i="4"/>
  <c r="AT362" i="4"/>
  <c r="AW363" i="4"/>
  <c r="AU365" i="4"/>
  <c r="AS367" i="4"/>
  <c r="AV368" i="4"/>
  <c r="AT370" i="4"/>
  <c r="AW371" i="4"/>
  <c r="AU373" i="4"/>
  <c r="AS375" i="4"/>
  <c r="AV376" i="4"/>
  <c r="AT378" i="4"/>
  <c r="AW379" i="4"/>
  <c r="AU381" i="4"/>
  <c r="AS383" i="4"/>
  <c r="AV384" i="4"/>
  <c r="AT386" i="4"/>
  <c r="AW387" i="4"/>
  <c r="AU389" i="4"/>
  <c r="AS391" i="4"/>
  <c r="AV392" i="4"/>
  <c r="AT394" i="4"/>
  <c r="AW395" i="4"/>
  <c r="AU397" i="4"/>
  <c r="AS399" i="4"/>
  <c r="AV400" i="4"/>
  <c r="AT402" i="4"/>
  <c r="AW403" i="4"/>
  <c r="AU405" i="4"/>
  <c r="AS407" i="4"/>
  <c r="AV408" i="4"/>
  <c r="AT410" i="4"/>
  <c r="AW411" i="4"/>
  <c r="AU413" i="4"/>
  <c r="AS415" i="4"/>
  <c r="AV416" i="4"/>
  <c r="AT418" i="4"/>
  <c r="AW419" i="4"/>
  <c r="AU421" i="4"/>
  <c r="AS423" i="4"/>
  <c r="AV424" i="4"/>
  <c r="AT426" i="4"/>
  <c r="AW427" i="4"/>
  <c r="AU429" i="4"/>
  <c r="AS431" i="4"/>
  <c r="AV432" i="4"/>
  <c r="AT434" i="4"/>
  <c r="AW147" i="4"/>
  <c r="AU224" i="4"/>
  <c r="AU254" i="4"/>
  <c r="AV267" i="4"/>
  <c r="AU280" i="4"/>
  <c r="AT289" i="4"/>
  <c r="AT297" i="4"/>
  <c r="AV304" i="4"/>
  <c r="AV309" i="4"/>
  <c r="AS312" i="4"/>
  <c r="AT315" i="4"/>
  <c r="AU317" i="4"/>
  <c r="AT319" i="4"/>
  <c r="AW320" i="4"/>
  <c r="AU322" i="4"/>
  <c r="AS324" i="4"/>
  <c r="AV325" i="4"/>
  <c r="AT327" i="4"/>
  <c r="AW328" i="4"/>
  <c r="AU330" i="4"/>
  <c r="AS332" i="4"/>
  <c r="AV333" i="4"/>
  <c r="AT335" i="4"/>
  <c r="AW336" i="4"/>
  <c r="AU338" i="4"/>
  <c r="AS340" i="4"/>
  <c r="AV341" i="4"/>
  <c r="AT343" i="4"/>
  <c r="AW344" i="4"/>
  <c r="AU346" i="4"/>
  <c r="AS348" i="4"/>
  <c r="AV349" i="4"/>
  <c r="AT351" i="4"/>
  <c r="AW352" i="4"/>
  <c r="AU354" i="4"/>
  <c r="AS356" i="4"/>
  <c r="AV357" i="4"/>
  <c r="AT359" i="4"/>
  <c r="AW360" i="4"/>
  <c r="AU362" i="4"/>
  <c r="AS364" i="4"/>
  <c r="AV365" i="4"/>
  <c r="AT367" i="4"/>
  <c r="AW368" i="4"/>
  <c r="AU370" i="4"/>
  <c r="AS372" i="4"/>
  <c r="AV373" i="4"/>
  <c r="AT375" i="4"/>
  <c r="AW376" i="4"/>
  <c r="AU378" i="4"/>
  <c r="AS380" i="4"/>
  <c r="AV381" i="4"/>
  <c r="AT383" i="4"/>
  <c r="AW384" i="4"/>
  <c r="AU386" i="4"/>
  <c r="AS388" i="4"/>
  <c r="AV389" i="4"/>
  <c r="AT391" i="4"/>
  <c r="AW392" i="4"/>
  <c r="AU394" i="4"/>
  <c r="AS396" i="4"/>
  <c r="AV397" i="4"/>
  <c r="AT399" i="4"/>
  <c r="AW400" i="4"/>
  <c r="AU402" i="4"/>
  <c r="AS404" i="4"/>
  <c r="AV405" i="4"/>
  <c r="AT407" i="4"/>
  <c r="AW408" i="4"/>
  <c r="AU410" i="4"/>
  <c r="AS412" i="4"/>
  <c r="AV413" i="4"/>
  <c r="AT415" i="4"/>
  <c r="AV167" i="4"/>
  <c r="AV232" i="4"/>
  <c r="AW256" i="4"/>
  <c r="AV269" i="4"/>
  <c r="AS282" i="4"/>
  <c r="AU290" i="4"/>
  <c r="AU298" i="4"/>
  <c r="AV305" i="4"/>
  <c r="AW309" i="4"/>
  <c r="AS313" i="4"/>
  <c r="AV315" i="4"/>
  <c r="AV317" i="4"/>
  <c r="AU319" i="4"/>
  <c r="AS321" i="4"/>
  <c r="AV322" i="4"/>
  <c r="AT324" i="4"/>
  <c r="AW325" i="4"/>
  <c r="AU327" i="4"/>
  <c r="AS329" i="4"/>
  <c r="AV330" i="4"/>
  <c r="AT332" i="4"/>
  <c r="AW333" i="4"/>
  <c r="AU335" i="4"/>
  <c r="AS337" i="4"/>
  <c r="AV338" i="4"/>
  <c r="AT340" i="4"/>
  <c r="AW341" i="4"/>
  <c r="AU343" i="4"/>
  <c r="AS345" i="4"/>
  <c r="AV346" i="4"/>
  <c r="AT348" i="4"/>
  <c r="AW349" i="4"/>
  <c r="AU351" i="4"/>
  <c r="AS353" i="4"/>
  <c r="AV354" i="4"/>
  <c r="AT356" i="4"/>
  <c r="AW357" i="4"/>
  <c r="AU359" i="4"/>
  <c r="AS361" i="4"/>
  <c r="AV362" i="4"/>
  <c r="AT364" i="4"/>
  <c r="AW365" i="4"/>
  <c r="AU367" i="4"/>
  <c r="AS369" i="4"/>
  <c r="AV370" i="4"/>
  <c r="AT372" i="4"/>
  <c r="AW373" i="4"/>
  <c r="AU375" i="4"/>
  <c r="AS377" i="4"/>
  <c r="AV378" i="4"/>
  <c r="AT380" i="4"/>
  <c r="AW381" i="4"/>
  <c r="AU383" i="4"/>
  <c r="AS385" i="4"/>
  <c r="AV386" i="4"/>
  <c r="AT388" i="4"/>
  <c r="AW389" i="4"/>
  <c r="AU391" i="4"/>
  <c r="AS393" i="4"/>
  <c r="AV394" i="4"/>
  <c r="AT396" i="4"/>
  <c r="AW397" i="4"/>
  <c r="AU399" i="4"/>
  <c r="AS401" i="4"/>
  <c r="AV402" i="4"/>
  <c r="AT404" i="4"/>
  <c r="AW405" i="4"/>
  <c r="AU407" i="4"/>
  <c r="AS409" i="4"/>
  <c r="AV410" i="4"/>
  <c r="AT412" i="4"/>
  <c r="AW413" i="4"/>
  <c r="AU415" i="4"/>
  <c r="AS417" i="4"/>
  <c r="AV418" i="4"/>
  <c r="AT420" i="4"/>
  <c r="AW421" i="4"/>
  <c r="AU423" i="4"/>
  <c r="AS425" i="4"/>
  <c r="AV426" i="4"/>
  <c r="AT428" i="4"/>
  <c r="AW429" i="4"/>
  <c r="AU431" i="4"/>
  <c r="AS433" i="4"/>
  <c r="AV434" i="4"/>
  <c r="AS299" i="4"/>
  <c r="AW322" i="4"/>
  <c r="AV335" i="4"/>
  <c r="AU348" i="4"/>
  <c r="AT361" i="4"/>
  <c r="AS374" i="4"/>
  <c r="AW386" i="4"/>
  <c r="AV399" i="4"/>
  <c r="AU412" i="4"/>
  <c r="AU420" i="4"/>
  <c r="AW426" i="4"/>
  <c r="AT433" i="4"/>
  <c r="AT436" i="4"/>
  <c r="AW437" i="4"/>
  <c r="AU439" i="4"/>
  <c r="AS441" i="4"/>
  <c r="AV442" i="4"/>
  <c r="AT444" i="4"/>
  <c r="AW445" i="4"/>
  <c r="AU447" i="4"/>
  <c r="AS449" i="4"/>
  <c r="AV450" i="4"/>
  <c r="AT452" i="4"/>
  <c r="AW453" i="4"/>
  <c r="AU455" i="4"/>
  <c r="AS457" i="4"/>
  <c r="AV458" i="4"/>
  <c r="AT460" i="4"/>
  <c r="AW461" i="4"/>
  <c r="AU463" i="4"/>
  <c r="AS465" i="4"/>
  <c r="AV466" i="4"/>
  <c r="AT468" i="4"/>
  <c r="AW469" i="4"/>
  <c r="AU471" i="4"/>
  <c r="AS473" i="4"/>
  <c r="AV474" i="4"/>
  <c r="AT476" i="4"/>
  <c r="AW477" i="4"/>
  <c r="AU479" i="4"/>
  <c r="AS481" i="4"/>
  <c r="AV482" i="4"/>
  <c r="AT484" i="4"/>
  <c r="AW485" i="4"/>
  <c r="AU487" i="4"/>
  <c r="AS489" i="4"/>
  <c r="AV490" i="4"/>
  <c r="AT492" i="4"/>
  <c r="AW493" i="4"/>
  <c r="AU495" i="4"/>
  <c r="AS497" i="4"/>
  <c r="AV498" i="4"/>
  <c r="AT500" i="4"/>
  <c r="AW501" i="4"/>
  <c r="AU503" i="4"/>
  <c r="AS505" i="4"/>
  <c r="AV506" i="4"/>
  <c r="AT508" i="4"/>
  <c r="AW509" i="4"/>
  <c r="AU511" i="4"/>
  <c r="AS513" i="4"/>
  <c r="AV514" i="4"/>
  <c r="AT516" i="4"/>
  <c r="AW517" i="4"/>
  <c r="AU519" i="4"/>
  <c r="AS521" i="4"/>
  <c r="AV522" i="4"/>
  <c r="AT524" i="4"/>
  <c r="AW525" i="4"/>
  <c r="AU527" i="4"/>
  <c r="AS529" i="4"/>
  <c r="AV530" i="4"/>
  <c r="AT532" i="4"/>
  <c r="AW533" i="4"/>
  <c r="AU535" i="4"/>
  <c r="AU306" i="4"/>
  <c r="AU324" i="4"/>
  <c r="AT337" i="4"/>
  <c r="AS350" i="4"/>
  <c r="AW362" i="4"/>
  <c r="AV375" i="4"/>
  <c r="AU388" i="4"/>
  <c r="AT401" i="4"/>
  <c r="AS414" i="4"/>
  <c r="AV421" i="4"/>
  <c r="AS428" i="4"/>
  <c r="AW433" i="4"/>
  <c r="AU436" i="4"/>
  <c r="AS438" i="4"/>
  <c r="AV439" i="4"/>
  <c r="AT441" i="4"/>
  <c r="AW442" i="4"/>
  <c r="AU444" i="4"/>
  <c r="AS446" i="4"/>
  <c r="AV447" i="4"/>
  <c r="AT449" i="4"/>
  <c r="AW450" i="4"/>
  <c r="AU452" i="4"/>
  <c r="AS454" i="4"/>
  <c r="AV455" i="4"/>
  <c r="AT457" i="4"/>
  <c r="AW458" i="4"/>
  <c r="AU460" i="4"/>
  <c r="AS462" i="4"/>
  <c r="AV463" i="4"/>
  <c r="AT465" i="4"/>
  <c r="AW466" i="4"/>
  <c r="AU468" i="4"/>
  <c r="AS470" i="4"/>
  <c r="AV471" i="4"/>
  <c r="AT473" i="4"/>
  <c r="AW474" i="4"/>
  <c r="AU476" i="4"/>
  <c r="AS478" i="4"/>
  <c r="AV479" i="4"/>
  <c r="AT481" i="4"/>
  <c r="AW482" i="4"/>
  <c r="AU484" i="4"/>
  <c r="AS486" i="4"/>
  <c r="AV487" i="4"/>
  <c r="AT489" i="4"/>
  <c r="AW490" i="4"/>
  <c r="AU492" i="4"/>
  <c r="AS494" i="4"/>
  <c r="AV495" i="4"/>
  <c r="AT497" i="4"/>
  <c r="AW498" i="4"/>
  <c r="AU500" i="4"/>
  <c r="AS502" i="4"/>
  <c r="AV503" i="4"/>
  <c r="AT505" i="4"/>
  <c r="AW506" i="4"/>
  <c r="AU508" i="4"/>
  <c r="AS510" i="4"/>
  <c r="AV511" i="4"/>
  <c r="AT513" i="4"/>
  <c r="AW514" i="4"/>
  <c r="AU516" i="4"/>
  <c r="AS518" i="4"/>
  <c r="AV519" i="4"/>
  <c r="AT521" i="4"/>
  <c r="AW522" i="4"/>
  <c r="AU524" i="4"/>
  <c r="AS526" i="4"/>
  <c r="AV527" i="4"/>
  <c r="AT529" i="4"/>
  <c r="AW530" i="4"/>
  <c r="AU532" i="4"/>
  <c r="AS534" i="4"/>
  <c r="AV535" i="4"/>
  <c r="AT537" i="4"/>
  <c r="AW538" i="4"/>
  <c r="AU540" i="4"/>
  <c r="AS542" i="4"/>
  <c r="AV543" i="4"/>
  <c r="AT545" i="4"/>
  <c r="AW546" i="4"/>
  <c r="AU548" i="4"/>
  <c r="AS550" i="4"/>
  <c r="AV179" i="4"/>
  <c r="AS310" i="4"/>
  <c r="AS326" i="4"/>
  <c r="AW338" i="4"/>
  <c r="AV351" i="4"/>
  <c r="AU364" i="4"/>
  <c r="AT377" i="4"/>
  <c r="AS390" i="4"/>
  <c r="AW402" i="4"/>
  <c r="AV415" i="4"/>
  <c r="AS422" i="4"/>
  <c r="AU428" i="4"/>
  <c r="AU434" i="4"/>
  <c r="AV436" i="4"/>
  <c r="AT438" i="4"/>
  <c r="AW439" i="4"/>
  <c r="AU441" i="4"/>
  <c r="AS443" i="4"/>
  <c r="AV444" i="4"/>
  <c r="AT446" i="4"/>
  <c r="AW447" i="4"/>
  <c r="AU449" i="4"/>
  <c r="AS451" i="4"/>
  <c r="AV452" i="4"/>
  <c r="AT454" i="4"/>
  <c r="AW455" i="4"/>
  <c r="AU457" i="4"/>
  <c r="AS459" i="4"/>
  <c r="AV460" i="4"/>
  <c r="AT462" i="4"/>
  <c r="AW463" i="4"/>
  <c r="AU465" i="4"/>
  <c r="AS467" i="4"/>
  <c r="AV468" i="4"/>
  <c r="AT470" i="4"/>
  <c r="AW471" i="4"/>
  <c r="AU473" i="4"/>
  <c r="AS475" i="4"/>
  <c r="AV476" i="4"/>
  <c r="AT478" i="4"/>
  <c r="AW479" i="4"/>
  <c r="AU481" i="4"/>
  <c r="AS483" i="4"/>
  <c r="AV484" i="4"/>
  <c r="AT486" i="4"/>
  <c r="AW487" i="4"/>
  <c r="AU489" i="4"/>
  <c r="AS491" i="4"/>
  <c r="AV492" i="4"/>
  <c r="AT494" i="4"/>
  <c r="AW495" i="4"/>
  <c r="AU497" i="4"/>
  <c r="AS499" i="4"/>
  <c r="AV500" i="4"/>
  <c r="AT502" i="4"/>
  <c r="AW503" i="4"/>
  <c r="AU505" i="4"/>
  <c r="AS507" i="4"/>
  <c r="AV508" i="4"/>
  <c r="AT510" i="4"/>
  <c r="AW511" i="4"/>
  <c r="AU513" i="4"/>
  <c r="AS515" i="4"/>
  <c r="AV516" i="4"/>
  <c r="AT518" i="4"/>
  <c r="AW519" i="4"/>
  <c r="AU521" i="4"/>
  <c r="AS523" i="4"/>
  <c r="AV524" i="4"/>
  <c r="AT526" i="4"/>
  <c r="AW527" i="4"/>
  <c r="AU529" i="4"/>
  <c r="AS531" i="4"/>
  <c r="AV532" i="4"/>
  <c r="AT534" i="4"/>
  <c r="AW535" i="4"/>
  <c r="AU537" i="4"/>
  <c r="AS539" i="4"/>
  <c r="AV540" i="4"/>
  <c r="AT542" i="4"/>
  <c r="AW543" i="4"/>
  <c r="AU545" i="4"/>
  <c r="AS547" i="4"/>
  <c r="AV548" i="4"/>
  <c r="AT550" i="4"/>
  <c r="AW235" i="4"/>
  <c r="AT313" i="4"/>
  <c r="AV327" i="4"/>
  <c r="AU340" i="4"/>
  <c r="AT353" i="4"/>
  <c r="AS366" i="4"/>
  <c r="AW378" i="4"/>
  <c r="AV391" i="4"/>
  <c r="AU404" i="4"/>
  <c r="AW416" i="4"/>
  <c r="AT423" i="4"/>
  <c r="AV429" i="4"/>
  <c r="AW434" i="4"/>
  <c r="AW436" i="4"/>
  <c r="AU438" i="4"/>
  <c r="AS440" i="4"/>
  <c r="AV441" i="4"/>
  <c r="AT443" i="4"/>
  <c r="AW444" i="4"/>
  <c r="AU446" i="4"/>
  <c r="AS448" i="4"/>
  <c r="AV449" i="4"/>
  <c r="AT451" i="4"/>
  <c r="AW452" i="4"/>
  <c r="AU454" i="4"/>
  <c r="AS456" i="4"/>
  <c r="AV457" i="4"/>
  <c r="AT459" i="4"/>
  <c r="AW460" i="4"/>
  <c r="AU462" i="4"/>
  <c r="AS464" i="4"/>
  <c r="AV465" i="4"/>
  <c r="AT467" i="4"/>
  <c r="AW468" i="4"/>
  <c r="AU470" i="4"/>
  <c r="AS472" i="4"/>
  <c r="AV473" i="4"/>
  <c r="AT475" i="4"/>
  <c r="AW476" i="4"/>
  <c r="AU478" i="4"/>
  <c r="AS480" i="4"/>
  <c r="AV481" i="4"/>
  <c r="AT483" i="4"/>
  <c r="AW484" i="4"/>
  <c r="AU486" i="4"/>
  <c r="AS488" i="4"/>
  <c r="AV489" i="4"/>
  <c r="AT491" i="4"/>
  <c r="AW492" i="4"/>
  <c r="AU494" i="4"/>
  <c r="AS496" i="4"/>
  <c r="AV497" i="4"/>
  <c r="AT499" i="4"/>
  <c r="AW500" i="4"/>
  <c r="AU502" i="4"/>
  <c r="AS504" i="4"/>
  <c r="AV505" i="4"/>
  <c r="AT507" i="4"/>
  <c r="AW508" i="4"/>
  <c r="AU510" i="4"/>
  <c r="AS512" i="4"/>
  <c r="AV513" i="4"/>
  <c r="AT515" i="4"/>
  <c r="AW516" i="4"/>
  <c r="AU518" i="4"/>
  <c r="AS520" i="4"/>
  <c r="AV521" i="4"/>
  <c r="AT523" i="4"/>
  <c r="AW524" i="4"/>
  <c r="AU526" i="4"/>
  <c r="AS528" i="4"/>
  <c r="AV529" i="4"/>
  <c r="AT531" i="4"/>
  <c r="AW532" i="4"/>
  <c r="AU534" i="4"/>
  <c r="AS536" i="4"/>
  <c r="AV537" i="4"/>
  <c r="AT539" i="4"/>
  <c r="AW540" i="4"/>
  <c r="AU542" i="4"/>
  <c r="AS544" i="4"/>
  <c r="AV545" i="4"/>
  <c r="AT547" i="4"/>
  <c r="AW270" i="4"/>
  <c r="AW317" i="4"/>
  <c r="AW330" i="4"/>
  <c r="AV343" i="4"/>
  <c r="AU356" i="4"/>
  <c r="AT369" i="4"/>
  <c r="AS382" i="4"/>
  <c r="AW394" i="4"/>
  <c r="AV407" i="4"/>
  <c r="AU418" i="4"/>
  <c r="AW424" i="4"/>
  <c r="AT431" i="4"/>
  <c r="AV435" i="4"/>
  <c r="AT437" i="4"/>
  <c r="AW438" i="4"/>
  <c r="AU440" i="4"/>
  <c r="AS442" i="4"/>
  <c r="AV443" i="4"/>
  <c r="AT445" i="4"/>
  <c r="AW446" i="4"/>
  <c r="AU448" i="4"/>
  <c r="AS450" i="4"/>
  <c r="AV451" i="4"/>
  <c r="AT453" i="4"/>
  <c r="AW454" i="4"/>
  <c r="AU456" i="4"/>
  <c r="AS458" i="4"/>
  <c r="AV459" i="4"/>
  <c r="AT461" i="4"/>
  <c r="AW462" i="4"/>
  <c r="AU464" i="4"/>
  <c r="AS466" i="4"/>
  <c r="AV467" i="4"/>
  <c r="AT469" i="4"/>
  <c r="AW470" i="4"/>
  <c r="AU472" i="4"/>
  <c r="AS474" i="4"/>
  <c r="AV475" i="4"/>
  <c r="AT477" i="4"/>
  <c r="AW478" i="4"/>
  <c r="AU480" i="4"/>
  <c r="AS482" i="4"/>
  <c r="AV483" i="4"/>
  <c r="AT485" i="4"/>
  <c r="AW486" i="4"/>
  <c r="AU488" i="4"/>
  <c r="AS490" i="4"/>
  <c r="AV491" i="4"/>
  <c r="AT493" i="4"/>
  <c r="AW494" i="4"/>
  <c r="AU496" i="4"/>
  <c r="AS498" i="4"/>
  <c r="AV499" i="4"/>
  <c r="AT501" i="4"/>
  <c r="AW502" i="4"/>
  <c r="AU504" i="4"/>
  <c r="AS506" i="4"/>
  <c r="AV507" i="4"/>
  <c r="AT509" i="4"/>
  <c r="AW510" i="4"/>
  <c r="AU512" i="4"/>
  <c r="AS514" i="4"/>
  <c r="AV515" i="4"/>
  <c r="AT517" i="4"/>
  <c r="AW518" i="4"/>
  <c r="AU520" i="4"/>
  <c r="AS522" i="4"/>
  <c r="AV523" i="4"/>
  <c r="AT525" i="4"/>
  <c r="AW526" i="4"/>
  <c r="AU528" i="4"/>
  <c r="AS530" i="4"/>
  <c r="AV531" i="4"/>
  <c r="AT533" i="4"/>
  <c r="AW534" i="4"/>
  <c r="AU536" i="4"/>
  <c r="AS538" i="4"/>
  <c r="AV539" i="4"/>
  <c r="AT541" i="4"/>
  <c r="AW542" i="4"/>
  <c r="AU544" i="4"/>
  <c r="AS546" i="4"/>
  <c r="AW282" i="4"/>
  <c r="AV319" i="4"/>
  <c r="AU332" i="4"/>
  <c r="AT345" i="4"/>
  <c r="AS358" i="4"/>
  <c r="AW370" i="4"/>
  <c r="AV383" i="4"/>
  <c r="AU396" i="4"/>
  <c r="AT409" i="4"/>
  <c r="AW418" i="4"/>
  <c r="AT425" i="4"/>
  <c r="AV431" i="4"/>
  <c r="AW435" i="4"/>
  <c r="AU437" i="4"/>
  <c r="AS439" i="4"/>
  <c r="AV440" i="4"/>
  <c r="AT442" i="4"/>
  <c r="AW443" i="4"/>
  <c r="AU445" i="4"/>
  <c r="AS447" i="4"/>
  <c r="AV448" i="4"/>
  <c r="AT450" i="4"/>
  <c r="AW451" i="4"/>
  <c r="AU453" i="4"/>
  <c r="AS455" i="4"/>
  <c r="AV456" i="4"/>
  <c r="AT458" i="4"/>
  <c r="AW459" i="4"/>
  <c r="AU461" i="4"/>
  <c r="AS463" i="4"/>
  <c r="AV464" i="4"/>
  <c r="AT466" i="4"/>
  <c r="AW467" i="4"/>
  <c r="AU469" i="4"/>
  <c r="AS471" i="4"/>
  <c r="AV472" i="4"/>
  <c r="AT474" i="4"/>
  <c r="AW475" i="4"/>
  <c r="AU477" i="4"/>
  <c r="AS479" i="4"/>
  <c r="AV480" i="4"/>
  <c r="AT482" i="4"/>
  <c r="AW483" i="4"/>
  <c r="AU485" i="4"/>
  <c r="AS487" i="4"/>
  <c r="AV488" i="4"/>
  <c r="AT490" i="4"/>
  <c r="AW491" i="4"/>
  <c r="AU493" i="4"/>
  <c r="AS495" i="4"/>
  <c r="AV496" i="4"/>
  <c r="AT498" i="4"/>
  <c r="AW499" i="4"/>
  <c r="AU501" i="4"/>
  <c r="AS503" i="4"/>
  <c r="AV504" i="4"/>
  <c r="AT506" i="4"/>
  <c r="AW507" i="4"/>
  <c r="AU509" i="4"/>
  <c r="AS511" i="4"/>
  <c r="AV512" i="4"/>
  <c r="AT514" i="4"/>
  <c r="AW515" i="4"/>
  <c r="AU517" i="4"/>
  <c r="AS519" i="4"/>
  <c r="AV520" i="4"/>
  <c r="AT522" i="4"/>
  <c r="AW523" i="4"/>
  <c r="AU525" i="4"/>
  <c r="AS527" i="4"/>
  <c r="AV528" i="4"/>
  <c r="AT530" i="4"/>
  <c r="AW531" i="4"/>
  <c r="AU533" i="4"/>
  <c r="AS535" i="4"/>
  <c r="AV536" i="4"/>
  <c r="AS342" i="4"/>
  <c r="AT393" i="4"/>
  <c r="AS430" i="4"/>
  <c r="AT440" i="4"/>
  <c r="AV446" i="4"/>
  <c r="AS453" i="4"/>
  <c r="AU459" i="4"/>
  <c r="AW465" i="4"/>
  <c r="AT472" i="4"/>
  <c r="AV478" i="4"/>
  <c r="AS485" i="4"/>
  <c r="AU491" i="4"/>
  <c r="AW497" i="4"/>
  <c r="AT504" i="4"/>
  <c r="AV510" i="4"/>
  <c r="AS517" i="4"/>
  <c r="AU523" i="4"/>
  <c r="AW529" i="4"/>
  <c r="AT536" i="4"/>
  <c r="AW539" i="4"/>
  <c r="AS543" i="4"/>
  <c r="AT546" i="4"/>
  <c r="AW548" i="4"/>
  <c r="AW550" i="4"/>
  <c r="AU426" i="4"/>
  <c r="AV477" i="4"/>
  <c r="AW496" i="4"/>
  <c r="AS516" i="4"/>
  <c r="AT535" i="4"/>
  <c r="AV542" i="4"/>
  <c r="AV550" i="4"/>
  <c r="AW346" i="4"/>
  <c r="AS398" i="4"/>
  <c r="AW432" i="4"/>
  <c r="AW440" i="4"/>
  <c r="AT447" i="4"/>
  <c r="AV453" i="4"/>
  <c r="AS460" i="4"/>
  <c r="AU466" i="4"/>
  <c r="AW472" i="4"/>
  <c r="AT479" i="4"/>
  <c r="AV485" i="4"/>
  <c r="AS492" i="4"/>
  <c r="AU498" i="4"/>
  <c r="AW504" i="4"/>
  <c r="AT511" i="4"/>
  <c r="AV517" i="4"/>
  <c r="AS524" i="4"/>
  <c r="AU530" i="4"/>
  <c r="AW536" i="4"/>
  <c r="AS540" i="4"/>
  <c r="AT543" i="4"/>
  <c r="AU546" i="4"/>
  <c r="AS549" i="4"/>
  <c r="AV445" i="4"/>
  <c r="AS258" i="4"/>
  <c r="AW354" i="4"/>
  <c r="AS406" i="4"/>
  <c r="AU435" i="4"/>
  <c r="AW441" i="4"/>
  <c r="AT448" i="4"/>
  <c r="AV454" i="4"/>
  <c r="AS461" i="4"/>
  <c r="AU467" i="4"/>
  <c r="AW473" i="4"/>
  <c r="AT480" i="4"/>
  <c r="AV486" i="4"/>
  <c r="AS493" i="4"/>
  <c r="AU499" i="4"/>
  <c r="AW505" i="4"/>
  <c r="AT512" i="4"/>
  <c r="AV518" i="4"/>
  <c r="AS525" i="4"/>
  <c r="AU531" i="4"/>
  <c r="AS537" i="4"/>
  <c r="AT540" i="4"/>
  <c r="AU543" i="4"/>
  <c r="AV546" i="4"/>
  <c r="AT549" i="4"/>
  <c r="AT439" i="4"/>
  <c r="AT291" i="4"/>
  <c r="AV359" i="4"/>
  <c r="AW410" i="4"/>
  <c r="AS436" i="4"/>
  <c r="AU442" i="4"/>
  <c r="AW448" i="4"/>
  <c r="AT455" i="4"/>
  <c r="AV461" i="4"/>
  <c r="AS468" i="4"/>
  <c r="AU474" i="4"/>
  <c r="AW480" i="4"/>
  <c r="AT487" i="4"/>
  <c r="AV493" i="4"/>
  <c r="AS500" i="4"/>
  <c r="AU506" i="4"/>
  <c r="AW512" i="4"/>
  <c r="AT519" i="4"/>
  <c r="AV525" i="4"/>
  <c r="AS532" i="4"/>
  <c r="AW537" i="4"/>
  <c r="AS541" i="4"/>
  <c r="AT544" i="4"/>
  <c r="AU547" i="4"/>
  <c r="AU549" i="4"/>
  <c r="AS452" i="4"/>
  <c r="AW315" i="4"/>
  <c r="AV367" i="4"/>
  <c r="AT417" i="4"/>
  <c r="AS437" i="4"/>
  <c r="AU443" i="4"/>
  <c r="AW449" i="4"/>
  <c r="AT456" i="4"/>
  <c r="AV462" i="4"/>
  <c r="AS469" i="4"/>
  <c r="AU475" i="4"/>
  <c r="AW481" i="4"/>
  <c r="AT488" i="4"/>
  <c r="AV494" i="4"/>
  <c r="AS501" i="4"/>
  <c r="AU507" i="4"/>
  <c r="AW513" i="4"/>
  <c r="AT520" i="4"/>
  <c r="AV526" i="4"/>
  <c r="AS533" i="4"/>
  <c r="AT538" i="4"/>
  <c r="AU541" i="4"/>
  <c r="AV544" i="4"/>
  <c r="AV547" i="4"/>
  <c r="AV549" i="4"/>
  <c r="AS334" i="4"/>
  <c r="AW464" i="4"/>
  <c r="AU490" i="4"/>
  <c r="AT503" i="4"/>
  <c r="AU522" i="4"/>
  <c r="AU539" i="4"/>
  <c r="AT548" i="4"/>
  <c r="AT321" i="4"/>
  <c r="AU372" i="4"/>
  <c r="AS420" i="4"/>
  <c r="AV437" i="4"/>
  <c r="AS444" i="4"/>
  <c r="AU450" i="4"/>
  <c r="AW456" i="4"/>
  <c r="AT463" i="4"/>
  <c r="AV469" i="4"/>
  <c r="AS476" i="4"/>
  <c r="AU482" i="4"/>
  <c r="AW488" i="4"/>
  <c r="AT495" i="4"/>
  <c r="AV501" i="4"/>
  <c r="AS508" i="4"/>
  <c r="AU514" i="4"/>
  <c r="AW520" i="4"/>
  <c r="AT527" i="4"/>
  <c r="AV533" i="4"/>
  <c r="AU538" i="4"/>
  <c r="AV541" i="4"/>
  <c r="AW544" i="4"/>
  <c r="AW547" i="4"/>
  <c r="AW549" i="4"/>
  <c r="AT385" i="4"/>
  <c r="AT329" i="4"/>
  <c r="AU380" i="4"/>
  <c r="AV423" i="4"/>
  <c r="AV438" i="4"/>
  <c r="AS445" i="4"/>
  <c r="AU451" i="4"/>
  <c r="AW457" i="4"/>
  <c r="AT464" i="4"/>
  <c r="AV470" i="4"/>
  <c r="AS477" i="4"/>
  <c r="AU483" i="4"/>
  <c r="AW489" i="4"/>
  <c r="AT496" i="4"/>
  <c r="AV502" i="4"/>
  <c r="AS509" i="4"/>
  <c r="AU515" i="4"/>
  <c r="AW521" i="4"/>
  <c r="AT528" i="4"/>
  <c r="AV534" i="4"/>
  <c r="AV538" i="4"/>
  <c r="AW541" i="4"/>
  <c r="AS545" i="4"/>
  <c r="AS548" i="4"/>
  <c r="AU550" i="4"/>
  <c r="AU458" i="4"/>
  <c r="AT471" i="4"/>
  <c r="AS484" i="4"/>
  <c r="AV509" i="4"/>
  <c r="AW528" i="4"/>
  <c r="AW545" i="4"/>
  <c r="AU226" i="4"/>
  <c r="AS227" i="4"/>
  <c r="AM123" i="4"/>
  <c r="AG171" i="4"/>
  <c r="AF147" i="4"/>
  <c r="AI263" i="4"/>
  <c r="AB267" i="4"/>
  <c r="AE258" i="4"/>
  <c r="AL229" i="4"/>
  <c r="AD263" i="4"/>
  <c r="AE243" i="4"/>
  <c r="AG270" i="4"/>
  <c r="AB241" i="4"/>
  <c r="AJ269" i="4"/>
  <c r="AG243" i="4"/>
  <c r="AG271" i="4"/>
  <c r="AE291" i="4"/>
  <c r="AC316" i="4"/>
  <c r="AD285" i="4"/>
  <c r="AL245" i="4"/>
  <c r="AK297" i="4"/>
  <c r="AG311" i="4"/>
  <c r="AF284" i="4"/>
  <c r="AF300" i="4"/>
  <c r="AJ275" i="4"/>
  <c r="AK294" i="4"/>
  <c r="AI311" i="4"/>
  <c r="AB272" i="4"/>
  <c r="AD294" i="4"/>
  <c r="AB268" i="4"/>
  <c r="AM290" i="4"/>
  <c r="AJ258" i="4"/>
  <c r="AB284" i="4"/>
  <c r="AL295" i="4"/>
  <c r="AH309" i="4"/>
  <c r="AJ328" i="4"/>
  <c r="AH341" i="4"/>
  <c r="AB356" i="4"/>
  <c r="AH369" i="4"/>
  <c r="AL311" i="4"/>
  <c r="AC328" i="4"/>
  <c r="AG342" i="4"/>
  <c r="AE355" i="4"/>
  <c r="AK368" i="4"/>
  <c r="AF310" i="4"/>
  <c r="AD328" i="4"/>
  <c r="AB341" i="4"/>
  <c r="AH354" i="4"/>
  <c r="AI304" i="4"/>
  <c r="AI324" i="4"/>
  <c r="AK337" i="4"/>
  <c r="AI354" i="4"/>
  <c r="AM364" i="4"/>
  <c r="AC315" i="4"/>
  <c r="AB330" i="4"/>
  <c r="AL341" i="4"/>
  <c r="AL353" i="4"/>
  <c r="AL365" i="4"/>
  <c r="AB378" i="4"/>
  <c r="AL310" i="4"/>
  <c r="AK323" i="4"/>
  <c r="AC334" i="4"/>
  <c r="AI343" i="4"/>
  <c r="AC354" i="4"/>
  <c r="AE365" i="4"/>
  <c r="AF315" i="4"/>
  <c r="AC323" i="4"/>
  <c r="AF333" i="4"/>
  <c r="AB343" i="4"/>
  <c r="AH352" i="4"/>
  <c r="AL362" i="4"/>
  <c r="AD307" i="4"/>
  <c r="AL319" i="4"/>
  <c r="AE330" i="4"/>
  <c r="AI340" i="4"/>
  <c r="AC351" i="4"/>
  <c r="AI360" i="4"/>
  <c r="AE370" i="4"/>
  <c r="AK379" i="4"/>
  <c r="AE382" i="4"/>
  <c r="AH391" i="4"/>
  <c r="AL401" i="4"/>
  <c r="AL409" i="4"/>
  <c r="AJ418" i="4"/>
  <c r="AF428" i="4"/>
  <c r="AB438" i="4"/>
  <c r="AF377" i="4"/>
  <c r="AB501" i="4"/>
  <c r="AJ493" i="4"/>
  <c r="AF487" i="4"/>
  <c r="AL480" i="4"/>
  <c r="AL472" i="4"/>
  <c r="AJ465" i="4"/>
  <c r="AF459" i="4"/>
  <c r="AF451" i="4"/>
  <c r="AD440" i="4"/>
  <c r="AK500" i="4"/>
  <c r="AI493" i="4"/>
  <c r="AC484" i="4"/>
  <c r="AC476" i="4"/>
  <c r="AK468" i="4"/>
  <c r="AC460" i="4"/>
  <c r="AK452" i="4"/>
  <c r="AC444" i="4"/>
  <c r="AF502" i="4"/>
  <c r="AH493" i="4"/>
  <c r="AF486" i="4"/>
  <c r="AH477" i="4"/>
  <c r="AF470" i="4"/>
  <c r="AD463" i="4"/>
  <c r="AD455" i="4"/>
  <c r="AK446" i="4"/>
  <c r="AI512" i="4"/>
  <c r="AG505" i="4"/>
  <c r="AI496" i="4"/>
  <c r="AG489" i="4"/>
  <c r="AG481" i="4"/>
  <c r="AG473" i="4"/>
  <c r="AG465" i="4"/>
  <c r="AG457" i="4"/>
  <c r="AF448" i="4"/>
  <c r="AF513" i="4"/>
  <c r="AF505" i="4"/>
  <c r="AD498" i="4"/>
  <c r="AF489" i="4"/>
  <c r="AD482" i="4"/>
  <c r="AF473" i="4"/>
  <c r="AF465" i="4"/>
  <c r="AF457" i="4"/>
  <c r="AG449" i="4"/>
  <c r="AK449" i="4"/>
  <c r="AI442" i="4"/>
  <c r="AI434" i="4"/>
  <c r="AK425" i="4"/>
  <c r="AK417" i="4"/>
  <c r="AI410" i="4"/>
  <c r="AI402" i="4"/>
  <c r="AI394" i="4"/>
  <c r="AI386" i="4"/>
  <c r="AK380" i="4"/>
  <c r="AL436" i="4"/>
  <c r="AB429" i="4"/>
  <c r="AB421" i="4"/>
  <c r="AB413" i="4"/>
  <c r="AB405" i="4"/>
  <c r="AJ397" i="4"/>
  <c r="AJ389" i="4"/>
  <c r="AC382" i="4"/>
  <c r="AH370" i="4"/>
  <c r="AG426" i="4"/>
  <c r="AG418" i="4"/>
  <c r="AK408" i="4"/>
  <c r="AM399" i="4"/>
  <c r="AE391" i="4"/>
  <c r="AJ381" i="4"/>
  <c r="AL447" i="4"/>
  <c r="AL439" i="4"/>
  <c r="AF430" i="4"/>
  <c r="AJ420" i="4"/>
  <c r="AL411" i="4"/>
  <c r="AL403" i="4"/>
  <c r="AJ392" i="4"/>
  <c r="AJ383" i="4"/>
  <c r="AI432" i="4"/>
  <c r="AK423" i="4"/>
  <c r="AE414" i="4"/>
  <c r="AE406" i="4"/>
  <c r="AG397" i="4"/>
  <c r="AM386" i="4"/>
  <c r="AL368" i="4"/>
  <c r="AD426" i="4"/>
  <c r="AJ415" i="4"/>
  <c r="AB407" i="4"/>
  <c r="AB399" i="4"/>
  <c r="AD390" i="4"/>
  <c r="AL376" i="4"/>
  <c r="AK438" i="4"/>
  <c r="AK430" i="4"/>
  <c r="AE421" i="4"/>
  <c r="AG412" i="4"/>
  <c r="AI403" i="4"/>
  <c r="AC394" i="4"/>
  <c r="AG384" i="4"/>
  <c r="AL441" i="4"/>
  <c r="AH431" i="4"/>
  <c r="AB422" i="4"/>
  <c r="AB410" i="4"/>
  <c r="AD401" i="4"/>
  <c r="AB390" i="4"/>
  <c r="AE377" i="4"/>
  <c r="AM374" i="4"/>
  <c r="AG365" i="4"/>
  <c r="AG353" i="4"/>
  <c r="AG341" i="4"/>
  <c r="AG329" i="4"/>
  <c r="AC318" i="4"/>
  <c r="AD370" i="4"/>
  <c r="AB359" i="4"/>
  <c r="AD346" i="4"/>
  <c r="AL334" i="4"/>
  <c r="AL323" i="4"/>
  <c r="AB312" i="4"/>
  <c r="AM361" i="4"/>
  <c r="AC350" i="4"/>
  <c r="AI339" i="4"/>
  <c r="AI327" i="4"/>
  <c r="AL314" i="4"/>
  <c r="AF380" i="4"/>
  <c r="AD365" i="4"/>
  <c r="AH351" i="4"/>
  <c r="AL337" i="4"/>
  <c r="AJ324" i="4"/>
  <c r="AJ304" i="4"/>
  <c r="AE356" i="4"/>
  <c r="AI342" i="4"/>
  <c r="AI322" i="4"/>
  <c r="AL364" i="4"/>
  <c r="AJ349" i="4"/>
  <c r="AJ333" i="4"/>
  <c r="AD316" i="4"/>
  <c r="AK372" i="4"/>
  <c r="AK356" i="4"/>
  <c r="AK340" i="4"/>
  <c r="AG325" i="4"/>
  <c r="AB376" i="4"/>
  <c r="AF362" i="4"/>
  <c r="AB348" i="4"/>
  <c r="AB332" i="4"/>
  <c r="AL316" i="4"/>
  <c r="AF294" i="4"/>
  <c r="AJ281" i="4"/>
  <c r="AE298" i="4"/>
  <c r="AI282" i="4"/>
  <c r="AB299" i="4"/>
  <c r="AL277" i="4"/>
  <c r="AG312" i="4"/>
  <c r="AC294" i="4"/>
  <c r="AD257" i="4"/>
  <c r="AB294" i="4"/>
  <c r="AB270" i="4"/>
  <c r="AE304" i="4"/>
  <c r="AB276" i="4"/>
  <c r="AD288" i="4"/>
  <c r="AM315" i="4"/>
  <c r="AB282" i="4"/>
  <c r="AM260" i="4"/>
  <c r="AM232" i="4"/>
  <c r="AD248" i="4"/>
  <c r="AF210" i="4"/>
  <c r="AC244" i="4"/>
  <c r="AB260" i="4"/>
  <c r="AB225" i="4"/>
  <c r="AK247" i="4"/>
  <c r="AH236" i="4"/>
  <c r="AC195" i="4"/>
  <c r="AK216" i="4"/>
  <c r="AG80" i="4"/>
  <c r="AH103" i="4"/>
  <c r="AH144" i="4"/>
  <c r="AD188" i="4"/>
  <c r="AF215" i="4"/>
  <c r="AE222" i="4"/>
  <c r="AK230" i="4"/>
  <c r="AC267" i="4"/>
  <c r="AB236" i="4"/>
  <c r="AJ260" i="4"/>
  <c r="AM231" i="4"/>
  <c r="AI265" i="4"/>
  <c r="AM224" i="4"/>
  <c r="AB253" i="4"/>
  <c r="AB220" i="4"/>
  <c r="AK249" i="4"/>
  <c r="AF226" i="4"/>
  <c r="AM287" i="4"/>
  <c r="AE311" i="4"/>
  <c r="AF275" i="4"/>
  <c r="AB297" i="4"/>
  <c r="AE284" i="4"/>
  <c r="AI302" i="4"/>
  <c r="AJ242" i="4"/>
  <c r="AG285" i="4"/>
  <c r="AH299" i="4"/>
  <c r="AD270" i="4"/>
  <c r="AK290" i="4"/>
  <c r="AG304" i="4"/>
  <c r="AF236" i="4"/>
  <c r="AH280" i="4"/>
  <c r="AD298" i="4"/>
  <c r="AH270" i="4"/>
  <c r="AB287" i="4"/>
  <c r="AF202" i="4"/>
  <c r="AJ276" i="4"/>
  <c r="AF290" i="4"/>
  <c r="AF302" i="4"/>
  <c r="AM317" i="4"/>
  <c r="AD331" i="4"/>
  <c r="AD343" i="4"/>
  <c r="AD355" i="4"/>
  <c r="AD367" i="4"/>
  <c r="AM306" i="4"/>
  <c r="AF321" i="4"/>
  <c r="AE335" i="4"/>
  <c r="AE347" i="4"/>
  <c r="AG358" i="4"/>
  <c r="AG370" i="4"/>
  <c r="AH304" i="4"/>
  <c r="AH326" i="4"/>
  <c r="AL336" i="4"/>
  <c r="AL348" i="4"/>
  <c r="AL360" i="4"/>
  <c r="AC311" i="4"/>
  <c r="AG327" i="4"/>
  <c r="AG339" i="4"/>
  <c r="AG351" i="4"/>
  <c r="AI362" i="4"/>
  <c r="AB309" i="4"/>
  <c r="AB325" i="4"/>
  <c r="AJ334" i="4"/>
  <c r="AL345" i="4"/>
  <c r="AH355" i="4"/>
  <c r="AJ366" i="4"/>
  <c r="AD377" i="4"/>
  <c r="AI308" i="4"/>
  <c r="AB321" i="4"/>
  <c r="AE329" i="4"/>
  <c r="AM337" i="4"/>
  <c r="AK346" i="4"/>
  <c r="AG356" i="4"/>
  <c r="AM365" i="4"/>
  <c r="AB314" i="4"/>
  <c r="AL321" i="4"/>
  <c r="AH328" i="4"/>
  <c r="AL338" i="4"/>
  <c r="AL346" i="4"/>
  <c r="AH356" i="4"/>
  <c r="AD366" i="4"/>
  <c r="AG309" i="4"/>
  <c r="AC319" i="4"/>
  <c r="AK327" i="4"/>
  <c r="AG337" i="4"/>
  <c r="AE346" i="4"/>
  <c r="AC355" i="4"/>
  <c r="AF94" i="4"/>
  <c r="AH86" i="4"/>
  <c r="AF111" i="4"/>
  <c r="AM164" i="4"/>
  <c r="AC209" i="4"/>
  <c r="AD206" i="4"/>
  <c r="AI239" i="4"/>
  <c r="AG188" i="4"/>
  <c r="AH264" i="4"/>
  <c r="AI236" i="4"/>
  <c r="AG265" i="4"/>
  <c r="AC219" i="4"/>
  <c r="AF238" i="4"/>
  <c r="AL259" i="4"/>
  <c r="AF221" i="4"/>
  <c r="AM239" i="4"/>
  <c r="AE259" i="4"/>
  <c r="AI277" i="4"/>
  <c r="AB233" i="4"/>
  <c r="AB249" i="4"/>
  <c r="AB269" i="4"/>
  <c r="AF228" i="4"/>
  <c r="AC245" i="4"/>
  <c r="AG263" i="4"/>
  <c r="AH265" i="4"/>
  <c r="AD286" i="4"/>
  <c r="AC300" i="4"/>
  <c r="AI317" i="4"/>
  <c r="AC273" i="4"/>
  <c r="AL288" i="4"/>
  <c r="AF183" i="4"/>
  <c r="AE283" i="4"/>
  <c r="AE296" i="4"/>
  <c r="AC305" i="4"/>
  <c r="AF212" i="4"/>
  <c r="AJ277" i="4"/>
  <c r="AD289" i="4"/>
  <c r="AJ298" i="4"/>
  <c r="AH239" i="4"/>
  <c r="AE276" i="4"/>
  <c r="AM289" i="4"/>
  <c r="AK298" i="4"/>
  <c r="AK306" i="4"/>
  <c r="AH214" i="4"/>
  <c r="AJ273" i="4"/>
  <c r="AI286" i="4"/>
  <c r="AB295" i="4"/>
  <c r="AF240" i="4"/>
  <c r="AH276" i="4"/>
  <c r="AK287" i="4"/>
  <c r="AI296" i="4"/>
  <c r="AB262" i="4"/>
  <c r="AD277" i="4"/>
  <c r="AL286" i="4"/>
  <c r="AH293" i="4"/>
  <c r="AH301" i="4"/>
  <c r="AK311" i="4"/>
  <c r="AF323" i="4"/>
  <c r="AL331" i="4"/>
  <c r="AL339" i="4"/>
  <c r="AL347" i="4"/>
  <c r="AL355" i="4"/>
  <c r="AD363" i="4"/>
  <c r="AL371" i="4"/>
  <c r="AD305" i="4"/>
  <c r="AM316" i="4"/>
  <c r="AM327" i="4"/>
  <c r="AM335" i="4"/>
  <c r="AE343" i="4"/>
  <c r="AE351" i="4"/>
  <c r="AE359" i="4"/>
  <c r="AM367" i="4"/>
  <c r="AE375" i="4"/>
  <c r="AD308" i="4"/>
  <c r="AG319" i="4"/>
  <c r="AJ329" i="4"/>
  <c r="AJ337" i="4"/>
  <c r="AJ345" i="4"/>
  <c r="AJ353" i="4"/>
  <c r="AH362" i="4"/>
  <c r="AD306" i="4"/>
  <c r="AH318" i="4"/>
  <c r="AM328" i="4"/>
  <c r="AC337" i="4"/>
  <c r="AM344" i="4"/>
  <c r="AC353" i="4"/>
  <c r="AK78" i="4"/>
  <c r="AF165" i="4"/>
  <c r="AG183" i="4"/>
  <c r="AM193" i="4"/>
  <c r="AM214" i="4"/>
  <c r="AE285" i="4"/>
  <c r="AH252" i="4"/>
  <c r="AG241" i="4"/>
  <c r="AI268" i="4"/>
  <c r="AC229" i="4"/>
  <c r="AH249" i="4"/>
  <c r="AH216" i="4"/>
  <c r="AC236" i="4"/>
  <c r="AM255" i="4"/>
  <c r="AG186" i="4"/>
  <c r="AD236" i="4"/>
  <c r="AB257" i="4"/>
  <c r="AH219" i="4"/>
  <c r="AI238" i="4"/>
  <c r="AM256" i="4"/>
  <c r="AJ262" i="4"/>
  <c r="AD287" i="4"/>
  <c r="AI305" i="4"/>
  <c r="AK324" i="4"/>
  <c r="AC281" i="4"/>
  <c r="AF299" i="4"/>
  <c r="AH277" i="4"/>
  <c r="AG295" i="4"/>
  <c r="AI306" i="4"/>
  <c r="AL249" i="4"/>
  <c r="AF282" i="4"/>
  <c r="AL293" i="4"/>
  <c r="AH191" i="4"/>
  <c r="AB274" i="4"/>
  <c r="AG288" i="4"/>
  <c r="AI299" i="4"/>
  <c r="AK310" i="4"/>
  <c r="AJ250" i="4"/>
  <c r="AE278" i="4"/>
  <c r="AF293" i="4"/>
  <c r="AD215" i="4"/>
  <c r="AF274" i="4"/>
  <c r="AE290" i="4"/>
  <c r="AM298" i="4"/>
  <c r="AH269" i="4"/>
  <c r="AB283" i="4"/>
  <c r="AD291" i="4"/>
  <c r="AL299" i="4"/>
  <c r="AD310" i="4"/>
  <c r="AF324" i="4"/>
  <c r="AH333" i="4"/>
  <c r="AF342" i="4"/>
  <c r="AL351" i="4"/>
  <c r="AJ360" i="4"/>
  <c r="AJ368" i="4"/>
  <c r="AB303" i="4"/>
  <c r="AE317" i="4"/>
  <c r="AI329" i="4"/>
  <c r="AI337" i="4"/>
  <c r="AM347" i="4"/>
  <c r="AC356" i="4"/>
  <c r="AK364" i="4"/>
  <c r="AG374" i="4"/>
  <c r="AL309" i="4"/>
  <c r="AG321" i="4"/>
  <c r="AB333" i="4"/>
  <c r="AJ341" i="4"/>
  <c r="AF351" i="4"/>
  <c r="AF359" i="4"/>
  <c r="AG305" i="4"/>
  <c r="AH319" i="4"/>
  <c r="AI330" i="4"/>
  <c r="AE340" i="4"/>
  <c r="AC349" i="4"/>
  <c r="AC357" i="4"/>
  <c r="AC365" i="4"/>
  <c r="AL312" i="4"/>
  <c r="AJ323" i="4"/>
  <c r="AJ330" i="4"/>
  <c r="AH339" i="4"/>
  <c r="AJ346" i="4"/>
  <c r="AJ354" i="4"/>
  <c r="AJ362" i="4"/>
  <c r="AH371" i="4"/>
  <c r="AJ378" i="4"/>
  <c r="AB307" i="4"/>
  <c r="AJ318" i="4"/>
  <c r="AL324" i="4"/>
  <c r="AK330" i="4"/>
  <c r="AC338" i="4"/>
  <c r="AM345" i="4"/>
  <c r="AG352" i="4"/>
  <c r="AI359" i="4"/>
  <c r="AC366" i="4"/>
  <c r="AH311" i="4"/>
  <c r="AB319" i="4"/>
  <c r="AD324" i="4"/>
  <c r="AL330" i="4"/>
  <c r="AD338" i="4"/>
  <c r="AH344" i="4"/>
  <c r="AB351" i="4"/>
  <c r="AD358" i="4"/>
  <c r="AF365" i="4"/>
  <c r="AJ371" i="4"/>
  <c r="AG315" i="4"/>
  <c r="AM321" i="4"/>
  <c r="AI328" i="4"/>
  <c r="AC335" i="4"/>
  <c r="AM342" i="4"/>
  <c r="AG349" i="4"/>
  <c r="AK355" i="4"/>
  <c r="AK363" i="4"/>
  <c r="AM370" i="4"/>
  <c r="AG377" i="4"/>
  <c r="AI375" i="4"/>
  <c r="AL385" i="4"/>
  <c r="AF392" i="4"/>
  <c r="AJ398" i="4"/>
  <c r="AJ406" i="4"/>
  <c r="AL413" i="4"/>
  <c r="AF420" i="4"/>
  <c r="AH427" i="4"/>
  <c r="AB434" i="4"/>
  <c r="AD441" i="4"/>
  <c r="AJ379" i="4"/>
  <c r="AG388" i="4"/>
  <c r="AK394" i="4"/>
  <c r="AM401" i="4"/>
  <c r="AE409" i="4"/>
  <c r="AI415" i="4"/>
  <c r="AC422" i="4"/>
  <c r="AM429" i="4"/>
  <c r="AE437" i="4"/>
  <c r="AI443" i="4"/>
  <c r="AG381" i="4"/>
  <c r="AF389" i="4"/>
  <c r="AJ395" i="4"/>
  <c r="AL402" i="4"/>
  <c r="AD410" i="4"/>
  <c r="AF417" i="4"/>
  <c r="AJ423" i="4"/>
  <c r="AB431" i="4"/>
  <c r="AM379" i="4"/>
  <c r="AK387" i="4"/>
  <c r="AC395" i="4"/>
  <c r="AE402" i="4"/>
  <c r="AG409" i="4"/>
  <c r="AI416" i="4"/>
  <c r="AC423" i="4"/>
  <c r="AE430" i="4"/>
  <c r="AC374" i="4"/>
  <c r="AD387" i="4"/>
  <c r="AH393" i="4"/>
  <c r="AJ400" i="4"/>
  <c r="AB408" i="4"/>
  <c r="AD415" i="4"/>
  <c r="AH421" i="4"/>
  <c r="AJ428" i="4"/>
  <c r="AL435" i="4"/>
  <c r="AF442" i="4"/>
  <c r="AF450" i="4"/>
  <c r="AH380" i="4"/>
  <c r="AM387" i="4"/>
  <c r="AG394" i="4"/>
  <c r="AI401" i="4"/>
  <c r="AC408" i="4"/>
  <c r="AE415" i="4"/>
  <c r="AE423" i="4"/>
  <c r="AI429" i="4"/>
  <c r="AI371" i="4"/>
  <c r="AL5" i="4"/>
  <c r="AM507" i="4"/>
  <c r="AG517" i="4"/>
  <c r="AF532" i="4"/>
  <c r="AD537" i="4"/>
  <c r="AL541" i="4"/>
  <c r="AB546" i="4"/>
  <c r="AJ550" i="4"/>
  <c r="AE517" i="4"/>
  <c r="AC510" i="4"/>
  <c r="AG504" i="4"/>
  <c r="AC498" i="4"/>
  <c r="AG492" i="4"/>
  <c r="AC486" i="4"/>
  <c r="AG480" i="4"/>
  <c r="AC474" i="4"/>
  <c r="AI467" i="4"/>
  <c r="AM461" i="4"/>
  <c r="AI455" i="4"/>
  <c r="AC448" i="4"/>
  <c r="AM439" i="4"/>
  <c r="AF508" i="4"/>
  <c r="AB502" i="4"/>
  <c r="AH495" i="4"/>
  <c r="AL489" i="4"/>
  <c r="AH483" i="4"/>
  <c r="AL477" i="4"/>
  <c r="AH471" i="4"/>
  <c r="AL465" i="4"/>
  <c r="AH459" i="4"/>
  <c r="AD453" i="4"/>
  <c r="AB445" i="4"/>
  <c r="AC436" i="4"/>
  <c r="AK501" i="4"/>
  <c r="AE496" i="4"/>
  <c r="AK489" i="4"/>
  <c r="AE484" i="4"/>
  <c r="AC477" i="4"/>
  <c r="AG471" i="4"/>
  <c r="AC465" i="4"/>
  <c r="AG459" i="4"/>
  <c r="AC453" i="4"/>
  <c r="AL445" i="4"/>
  <c r="AM434" i="4"/>
  <c r="AD516" i="4"/>
  <c r="AJ509" i="4"/>
  <c r="AD504" i="4"/>
  <c r="AJ497" i="4"/>
  <c r="AD492" i="4"/>
  <c r="AJ485" i="4"/>
  <c r="AD480" i="4"/>
  <c r="AB473" i="4"/>
  <c r="AF467" i="4"/>
  <c r="AB461" i="4"/>
  <c r="AF455" i="4"/>
  <c r="AF447" i="4"/>
  <c r="AL434" i="4"/>
  <c r="AM499" i="4"/>
  <c r="AM491" i="4"/>
  <c r="AK484" i="4"/>
  <c r="AG478" i="4"/>
  <c r="AE471" i="4"/>
  <c r="AC464" i="4"/>
  <c r="AI457" i="4"/>
  <c r="AE451" i="4"/>
  <c r="AE439" i="4"/>
  <c r="AH501" i="4"/>
  <c r="AD495" i="4"/>
  <c r="AL487" i="4"/>
  <c r="AJ480" i="4"/>
  <c r="AF474" i="4"/>
  <c r="AD467" i="4"/>
  <c r="AL459" i="4"/>
  <c r="AJ452" i="4"/>
  <c r="AF443" i="4"/>
  <c r="AG513" i="4"/>
  <c r="AM506" i="4"/>
  <c r="AK499" i="4"/>
  <c r="AI492" i="4"/>
  <c r="AG485" i="4"/>
  <c r="AM478" i="4"/>
  <c r="AC471" i="4"/>
  <c r="AI464" i="4"/>
  <c r="AE458" i="4"/>
  <c r="AL450" i="4"/>
  <c r="AJ442" i="4"/>
  <c r="AH508" i="4"/>
  <c r="AF501" i="4"/>
  <c r="AL494" i="4"/>
  <c r="AJ487" i="4"/>
  <c r="AF481" i="4"/>
  <c r="AD474" i="4"/>
  <c r="AB467" i="4"/>
  <c r="AJ459" i="4"/>
  <c r="AH452" i="4"/>
  <c r="AC443" i="4"/>
  <c r="AE448" i="4"/>
  <c r="AM440" i="4"/>
  <c r="AK433" i="4"/>
  <c r="AG427" i="4"/>
  <c r="AG419" i="4"/>
  <c r="AM412" i="4"/>
  <c r="AK405" i="4"/>
  <c r="AG399" i="4"/>
  <c r="AE392" i="4"/>
  <c r="AC385" i="4"/>
  <c r="AG379" i="4"/>
  <c r="AB437" i="4"/>
  <c r="AH430" i="4"/>
  <c r="AD424" i="4"/>
  <c r="AL416" i="4"/>
  <c r="AJ409" i="4"/>
  <c r="AF403" i="4"/>
  <c r="AL396" i="4"/>
  <c r="AL388" i="4"/>
  <c r="AL382" i="4"/>
  <c r="AH374" i="4"/>
  <c r="AG430" i="4"/>
  <c r="AK420" i="4"/>
  <c r="AI413" i="4"/>
  <c r="AG406" i="4"/>
  <c r="AG398" i="4"/>
  <c r="AG390" i="4"/>
  <c r="AK382" i="4"/>
  <c r="AB369" i="4"/>
  <c r="AH441" i="4"/>
  <c r="AF434" i="4"/>
  <c r="AF426" i="4"/>
  <c r="AF418" i="4"/>
  <c r="AF410" i="4"/>
  <c r="AD403" i="4"/>
  <c r="AD395" i="4"/>
  <c r="AF386" i="4"/>
  <c r="AG372" i="4"/>
  <c r="AK427" i="4"/>
  <c r="AC419" i="4"/>
  <c r="AK411" i="4"/>
  <c r="AK403" i="4"/>
  <c r="AK395" i="4"/>
  <c r="AC387" i="4"/>
  <c r="AK377" i="4"/>
  <c r="AJ427" i="4"/>
  <c r="AH420" i="4"/>
  <c r="AH412" i="4"/>
  <c r="AF405" i="4"/>
  <c r="AH396" i="4"/>
  <c r="AH388" i="4"/>
  <c r="AD378" i="4"/>
  <c r="AE441" i="4"/>
  <c r="AE433" i="4"/>
  <c r="AM425" i="4"/>
  <c r="AE417" i="4"/>
  <c r="AM409" i="4"/>
  <c r="AE401" i="4"/>
  <c r="AE393" i="4"/>
  <c r="AE385" i="4"/>
  <c r="AJ375" i="4"/>
  <c r="AD437" i="4"/>
  <c r="AD429" i="4"/>
  <c r="AD421" i="4"/>
  <c r="AD413" i="4"/>
  <c r="AF404" i="4"/>
  <c r="AD397" i="4"/>
  <c r="AD389" i="4"/>
  <c r="AB380" i="4"/>
  <c r="AM378" i="4"/>
  <c r="AC371" i="4"/>
  <c r="AE362" i="4"/>
  <c r="AM354" i="4"/>
  <c r="AM346" i="4"/>
  <c r="AC339" i="4"/>
  <c r="AM330" i="4"/>
  <c r="AM322" i="4"/>
  <c r="AC317" i="4"/>
  <c r="AB371" i="4"/>
  <c r="AB363" i="4"/>
  <c r="AJ355" i="4"/>
  <c r="AB347" i="4"/>
  <c r="AJ339" i="4"/>
  <c r="AH332" i="4"/>
  <c r="AD325" i="4"/>
  <c r="AB318" i="4"/>
  <c r="AF309" i="4"/>
  <c r="AG364" i="4"/>
  <c r="AI355" i="4"/>
  <c r="AG348" i="4"/>
  <c r="AG340" i="4"/>
  <c r="AG332" i="4"/>
  <c r="AB324" i="4"/>
  <c r="AH316" i="4"/>
  <c r="AH383" i="4"/>
  <c r="AH375" i="4"/>
  <c r="AB366" i="4"/>
  <c r="AL357" i="4"/>
  <c r="AF348" i="4"/>
  <c r="AJ338" i="4"/>
  <c r="AL329" i="4"/>
  <c r="AI318" i="4"/>
  <c r="AH305" i="4"/>
  <c r="AC361" i="4"/>
  <c r="AI350" i="4"/>
  <c r="AM340" i="4"/>
  <c r="AK329" i="4"/>
  <c r="AL315" i="4"/>
  <c r="AB365" i="4"/>
  <c r="AL356" i="4"/>
  <c r="AL344" i="4"/>
  <c r="AF335" i="4"/>
  <c r="AH323" i="4"/>
  <c r="AJ307" i="4"/>
  <c r="AC372" i="4"/>
  <c r="AG362" i="4"/>
  <c r="AC352" i="4"/>
  <c r="AI341" i="4"/>
  <c r="AE331" i="4"/>
  <c r="AF319" i="4"/>
  <c r="AH377" i="4"/>
  <c r="AL367" i="4"/>
  <c r="AJ356" i="4"/>
  <c r="AD347" i="4"/>
  <c r="AB336" i="4"/>
  <c r="AF326" i="4"/>
  <c r="AH315" i="4"/>
  <c r="AD299" i="4"/>
  <c r="AB288" i="4"/>
  <c r="AH278" i="4"/>
  <c r="AD237" i="4"/>
  <c r="AI292" i="4"/>
  <c r="AI280" i="4"/>
  <c r="AD233" i="4"/>
  <c r="AJ291" i="4"/>
  <c r="AF276" i="4"/>
  <c r="AI315" i="4"/>
  <c r="AE305" i="4"/>
  <c r="AM293" i="4"/>
  <c r="AD278" i="4"/>
  <c r="AF224" i="4"/>
  <c r="AD293" i="4"/>
  <c r="AM278" i="4"/>
  <c r="AE312" i="4"/>
  <c r="AC301" i="4"/>
  <c r="AE288" i="4"/>
  <c r="AB305" i="4"/>
  <c r="AD284" i="4"/>
  <c r="AE323" i="4"/>
  <c r="AG298" i="4"/>
  <c r="AK279" i="4"/>
  <c r="AE268" i="4"/>
  <c r="AI246" i="4"/>
  <c r="AH221" i="4"/>
  <c r="AD260" i="4"/>
  <c r="AF235" i="4"/>
  <c r="AE275" i="4"/>
  <c r="AG250" i="4"/>
  <c r="AD229" i="4"/>
  <c r="AF254" i="4"/>
  <c r="AL230" i="4"/>
  <c r="AI272" i="4"/>
  <c r="AC235" i="4"/>
  <c r="AJ243" i="4"/>
  <c r="AM261" i="4"/>
  <c r="AJ207" i="4"/>
  <c r="AJ185" i="4"/>
  <c r="AB176" i="4"/>
  <c r="AM126" i="4"/>
  <c r="AF286" i="4"/>
  <c r="AL274" i="4"/>
  <c r="AL304" i="4"/>
  <c r="AB293" i="4"/>
  <c r="AM283" i="4"/>
  <c r="AL271" i="4"/>
  <c r="AC324" i="4"/>
  <c r="AE315" i="4"/>
  <c r="AM303" i="4"/>
  <c r="AI293" i="4"/>
  <c r="AL283" i="4"/>
  <c r="AJ271" i="4"/>
  <c r="AB222" i="4"/>
  <c r="AI262" i="4"/>
  <c r="AM252" i="4"/>
  <c r="AK241" i="4"/>
  <c r="AG231" i="4"/>
  <c r="AC215" i="4"/>
  <c r="AB265" i="4"/>
  <c r="AD256" i="4"/>
  <c r="AF243" i="4"/>
  <c r="AD232" i="4"/>
  <c r="AD217" i="4"/>
  <c r="AG274" i="4"/>
  <c r="AC260" i="4"/>
  <c r="AI249" i="4"/>
  <c r="AI237" i="4"/>
  <c r="AL227" i="4"/>
  <c r="AD210" i="4"/>
  <c r="AF258" i="4"/>
  <c r="AF246" i="4"/>
  <c r="AJ232" i="4"/>
  <c r="AJ224" i="4"/>
  <c r="AI276" i="4"/>
  <c r="AK259" i="4"/>
  <c r="AM246" i="4"/>
  <c r="AB230" i="4"/>
  <c r="AJ259" i="4"/>
  <c r="AI228" i="4"/>
  <c r="AK282" i="4"/>
  <c r="AM245" i="4"/>
  <c r="AC207" i="4"/>
  <c r="AE189" i="4"/>
  <c r="AL209" i="4"/>
  <c r="AJ178" i="4"/>
  <c r="AM149" i="4"/>
  <c r="AG161" i="4"/>
  <c r="AC125" i="4"/>
  <c r="AE67" i="4"/>
  <c r="AF256" i="4"/>
  <c r="AH302" i="4"/>
  <c r="AD292" i="4"/>
  <c r="AL281" i="4"/>
  <c r="AJ268" i="4"/>
  <c r="AM323" i="4"/>
  <c r="AK312" i="4"/>
  <c r="AE303" i="4"/>
  <c r="AM291" i="4"/>
  <c r="AC283" i="4"/>
  <c r="AL270" i="4"/>
  <c r="AL216" i="4"/>
  <c r="AC261" i="4"/>
  <c r="AI250" i="4"/>
  <c r="AM240" i="4"/>
  <c r="AF229" i="4"/>
  <c r="AB212" i="4"/>
  <c r="AD264" i="4"/>
  <c r="AJ253" i="4"/>
  <c r="AH242" i="4"/>
  <c r="AE229" i="4"/>
  <c r="AI216" i="4"/>
  <c r="AM271" i="4"/>
  <c r="AM259" i="4"/>
  <c r="AM247" i="4"/>
  <c r="AK236" i="4"/>
  <c r="AL225" i="4"/>
  <c r="AJ204" i="4"/>
  <c r="AJ256" i="4"/>
  <c r="AL243" i="4"/>
  <c r="AC231" i="4"/>
  <c r="AD221" i="4"/>
  <c r="AK275" i="4"/>
  <c r="AM258" i="4"/>
  <c r="AK243" i="4"/>
  <c r="AJ228" i="4"/>
  <c r="AF253" i="4"/>
  <c r="AH225" i="4"/>
  <c r="AM277" i="4"/>
  <c r="AM241" i="4"/>
  <c r="AM198" i="4"/>
  <c r="AE186" i="4"/>
  <c r="AF208" i="4"/>
  <c r="AC224" i="4"/>
  <c r="AL164" i="4"/>
  <c r="AC142" i="4"/>
  <c r="AI114" i="4"/>
  <c r="AL24" i="4"/>
  <c r="AK293" i="4"/>
  <c r="AD280" i="4"/>
  <c r="AB242" i="4"/>
  <c r="AD300" i="4"/>
  <c r="AJ289" i="4"/>
  <c r="AC280" i="4"/>
  <c r="AF252" i="4"/>
  <c r="AI321" i="4"/>
  <c r="AI309" i="4"/>
  <c r="AE299" i="4"/>
  <c r="AK288" i="4"/>
  <c r="AK280" i="4"/>
  <c r="AD267" i="4"/>
  <c r="AK269" i="4"/>
  <c r="AG259" i="4"/>
  <c r="AG247" i="4"/>
  <c r="AK237" i="4"/>
  <c r="AD223" i="4"/>
  <c r="AH205" i="4"/>
  <c r="AH262" i="4"/>
  <c r="AF251" i="4"/>
  <c r="AD240" i="4"/>
  <c r="AM225" i="4"/>
  <c r="AH201" i="4"/>
  <c r="AC268" i="4"/>
  <c r="AG258" i="4"/>
  <c r="AI245" i="4"/>
  <c r="AI233" i="4"/>
  <c r="AL224" i="4"/>
  <c r="AG152" i="4"/>
  <c r="AB252" i="4"/>
  <c r="AH241" i="4"/>
  <c r="AC230" i="4"/>
  <c r="AH218" i="4"/>
  <c r="AE270" i="4"/>
  <c r="AC255" i="4"/>
  <c r="AC239" i="4"/>
  <c r="AD216" i="4"/>
  <c r="AB251" i="4"/>
  <c r="AB221" i="4"/>
  <c r="AE269" i="4"/>
  <c r="AC238" i="4"/>
  <c r="AG192" i="4"/>
  <c r="AG216" i="4"/>
  <c r="AI218" i="4"/>
  <c r="AC208" i="4"/>
  <c r="AL148" i="4"/>
  <c r="AH151" i="4"/>
  <c r="AM139" i="4"/>
  <c r="AK546" i="4"/>
  <c r="AD49" i="4"/>
  <c r="AE80" i="4"/>
  <c r="AG134" i="4"/>
  <c r="AF120" i="4"/>
  <c r="AF169" i="4"/>
  <c r="AF178" i="4"/>
  <c r="AD148" i="4"/>
  <c r="AJ174" i="4"/>
  <c r="AD208" i="4"/>
  <c r="AG168" i="4"/>
  <c r="AE193" i="4"/>
  <c r="AD184" i="4"/>
  <c r="AH143" i="4"/>
  <c r="AI208" i="4"/>
  <c r="AI230" i="4"/>
  <c r="AI255" i="4"/>
  <c r="AM273" i="4"/>
  <c r="AB196" i="4"/>
  <c r="AJ231" i="4"/>
  <c r="AH248" i="4"/>
  <c r="AB263" i="4"/>
  <c r="AC221" i="4"/>
  <c r="AE234" i="4"/>
  <c r="AC243" i="4"/>
  <c r="AG253" i="4"/>
  <c r="AE262" i="4"/>
  <c r="AC271" i="4"/>
  <c r="AH189" i="4"/>
  <c r="AJ220" i="4"/>
  <c r="AK227" i="4"/>
  <c r="AF234" i="4"/>
  <c r="AJ240" i="4"/>
  <c r="AL247" i="4"/>
  <c r="AD255" i="4"/>
  <c r="AH261" i="4"/>
  <c r="AB208" i="4"/>
  <c r="AB223" i="4"/>
  <c r="AM228" i="4"/>
  <c r="AG234" i="4"/>
  <c r="AI241" i="4"/>
  <c r="AC248" i="4"/>
  <c r="AE255" i="4"/>
  <c r="AI261" i="4"/>
  <c r="AK268" i="4"/>
  <c r="AC276" i="4"/>
  <c r="AD213" i="4"/>
  <c r="AD224" i="4"/>
  <c r="AF231" i="4"/>
  <c r="AJ237" i="4"/>
  <c r="AB245" i="4"/>
  <c r="AD252" i="4"/>
  <c r="AH258" i="4"/>
  <c r="AL264" i="4"/>
  <c r="AI159" i="4"/>
  <c r="AF217" i="4"/>
  <c r="AE226" i="4"/>
  <c r="AK233" i="4"/>
  <c r="AE240" i="4"/>
  <c r="AK245" i="4"/>
  <c r="AE252" i="4"/>
  <c r="AK257" i="4"/>
  <c r="AM264" i="4"/>
  <c r="AI270" i="4"/>
  <c r="AF248" i="4"/>
  <c r="AF272" i="4"/>
  <c r="AB280" i="4"/>
  <c r="AL284" i="4"/>
  <c r="AI289" i="4"/>
  <c r="AC296" i="4"/>
  <c r="AG302" i="4"/>
  <c r="AC308" i="4"/>
  <c r="AG314" i="4"/>
  <c r="AC320" i="4"/>
  <c r="AL177" i="4"/>
  <c r="AL265" i="4"/>
  <c r="AJ278" i="4"/>
  <c r="AD283" i="4"/>
  <c r="AB289" i="4"/>
  <c r="AF295" i="4"/>
  <c r="AB301" i="4"/>
  <c r="AB218" i="4"/>
  <c r="AH263" i="4"/>
  <c r="AM279" i="4"/>
  <c r="AF287" i="4"/>
  <c r="AC293" i="4"/>
  <c r="AE86" i="4"/>
  <c r="AG106" i="4"/>
  <c r="AC108" i="4"/>
  <c r="AG136" i="4"/>
  <c r="AC171" i="4"/>
  <c r="AD152" i="4"/>
  <c r="AD173" i="4"/>
  <c r="AD212" i="4"/>
  <c r="AJ198" i="4"/>
  <c r="AK214" i="4"/>
  <c r="AJ195" i="4"/>
  <c r="AI196" i="4"/>
  <c r="AG223" i="4"/>
  <c r="AM253" i="4"/>
  <c r="AI275" i="4"/>
  <c r="AB216" i="4"/>
  <c r="AL238" i="4"/>
  <c r="AH256" i="4"/>
  <c r="AD207" i="4"/>
  <c r="AK231" i="4"/>
  <c r="AE242" i="4"/>
  <c r="AE254" i="4"/>
  <c r="AI264" i="4"/>
  <c r="AM274" i="4"/>
  <c r="AK215" i="4"/>
  <c r="AB226" i="4"/>
  <c r="AL231" i="4"/>
  <c r="AB240" i="4"/>
  <c r="AJ248" i="4"/>
  <c r="AB256" i="4"/>
  <c r="AJ264" i="4"/>
  <c r="AJ218" i="4"/>
  <c r="AC226" i="4"/>
  <c r="AC232" i="4"/>
  <c r="AC240" i="4"/>
  <c r="AK248" i="4"/>
  <c r="AC256" i="4"/>
  <c r="AK264" i="4"/>
  <c r="AC272" i="4"/>
  <c r="AF194" i="4"/>
  <c r="AJ222" i="4"/>
  <c r="AE230" i="4"/>
  <c r="AH238" i="4"/>
  <c r="AF247" i="4"/>
  <c r="AH254" i="4"/>
  <c r="AJ261" i="4"/>
  <c r="AL268" i="4"/>
  <c r="AF214" i="4"/>
  <c r="AE225" i="4"/>
  <c r="AI234" i="4"/>
  <c r="AC241" i="4"/>
  <c r="AM248" i="4"/>
  <c r="AG255" i="4"/>
  <c r="AK261" i="4"/>
  <c r="AM268" i="4"/>
  <c r="AD241" i="4"/>
  <c r="AB273" i="4"/>
  <c r="AB281" i="4"/>
  <c r="AM286" i="4"/>
  <c r="AK292" i="4"/>
  <c r="AM299" i="4"/>
  <c r="AE307" i="4"/>
  <c r="AI313" i="4"/>
  <c r="AK320" i="4"/>
  <c r="AJ234" i="4"/>
  <c r="AH272" i="4"/>
  <c r="AL280" i="4"/>
  <c r="AE286" i="4"/>
  <c r="AJ293" i="4"/>
  <c r="AL300" i="4"/>
  <c r="AF223" i="4"/>
  <c r="AD273" i="4"/>
  <c r="AD281" i="4"/>
  <c r="AK289" i="4"/>
  <c r="AC297" i="4"/>
  <c r="AG303" i="4"/>
  <c r="AC309" i="4"/>
  <c r="AH235" i="4"/>
  <c r="AL272" i="4"/>
  <c r="AF281" i="4"/>
  <c r="AL289" i="4"/>
  <c r="AF296" i="4"/>
  <c r="AB302" i="4"/>
  <c r="AJ246" i="4"/>
  <c r="AH273" i="4"/>
  <c r="AG282" i="4"/>
  <c r="AC290" i="4"/>
  <c r="AG296" i="4"/>
  <c r="AK302" i="4"/>
  <c r="AE309" i="4"/>
  <c r="AK314" i="4"/>
  <c r="AB254" i="4"/>
  <c r="AD274" i="4"/>
  <c r="AH282" i="4"/>
  <c r="AL290" i="4"/>
  <c r="AF297" i="4"/>
  <c r="AF225" i="4"/>
  <c r="AF269" i="4"/>
  <c r="AF278" i="4"/>
  <c r="AJ286" i="4"/>
  <c r="AK291" i="4"/>
  <c r="AG297" i="4"/>
  <c r="AF244" i="4"/>
  <c r="AH271" i="4"/>
  <c r="AJ279" i="4"/>
  <c r="AB285" i="4"/>
  <c r="AH289" i="4"/>
  <c r="AD295" i="4"/>
  <c r="AB300" i="4"/>
  <c r="AM302" i="4"/>
  <c r="AE314" i="4"/>
  <c r="AE320" i="4"/>
  <c r="AL327" i="4"/>
  <c r="AJ332" i="4"/>
  <c r="AF338" i="4"/>
  <c r="AL343" i="4"/>
  <c r="AJ348" i="4"/>
  <c r="AF354" i="4"/>
  <c r="AL359" i="4"/>
  <c r="AJ364" i="4"/>
  <c r="AF370" i="4"/>
  <c r="AL375" i="4"/>
  <c r="AH307" i="4"/>
  <c r="AJ315" i="4"/>
  <c r="AF322" i="4"/>
  <c r="AK328" i="4"/>
  <c r="AG334" i="4"/>
  <c r="AM339" i="4"/>
  <c r="AK344" i="4"/>
  <c r="AG350" i="4"/>
  <c r="AM355" i="4"/>
  <c r="AK360" i="4"/>
  <c r="AG366" i="4"/>
  <c r="AM371" i="4"/>
  <c r="AK376" i="4"/>
  <c r="AB306" i="4"/>
  <c r="AH314" i="4"/>
  <c r="AH322" i="4"/>
  <c r="AB329" i="4"/>
  <c r="AH334" i="4"/>
  <c r="AD340" i="4"/>
  <c r="AB345" i="4"/>
  <c r="AH350" i="4"/>
  <c r="AD356" i="4"/>
  <c r="AB361" i="4"/>
  <c r="AH366" i="4"/>
  <c r="AH310" i="4"/>
  <c r="AG317" i="4"/>
  <c r="AJ325" i="4"/>
  <c r="AG331" i="4"/>
  <c r="AM336" i="4"/>
  <c r="AK341" i="4"/>
  <c r="AG347" i="4"/>
  <c r="AM352" i="4"/>
  <c r="AK357" i="4"/>
  <c r="AG363" i="4"/>
  <c r="AJ303" i="4"/>
  <c r="AD311" i="4"/>
  <c r="AI319" i="4"/>
  <c r="AB326" i="4"/>
  <c r="AH331" i="4"/>
  <c r="AD337" i="4"/>
  <c r="AB342" i="4"/>
  <c r="AH347" i="4"/>
  <c r="AD353" i="4"/>
  <c r="AB358" i="4"/>
  <c r="AH363" i="4"/>
  <c r="AD369" i="4"/>
  <c r="AB374" i="4"/>
  <c r="AH379" i="4"/>
  <c r="AD75" i="4"/>
  <c r="AC143" i="4"/>
  <c r="AG131" i="4"/>
  <c r="AD126" i="4"/>
  <c r="AL136" i="4"/>
  <c r="AF164" i="4"/>
  <c r="AB201" i="4"/>
  <c r="AH203" i="4"/>
  <c r="AE221" i="4"/>
  <c r="AM137" i="4"/>
  <c r="AK211" i="4"/>
  <c r="AK242" i="4"/>
  <c r="AK270" i="4"/>
  <c r="AD203" i="4"/>
  <c r="AB239" i="4"/>
  <c r="AB259" i="4"/>
  <c r="AI224" i="4"/>
  <c r="AG237" i="4"/>
  <c r="AI248" i="4"/>
  <c r="AI260" i="4"/>
  <c r="AE274" i="4"/>
  <c r="AF216" i="4"/>
  <c r="AB227" i="4"/>
  <c r="AL235" i="4"/>
  <c r="AB244" i="4"/>
  <c r="AJ252" i="4"/>
  <c r="AF262" i="4"/>
  <c r="AB217" i="4"/>
  <c r="AC227" i="4"/>
  <c r="AE235" i="4"/>
  <c r="AM243" i="4"/>
  <c r="AK252" i="4"/>
  <c r="AK260" i="4"/>
  <c r="AE271" i="4"/>
  <c r="AH190" i="4"/>
  <c r="AL223" i="4"/>
  <c r="AL232" i="4"/>
  <c r="AJ241" i="4"/>
  <c r="AH250" i="4"/>
  <c r="AF259" i="4"/>
  <c r="AF267" i="4"/>
  <c r="AF213" i="4"/>
  <c r="AF227" i="4"/>
  <c r="AE236" i="4"/>
  <c r="AE244" i="4"/>
  <c r="AG251" i="4"/>
  <c r="AE260" i="4"/>
  <c r="AG267" i="4"/>
  <c r="AL237" i="4"/>
  <c r="AI274" i="4"/>
  <c r="AL282" i="4"/>
  <c r="AC288" i="4"/>
  <c r="AK296" i="4"/>
  <c r="AC304" i="4"/>
  <c r="AC312" i="4"/>
  <c r="AM319" i="4"/>
  <c r="AB238" i="4"/>
  <c r="AJ274" i="4"/>
  <c r="AM282" i="4"/>
  <c r="AH290" i="4"/>
  <c r="AH298" i="4"/>
  <c r="AJ305" i="4"/>
  <c r="AJ272" i="4"/>
  <c r="AE282" i="4"/>
  <c r="AE292" i="4"/>
  <c r="AG299" i="4"/>
  <c r="AK305" i="4"/>
  <c r="AC313" i="4"/>
  <c r="AL267" i="4"/>
  <c r="AE280" i="4"/>
  <c r="AJ290" i="4"/>
  <c r="AL297" i="4"/>
  <c r="AH213" i="4"/>
  <c r="AF264" i="4"/>
  <c r="AF279" i="4"/>
  <c r="AE289" i="4"/>
  <c r="AI295" i="4"/>
  <c r="AI303" i="4"/>
  <c r="AC310" i="4"/>
  <c r="AD195" i="4"/>
  <c r="AF270" i="4"/>
  <c r="AG279" i="4"/>
  <c r="AF289" i="4"/>
  <c r="AJ295" i="4"/>
  <c r="AG229" i="4"/>
  <c r="AF271" i="4"/>
  <c r="AI281" i="4"/>
  <c r="AG289" i="4"/>
  <c r="AC295" i="4"/>
  <c r="AL233" i="4"/>
  <c r="AJ270" i="4"/>
  <c r="AJ280" i="4"/>
  <c r="AB286" i="4"/>
  <c r="AL291" i="4"/>
  <c r="AH297" i="4"/>
  <c r="AL303" i="4"/>
  <c r="AF312" i="4"/>
  <c r="AD319" i="4"/>
  <c r="AB328" i="4"/>
  <c r="AF334" i="4"/>
  <c r="AB340" i="4"/>
  <c r="AF346" i="4"/>
  <c r="AB352" i="4"/>
  <c r="AF358" i="4"/>
  <c r="AB364" i="4"/>
  <c r="AD371" i="4"/>
  <c r="AJ376" i="4"/>
  <c r="AE310" i="4"/>
  <c r="AE318" i="4"/>
  <c r="AE327" i="4"/>
  <c r="AK332" i="4"/>
  <c r="AE339" i="4"/>
  <c r="AI345" i="4"/>
  <c r="AM351" i="4"/>
  <c r="AI357" i="4"/>
  <c r="AM363" i="4"/>
  <c r="AI369" i="4"/>
  <c r="AM375" i="4"/>
  <c r="AF305" i="4"/>
  <c r="AK315" i="4"/>
  <c r="AH324" i="4"/>
  <c r="AF331" i="4"/>
  <c r="AB337" i="4"/>
  <c r="AF343" i="4"/>
  <c r="AB349" i="4"/>
  <c r="AF355" i="4"/>
  <c r="AJ361" i="4"/>
  <c r="AH303" i="4"/>
  <c r="AF313" i="4"/>
  <c r="AH321" i="4"/>
  <c r="AC329" i="4"/>
  <c r="AG335" i="4"/>
  <c r="AC341" i="4"/>
  <c r="AE348" i="4"/>
  <c r="AK353" i="4"/>
  <c r="AE360" i="4"/>
  <c r="AK365" i="4"/>
  <c r="AH308" i="4"/>
  <c r="AH317" i="4"/>
  <c r="AK325" i="4"/>
  <c r="AF332" i="4"/>
  <c r="AB338" i="4"/>
  <c r="AF344" i="4"/>
  <c r="AB350" i="4"/>
  <c r="AF356" i="4"/>
  <c r="AB362" i="4"/>
  <c r="AF368" i="4"/>
  <c r="AJ374" i="4"/>
  <c r="AD381" i="4"/>
  <c r="AF306" i="4"/>
  <c r="AD315" i="4"/>
  <c r="AB322" i="4"/>
  <c r="AC326" i="4"/>
  <c r="AI331" i="4"/>
  <c r="AE337" i="4"/>
  <c r="AC342" i="4"/>
  <c r="AI347" i="4"/>
  <c r="AE353" i="4"/>
  <c r="AC358" i="4"/>
  <c r="AI363" i="4"/>
  <c r="AE302" i="4"/>
  <c r="AJ313" i="4"/>
  <c r="AK318" i="4"/>
  <c r="AL322" i="4"/>
  <c r="AL326" i="4"/>
  <c r="AJ331" i="4"/>
  <c r="AF337" i="4"/>
  <c r="AL342" i="4"/>
  <c r="AJ347" i="4"/>
  <c r="AF353" i="4"/>
  <c r="AL358" i="4"/>
  <c r="AJ363" i="4"/>
  <c r="AF369" i="4"/>
  <c r="AL308" i="4"/>
  <c r="AJ316" i="4"/>
  <c r="AM320" i="4"/>
  <c r="AE326" i="4"/>
  <c r="AC331" i="4"/>
  <c r="AI336" i="4"/>
  <c r="AE342" i="4"/>
  <c r="AC347" i="4"/>
  <c r="AI352" i="4"/>
  <c r="AE358" i="4"/>
  <c r="AC363" i="4"/>
  <c r="AI368" i="4"/>
  <c r="AE374" i="4"/>
  <c r="AC379" i="4"/>
  <c r="AG376" i="4"/>
  <c r="AE384" i="4"/>
  <c r="AL389" i="4"/>
  <c r="AJ394" i="4"/>
  <c r="AF400" i="4"/>
  <c r="AL405" i="4"/>
  <c r="AJ410" i="4"/>
  <c r="AF416" i="4"/>
  <c r="AL421" i="4"/>
  <c r="AJ426" i="4"/>
  <c r="AF432" i="4"/>
  <c r="AL437" i="4"/>
  <c r="AD368" i="4"/>
  <c r="AC380" i="4"/>
  <c r="AC386" i="4"/>
  <c r="AI391" i="4"/>
  <c r="AE397" i="4"/>
  <c r="AC402" i="4"/>
  <c r="AI407" i="4"/>
  <c r="AE413" i="4"/>
  <c r="AC418" i="4"/>
  <c r="AI423" i="4"/>
  <c r="AE429" i="4"/>
  <c r="AC434" i="4"/>
  <c r="AI439" i="4"/>
  <c r="AE368" i="4"/>
  <c r="AD380" i="4"/>
  <c r="AB387" i="4"/>
  <c r="AH392" i="4"/>
  <c r="AD398" i="4"/>
  <c r="AB403" i="4"/>
  <c r="AH408" i="4"/>
  <c r="AD414" i="4"/>
  <c r="AB419" i="4"/>
  <c r="AH424" i="4"/>
  <c r="AD430" i="4"/>
  <c r="AC373" i="4"/>
  <c r="AI383" i="4"/>
  <c r="AG389" i="4"/>
  <c r="AM394" i="4"/>
  <c r="AK399" i="4"/>
  <c r="AG405" i="4"/>
  <c r="AM410" i="4"/>
  <c r="AK415" i="4"/>
  <c r="AG421" i="4"/>
  <c r="AM426" i="4"/>
  <c r="AK431" i="4"/>
  <c r="AM377" i="4"/>
  <c r="AH385" i="4"/>
  <c r="AD391" i="4"/>
  <c r="AB396" i="4"/>
  <c r="AH401" i="4"/>
  <c r="AD407" i="4"/>
  <c r="AB412" i="4"/>
  <c r="AH417" i="4"/>
  <c r="AD423" i="4"/>
  <c r="AB428" i="4"/>
  <c r="AH433" i="4"/>
  <c r="AD439" i="4"/>
  <c r="AB444" i="4"/>
  <c r="AH449" i="4"/>
  <c r="AB375" i="4"/>
  <c r="AB384" i="4"/>
  <c r="AI389" i="4"/>
  <c r="AE395" i="4"/>
  <c r="AC400" i="4"/>
  <c r="AI405" i="4"/>
  <c r="AE411" i="4"/>
  <c r="AC416" i="4"/>
  <c r="AI421" i="4"/>
  <c r="AE427" i="4"/>
  <c r="AC432" i="4"/>
  <c r="AJ373" i="4"/>
  <c r="AB381" i="4"/>
  <c r="AB385" i="4"/>
  <c r="AH390" i="4"/>
  <c r="AD396" i="4"/>
  <c r="AB401" i="4"/>
  <c r="AH406" i="4"/>
  <c r="AD412" i="4"/>
  <c r="AB417" i="4"/>
  <c r="AH422" i="4"/>
  <c r="AD428" i="4"/>
  <c r="AB433" i="4"/>
  <c r="AH438" i="4"/>
  <c r="AC377" i="4"/>
  <c r="AD383" i="4"/>
  <c r="AE388" i="4"/>
  <c r="AC393" i="4"/>
  <c r="AI398" i="4"/>
  <c r="AE404" i="4"/>
  <c r="AC409" i="4"/>
  <c r="AI414" i="4"/>
  <c r="AE420" i="4"/>
  <c r="AC425" i="4"/>
  <c r="AI430" i="4"/>
  <c r="AE436" i="4"/>
  <c r="AC441" i="4"/>
  <c r="AI446" i="4"/>
  <c r="AI436" i="4"/>
  <c r="AK447" i="4"/>
  <c r="AD454" i="4"/>
  <c r="AB459" i="4"/>
  <c r="AH464" i="4"/>
  <c r="AD470" i="4"/>
  <c r="AB475" i="4"/>
  <c r="AH480" i="4"/>
  <c r="AD486" i="4"/>
  <c r="AB491" i="4"/>
  <c r="AH496" i="4"/>
  <c r="AD502" i="4"/>
  <c r="AB507" i="4"/>
  <c r="AH512" i="4"/>
  <c r="AF445" i="4"/>
  <c r="AC451" i="4"/>
  <c r="AI456" i="4"/>
  <c r="AE462" i="4"/>
  <c r="AC467" i="4"/>
  <c r="AI472" i="4"/>
  <c r="AE478" i="4"/>
  <c r="AC483" i="4"/>
  <c r="AI488" i="4"/>
  <c r="AE494" i="4"/>
  <c r="AC499" i="4"/>
  <c r="AI504" i="4"/>
  <c r="AE510" i="4"/>
  <c r="AC515" i="4"/>
  <c r="AG445" i="4"/>
  <c r="AL451" i="4"/>
  <c r="AJ456" i="4"/>
  <c r="AF462" i="4"/>
  <c r="AL467" i="4"/>
  <c r="AJ472" i="4"/>
  <c r="AF478" i="4"/>
  <c r="AL483" i="4"/>
  <c r="AJ488" i="4"/>
  <c r="AF494" i="4"/>
  <c r="AL499" i="4"/>
  <c r="AJ504" i="4"/>
  <c r="AH443" i="4"/>
  <c r="AD450" i="4"/>
  <c r="AM455" i="4"/>
  <c r="AK460" i="4"/>
  <c r="AG466" i="4"/>
  <c r="AM471" i="4"/>
  <c r="AK476" i="4"/>
  <c r="AG482" i="4"/>
  <c r="AM487" i="4"/>
  <c r="AK492" i="4"/>
  <c r="AG498" i="4"/>
  <c r="AM503" i="4"/>
  <c r="AB441" i="4"/>
  <c r="AB449" i="4"/>
  <c r="AH454" i="4"/>
  <c r="AB5" i="4"/>
  <c r="AM5" i="4"/>
  <c r="AH523" i="4"/>
  <c r="AH527" i="4"/>
  <c r="AH531" i="4"/>
  <c r="AH535" i="4"/>
  <c r="AH539" i="4"/>
  <c r="AH543" i="4"/>
  <c r="AH547" i="4"/>
  <c r="AH6" i="4"/>
  <c r="AG516" i="4"/>
  <c r="AK510" i="4"/>
  <c r="AM505" i="4"/>
  <c r="AG500" i="4"/>
  <c r="AK494" i="4"/>
  <c r="AM489" i="4"/>
  <c r="AG484" i="4"/>
  <c r="AK478" i="4"/>
  <c r="AM473" i="4"/>
  <c r="AG468" i="4"/>
  <c r="AK462" i="4"/>
  <c r="AM457" i="4"/>
  <c r="AG452" i="4"/>
  <c r="AI444" i="4"/>
  <c r="AH436" i="4"/>
  <c r="AJ506" i="4"/>
  <c r="AL501" i="4"/>
  <c r="AF496" i="4"/>
  <c r="AJ490" i="4"/>
  <c r="AL485" i="4"/>
  <c r="AF480" i="4"/>
  <c r="AJ474" i="4"/>
  <c r="AL469" i="4"/>
  <c r="AF464" i="4"/>
  <c r="AJ458" i="4"/>
  <c r="AL453" i="4"/>
  <c r="AE446" i="4"/>
  <c r="AK439" i="4"/>
  <c r="AM504" i="4"/>
  <c r="AG499" i="4"/>
  <c r="AK493" i="4"/>
  <c r="AM488" i="4"/>
  <c r="AG483" i="4"/>
  <c r="AK477" i="4"/>
  <c r="AM472" i="4"/>
  <c r="AG467" i="4"/>
  <c r="AK461" i="4"/>
  <c r="AM456" i="4"/>
  <c r="AG451" i="4"/>
  <c r="AK443" i="4"/>
  <c r="AJ521" i="4"/>
  <c r="AL516" i="4"/>
  <c r="AF511" i="4"/>
  <c r="AJ505" i="4"/>
  <c r="AL500" i="4"/>
  <c r="AF495" i="4"/>
  <c r="AJ489" i="4"/>
  <c r="AL484" i="4"/>
  <c r="AF479" i="4"/>
  <c r="AJ473" i="4"/>
  <c r="AL468" i="4"/>
  <c r="AF463" i="4"/>
  <c r="AJ457" i="4"/>
  <c r="AD452" i="4"/>
  <c r="AJ445" i="4"/>
  <c r="AK504" i="4"/>
  <c r="AE499" i="4"/>
  <c r="AC492" i="4"/>
  <c r="AG486" i="4"/>
  <c r="AC480" i="4"/>
  <c r="AG474" i="4"/>
  <c r="AC468" i="4"/>
  <c r="AG462" i="4"/>
  <c r="AC456" i="4"/>
  <c r="AL449" i="4"/>
  <c r="AC440" i="4"/>
  <c r="AD503" i="4"/>
  <c r="AJ496" i="4"/>
  <c r="AD491" i="4"/>
  <c r="AJ484" i="4"/>
  <c r="AD479" i="4"/>
  <c r="AB472" i="4"/>
  <c r="AF466" i="4"/>
  <c r="AB460" i="4"/>
  <c r="AF454" i="4"/>
  <c r="AG448" i="4"/>
  <c r="AI516" i="4"/>
  <c r="AM510" i="4"/>
  <c r="AK503" i="4"/>
  <c r="AE498" i="4"/>
  <c r="AK491" i="4"/>
  <c r="AE486" i="4"/>
  <c r="AK479" i="4"/>
  <c r="AE474" i="4"/>
  <c r="AK467" i="4"/>
  <c r="AG461" i="4"/>
  <c r="AC455" i="4"/>
  <c r="AI449" i="4"/>
  <c r="AB439" i="4"/>
  <c r="AF509" i="4"/>
  <c r="AB503" i="4"/>
  <c r="AF497" i="4"/>
  <c r="AL490" i="4"/>
  <c r="AH484" i="4"/>
  <c r="AL478" i="4"/>
  <c r="AH472" i="4"/>
  <c r="AL466" i="4"/>
  <c r="AH460" i="4"/>
  <c r="AL454" i="4"/>
  <c r="AH446" i="4"/>
  <c r="AI450" i="4"/>
  <c r="AM444" i="4"/>
  <c r="AI438" i="4"/>
  <c r="AM432" i="4"/>
  <c r="AI426" i="4"/>
  <c r="AM420" i="4"/>
  <c r="AK413" i="4"/>
  <c r="AE408" i="4"/>
  <c r="AK401" i="4"/>
  <c r="AE396" i="4"/>
  <c r="AK389" i="4"/>
  <c r="AD384" i="4"/>
  <c r="AL378" i="4"/>
  <c r="AJ437" i="4"/>
  <c r="AD432" i="4"/>
  <c r="AJ425" i="4"/>
  <c r="AD420" i="4"/>
  <c r="AJ413" i="4"/>
  <c r="AD408" i="4"/>
  <c r="AJ401" i="4"/>
  <c r="AF395" i="4"/>
  <c r="AB389" i="4"/>
  <c r="AL383" i="4"/>
  <c r="AB377" i="4"/>
  <c r="AG434" i="4"/>
  <c r="AC428" i="4"/>
  <c r="AG422" i="4"/>
  <c r="AM415" i="4"/>
  <c r="AI409" i="4"/>
  <c r="AM403" i="4"/>
  <c r="AI397" i="4"/>
  <c r="AM391" i="4"/>
  <c r="AI385" i="4"/>
  <c r="AI378" i="4"/>
  <c r="AJ448" i="4"/>
  <c r="AD443" i="4"/>
  <c r="AJ436" i="4"/>
  <c r="AD431" i="4"/>
  <c r="AJ424" i="4"/>
  <c r="AD419" i="4"/>
  <c r="AJ412" i="4"/>
  <c r="AF406" i="4"/>
  <c r="AB400" i="4"/>
  <c r="AF394" i="4"/>
  <c r="AB388" i="4"/>
  <c r="AG380" i="4"/>
  <c r="AG433" i="4"/>
  <c r="AC427" i="4"/>
  <c r="AI420" i="4"/>
  <c r="AM414" i="4"/>
  <c r="AI408" i="4"/>
  <c r="AM402" i="4"/>
  <c r="AI396" i="4"/>
  <c r="AM390" i="4"/>
  <c r="AI384" i="4"/>
  <c r="AE372" i="4"/>
  <c r="AH428" i="4"/>
  <c r="AL422" i="4"/>
  <c r="AH416" i="4"/>
  <c r="AL410" i="4"/>
  <c r="AH404" i="4"/>
  <c r="AL398" i="4"/>
  <c r="AJ391" i="4"/>
  <c r="AD386" i="4"/>
  <c r="AJ377" i="4"/>
  <c r="AC442" i="4"/>
  <c r="AG436" i="4"/>
  <c r="AC430" i="4"/>
  <c r="AG424" i="4"/>
  <c r="AM417" i="4"/>
  <c r="AI411" i="4"/>
  <c r="AM405" i="4"/>
  <c r="AI399" i="4"/>
  <c r="AM393" i="4"/>
  <c r="AI387" i="4"/>
  <c r="AM380" i="4"/>
  <c r="AB442" i="4"/>
  <c r="AF436" i="4"/>
  <c r="AB430" i="4"/>
  <c r="AF424" i="4"/>
  <c r="AB418" i="4"/>
  <c r="AF412" i="4"/>
  <c r="AB406" i="4"/>
  <c r="AH399" i="4"/>
  <c r="AL393" i="4"/>
  <c r="AH387" i="4"/>
  <c r="AL380" i="4"/>
  <c r="AJ369" i="4"/>
  <c r="AC375" i="4"/>
  <c r="AG369" i="4"/>
  <c r="AM362" i="4"/>
  <c r="AI356" i="4"/>
  <c r="AM350" i="4"/>
  <c r="AI344" i="4"/>
  <c r="AM338" i="4"/>
  <c r="AI332" i="4"/>
  <c r="AM326" i="4"/>
  <c r="AD320" i="4"/>
  <c r="AD314" i="4"/>
  <c r="AL302" i="4"/>
  <c r="AL366" i="4"/>
  <c r="AH360" i="4"/>
  <c r="AL354" i="4"/>
  <c r="AH348" i="4"/>
  <c r="AD342" i="4"/>
  <c r="AJ335" i="4"/>
  <c r="AD330" i="4"/>
  <c r="AM324" i="4"/>
  <c r="AB320" i="4"/>
  <c r="AM314" i="4"/>
  <c r="AH306" i="4"/>
  <c r="AK362" i="4"/>
  <c r="AE357" i="4"/>
  <c r="AK350" i="4"/>
  <c r="AE345" i="4"/>
  <c r="AK338" i="4"/>
  <c r="AE333" i="4"/>
  <c r="AK326" i="4"/>
  <c r="AK321" i="4"/>
  <c r="AH313" i="4"/>
  <c r="AF384" i="4"/>
  <c r="AL377" i="4"/>
  <c r="AJ370" i="4"/>
  <c r="AF364" i="4"/>
  <c r="AD357" i="4"/>
  <c r="AL349" i="4"/>
  <c r="AJ342" i="4"/>
  <c r="AH335" i="4"/>
  <c r="AD329" i="4"/>
  <c r="AJ321" i="4"/>
  <c r="AJ310" i="4"/>
  <c r="AI366" i="4"/>
  <c r="AG359" i="4"/>
  <c r="AE352" i="4"/>
  <c r="AC345" i="4"/>
  <c r="AI338" i="4"/>
  <c r="AE332" i="4"/>
  <c r="AI323" i="4"/>
  <c r="AI314" i="4"/>
  <c r="AF367" i="4"/>
  <c r="AD360" i="4"/>
  <c r="AB353" i="4"/>
  <c r="AH346" i="4"/>
  <c r="AF339" i="4"/>
  <c r="AL332" i="4"/>
  <c r="AH325" i="4"/>
  <c r="AD313" i="4"/>
  <c r="AC303" i="4"/>
  <c r="AI373" i="4"/>
  <c r="AE367" i="4"/>
  <c r="AM359" i="4"/>
  <c r="AK352" i="4"/>
  <c r="AG346" i="4"/>
  <c r="AG338" i="4"/>
  <c r="AM331" i="4"/>
  <c r="AG324" i="4"/>
  <c r="AF314" i="4"/>
  <c r="AF304" i="4"/>
  <c r="AB372" i="4"/>
  <c r="AH365" i="4"/>
  <c r="AH357" i="4"/>
  <c r="AD351" i="4"/>
  <c r="AB344" i="4"/>
  <c r="AJ336" i="4"/>
  <c r="AF330" i="4"/>
  <c r="AE322" i="4"/>
  <c r="AL313" i="4"/>
  <c r="AD303" i="4"/>
  <c r="AB296" i="4"/>
  <c r="AJ288" i="4"/>
  <c r="AK283" i="4"/>
  <c r="AH274" i="4"/>
  <c r="AH251" i="4"/>
  <c r="AK295" i="4"/>
  <c r="AI288" i="4"/>
  <c r="AH279" i="4"/>
  <c r="AL261" i="4"/>
  <c r="AJ299" i="4"/>
  <c r="AH292" i="4"/>
  <c r="AH281" i="4"/>
  <c r="AD271" i="4"/>
  <c r="AG316" i="4"/>
  <c r="AG308" i="4"/>
  <c r="AG300" i="4"/>
  <c r="AE293" i="4"/>
  <c r="AG283" i="4"/>
  <c r="AB271" i="4"/>
  <c r="AJ219" i="4"/>
  <c r="AD297" i="4"/>
  <c r="AF288" i="4"/>
  <c r="AB278" i="4"/>
  <c r="AB246" i="4"/>
  <c r="AM308" i="4"/>
  <c r="AM300" i="4"/>
  <c r="AM292" i="4"/>
  <c r="AM280" i="4"/>
  <c r="AD249" i="4"/>
  <c r="AD304" i="4"/>
  <c r="AH294" i="4"/>
  <c r="AM284" i="4"/>
  <c r="AM276" i="4"/>
  <c r="AL241" i="4"/>
  <c r="AE319" i="4"/>
  <c r="AG310" i="4"/>
  <c r="AI301" i="4"/>
  <c r="AC292" i="4"/>
  <c r="AC284" i="4"/>
  <c r="AF277" i="4"/>
  <c r="AH255" i="4"/>
  <c r="AI266" i="4"/>
  <c r="AC257" i="4"/>
  <c r="AC249" i="4"/>
  <c r="AG239" i="4"/>
  <c r="AF230" i="4"/>
  <c r="AM218" i="4"/>
  <c r="AD268" i="4"/>
  <c r="AJ257" i="4"/>
  <c r="AL248" i="4"/>
  <c r="AB237" i="4"/>
  <c r="AD226" i="4"/>
  <c r="AB215" i="4"/>
  <c r="AI273" i="4"/>
  <c r="AE263" i="4"/>
  <c r="AC252" i="4"/>
  <c r="AG242" i="4"/>
  <c r="AD231" i="4"/>
  <c r="AB224" i="4"/>
  <c r="AD181" i="4"/>
  <c r="AL255" i="4"/>
  <c r="AJ244" i="4"/>
  <c r="AD235" i="4"/>
  <c r="AK225" i="4"/>
  <c r="AH193" i="4"/>
  <c r="AK267" i="4"/>
  <c r="AM254" i="4"/>
  <c r="AI240" i="4"/>
  <c r="AJ227" i="4"/>
  <c r="AD258" i="4"/>
  <c r="AB235" i="4"/>
  <c r="AC286" i="4"/>
  <c r="AK258" i="4"/>
  <c r="AF220" i="4"/>
  <c r="AG190" i="4"/>
  <c r="AC222" i="4"/>
  <c r="AD192" i="4"/>
  <c r="AG226" i="4"/>
  <c r="AE156" i="4"/>
  <c r="AJ160" i="4"/>
  <c r="AE81" i="4"/>
  <c r="AK111" i="4"/>
  <c r="AL83" i="4"/>
  <c r="AE72" i="4"/>
  <c r="AC521" i="4"/>
  <c r="AG7" i="4"/>
  <c r="AD530" i="4"/>
  <c r="AK139" i="4"/>
  <c r="AM39" i="4"/>
  <c r="AE51" i="4"/>
  <c r="AD67" i="4"/>
  <c r="AL246" i="4"/>
  <c r="AH232" i="4"/>
  <c r="AH209" i="4"/>
  <c r="AG280" i="4"/>
  <c r="AC266" i="4"/>
  <c r="AK250" i="4"/>
  <c r="AC234" i="4"/>
  <c r="AB211" i="4"/>
  <c r="AK203" i="4"/>
  <c r="AE183" i="4"/>
  <c r="AD202" i="4"/>
  <c r="AK179" i="4"/>
  <c r="AC210" i="4"/>
  <c r="AE180" i="4"/>
  <c r="AC190" i="4"/>
  <c r="AE200" i="4"/>
  <c r="AJ193" i="4"/>
  <c r="AK204" i="4"/>
  <c r="AH155" i="4"/>
  <c r="AJ142" i="4"/>
  <c r="AK164" i="4"/>
  <c r="AH153" i="4"/>
  <c r="AB191" i="4"/>
  <c r="AC130" i="4"/>
  <c r="AM109" i="4"/>
  <c r="AH130" i="4"/>
  <c r="AH133" i="4"/>
  <c r="AK72" i="4"/>
  <c r="AK88" i="4"/>
  <c r="AL102" i="4"/>
  <c r="AE24" i="4"/>
  <c r="AI279" i="4"/>
  <c r="AM265" i="4"/>
  <c r="AM249" i="4"/>
  <c r="AM233" i="4"/>
  <c r="AF209" i="4"/>
  <c r="AC203" i="4"/>
  <c r="AJ182" i="4"/>
  <c r="AF201" i="4"/>
  <c r="AI177" i="4"/>
  <c r="AC206" i="4"/>
  <c r="AG177" i="4"/>
  <c r="AK185" i="4"/>
  <c r="AK193" i="4"/>
  <c r="AK192" i="4"/>
  <c r="AI201" i="4"/>
  <c r="AF151" i="4"/>
  <c r="AB177" i="4"/>
  <c r="AI161" i="4"/>
  <c r="AJ141" i="4"/>
  <c r="AD182" i="4"/>
  <c r="AM125" i="4"/>
  <c r="AI91" i="4"/>
  <c r="AH114" i="4"/>
  <c r="AI111" i="4"/>
  <c r="AE65" i="4"/>
  <c r="AK76" i="4"/>
  <c r="AD94" i="4"/>
  <c r="AL19" i="4"/>
  <c r="AG232" i="4"/>
  <c r="AL195" i="4"/>
  <c r="AG201" i="4"/>
  <c r="AM179" i="4"/>
  <c r="AD198" i="4"/>
  <c r="AE169" i="4"/>
  <c r="AI203" i="4"/>
  <c r="AM161" i="4"/>
  <c r="AM178" i="4"/>
  <c r="AK189" i="4"/>
  <c r="AH183" i="4"/>
  <c r="AG194" i="4"/>
  <c r="AB134" i="4"/>
  <c r="AF171" i="4"/>
  <c r="AB150" i="4"/>
  <c r="AL134" i="4"/>
  <c r="AJ175" i="4"/>
  <c r="AK118" i="4"/>
  <c r="AM64" i="4"/>
  <c r="AB102" i="4"/>
  <c r="AD101" i="4"/>
  <c r="AC97" i="4"/>
  <c r="AK63" i="4"/>
  <c r="AF77" i="4"/>
  <c r="AF29" i="4"/>
  <c r="AE533" i="4"/>
  <c r="AI12" i="4"/>
  <c r="AB35" i="4"/>
  <c r="AL41" i="4"/>
  <c r="AL94" i="4"/>
  <c r="AM86" i="4"/>
  <c r="AH93" i="4"/>
  <c r="AI77" i="4"/>
  <c r="AB81" i="4"/>
  <c r="AJ72" i="4"/>
  <c r="AI68" i="4"/>
  <c r="AC101" i="4"/>
  <c r="AI140" i="4"/>
  <c r="AF118" i="4"/>
  <c r="AJ110" i="4"/>
  <c r="AK136" i="4"/>
  <c r="AJ113" i="4"/>
  <c r="AI87" i="4"/>
  <c r="AI126" i="4"/>
  <c r="AK101" i="4"/>
  <c r="AJ130" i="4"/>
  <c r="AK122" i="4"/>
  <c r="AD144" i="4"/>
  <c r="AL170" i="4"/>
  <c r="AK138" i="4"/>
  <c r="AM170" i="4"/>
  <c r="AJ156" i="4"/>
  <c r="AK104" i="4"/>
  <c r="AC164" i="4"/>
  <c r="AC149" i="4"/>
  <c r="AD172" i="4"/>
  <c r="AM148" i="4"/>
  <c r="AF106" i="4"/>
  <c r="AB158" i="4"/>
  <c r="AI178" i="4"/>
  <c r="AE203" i="4"/>
  <c r="AI225" i="4"/>
  <c r="AI187" i="4"/>
  <c r="AF211" i="4"/>
  <c r="AK188" i="4"/>
  <c r="AG203" i="4"/>
  <c r="AM157" i="4"/>
  <c r="AM190" i="4"/>
  <c r="AD205" i="4"/>
  <c r="AB178" i="4"/>
  <c r="AE191" i="4"/>
  <c r="AM205" i="4"/>
  <c r="AM217" i="4"/>
  <c r="AK176" i="4"/>
  <c r="AE188" i="4"/>
  <c r="AH200" i="4"/>
  <c r="AH208" i="4"/>
  <c r="AC181" i="4"/>
  <c r="AG193" i="4"/>
  <c r="AE202" i="4"/>
  <c r="AM210" i="4"/>
  <c r="AD199" i="4"/>
  <c r="AD222" i="4"/>
  <c r="AE233" i="4"/>
  <c r="AG240" i="4"/>
  <c r="AE249" i="4"/>
  <c r="AG256" i="4"/>
  <c r="AE265" i="4"/>
  <c r="AI271" i="4"/>
  <c r="AK278" i="4"/>
  <c r="AM285" i="4"/>
  <c r="AL199" i="4"/>
  <c r="AL219" i="4"/>
  <c r="AJ229" i="4"/>
  <c r="AD238" i="4"/>
  <c r="AH244" i="4"/>
  <c r="AJ251" i="4"/>
  <c r="AL258" i="4"/>
  <c r="AF265" i="4"/>
  <c r="AJ215" i="4"/>
  <c r="AJ225" i="4"/>
  <c r="AL540" i="4"/>
  <c r="AI513" i="4"/>
  <c r="AK543" i="4"/>
  <c r="AD534" i="4"/>
  <c r="AJ9" i="4"/>
  <c r="AB33" i="4"/>
  <c r="AK52" i="4"/>
  <c r="AD53" i="4"/>
  <c r="AE53" i="4"/>
  <c r="AC50" i="4"/>
  <c r="AH97" i="4"/>
  <c r="AK92" i="4"/>
  <c r="AD88" i="4"/>
  <c r="AC81" i="4"/>
  <c r="AJ78" i="4"/>
  <c r="AM118" i="4"/>
  <c r="AK143" i="4"/>
  <c r="AL127" i="4"/>
  <c r="AK112" i="4"/>
  <c r="AC140" i="4"/>
  <c r="AF115" i="4"/>
  <c r="AL108" i="4"/>
  <c r="AI520" i="4"/>
  <c r="AJ528" i="4"/>
  <c r="AI509" i="4"/>
  <c r="AK9" i="4"/>
  <c r="AF49" i="4"/>
  <c r="AI61" i="4"/>
  <c r="AM73" i="4"/>
  <c r="AC64" i="4"/>
  <c r="AI63" i="4"/>
  <c r="AH105" i="4"/>
  <c r="AM95" i="4"/>
  <c r="AJ89" i="4"/>
  <c r="AE84" i="4"/>
  <c r="AL89" i="4"/>
  <c r="AG121" i="4"/>
  <c r="AG149" i="4"/>
  <c r="AJ128" i="4"/>
  <c r="AI117" i="4"/>
  <c r="AK140" i="4"/>
  <c r="AB121" i="4"/>
  <c r="AD112" i="4"/>
  <c r="AE136" i="4"/>
  <c r="AE112" i="4"/>
  <c r="AE100" i="4"/>
  <c r="AG132" i="4"/>
  <c r="AL154" i="4"/>
  <c r="AJ183" i="4"/>
  <c r="AC155" i="4"/>
  <c r="AH136" i="4"/>
  <c r="AB168" i="4"/>
  <c r="AJ147" i="4"/>
  <c r="AG170" i="4"/>
  <c r="AH158" i="4"/>
  <c r="AH182" i="4"/>
  <c r="AI158" i="4"/>
  <c r="AE147" i="4"/>
  <c r="AD169" i="4"/>
  <c r="AH187" i="4"/>
  <c r="AE211" i="4"/>
  <c r="AE231" i="4"/>
  <c r="AF195" i="4"/>
  <c r="AI171" i="4"/>
  <c r="AG195" i="4"/>
  <c r="AM212" i="4"/>
  <c r="AC180" i="4"/>
  <c r="AD197" i="4"/>
  <c r="AB210" i="4"/>
  <c r="AL183" i="4"/>
  <c r="AK198" i="4"/>
  <c r="AK210" i="4"/>
  <c r="AK222" i="4"/>
  <c r="AF180" i="4"/>
  <c r="AD194" i="4"/>
  <c r="AL202" i="4"/>
  <c r="AC166" i="4"/>
  <c r="AF187" i="4"/>
  <c r="AG197" i="4"/>
  <c r="AG205" i="4"/>
  <c r="AG213" i="4"/>
  <c r="AL213" i="4"/>
  <c r="AG225" i="4"/>
  <c r="AK234" i="4"/>
  <c r="AG244" i="4"/>
  <c r="AG252" i="4"/>
  <c r="AI259" i="4"/>
  <c r="AK266" i="4"/>
  <c r="AC274" i="4"/>
  <c r="AE281" i="4"/>
  <c r="AI287" i="4"/>
  <c r="AL214" i="4"/>
  <c r="AH223" i="4"/>
  <c r="AF233" i="4"/>
  <c r="AH240" i="4"/>
  <c r="AB247" i="4"/>
  <c r="AD254" i="4"/>
  <c r="AH260" i="4"/>
  <c r="AM172" i="4"/>
  <c r="AB219" i="4"/>
  <c r="AB229" i="4"/>
  <c r="AK235" i="4"/>
  <c r="AM242" i="4"/>
  <c r="AG249" i="4"/>
  <c r="AI256" i="4"/>
  <c r="AK263" i="4"/>
  <c r="AM270" i="4"/>
  <c r="AK10" i="4"/>
  <c r="AF65" i="4"/>
  <c r="AJ34" i="4"/>
  <c r="AH76" i="4"/>
  <c r="AE70" i="4"/>
  <c r="AK67" i="4"/>
  <c r="AC58" i="4"/>
  <c r="AK96" i="4"/>
  <c r="AH98" i="4"/>
  <c r="AE96" i="4"/>
  <c r="AB90" i="4"/>
  <c r="AE122" i="4"/>
  <c r="AG98" i="4"/>
  <c r="AH129" i="4"/>
  <c r="AE123" i="4"/>
  <c r="AI83" i="4"/>
  <c r="AF127" i="4"/>
  <c r="AK113" i="4"/>
  <c r="AK141" i="4"/>
  <c r="AJ118" i="4"/>
  <c r="AE106" i="4"/>
  <c r="AE133" i="4"/>
  <c r="AL158" i="4"/>
  <c r="AL186" i="4"/>
  <c r="AG157" i="4"/>
  <c r="AB140" i="4"/>
  <c r="AL171" i="4"/>
  <c r="AB148" i="4"/>
  <c r="AH120" i="4"/>
  <c r="AJ161" i="4"/>
  <c r="AH124" i="4"/>
  <c r="AG159" i="4"/>
  <c r="AE149" i="4"/>
  <c r="AL169" i="4"/>
  <c r="AJ192" i="4"/>
  <c r="AG214" i="4"/>
  <c r="AM101" i="4"/>
  <c r="AL200" i="4"/>
  <c r="AG179" i="4"/>
  <c r="AG199" i="4"/>
  <c r="AC213" i="4"/>
  <c r="AK181" i="4"/>
  <c r="AL197" i="4"/>
  <c r="AJ210" i="4"/>
  <c r="AL185" i="4"/>
  <c r="AI199" i="4"/>
  <c r="AG212" i="4"/>
  <c r="AD118" i="4"/>
  <c r="AC183" i="4"/>
  <c r="AB195" i="4"/>
  <c r="AB203" i="4"/>
  <c r="AM173" i="4"/>
  <c r="AF188" i="4"/>
  <c r="AE198" i="4"/>
  <c r="AE206" i="4"/>
  <c r="AE214" i="4"/>
  <c r="AJ214" i="4"/>
  <c r="AH226" i="4"/>
  <c r="AM237" i="4"/>
  <c r="AE245" i="4"/>
  <c r="AE253" i="4"/>
  <c r="AE261" i="4"/>
  <c r="AG268" i="4"/>
  <c r="AK274" i="4"/>
  <c r="AM281" i="4"/>
  <c r="AF184" i="4"/>
  <c r="AH215" i="4"/>
  <c r="AH224" i="4"/>
  <c r="AD234" i="4"/>
  <c r="AF241" i="4"/>
  <c r="AJ247" i="4"/>
  <c r="AL254" i="4"/>
  <c r="AL262" i="4"/>
  <c r="AJ196" i="4"/>
  <c r="AI220" i="4"/>
  <c r="AC31" i="4"/>
  <c r="AJ48" i="4"/>
  <c r="AL44" i="4"/>
  <c r="AH92" i="4"/>
  <c r="AG81" i="4"/>
  <c r="AD83" i="4"/>
  <c r="AM67" i="4"/>
  <c r="AD76" i="4"/>
  <c r="AK66" i="4"/>
  <c r="AC57" i="4"/>
  <c r="AF96" i="4"/>
  <c r="AI132" i="4"/>
  <c r="AI110" i="4"/>
  <c r="AI79" i="4"/>
  <c r="AG130" i="4"/>
  <c r="AE104" i="4"/>
  <c r="AD132" i="4"/>
  <c r="AI118" i="4"/>
  <c r="AE77" i="4"/>
  <c r="AJ122" i="4"/>
  <c r="AC114" i="4"/>
  <c r="AD139" i="4"/>
  <c r="AH168" i="4"/>
  <c r="AC103" i="4"/>
  <c r="AC167" i="4"/>
  <c r="AJ150" i="4"/>
  <c r="AH177" i="4"/>
  <c r="AK150" i="4"/>
  <c r="AJ144" i="4"/>
  <c r="AJ165" i="4"/>
  <c r="AD143" i="4"/>
  <c r="AK165" i="4"/>
  <c r="AB154" i="4"/>
  <c r="AB174" i="4"/>
  <c r="AM199" i="4"/>
  <c r="AE219" i="4"/>
  <c r="AE179" i="4"/>
  <c r="AL204" i="4"/>
  <c r="AI183" i="4"/>
  <c r="AM200" i="4"/>
  <c r="AG219" i="4"/>
  <c r="AB186" i="4"/>
  <c r="AJ202" i="4"/>
  <c r="AE165" i="4"/>
  <c r="AM189" i="4"/>
  <c r="AC202" i="4"/>
  <c r="AI215" i="4"/>
  <c r="AM165" i="4"/>
  <c r="AM184" i="4"/>
  <c r="AF197" i="4"/>
  <c r="AB207" i="4"/>
  <c r="AK177" i="4"/>
  <c r="AG191" i="4"/>
  <c r="AK199" i="4"/>
  <c r="AK207" i="4"/>
  <c r="AK166" i="4"/>
  <c r="AD218" i="4"/>
  <c r="AI231" i="4"/>
  <c r="AK238" i="4"/>
  <c r="AK246" i="4"/>
  <c r="AK254" i="4"/>
  <c r="AK262" i="4"/>
  <c r="AM269" i="4"/>
  <c r="AE277" i="4"/>
  <c r="AG284" i="4"/>
  <c r="AI192" i="4"/>
  <c r="AJ217" i="4"/>
  <c r="AI226" i="4"/>
  <c r="AJ235" i="4"/>
  <c r="AL242" i="4"/>
  <c r="AD250" i="4"/>
  <c r="AF257" i="4"/>
  <c r="AJ263" i="4"/>
  <c r="AL203" i="4"/>
  <c r="AI223" i="4"/>
  <c r="AB231" i="4"/>
  <c r="AE238" i="4"/>
  <c r="AE246" i="4"/>
  <c r="AI252" i="4"/>
  <c r="AC259" i="4"/>
  <c r="AE266" i="4"/>
  <c r="AG273" i="4"/>
  <c r="AL181" i="4"/>
  <c r="AM192" i="4"/>
  <c r="AG211" i="4"/>
  <c r="AL212" i="4"/>
  <c r="AI229" i="4"/>
  <c r="AH185" i="4"/>
  <c r="AL137" i="4"/>
  <c r="AH178" i="4"/>
  <c r="AM167" i="4"/>
  <c r="AH165" i="4"/>
  <c r="AI149" i="4"/>
  <c r="AD154" i="4"/>
  <c r="AG88" i="4"/>
  <c r="AK133" i="4"/>
  <c r="AK109" i="4"/>
  <c r="AD123" i="4"/>
  <c r="AJ90" i="4"/>
  <c r="AD80" i="4"/>
  <c r="AM94" i="4"/>
  <c r="AB40" i="4"/>
  <c r="I13" i="2"/>
  <c r="AH530" i="4"/>
  <c r="AK536" i="4"/>
  <c r="AD523" i="4"/>
  <c r="AE522" i="4"/>
  <c r="AH13" i="4"/>
  <c r="AJ28" i="4"/>
  <c r="AG39" i="4"/>
  <c r="AD64" i="4"/>
  <c r="AC66" i="4"/>
  <c r="AF101" i="4"/>
  <c r="AM82" i="4"/>
  <c r="AG73" i="4"/>
  <c r="AL99" i="4"/>
  <c r="AM83" i="4"/>
  <c r="AJ77" i="4"/>
  <c r="AD104" i="4"/>
  <c r="AE88" i="4"/>
  <c r="AB78" i="4"/>
  <c r="AG100" i="4"/>
  <c r="AC127" i="4"/>
  <c r="AM89" i="4"/>
  <c r="AF126" i="4"/>
  <c r="AI107" i="4"/>
  <c r="AM127" i="4"/>
  <c r="AJ98" i="4"/>
  <c r="AD116" i="4"/>
  <c r="AK98" i="4"/>
  <c r="AM124" i="4"/>
  <c r="AG52" i="4"/>
  <c r="AE111" i="4"/>
  <c r="AI55" i="4"/>
  <c r="AC118" i="4"/>
  <c r="AI102" i="4"/>
  <c r="AH156" i="4"/>
  <c r="AB179" i="4"/>
  <c r="AD137" i="4"/>
  <c r="AM162" i="4"/>
  <c r="AE137" i="4"/>
  <c r="AL163" i="4"/>
  <c r="AD183" i="4"/>
  <c r="AC156" i="4"/>
  <c r="AB131" i="4"/>
  <c r="AB157" i="4"/>
  <c r="AL176" i="4"/>
  <c r="AL146" i="4"/>
  <c r="AE164" i="4"/>
  <c r="AF138" i="4"/>
  <c r="AL161" i="4"/>
  <c r="AC175" i="4"/>
  <c r="AE195" i="4"/>
  <c r="AC212" i="4"/>
  <c r="AE227" i="4"/>
  <c r="AI184" i="4"/>
  <c r="AD204" i="4"/>
  <c r="AC173" i="4"/>
  <c r="AC193" i="4"/>
  <c r="AE208" i="4"/>
  <c r="AE220" i="4"/>
  <c r="AE182" i="4"/>
  <c r="AJ194" i="4"/>
  <c r="AH207" i="4"/>
  <c r="AC172" i="4"/>
  <c r="AM186" i="4"/>
  <c r="AC198" i="4"/>
  <c r="AE209" i="4"/>
  <c r="AE217" i="4"/>
  <c r="AC162" i="4"/>
  <c r="AM181" i="4"/>
  <c r="AF190" i="4"/>
  <c r="AB199" i="4"/>
  <c r="AL206" i="4"/>
  <c r="AK172" i="4"/>
  <c r="AE184" i="4"/>
  <c r="AM194" i="4"/>
  <c r="AI200" i="4"/>
  <c r="AM206" i="4"/>
  <c r="AI212" i="4"/>
  <c r="AF206" i="4"/>
  <c r="AK219" i="4"/>
  <c r="AH228" i="4"/>
  <c r="AG236" i="4"/>
  <c r="AC242" i="4"/>
  <c r="AG248" i="4"/>
  <c r="AC254" i="4"/>
  <c r="AG260" i="4"/>
  <c r="AL252" i="4"/>
  <c r="AH246" i="4"/>
  <c r="AL240" i="4"/>
  <c r="AH234" i="4"/>
  <c r="AM226" i="4"/>
  <c r="AG221" i="4"/>
  <c r="AJ208" i="4"/>
  <c r="AM275" i="4"/>
  <c r="AI269" i="4"/>
  <c r="AM263" i="4"/>
  <c r="AI257" i="4"/>
  <c r="AE251" i="4"/>
  <c r="AK244" i="4"/>
  <c r="AE239" i="4"/>
  <c r="AK232" i="4"/>
  <c r="AD228" i="4"/>
  <c r="AK223" i="4"/>
  <c r="AL215" i="4"/>
  <c r="AL263" i="4"/>
  <c r="AH257" i="4"/>
  <c r="AL251" i="4"/>
  <c r="AH245" i="4"/>
  <c r="AL239" i="4"/>
  <c r="AH233" i="4"/>
  <c r="AL228" i="4"/>
  <c r="AH222" i="4"/>
  <c r="AB204" i="4"/>
  <c r="AC275" i="4"/>
  <c r="AG269" i="4"/>
  <c r="AC263" i="4"/>
  <c r="AG257" i="4"/>
  <c r="AC251" i="4"/>
  <c r="AI244" i="4"/>
  <c r="AM238" i="4"/>
  <c r="AI232" i="4"/>
  <c r="AJ226" i="4"/>
  <c r="AL217" i="4"/>
  <c r="AB144" i="4"/>
  <c r="AD262" i="4"/>
  <c r="AB255" i="4"/>
  <c r="AF249" i="4"/>
  <c r="AB243" i="4"/>
  <c r="AF237" i="4"/>
  <c r="AJ230" i="4"/>
  <c r="AL221" i="4"/>
  <c r="AJ212" i="4"/>
  <c r="AH138" i="4"/>
  <c r="AC282" i="4"/>
  <c r="AG276" i="4"/>
  <c r="AC270" i="4"/>
  <c r="AG264" i="4"/>
  <c r="AM257" i="4"/>
  <c r="AC250" i="4"/>
  <c r="AI243" i="4"/>
  <c r="AE237" i="4"/>
  <c r="AH227" i="4"/>
  <c r="AH217" i="4"/>
  <c r="AG178" i="4"/>
  <c r="AG209" i="4"/>
  <c r="AM202" i="4"/>
  <c r="AK195" i="4"/>
  <c r="AE185" i="4"/>
  <c r="AM169" i="4"/>
  <c r="AJ203" i="4"/>
  <c r="AH196" i="4"/>
  <c r="AM185" i="4"/>
  <c r="AM175" i="4"/>
  <c r="AG220" i="4"/>
  <c r="AM209" i="4"/>
  <c r="AE197" i="4"/>
  <c r="AC185" i="4"/>
  <c r="AC158" i="4"/>
  <c r="AD201" i="4"/>
  <c r="AC188" i="4"/>
  <c r="AC154" i="4"/>
  <c r="AM208" i="4"/>
  <c r="AK190" i="4"/>
  <c r="AG164" i="4"/>
  <c r="AJ197" i="4"/>
  <c r="AE175" i="4"/>
  <c r="AI217" i="4"/>
  <c r="AC200" i="4"/>
  <c r="AM177" i="4"/>
  <c r="AD161" i="4"/>
  <c r="AB135" i="4"/>
  <c r="AK157" i="4"/>
  <c r="AF100" i="4"/>
  <c r="AF163" i="4"/>
  <c r="AH137" i="4"/>
  <c r="AI157" i="4"/>
  <c r="AF182" i="4"/>
  <c r="AH157" i="4"/>
  <c r="AC98" i="4"/>
  <c r="AG153" i="4"/>
  <c r="AH184" i="4"/>
  <c r="AH164" i="4"/>
  <c r="AB115" i="4"/>
  <c r="AM117" i="4"/>
  <c r="AL129" i="4"/>
  <c r="AM106" i="4"/>
  <c r="AE132" i="4"/>
  <c r="AC109" i="4"/>
  <c r="AL124" i="4"/>
  <c r="AE99" i="4"/>
  <c r="AK124" i="4"/>
  <c r="AI98" i="4"/>
  <c r="AL115" i="4"/>
  <c r="AG141" i="4"/>
  <c r="AE114" i="4"/>
  <c r="AF80" i="4"/>
  <c r="AM88" i="4"/>
  <c r="AF99" i="4"/>
  <c r="AM63" i="4"/>
  <c r="AG74" i="4"/>
  <c r="AH85" i="4"/>
  <c r="AG93" i="4"/>
  <c r="AL110" i="4"/>
  <c r="AL68" i="4"/>
  <c r="AJ49" i="4"/>
  <c r="AD34" i="4"/>
  <c r="AF33" i="4"/>
  <c r="AK522" i="4"/>
  <c r="AK534" i="4"/>
  <c r="AL544" i="4"/>
  <c r="AK508" i="4"/>
  <c r="AI541" i="4"/>
  <c r="AI529" i="4"/>
  <c r="AB539" i="4"/>
  <c r="AH528" i="4"/>
  <c r="AD12" i="4"/>
  <c r="AE27" i="4"/>
  <c r="AH19" i="4"/>
  <c r="AJ42" i="4"/>
  <c r="AD42" i="4"/>
  <c r="AH88" i="4"/>
  <c r="AI59" i="4"/>
  <c r="AK91" i="4"/>
  <c r="AF82" i="4"/>
  <c r="AJ100" i="4"/>
  <c r="AM79" i="4"/>
  <c r="AC65" i="4"/>
  <c r="AB97" i="4"/>
  <c r="AJ73" i="4"/>
  <c r="AM40" i="4"/>
  <c r="AL85" i="4"/>
  <c r="AJ102" i="4"/>
  <c r="AM130" i="4"/>
  <c r="AC151" i="4"/>
  <c r="AL119" i="4"/>
  <c r="AE97" i="4"/>
  <c r="AE119" i="4"/>
  <c r="AE139" i="4"/>
  <c r="AI103" i="4"/>
  <c r="AJ121" i="4"/>
  <c r="AK105" i="4"/>
  <c r="AM120" i="4"/>
  <c r="AG139" i="4"/>
  <c r="AD109" i="4"/>
  <c r="AH123" i="4"/>
  <c r="AG102" i="4"/>
  <c r="AG124" i="4"/>
  <c r="AF135" i="4"/>
  <c r="AD158" i="4"/>
  <c r="AD178" i="4"/>
  <c r="AL122" i="4"/>
  <c r="AK155" i="4"/>
  <c r="AM174" i="4"/>
  <c r="AJ151" i="4"/>
  <c r="AJ168" i="4"/>
  <c r="AJ136" i="4"/>
  <c r="AK156" i="4"/>
  <c r="AJ127" i="4"/>
  <c r="AM151" i="4"/>
  <c r="AJ169" i="4"/>
  <c r="AF117" i="4"/>
  <c r="AE152" i="4"/>
  <c r="AK169" i="4"/>
  <c r="AE148" i="4"/>
  <c r="AH163" i="4"/>
  <c r="AF176" i="4"/>
  <c r="AI193" i="4"/>
  <c r="AE207" i="4"/>
  <c r="AM219" i="4"/>
  <c r="AC174" i="4"/>
  <c r="AB193" i="4"/>
  <c r="AF207" i="4"/>
  <c r="AG175" i="4"/>
  <c r="AL191" i="4"/>
  <c r="AI202" i="4"/>
  <c r="AI214" i="4"/>
  <c r="AI174" i="4"/>
  <c r="AL188" i="4"/>
  <c r="AB198" i="4"/>
  <c r="AD209" i="4"/>
  <c r="AI173" i="4"/>
  <c r="AC186" i="4"/>
  <c r="AC194" i="4"/>
  <c r="AE205" i="4"/>
  <c r="AC214" i="4"/>
  <c r="AM221" i="4"/>
  <c r="AG172" i="4"/>
  <c r="AM183" i="4"/>
  <c r="AF191" i="4"/>
  <c r="AL198" i="4"/>
  <c r="AH204" i="4"/>
  <c r="AK162" i="4"/>
  <c r="AG180" i="4"/>
  <c r="AG189" i="4"/>
  <c r="AJ19" i="4"/>
  <c r="AM35" i="4"/>
  <c r="AJ71" i="4"/>
  <c r="AF66" i="4"/>
  <c r="AK44" i="4"/>
  <c r="AC49" i="4"/>
  <c r="AM45" i="4"/>
  <c r="AJ87" i="4"/>
  <c r="AJ107" i="4"/>
  <c r="AC75" i="4"/>
  <c r="AI92" i="4"/>
  <c r="AF72" i="4"/>
  <c r="AD87" i="4"/>
  <c r="AB104" i="4"/>
  <c r="AM75" i="4"/>
  <c r="AM91" i="4"/>
  <c r="AI72" i="4"/>
  <c r="AL88" i="4"/>
  <c r="AL104" i="4"/>
  <c r="AG75" i="4"/>
  <c r="AC93" i="4"/>
  <c r="AB72" i="4"/>
  <c r="AJ86" i="4"/>
  <c r="AM99" i="4"/>
  <c r="AG117" i="4"/>
  <c r="AG133" i="4"/>
  <c r="AK147" i="4"/>
  <c r="AG103" i="4"/>
  <c r="AF122" i="4"/>
  <c r="AD41" i="4"/>
  <c r="AJ109" i="4"/>
  <c r="AK120" i="4"/>
  <c r="AK132" i="4"/>
  <c r="AE63" i="4"/>
  <c r="AK108" i="4"/>
  <c r="AH118" i="4"/>
  <c r="AF131" i="4"/>
  <c r="AC107" i="4"/>
  <c r="AK117" i="4"/>
  <c r="AC129" i="4"/>
  <c r="AC141" i="4"/>
  <c r="AM103" i="4"/>
  <c r="AD117" i="4"/>
  <c r="AH127" i="4"/>
  <c r="AI99" i="4"/>
  <c r="AG116" i="4"/>
  <c r="AE129" i="4"/>
  <c r="AF107" i="4"/>
  <c r="AG146" i="4"/>
  <c r="AB163" i="4"/>
  <c r="AB175" i="4"/>
  <c r="AF185" i="4"/>
  <c r="AF136" i="4"/>
  <c r="AM154" i="4"/>
  <c r="AI164" i="4"/>
  <c r="AF108" i="4"/>
  <c r="AJ149" i="4"/>
  <c r="AF162" i="4"/>
  <c r="AB172" i="4"/>
  <c r="AH116" i="4"/>
  <c r="AB149" i="4"/>
  <c r="AC160" i="4"/>
  <c r="AM171" i="4"/>
  <c r="AK145" i="4"/>
  <c r="AD156" i="4"/>
  <c r="AD168" i="4"/>
  <c r="AJ177" i="4"/>
  <c r="AB141" i="4"/>
  <c r="AD150" i="4"/>
  <c r="AK161" i="4"/>
  <c r="AE85" i="4"/>
  <c r="AD146" i="4"/>
  <c r="AD157" i="4"/>
  <c r="AJ166" i="4"/>
  <c r="AH175" i="4"/>
  <c r="AG184" i="4"/>
  <c r="AM195" i="4"/>
  <c r="AG206" i="4"/>
  <c r="AE215" i="4"/>
  <c r="AK224" i="4"/>
  <c r="AE145" i="4"/>
  <c r="AI185" i="4"/>
  <c r="AD196" i="4"/>
  <c r="AJ205" i="4"/>
  <c r="AE157" i="4"/>
  <c r="AC535" i="4"/>
  <c r="AD518" i="4"/>
  <c r="AK518" i="4"/>
  <c r="AE21" i="4"/>
  <c r="AC13" i="4"/>
  <c r="AG43" i="4"/>
  <c r="AI45" i="4"/>
  <c r="AF31" i="4"/>
  <c r="AH47" i="4"/>
  <c r="AD78" i="4"/>
  <c r="AF105" i="4"/>
  <c r="AG77" i="4"/>
  <c r="AE94" i="4"/>
  <c r="AD79" i="4"/>
  <c r="AL95" i="4"/>
  <c r="AF64" i="4"/>
  <c r="AG86" i="4"/>
  <c r="AC67" i="4"/>
  <c r="AB89" i="4"/>
  <c r="AH35" i="4"/>
  <c r="AG83" i="4"/>
  <c r="AG48" i="4"/>
  <c r="AH79" i="4"/>
  <c r="AB98" i="4"/>
  <c r="AI116" i="4"/>
  <c r="AE134" i="4"/>
  <c r="AM150" i="4"/>
  <c r="AJ112" i="4"/>
  <c r="AB128" i="4"/>
  <c r="AC99" i="4"/>
  <c r="AG118" i="4"/>
  <c r="AM131" i="4"/>
  <c r="AK68" i="4"/>
  <c r="AB110" i="4"/>
  <c r="AF123" i="4"/>
  <c r="AM97" i="4"/>
  <c r="AC113" i="4"/>
  <c r="AK125" i="4"/>
  <c r="AE140" i="4"/>
  <c r="AL105" i="4"/>
  <c r="AB118" i="4"/>
  <c r="AH131" i="4"/>
  <c r="AE108" i="4"/>
  <c r="AI123" i="4"/>
  <c r="AG92" i="4"/>
  <c r="AF145" i="4"/>
  <c r="AJ163" i="4"/>
  <c r="AH176" i="4"/>
  <c r="AL190" i="4"/>
  <c r="AH146" i="4"/>
  <c r="AE162" i="4"/>
  <c r="AK70" i="4"/>
  <c r="AI145" i="4"/>
  <c r="AD163" i="4"/>
  <c r="AJ176" i="4"/>
  <c r="AF137" i="4"/>
  <c r="AM155" i="4"/>
  <c r="AC168" i="4"/>
  <c r="AB143" i="4"/>
  <c r="AF155" i="4"/>
  <c r="AB169" i="4"/>
  <c r="AF179" i="4"/>
  <c r="AL145" i="4"/>
  <c r="AM156" i="4"/>
  <c r="AM168" i="4"/>
  <c r="AH140" i="4"/>
  <c r="AF156" i="4"/>
  <c r="AH167" i="4"/>
  <c r="AG156" i="4"/>
  <c r="AI188" i="4"/>
  <c r="AK200" i="4"/>
  <c r="AM211" i="4"/>
  <c r="AE223" i="4"/>
  <c r="AH132" i="4"/>
  <c r="AI186" i="4"/>
  <c r="AF199" i="4"/>
  <c r="AJ209" i="4"/>
  <c r="AG174" i="4"/>
  <c r="AB189" i="4"/>
  <c r="AM196" i="4"/>
  <c r="AG207" i="4"/>
  <c r="AG215" i="4"/>
  <c r="AE161" i="4"/>
  <c r="AB184" i="4"/>
  <c r="AD191" i="4"/>
  <c r="AJ549" i="4"/>
  <c r="AE26" i="4"/>
  <c r="AJ35" i="4"/>
  <c r="AL59" i="4"/>
  <c r="AD52" i="4"/>
  <c r="AL45" i="4"/>
  <c r="AJ83" i="4"/>
  <c r="AD38" i="4"/>
  <c r="AK83" i="4"/>
  <c r="AL65" i="4"/>
  <c r="AL87" i="4"/>
  <c r="AM61" i="4"/>
  <c r="AK84" i="4"/>
  <c r="AF75" i="4"/>
  <c r="AH94" i="4"/>
  <c r="AI70" i="4"/>
  <c r="AG91" i="4"/>
  <c r="AB73" i="4"/>
  <c r="AB94" i="4"/>
  <c r="AM114" i="4"/>
  <c r="AC135" i="4"/>
  <c r="AC86" i="4"/>
  <c r="AD119" i="4"/>
  <c r="AI62" i="4"/>
  <c r="AB112" i="4"/>
  <c r="AI129" i="4"/>
  <c r="AE45" i="4"/>
  <c r="AC111" i="4"/>
  <c r="AB125" i="4"/>
  <c r="AK106" i="4"/>
  <c r="AE120" i="4"/>
  <c r="AG135" i="4"/>
  <c r="AM98" i="4"/>
  <c r="AL117" i="4"/>
  <c r="AF132" i="4"/>
  <c r="AF112" i="4"/>
  <c r="AM129" i="4"/>
  <c r="AB137" i="4"/>
  <c r="AF157" i="4"/>
  <c r="AH172" i="4"/>
  <c r="AD190" i="4"/>
  <c r="AH147" i="4"/>
  <c r="AK163" i="4"/>
  <c r="AJ135" i="4"/>
  <c r="AD155" i="4"/>
  <c r="AD171" i="4"/>
  <c r="AL130" i="4"/>
  <c r="AG154" i="4"/>
  <c r="AI169" i="4"/>
  <c r="AB147" i="4"/>
  <c r="AB161" i="4"/>
  <c r="AF175" i="4"/>
  <c r="AJ131" i="4"/>
  <c r="AG155" i="4"/>
  <c r="AI166" i="4"/>
  <c r="AM145" i="4"/>
  <c r="AF160" i="4"/>
  <c r="AF172" i="4"/>
  <c r="AC179" i="4"/>
  <c r="AE199" i="4"/>
  <c r="AK208" i="4"/>
  <c r="AC220" i="4"/>
  <c r="AI167" i="4"/>
  <c r="AB192" i="4"/>
  <c r="AJ201" i="4"/>
  <c r="AB213" i="4"/>
  <c r="AJ184" i="4"/>
  <c r="AI194" i="4"/>
  <c r="AC205" i="4"/>
  <c r="AK217" i="4"/>
  <c r="AE173" i="4"/>
  <c r="AK186" i="4"/>
  <c r="AH195" i="4"/>
  <c r="AF204" i="4"/>
  <c r="AK154" i="4"/>
  <c r="AI179" i="4"/>
  <c r="AM187" i="4"/>
  <c r="AG196" i="4"/>
  <c r="AG204" i="4"/>
  <c r="AI211" i="4"/>
  <c r="AC218" i="4"/>
  <c r="AK158" i="4"/>
  <c r="AC178" i="4"/>
  <c r="AD185" i="4"/>
  <c r="AF193" i="4"/>
  <c r="AI39" i="4"/>
  <c r="AD27" i="4"/>
  <c r="AG31" i="4"/>
  <c r="AF36" i="4"/>
  <c r="AJ60" i="4"/>
  <c r="AC60" i="4"/>
  <c r="AJ65" i="4"/>
  <c r="AB26" i="4"/>
  <c r="AK57" i="4"/>
  <c r="AL78" i="4"/>
  <c r="AB99" i="4"/>
  <c r="AM49" i="4"/>
  <c r="AK75" i="4"/>
  <c r="AC91" i="4"/>
  <c r="AE56" i="4"/>
  <c r="AH77" i="4"/>
  <c r="AD91" i="4"/>
  <c r="AL103" i="4"/>
  <c r="AI66" i="4"/>
  <c r="AE83" i="4"/>
  <c r="AI93" i="4"/>
  <c r="AF68" i="4"/>
  <c r="AD84" i="4"/>
  <c r="AD96" i="4"/>
  <c r="AE44" i="4"/>
  <c r="AG79" i="4"/>
  <c r="AC89" i="4"/>
  <c r="AG55" i="4"/>
  <c r="AL77" i="4"/>
  <c r="AH87" i="4"/>
  <c r="AD28" i="4"/>
  <c r="AH111" i="4"/>
  <c r="AI124" i="4"/>
  <c r="AM134" i="4"/>
  <c r="AM146" i="4"/>
  <c r="AE93" i="4"/>
  <c r="AD115" i="4"/>
  <c r="AJ124" i="4"/>
  <c r="AF134" i="4"/>
  <c r="AM102" i="4"/>
  <c r="AC116" i="4"/>
  <c r="AC124" i="4"/>
  <c r="AI133" i="4"/>
  <c r="AM143" i="4"/>
  <c r="AG101" i="4"/>
  <c r="AK110" i="4"/>
  <c r="AL120" i="4"/>
  <c r="AB129" i="4"/>
  <c r="AG99" i="4"/>
  <c r="AD111" i="4"/>
  <c r="AG119" i="4"/>
  <c r="AE128" i="4"/>
  <c r="AI138" i="4"/>
  <c r="AL73" i="4"/>
  <c r="AC106" i="4"/>
  <c r="AF116" i="4"/>
  <c r="AF124" i="4"/>
  <c r="AL133" i="4"/>
  <c r="AM105" i="4"/>
  <c r="AE117" i="4"/>
  <c r="AE125" i="4"/>
  <c r="AI135" i="4"/>
  <c r="AD136" i="4"/>
  <c r="AH150" i="4"/>
  <c r="AH160" i="4"/>
  <c r="AD170" i="4"/>
  <c r="AL178" i="4"/>
  <c r="AF189" i="4"/>
  <c r="AB133" i="4"/>
  <c r="AH148" i="4"/>
  <c r="AI160" i="4"/>
  <c r="AG169" i="4"/>
  <c r="AG112" i="4"/>
  <c r="AG144" i="4"/>
  <c r="AB156" i="4"/>
  <c r="AB164" i="4"/>
  <c r="AD175" i="4"/>
  <c r="AK74" i="4"/>
  <c r="AF142" i="4"/>
  <c r="AI153" i="4"/>
  <c r="AG162" i="4"/>
  <c r="AE171" i="4"/>
  <c r="AH142" i="4"/>
  <c r="AL149" i="4"/>
  <c r="AJ157" i="4"/>
  <c r="AB202" i="4"/>
  <c r="AD193" i="4"/>
  <c r="AC187" i="4"/>
  <c r="AH179" i="4"/>
  <c r="AD135" i="4"/>
  <c r="AK213" i="4"/>
  <c r="AK205" i="4"/>
  <c r="AC197" i="4"/>
  <c r="AB190" i="4"/>
  <c r="AI181" i="4"/>
  <c r="AJ213" i="4"/>
  <c r="AH206" i="4"/>
  <c r="AH198" i="4"/>
  <c r="AJ189" i="4"/>
  <c r="AC176" i="4"/>
  <c r="AG230" i="4"/>
  <c r="AK220" i="4"/>
  <c r="AI213" i="4"/>
  <c r="AI205" i="4"/>
  <c r="AC196" i="4"/>
  <c r="AH186" i="4"/>
  <c r="AK170" i="4"/>
  <c r="AB170" i="4"/>
  <c r="AB162" i="4"/>
  <c r="AJ154" i="4"/>
  <c r="AD141" i="4"/>
  <c r="AE172" i="4"/>
  <c r="AI162" i="4"/>
  <c r="AM152" i="4"/>
  <c r="AK144" i="4"/>
  <c r="AM81" i="4"/>
  <c r="AL172" i="4"/>
  <c r="AD164" i="4"/>
  <c r="AJ153" i="4"/>
  <c r="AB145" i="4"/>
  <c r="AF113" i="4"/>
  <c r="AE163" i="4"/>
  <c r="AB151" i="4"/>
  <c r="AB138" i="4"/>
  <c r="AD179" i="4"/>
  <c r="AH169" i="4"/>
  <c r="AF158" i="4"/>
  <c r="AI146" i="4"/>
  <c r="AB123" i="4"/>
  <c r="AK167" i="4"/>
  <c r="AI156" i="4"/>
  <c r="AJ143" i="4"/>
  <c r="AH192" i="4"/>
  <c r="AB183" i="4"/>
  <c r="AB171" i="4"/>
  <c r="AL162" i="4"/>
  <c r="AG148" i="4"/>
  <c r="AH134" i="4"/>
  <c r="AK130" i="4"/>
  <c r="AC122" i="4"/>
  <c r="AF110" i="4"/>
  <c r="AM77" i="4"/>
  <c r="AL125" i="4"/>
  <c r="AD113" i="4"/>
  <c r="AB105" i="4"/>
  <c r="AI142" i="4"/>
  <c r="AC133" i="4"/>
  <c r="AC121" i="4"/>
  <c r="AM112" i="4"/>
  <c r="AC102" i="4"/>
  <c r="AL128" i="4"/>
  <c r="AL116" i="4"/>
  <c r="AB109" i="4"/>
  <c r="AG76" i="4"/>
  <c r="AI137" i="4"/>
  <c r="AE127" i="4"/>
  <c r="AK116" i="4"/>
  <c r="AE101" i="4"/>
  <c r="AB132" i="4"/>
  <c r="AH121" i="4"/>
  <c r="AI108" i="4"/>
  <c r="AE150" i="4"/>
  <c r="AC139" i="4"/>
  <c r="AE126" i="4"/>
  <c r="AG108" i="4"/>
  <c r="AL97" i="4"/>
  <c r="AB82" i="4"/>
  <c r="AJ69" i="4"/>
  <c r="AK93" i="4"/>
  <c r="AM80" i="4"/>
  <c r="AI51" i="4"/>
  <c r="AF95" i="4"/>
  <c r="AL80" i="4"/>
  <c r="AG64" i="4"/>
  <c r="AE87" i="4"/>
  <c r="AE75" i="4"/>
  <c r="AJ104" i="4"/>
  <c r="AB92" i="4"/>
  <c r="AB76" i="4"/>
  <c r="AK46" i="4"/>
  <c r="AG85" i="4"/>
  <c r="AD69" i="4"/>
  <c r="AJ103" i="4"/>
  <c r="AB87" i="4"/>
  <c r="AC61" i="4"/>
  <c r="AF13" i="4"/>
  <c r="AF55" i="4"/>
  <c r="AM47" i="4"/>
  <c r="AC37" i="4"/>
  <c r="AE40" i="4"/>
  <c r="AG18" i="4"/>
  <c r="AF17" i="4"/>
  <c r="AL513" i="4"/>
  <c r="AI525" i="4"/>
  <c r="AI540" i="4"/>
  <c r="AF545" i="4"/>
  <c r="AH536" i="4"/>
  <c r="AF512" i="4"/>
  <c r="AF10" i="4"/>
  <c r="AC18" i="4"/>
  <c r="AM14" i="4"/>
  <c r="AG17" i="4"/>
  <c r="AF18" i="4"/>
  <c r="AI21" i="4"/>
  <c r="AJ17" i="4"/>
  <c r="AK29" i="4"/>
  <c r="AF53" i="4"/>
  <c r="AF73" i="4"/>
  <c r="AG53" i="4"/>
  <c r="AI44" i="4"/>
  <c r="AB60" i="4"/>
  <c r="AJ33" i="4"/>
  <c r="AM51" i="4"/>
  <c r="AK33" i="4"/>
  <c r="AB49" i="4"/>
  <c r="AF63" i="4"/>
  <c r="AK39" i="4"/>
  <c r="AK49" i="4"/>
  <c r="AB36" i="4"/>
  <c r="AB46" i="4"/>
  <c r="AJ58" i="4"/>
  <c r="AH67" i="4"/>
  <c r="AJ75" i="4"/>
  <c r="AB83" i="4"/>
  <c r="AL90" i="4"/>
  <c r="AD98" i="4"/>
  <c r="AH104" i="4"/>
  <c r="AJ111" i="4"/>
  <c r="AH63" i="4"/>
  <c r="AE71" i="4"/>
  <c r="AC79" i="4"/>
  <c r="AI84" i="4"/>
  <c r="AE90" i="4"/>
  <c r="AC95" i="4"/>
  <c r="AM53" i="4"/>
  <c r="AD68" i="4"/>
  <c r="AL75" i="4"/>
  <c r="AJ80" i="4"/>
  <c r="AF86" i="4"/>
  <c r="AL91" i="4"/>
  <c r="AJ96" i="4"/>
  <c r="AF102" i="4"/>
  <c r="AE43" i="4"/>
  <c r="AM65" i="4"/>
  <c r="AH73" i="4"/>
  <c r="AE79" i="4"/>
  <c r="AC84" i="4"/>
  <c r="AI89" i="4"/>
  <c r="AE95" i="4"/>
  <c r="AI58" i="4"/>
  <c r="AH69" i="4"/>
  <c r="AL76" i="4"/>
  <c r="AJ81" i="4"/>
  <c r="AF87" i="4"/>
  <c r="AL92" i="4"/>
  <c r="AJ97" i="4"/>
  <c r="AF103" i="4"/>
  <c r="AK58" i="4"/>
  <c r="AI69" i="4"/>
  <c r="AM76" i="4"/>
  <c r="AK81" i="4"/>
  <c r="AG87" i="4"/>
  <c r="AM92" i="4"/>
  <c r="AK97" i="4"/>
  <c r="AG62" i="4"/>
  <c r="AJ70" i="4"/>
  <c r="AH75" i="4"/>
  <c r="AD81" i="4"/>
  <c r="AB86" i="4"/>
  <c r="AH91" i="4"/>
  <c r="AD97" i="4"/>
  <c r="AE89" i="4"/>
  <c r="AM104" i="4"/>
  <c r="AI112" i="4"/>
  <c r="AE118" i="4"/>
  <c r="AC123" i="4"/>
  <c r="AI128" i="4"/>
  <c r="AD536" i="4"/>
  <c r="AD543" i="4"/>
  <c r="AE519" i="4"/>
  <c r="AI548" i="4"/>
  <c r="AC527" i="4"/>
  <c r="AH513" i="4"/>
  <c r="AB543" i="4"/>
  <c r="AB523" i="4"/>
  <c r="AI539" i="4"/>
  <c r="AE13" i="4"/>
  <c r="AM41" i="4"/>
  <c r="AE22" i="4"/>
  <c r="AJ24" i="4"/>
  <c r="AG30" i="4"/>
  <c r="AE20" i="4"/>
  <c r="AF45" i="4"/>
  <c r="AF69" i="4"/>
  <c r="AK51" i="4"/>
  <c r="AD47" i="4"/>
  <c r="AF62" i="4"/>
  <c r="AJ43" i="4"/>
  <c r="AE59" i="4"/>
  <c r="AK43" i="4"/>
  <c r="AF59" i="4"/>
  <c r="AJ38" i="4"/>
  <c r="AI50" i="4"/>
  <c r="AC39" i="4"/>
  <c r="AH51" i="4"/>
  <c r="AE49" i="4"/>
  <c r="AM72" i="4"/>
  <c r="AD82" i="4"/>
  <c r="AF89" i="4"/>
  <c r="AL98" i="4"/>
  <c r="AL106" i="4"/>
  <c r="AC46" i="4"/>
  <c r="AC68" i="4"/>
  <c r="AI76" i="4"/>
  <c r="AC83" i="4"/>
  <c r="AG89" i="4"/>
  <c r="AK95" i="4"/>
  <c r="AK61" i="4"/>
  <c r="AF71" i="4"/>
  <c r="AF78" i="4"/>
  <c r="AB84" i="4"/>
  <c r="AF90" i="4"/>
  <c r="AB96" i="4"/>
  <c r="AD103" i="4"/>
  <c r="AC54" i="4"/>
  <c r="AE68" i="4"/>
  <c r="AC76" i="4"/>
  <c r="AG82" i="4"/>
  <c r="AC88" i="4"/>
  <c r="AG94" i="4"/>
  <c r="AE60" i="4"/>
  <c r="AH71" i="4"/>
  <c r="AH78" i="4"/>
  <c r="AL84" i="4"/>
  <c r="AH90" i="4"/>
  <c r="AL96" i="4"/>
  <c r="AH102" i="4"/>
  <c r="AG60" i="4"/>
  <c r="AI71" i="4"/>
  <c r="AI78" i="4"/>
  <c r="AM84" i="4"/>
  <c r="AI90" i="4"/>
  <c r="AM96" i="4"/>
  <c r="AM60" i="4"/>
  <c r="AK71" i="4"/>
  <c r="AD77" i="4"/>
  <c r="AJ82" i="4"/>
  <c r="AD89" i="4"/>
  <c r="AJ94" i="4"/>
  <c r="AC82" i="4"/>
  <c r="AE103" i="4"/>
  <c r="AG113" i="4"/>
  <c r="AC119" i="4"/>
  <c r="AG125" i="4"/>
  <c r="AC131" i="4"/>
  <c r="AI136" i="4"/>
  <c r="AE142" i="4"/>
  <c r="AC147" i="4"/>
  <c r="AG67" i="4"/>
  <c r="AI100" i="4"/>
  <c r="AI109" i="4"/>
  <c r="AB116" i="4"/>
  <c r="AH521" i="4"/>
  <c r="AC532" i="4"/>
  <c r="AG521" i="4"/>
  <c r="AE530" i="4"/>
  <c r="AM521" i="4"/>
  <c r="AM525" i="4"/>
  <c r="AC26" i="4"/>
  <c r="AD26" i="4"/>
  <c r="AK35" i="4"/>
  <c r="AM23" i="4"/>
  <c r="AE16" i="4"/>
  <c r="AB47" i="4"/>
  <c r="AH30" i="4"/>
  <c r="AG61" i="4"/>
  <c r="AF54" i="4"/>
  <c r="AE32" i="4"/>
  <c r="AE55" i="4"/>
  <c r="AB43" i="4"/>
  <c r="AH62" i="4"/>
  <c r="AB41" i="4"/>
  <c r="AL17" i="4"/>
  <c r="AM43" i="4"/>
  <c r="AH59" i="4"/>
  <c r="AM71" i="4"/>
  <c r="AF81" i="4"/>
  <c r="AJ91" i="4"/>
  <c r="AJ99" i="4"/>
  <c r="AF109" i="4"/>
  <c r="AK62" i="4"/>
  <c r="AE74" i="4"/>
  <c r="AE82" i="4"/>
  <c r="AI88" i="4"/>
  <c r="AI96" i="4"/>
  <c r="AE64" i="4"/>
  <c r="AF74" i="4"/>
  <c r="AH81" i="4"/>
  <c r="AB88" i="4"/>
  <c r="AD95" i="4"/>
  <c r="AH101" i="4"/>
  <c r="AG56" i="4"/>
  <c r="AG70" i="4"/>
  <c r="AG78" i="4"/>
  <c r="AI85" i="4"/>
  <c r="AC92" i="4"/>
  <c r="AK54" i="4"/>
  <c r="AH70" i="4"/>
  <c r="AF79" i="4"/>
  <c r="AJ85" i="4"/>
  <c r="AB93" i="4"/>
  <c r="AD100" i="4"/>
  <c r="AD40" i="4"/>
  <c r="AG68" i="4"/>
  <c r="AK77" i="4"/>
  <c r="AC85" i="4"/>
  <c r="AE92" i="4"/>
  <c r="AD36" i="4"/>
  <c r="AM66" i="4"/>
  <c r="AB74" i="4"/>
  <c r="AL81" i="4"/>
  <c r="AF88" i="4"/>
  <c r="AH95" i="4"/>
  <c r="AG96" i="4"/>
  <c r="AG107" i="4"/>
  <c r="AK115" i="4"/>
  <c r="AM122" i="4"/>
  <c r="AE130" i="4"/>
  <c r="AK135" i="4"/>
  <c r="AM142" i="4"/>
  <c r="AI148" i="4"/>
  <c r="AK82" i="4"/>
  <c r="AG105" i="4"/>
  <c r="AF114" i="4"/>
  <c r="AB120" i="4"/>
  <c r="AH125" i="4"/>
  <c r="AD131" i="4"/>
  <c r="AC72" i="4"/>
  <c r="AK100" i="4"/>
  <c r="AJ108" i="4"/>
  <c r="AE115" i="4"/>
  <c r="AC120" i="4"/>
  <c r="AI125" i="4"/>
  <c r="AE131" i="4"/>
  <c r="AC136" i="4"/>
  <c r="AI141" i="4"/>
  <c r="AL72" i="4"/>
  <c r="AM100" i="4"/>
  <c r="AB108" i="4"/>
  <c r="AC112" i="4"/>
  <c r="AB117" i="4"/>
  <c r="AH122" i="4"/>
  <c r="AD128" i="4"/>
  <c r="AB69" i="4"/>
  <c r="AI101" i="4"/>
  <c r="AL107" i="4"/>
  <c r="AM111" i="4"/>
  <c r="AM116" i="4"/>
  <c r="AK121" i="4"/>
  <c r="AG127" i="4"/>
  <c r="AM132" i="4"/>
  <c r="AK137" i="4"/>
  <c r="AG143" i="4"/>
  <c r="AG84" i="4"/>
  <c r="AG104" i="4"/>
  <c r="AM108" i="4"/>
  <c r="AB114" i="4"/>
  <c r="AH119" i="4"/>
  <c r="AD125" i="4"/>
  <c r="AB130" i="4"/>
  <c r="AB70" i="4"/>
  <c r="AL101" i="4"/>
  <c r="AE109" i="4"/>
  <c r="AI115" i="4"/>
  <c r="AE121" i="4"/>
  <c r="AC126" i="4"/>
  <c r="AI131" i="4"/>
  <c r="AE57" i="4"/>
  <c r="AF129" i="4"/>
  <c r="AF141" i="4"/>
  <c r="AH149" i="4"/>
  <c r="AJ155" i="4"/>
  <c r="AF161" i="4"/>
  <c r="AL166" i="4"/>
  <c r="AJ171" i="4"/>
  <c r="AF177" i="4"/>
  <c r="AL182" i="4"/>
  <c r="AJ187" i="4"/>
  <c r="AB66" i="4"/>
  <c r="AH135" i="4"/>
  <c r="AF144" i="4"/>
  <c r="AI152" i="4"/>
  <c r="AE158" i="4"/>
  <c r="AC163" i="4"/>
  <c r="AI168" i="4"/>
  <c r="AE174" i="4"/>
  <c r="AL126" i="4"/>
  <c r="AH139" i="4"/>
  <c r="AI147" i="4"/>
  <c r="AF154" i="4"/>
  <c r="AL159" i="4"/>
  <c r="AJ164" i="4"/>
  <c r="AF170" i="4"/>
  <c r="AL175" i="4"/>
  <c r="AJ180" i="4"/>
  <c r="AB127" i="4"/>
  <c r="AD140" i="4"/>
  <c r="AK148" i="4"/>
  <c r="AK152" i="4"/>
  <c r="AG158" i="4"/>
  <c r="AM163" i="4"/>
  <c r="AK168" i="4"/>
  <c r="AG109" i="4"/>
  <c r="AJ139" i="4"/>
  <c r="AB146" i="4"/>
  <c r="AC150" i="4"/>
  <c r="AH154" i="4"/>
  <c r="AD160" i="4"/>
  <c r="AB165" i="4"/>
  <c r="AH170" i="4"/>
  <c r="AD176" i="4"/>
  <c r="AB181" i="4"/>
  <c r="AJ137" i="4"/>
  <c r="AC145" i="4"/>
  <c r="AD149" i="4"/>
  <c r="AI154" i="4"/>
  <c r="AE160" i="4"/>
  <c r="AC165" i="4"/>
  <c r="AI170" i="4"/>
  <c r="AH128" i="4"/>
  <c r="AF143" i="4"/>
  <c r="AF150" i="4"/>
  <c r="AL547" i="4"/>
  <c r="AG540" i="4"/>
  <c r="AE15" i="4"/>
  <c r="AJ23" i="4"/>
  <c r="AL13" i="4"/>
  <c r="AG34" i="4"/>
  <c r="AM28" i="4"/>
  <c r="AF61" i="4"/>
  <c r="AC47" i="4"/>
  <c r="AB52" i="4"/>
  <c r="AC11" i="4"/>
  <c r="AI57" i="4"/>
  <c r="AL48" i="4"/>
  <c r="AH22" i="4"/>
  <c r="AK45" i="4"/>
  <c r="AC41" i="4"/>
  <c r="AJ54" i="4"/>
  <c r="AL69" i="4"/>
  <c r="AL82" i="4"/>
  <c r="AF93" i="4"/>
  <c r="AB103" i="4"/>
  <c r="AE42" i="4"/>
  <c r="AM69" i="4"/>
  <c r="AI80" i="4"/>
  <c r="AK87" i="4"/>
  <c r="AG97" i="4"/>
  <c r="AG66" i="4"/>
  <c r="AJ76" i="4"/>
  <c r="AJ84" i="4"/>
  <c r="AJ92" i="4"/>
  <c r="AB100" i="4"/>
  <c r="AK50" i="4"/>
  <c r="AG71" i="4"/>
  <c r="AC80" i="4"/>
  <c r="AM87" i="4"/>
  <c r="AC96" i="4"/>
  <c r="AJ66" i="4"/>
  <c r="AB77" i="4"/>
  <c r="AB85" i="4"/>
  <c r="AJ93" i="4"/>
  <c r="AB101" i="4"/>
  <c r="AC62" i="4"/>
  <c r="AI74" i="4"/>
  <c r="AI82" i="4"/>
  <c r="AK89" i="4"/>
  <c r="AH26" i="4"/>
  <c r="AF67" i="4"/>
  <c r="AF76" i="4"/>
  <c r="AF84" i="4"/>
  <c r="AF92" i="4"/>
  <c r="AC71" i="4"/>
  <c r="AE105" i="4"/>
  <c r="AC115" i="4"/>
  <c r="AK123" i="4"/>
  <c r="AK131" i="4"/>
  <c r="AM138" i="4"/>
  <c r="AG145" i="4"/>
  <c r="AK151" i="4"/>
  <c r="AK102" i="4"/>
  <c r="AH113" i="4"/>
  <c r="AJ120" i="4"/>
  <c r="AD127" i="4"/>
  <c r="AJ132" i="4"/>
  <c r="AM93" i="4"/>
  <c r="AI105" i="4"/>
  <c r="AI113" i="4"/>
  <c r="AM119" i="4"/>
  <c r="AG126" i="4"/>
  <c r="AC132" i="4"/>
  <c r="AG138" i="4"/>
  <c r="AC144" i="4"/>
  <c r="AI97" i="4"/>
  <c r="AJ106" i="4"/>
  <c r="AL111" i="4"/>
  <c r="AJ117" i="4"/>
  <c r="AD124" i="4"/>
  <c r="AJ129" i="4"/>
  <c r="AK94" i="4"/>
  <c r="AB106" i="4"/>
  <c r="AM110" i="4"/>
  <c r="AE116" i="4"/>
  <c r="AI122" i="4"/>
  <c r="AM128" i="4"/>
  <c r="AI134" i="4"/>
  <c r="AM140" i="4"/>
  <c r="AK69" i="4"/>
  <c r="AE102" i="4"/>
  <c r="AD108" i="4"/>
  <c r="AJ114" i="4"/>
  <c r="AD121" i="4"/>
  <c r="AJ126" i="4"/>
  <c r="AD133" i="4"/>
  <c r="AI95" i="4"/>
  <c r="AE107" i="4"/>
  <c r="AK114" i="4"/>
  <c r="AM121" i="4"/>
  <c r="AI127" i="4"/>
  <c r="AM133" i="4"/>
  <c r="AG111" i="4"/>
  <c r="AJ138" i="4"/>
  <c r="AG147" i="4"/>
  <c r="AB155" i="4"/>
  <c r="AD162" i="4"/>
  <c r="AJ167" i="4"/>
  <c r="AD174" i="4"/>
  <c r="AJ179" i="4"/>
  <c r="AD186" i="4"/>
  <c r="AJ191" i="4"/>
  <c r="AJ134" i="4"/>
  <c r="AH145" i="4"/>
  <c r="AE154" i="4"/>
  <c r="AK159" i="4"/>
  <c r="AE166" i="4"/>
  <c r="AK171" i="4"/>
  <c r="AJ119" i="4"/>
  <c r="AL138" i="4"/>
  <c r="AJ148" i="4"/>
  <c r="AL155" i="4"/>
  <c r="AH161" i="4"/>
  <c r="AL167" i="4"/>
  <c r="AH173" i="4"/>
  <c r="AL179" i="4"/>
  <c r="AJ123" i="4"/>
  <c r="AL141" i="4"/>
  <c r="AK149" i="4"/>
  <c r="AE155" i="4"/>
  <c r="AK160" i="4"/>
  <c r="AE167" i="4"/>
  <c r="AK99" i="4"/>
  <c r="AC138" i="4"/>
  <c r="AK146" i="4"/>
  <c r="AD151" i="4"/>
  <c r="AL156" i="4"/>
  <c r="AH162" i="4"/>
  <c r="AL168" i="4"/>
  <c r="AH174" i="4"/>
  <c r="AL180" i="4"/>
  <c r="AD138" i="4"/>
  <c r="AC146" i="4"/>
  <c r="AE151" i="4"/>
  <c r="AC157" i="4"/>
  <c r="AG163" i="4"/>
  <c r="AC169" i="4"/>
  <c r="AF121" i="4"/>
  <c r="AL144" i="4"/>
  <c r="AF152" i="4"/>
  <c r="AL157" i="4"/>
  <c r="AJ162" i="4"/>
  <c r="AF168" i="4"/>
  <c r="AL173" i="4"/>
  <c r="AI163" i="4"/>
  <c r="AM182" i="4"/>
  <c r="AI190" i="4"/>
  <c r="AK196" i="4"/>
  <c r="AG202" i="4"/>
  <c r="AM207" i="4"/>
  <c r="AK212" i="4"/>
  <c r="AG218" i="4"/>
  <c r="AM223" i="4"/>
  <c r="AK228" i="4"/>
  <c r="AE153" i="4"/>
  <c r="AM180" i="4"/>
  <c r="AJ188" i="4"/>
  <c r="AH194" i="4"/>
  <c r="AD200" i="4"/>
  <c r="AB205" i="4"/>
  <c r="AH210" i="4"/>
  <c r="AM153" i="4"/>
  <c r="AC177" i="4"/>
  <c r="AJ186" i="4"/>
  <c r="AC191" i="4"/>
  <c r="AE196" i="4"/>
  <c r="AC201" i="4"/>
  <c r="AI206" i="4"/>
  <c r="AE212" i="4"/>
  <c r="AC217" i="4"/>
  <c r="AF146" i="4"/>
  <c r="AI175" i="4"/>
  <c r="AK183" i="4"/>
  <c r="AL187" i="4"/>
  <c r="AM191" i="4"/>
  <c r="AF196" i="4"/>
  <c r="AL201" i="4"/>
  <c r="AJ206" i="4"/>
  <c r="AL114" i="4"/>
  <c r="AK174" i="4"/>
  <c r="AG182" i="4"/>
  <c r="AD187" i="4"/>
  <c r="AE192" i="4"/>
  <c r="AM197" i="4"/>
  <c r="AK202" i="4"/>
  <c r="AG208" i="4"/>
  <c r="AM213" i="4"/>
  <c r="AK218" i="4"/>
  <c r="AL142" i="4"/>
  <c r="AK173" i="4"/>
  <c r="AI182" i="4"/>
  <c r="AE187" i="4"/>
  <c r="AL194" i="4"/>
  <c r="AJ199" i="4"/>
  <c r="AF205" i="4"/>
  <c r="AI155" i="4"/>
  <c r="AE178" i="4"/>
  <c r="AF186" i="4"/>
  <c r="AE194" i="4"/>
  <c r="AC199" i="4"/>
  <c r="AI204" i="4"/>
  <c r="AE210" i="4"/>
  <c r="AF125" i="4"/>
  <c r="AH212" i="4"/>
  <c r="AK221" i="4"/>
  <c r="AH229" i="4"/>
  <c r="AI235" i="4"/>
  <c r="AE241" i="4"/>
  <c r="AC246" i="4"/>
  <c r="AI251" i="4"/>
  <c r="AE257" i="4"/>
  <c r="AC262" i="4"/>
  <c r="AI267" i="4"/>
  <c r="AE273" i="4"/>
  <c r="AC278" i="4"/>
  <c r="AI283" i="4"/>
  <c r="AC170" i="4"/>
  <c r="AD211" i="4"/>
  <c r="AH220" i="4"/>
  <c r="AI227" i="4"/>
  <c r="AL234" i="4"/>
  <c r="AJ239" i="4"/>
  <c r="AF245" i="4"/>
  <c r="AL250" i="4"/>
  <c r="AJ255" i="4"/>
  <c r="AF261" i="4"/>
  <c r="AL266" i="4"/>
  <c r="AJ211" i="4"/>
  <c r="AF222" i="4"/>
  <c r="AK229" i="4"/>
  <c r="AM234" i="4"/>
  <c r="AK239" i="4"/>
  <c r="AG245" i="4"/>
  <c r="AM250" i="4"/>
  <c r="AK255" i="4"/>
  <c r="AG261" i="4"/>
  <c r="AM266" i="4"/>
  <c r="AK271" i="4"/>
  <c r="AF148" i="4"/>
  <c r="AL211" i="4"/>
  <c r="AJ223" i="4"/>
  <c r="AB228" i="4"/>
  <c r="AB232" i="4"/>
  <c r="AH237" i="4"/>
  <c r="AD243" i="4"/>
  <c r="AB248" i="4"/>
  <c r="AH253" i="4"/>
  <c r="AD259" i="4"/>
  <c r="AB264" i="4"/>
  <c r="AB214" i="4"/>
  <c r="AI222" i="4"/>
  <c r="AL226" i="4"/>
  <c r="AM230" i="4"/>
  <c r="AM235" i="4"/>
  <c r="AK240" i="4"/>
  <c r="AG246" i="4"/>
  <c r="AM251" i="4"/>
  <c r="AK256" i="4"/>
  <c r="AG262" i="4"/>
  <c r="AM267" i="4"/>
  <c r="AK272" i="4"/>
  <c r="AG278" i="4"/>
  <c r="AD214" i="4"/>
  <c r="AC223" i="4"/>
  <c r="AD227" i="4"/>
  <c r="AJ233" i="4"/>
  <c r="AF239" i="4"/>
  <c r="AL244" i="4"/>
  <c r="AJ249" i="4"/>
  <c r="AF255" i="4"/>
  <c r="AL260" i="4"/>
  <c r="AJ265" i="4"/>
  <c r="AK182" i="4"/>
  <c r="AJ216" i="4"/>
  <c r="AE224" i="4"/>
  <c r="AE232" i="4"/>
  <c r="AC237" i="4"/>
  <c r="AI242" i="4"/>
  <c r="AE248" i="4"/>
  <c r="AC253" i="4"/>
  <c r="AI258" i="4"/>
  <c r="AE264" i="4"/>
  <c r="AC269" i="4"/>
  <c r="AB234" i="4"/>
  <c r="AH268" i="4"/>
  <c r="AL276" i="4"/>
  <c r="AK281" i="4"/>
  <c r="AL285" i="4"/>
  <c r="AG290" i="4"/>
  <c r="AM295" i="4"/>
  <c r="AK300" i="4"/>
  <c r="AG306" i="4"/>
  <c r="AM311" i="4"/>
  <c r="AK316" i="4"/>
  <c r="AG322" i="4"/>
  <c r="AM222" i="4"/>
  <c r="AH267" i="4"/>
  <c r="AG277" i="4"/>
  <c r="AD282" i="4"/>
  <c r="AE287" i="4"/>
  <c r="AL292" i="4"/>
  <c r="AJ297" i="4"/>
  <c r="AF303" i="4"/>
  <c r="AG227" i="4"/>
  <c r="AJ267" i="4"/>
  <c r="AD279" i="4"/>
  <c r="AF285" i="4"/>
  <c r="AG291" i="4"/>
  <c r="AM296" i="4"/>
  <c r="AK301" i="4"/>
  <c r="AG307" i="4"/>
  <c r="AM312" i="4"/>
  <c r="AD253" i="4"/>
  <c r="AD276" i="4"/>
  <c r="AF283" i="4"/>
  <c r="AB290" i="4"/>
  <c r="AH295" i="4"/>
  <c r="AD301" i="4"/>
  <c r="AG228" i="4"/>
  <c r="AF266" i="4"/>
  <c r="AK277" i="4"/>
  <c r="AH285" i="4"/>
  <c r="AI291" i="4"/>
  <c r="AE297" i="4"/>
  <c r="AC302" i="4"/>
  <c r="AI307" i="4"/>
  <c r="AE313" i="4"/>
  <c r="AD220" i="4"/>
  <c r="AD269" i="4"/>
  <c r="AB277" i="4"/>
  <c r="AI284" i="4"/>
  <c r="AB291" i="4"/>
  <c r="AH296" i="4"/>
  <c r="AD302" i="4"/>
  <c r="AB258" i="4"/>
  <c r="AE546" i="4"/>
  <c r="AI536" i="4"/>
  <c r="AK523" i="4"/>
  <c r="AJ527" i="4"/>
  <c r="AI6" i="4"/>
  <c r="AM537" i="4"/>
  <c r="AK30" i="4"/>
  <c r="AK23" i="4"/>
  <c r="AF12" i="4"/>
  <c r="AI22" i="4"/>
  <c r="AF57" i="4"/>
  <c r="AK55" i="4"/>
  <c r="AL55" i="4"/>
  <c r="AJ44" i="4"/>
  <c r="AI34" i="4"/>
  <c r="AB57" i="4"/>
  <c r="AC44" i="4"/>
  <c r="AJ37" i="4"/>
  <c r="AB58" i="4"/>
  <c r="AD73" i="4"/>
  <c r="AL86" i="4"/>
  <c r="AF97" i="4"/>
  <c r="AD110" i="4"/>
  <c r="AE66" i="4"/>
  <c r="AK79" i="4"/>
  <c r="AM90" i="4"/>
  <c r="AM38" i="4"/>
  <c r="AF70" i="4"/>
  <c r="AB80" i="4"/>
  <c r="AH89" i="4"/>
  <c r="AD99" i="4"/>
  <c r="AD39" i="4"/>
  <c r="AG72" i="4"/>
  <c r="AI81" i="4"/>
  <c r="AE91" i="4"/>
  <c r="AM56" i="4"/>
  <c r="AH74" i="4"/>
  <c r="AF83" i="4"/>
  <c r="AD92" i="4"/>
  <c r="AJ101" i="4"/>
  <c r="AD65" i="4"/>
  <c r="AC77" i="4"/>
  <c r="AI86" i="4"/>
  <c r="AG95" i="4"/>
  <c r="AK64" i="4"/>
  <c r="AJ74" i="4"/>
  <c r="AD85" i="4"/>
  <c r="AL93" i="4"/>
  <c r="AE98" i="4"/>
  <c r="AH110" i="4"/>
  <c r="AI120" i="4"/>
  <c r="AG129" i="4"/>
  <c r="AE138" i="4"/>
  <c r="AE146" i="4"/>
  <c r="AI75" i="4"/>
  <c r="AH107" i="4"/>
  <c r="AH117" i="4"/>
  <c r="AB124" i="4"/>
  <c r="AL131" i="4"/>
  <c r="AC90" i="4"/>
  <c r="AI106" i="4"/>
  <c r="AM115" i="4"/>
  <c r="AG122" i="4"/>
  <c r="AK128" i="4"/>
  <c r="AM135" i="4"/>
  <c r="AE143" i="4"/>
  <c r="AC94" i="4"/>
  <c r="AK107" i="4"/>
  <c r="AB113" i="4"/>
  <c r="AD120" i="4"/>
  <c r="AH126" i="4"/>
  <c r="AC73" i="4"/>
  <c r="AF104" i="4"/>
  <c r="AC110" i="4"/>
  <c r="AC117" i="4"/>
  <c r="AE124" i="4"/>
  <c r="AI130" i="4"/>
  <c r="AC137" i="4"/>
  <c r="AM144" i="4"/>
  <c r="AC100" i="4"/>
  <c r="AM107" i="4"/>
  <c r="AH115" i="4"/>
  <c r="AB122" i="4"/>
  <c r="AD129" i="4"/>
  <c r="AC74" i="4"/>
  <c r="AC105" i="4"/>
  <c r="AM113" i="4"/>
  <c r="AG120" i="4"/>
  <c r="AG128" i="4"/>
  <c r="AK134" i="4"/>
  <c r="AD122" i="4"/>
  <c r="AI143" i="4"/>
  <c r="AF153" i="4"/>
  <c r="AJ159" i="4"/>
  <c r="AB167" i="4"/>
  <c r="AL174" i="4"/>
  <c r="AF181" i="4"/>
  <c r="AH188" i="4"/>
  <c r="AB119" i="4"/>
  <c r="AH141" i="4"/>
  <c r="AI151" i="4"/>
  <c r="AC159" i="4"/>
  <c r="AM166" i="4"/>
  <c r="AG173" i="4"/>
  <c r="AF133" i="4"/>
  <c r="AL143" i="4"/>
  <c r="AJ152" i="4"/>
  <c r="AB160" i="4"/>
  <c r="AD167" i="4"/>
  <c r="AF174" i="4"/>
  <c r="AH181" i="4"/>
  <c r="AL135" i="4"/>
  <c r="AJ146" i="4"/>
  <c r="AC152" i="4"/>
  <c r="AM159" i="4"/>
  <c r="AG166" i="4"/>
  <c r="AD105" i="4"/>
  <c r="AM141" i="4"/>
  <c r="AC148" i="4"/>
  <c r="AB153" i="4"/>
  <c r="AL160" i="4"/>
  <c r="AF167" i="4"/>
  <c r="AJ173" i="4"/>
  <c r="AJ181" i="4"/>
  <c r="AG140" i="4"/>
  <c r="AM147" i="4"/>
  <c r="AK153" i="4"/>
  <c r="AC161" i="4"/>
  <c r="AE168" i="4"/>
  <c r="AD114" i="4"/>
  <c r="AD145" i="4"/>
  <c r="AL153" i="4"/>
  <c r="AH159" i="4"/>
  <c r="AL165" i="4"/>
  <c r="AH171" i="4"/>
  <c r="AB139" i="4"/>
  <c r="AE181" i="4"/>
  <c r="AI191" i="4"/>
  <c r="AG198" i="4"/>
  <c r="AC204" i="4"/>
  <c r="AG210" i="4"/>
  <c r="AC216" i="4"/>
  <c r="AG222" i="4"/>
  <c r="AC228" i="4"/>
  <c r="AG160" i="4"/>
  <c r="AB182" i="4"/>
  <c r="AK191" i="4"/>
  <c r="AB197" i="4"/>
  <c r="AF203" i="4"/>
  <c r="AB209" i="4"/>
  <c r="AJ140" i="4"/>
  <c r="AK178" i="4"/>
  <c r="AB188" i="4"/>
  <c r="AL192" i="4"/>
  <c r="AI198" i="4"/>
  <c r="AM204" i="4"/>
  <c r="AI210" i="4"/>
  <c r="AM216" i="4"/>
  <c r="AG150" i="4"/>
  <c r="AE177" i="4"/>
  <c r="AB185" i="4"/>
  <c r="AL189" i="4"/>
  <c r="AB194" i="4"/>
  <c r="AF200" i="4"/>
  <c r="AB206" i="4"/>
  <c r="AB136" i="4"/>
  <c r="AI176" i="4"/>
  <c r="AL184" i="4"/>
  <c r="AD189" i="4"/>
  <c r="AI195" i="4"/>
  <c r="AM201" i="4"/>
  <c r="AI207" i="4"/>
  <c r="AE512" i="4"/>
  <c r="AE29" i="4"/>
  <c r="AD14" i="4"/>
  <c r="AD10" i="4"/>
  <c r="AJ14" i="4"/>
  <c r="AJ55" i="4"/>
  <c r="AG45" i="4"/>
  <c r="AH53" i="4"/>
  <c r="AH38" i="4"/>
  <c r="AF32" i="4"/>
  <c r="AL56" i="4"/>
  <c r="AL43" i="4"/>
  <c r="AG35" i="4"/>
  <c r="AL53" i="4"/>
  <c r="AD72" i="4"/>
  <c r="AF85" i="4"/>
  <c r="AJ95" i="4"/>
  <c r="AH108" i="4"/>
  <c r="AK65" i="4"/>
  <c r="AE78" i="4"/>
  <c r="AC87" i="4"/>
  <c r="AB18" i="4"/>
  <c r="AE69" i="4"/>
  <c r="AL79" i="4"/>
  <c r="AJ88" i="4"/>
  <c r="AF98" i="4"/>
  <c r="AB21" i="4"/>
  <c r="AG69" i="4"/>
  <c r="AK80" i="4"/>
  <c r="AG90" i="4"/>
  <c r="AI47" i="4"/>
  <c r="AI73" i="4"/>
  <c r="AH82" i="4"/>
  <c r="AF91" i="4"/>
  <c r="AL100" i="4"/>
  <c r="AI64" i="4"/>
  <c r="AE76" i="4"/>
  <c r="AK85" i="4"/>
  <c r="AI94" i="4"/>
  <c r="AC63" i="4"/>
  <c r="AK73" i="4"/>
  <c r="AH83" i="4"/>
  <c r="AD93" i="4"/>
  <c r="AM85" i="4"/>
  <c r="AH109" i="4"/>
  <c r="AK119" i="4"/>
  <c r="AK127" i="4"/>
  <c r="AG137" i="4"/>
  <c r="AI144" i="4"/>
  <c r="AL71" i="4"/>
  <c r="AH106" i="4"/>
  <c r="AJ116" i="4"/>
  <c r="AL123" i="4"/>
  <c r="AF130" i="4"/>
  <c r="AK86" i="4"/>
  <c r="AC104" i="4"/>
  <c r="AG114" i="4"/>
  <c r="AI121" i="4"/>
  <c r="AC128" i="4"/>
  <c r="AE135" i="4"/>
  <c r="AG142" i="4"/>
  <c r="AK90" i="4"/>
  <c r="AJ105" i="4"/>
  <c r="AL112" i="4"/>
  <c r="AF119" i="4"/>
  <c r="AJ125" i="4"/>
  <c r="AL132" i="4"/>
  <c r="AK103" i="4"/>
  <c r="AL109" i="4"/>
  <c r="AG115" i="4"/>
  <c r="AG123" i="4"/>
  <c r="AK129" i="4"/>
  <c r="AM136" i="4"/>
  <c r="AE144" i="4"/>
  <c r="AH99" i="4"/>
  <c r="AD107" i="4"/>
  <c r="AL113" i="4"/>
  <c r="AL121" i="4"/>
  <c r="AF128" i="4"/>
  <c r="AG65" i="4"/>
  <c r="AI104" i="4"/>
  <c r="AE113" i="4"/>
  <c r="AI119" i="4"/>
  <c r="AK126" i="4"/>
  <c r="AC134" i="4"/>
  <c r="AL118" i="4"/>
  <c r="AB142" i="4"/>
  <c r="AH152" i="4"/>
  <c r="AB159" i="4"/>
  <c r="AD166" i="4"/>
  <c r="AF173" i="4"/>
  <c r="AH180" i="4"/>
  <c r="AB187" i="4"/>
  <c r="AJ115" i="4"/>
  <c r="AF139" i="4"/>
  <c r="AI150" i="4"/>
  <c r="AM158" i="4"/>
  <c r="AG165" i="4"/>
  <c r="AI172" i="4"/>
  <c r="AD130" i="4"/>
  <c r="AD142" i="4"/>
  <c r="AB152" i="4"/>
  <c r="AD159" i="4"/>
  <c r="AF166" i="4"/>
  <c r="AJ172" i="4"/>
  <c r="AB180" i="4"/>
  <c r="AJ133" i="4"/>
  <c r="AJ145" i="4"/>
  <c r="AL151" i="4"/>
  <c r="AE159" i="4"/>
  <c r="AI165" i="4"/>
  <c r="AC78" i="4"/>
  <c r="AF140" i="4"/>
  <c r="AL147" i="4"/>
  <c r="AL152" i="4"/>
  <c r="AF159" i="4"/>
  <c r="AH166" i="4"/>
  <c r="AB173" i="4"/>
  <c r="AD180" i="4"/>
  <c r="AL139" i="4"/>
  <c r="AD147" i="4"/>
  <c r="AC153" i="4"/>
  <c r="AM160" i="4"/>
  <c r="AG167" i="4"/>
  <c r="AG110" i="4"/>
  <c r="AK142" i="4"/>
  <c r="AD153" i="4"/>
  <c r="AJ158" i="4"/>
  <c r="AD165" i="4"/>
  <c r="AJ170" i="4"/>
  <c r="AD177" i="4"/>
  <c r="AK180" i="4"/>
  <c r="AI189" i="4"/>
  <c r="AI197" i="4"/>
  <c r="AM203" i="4"/>
  <c r="AI209" i="4"/>
  <c r="AM215" i="4"/>
  <c r="AI221" i="4"/>
  <c r="AM227" i="4"/>
  <c r="AF149" i="4"/>
  <c r="AG181" i="4"/>
  <c r="AJ190" i="4"/>
  <c r="AL196" i="4"/>
  <c r="AH202" i="4"/>
  <c r="AL208" i="4"/>
  <c r="AD134" i="4"/>
  <c r="AE176" i="4"/>
  <c r="AK187" i="4"/>
  <c r="AC192" i="4"/>
  <c r="AK197" i="4"/>
  <c r="AE204" i="4"/>
  <c r="AK209" i="4"/>
  <c r="AE216" i="4"/>
  <c r="AE141" i="4"/>
  <c r="AG176" i="4"/>
  <c r="AK184" i="4"/>
  <c r="AC189" i="4"/>
  <c r="AL193" i="4"/>
  <c r="AH199" i="4"/>
  <c r="AL205" i="4"/>
  <c r="AH211" i="4"/>
  <c r="AK175" i="4"/>
  <c r="AC184" i="4"/>
  <c r="AM188" i="4"/>
  <c r="AK194" i="4"/>
  <c r="AE201" i="4"/>
  <c r="AK206" i="4"/>
  <c r="AE213" i="4"/>
  <c r="AI219" i="4"/>
  <c r="AG151" i="4"/>
  <c r="AD61" i="4"/>
  <c r="AJ22" i="4"/>
  <c r="AD24" i="4"/>
  <c r="AL36" i="4"/>
  <c r="AL67" i="4"/>
  <c r="AD33" i="4"/>
  <c r="AB63" i="4"/>
  <c r="AL16" i="4"/>
  <c r="AG33" i="4"/>
  <c r="AE37" i="4"/>
  <c r="AM6" i="4"/>
  <c r="AH8" i="4"/>
  <c r="AL543" i="4"/>
  <c r="AD535" i="4"/>
  <c r="AL527" i="4"/>
  <c r="AD507" i="4"/>
  <c r="AC547" i="4"/>
  <c r="AE534" i="4"/>
  <c r="AI528" i="4"/>
  <c r="AM518" i="4"/>
  <c r="AF8" i="4"/>
  <c r="AJ547" i="4"/>
  <c r="AF533" i="4"/>
  <c r="AD522" i="4"/>
  <c r="AB514" i="4"/>
  <c r="AE549" i="4"/>
  <c r="AG544" i="4"/>
  <c r="AK538" i="4"/>
  <c r="AI527" i="4"/>
  <c r="AB519" i="4"/>
  <c r="AA21" i="4"/>
  <c r="AF11" i="4"/>
  <c r="AI11" i="4"/>
  <c r="AG20" i="4"/>
  <c r="AM29" i="4"/>
  <c r="AG40" i="4"/>
  <c r="AD18" i="4"/>
  <c r="AH28" i="4"/>
  <c r="AI16" i="4"/>
  <c r="AG25" i="4"/>
  <c r="AE34" i="4"/>
  <c r="AD19" i="4"/>
  <c r="AL27" i="4"/>
  <c r="AG14" i="4"/>
  <c r="AI25" i="4"/>
  <c r="AE35" i="4"/>
  <c r="AB17" i="4"/>
  <c r="AM15" i="4"/>
  <c r="AG23" i="4"/>
  <c r="AI30" i="4"/>
  <c r="AL37" i="4"/>
  <c r="AH48" i="4"/>
  <c r="AH56" i="4"/>
  <c r="AJ63" i="4"/>
  <c r="AH72" i="4"/>
  <c r="AL35" i="4"/>
  <c r="AM46" i="4"/>
  <c r="AM54" i="4"/>
  <c r="AI10" i="4"/>
  <c r="AG38" i="4"/>
  <c r="AB48" i="4"/>
  <c r="AD55" i="4"/>
  <c r="AH61" i="4"/>
  <c r="AB68" i="4"/>
  <c r="AJ36" i="4"/>
  <c r="AE47" i="4"/>
  <c r="AI53" i="4"/>
  <c r="AK60" i="4"/>
  <c r="AD35" i="4"/>
  <c r="AB44" i="4"/>
  <c r="AF51" i="4"/>
  <c r="AJ57" i="4"/>
  <c r="AB65" i="4"/>
  <c r="AL33" i="4"/>
  <c r="AK40" i="4"/>
  <c r="AC45" i="4"/>
  <c r="AG51" i="4"/>
  <c r="AF24" i="4"/>
  <c r="AB38" i="4"/>
  <c r="AD43" i="4"/>
  <c r="AF48" i="4"/>
  <c r="AB54" i="4"/>
  <c r="AF60" i="4"/>
  <c r="AG59" i="4"/>
  <c r="AC69" i="4"/>
  <c r="AG523" i="4"/>
  <c r="AB549" i="4"/>
  <c r="AK548" i="4"/>
  <c r="AE531" i="4"/>
  <c r="AC524" i="4"/>
  <c r="AB515" i="4"/>
  <c r="AD6" i="4"/>
  <c r="AH525" i="4"/>
  <c r="AE518" i="4"/>
  <c r="AK539" i="4"/>
  <c r="AD538" i="4"/>
  <c r="AB527" i="4"/>
  <c r="AD521" i="4"/>
  <c r="AC509" i="4"/>
  <c r="AG548" i="4"/>
  <c r="AI543" i="4"/>
  <c r="AI531" i="4"/>
  <c r="AD11" i="4"/>
  <c r="AB13" i="4"/>
  <c r="AE11" i="4"/>
  <c r="AC22" i="4"/>
  <c r="AE33" i="4"/>
  <c r="AG44" i="4"/>
  <c r="AD22" i="4"/>
  <c r="AL30" i="4"/>
  <c r="AE18" i="4"/>
  <c r="AC27" i="4"/>
  <c r="AI36" i="4"/>
  <c r="AB20" i="4"/>
  <c r="AF30" i="4"/>
  <c r="AE19" i="4"/>
  <c r="AM27" i="4"/>
  <c r="AC36" i="4"/>
  <c r="AF19" i="4"/>
  <c r="AC17" i="4"/>
  <c r="AM24" i="4"/>
  <c r="AJ26" i="4"/>
  <c r="AF41" i="4"/>
  <c r="AL50" i="4"/>
  <c r="AD58" i="4"/>
  <c r="AL66" i="4"/>
  <c r="AF9" i="4"/>
  <c r="AB37" i="4"/>
  <c r="AG49" i="4"/>
  <c r="AG57" i="4"/>
  <c r="AL21" i="4"/>
  <c r="AH41" i="4"/>
  <c r="AH49" i="4"/>
  <c r="AB56" i="4"/>
  <c r="AD63" i="4"/>
  <c r="AJ25" i="4"/>
  <c r="AH39" i="4"/>
  <c r="AC48" i="4"/>
  <c r="AM55" i="4"/>
  <c r="AF20" i="4"/>
  <c r="AF37" i="4"/>
  <c r="AJ45" i="4"/>
  <c r="AB53" i="4"/>
  <c r="AD60" i="4"/>
  <c r="AK12" i="4"/>
  <c r="AF35" i="4"/>
  <c r="AK41" i="4"/>
  <c r="AI46" i="4"/>
  <c r="AM52" i="4"/>
  <c r="AH31" i="4"/>
  <c r="AL39" i="4"/>
  <c r="AD44" i="4"/>
  <c r="AL49" i="4"/>
  <c r="AH55" i="4"/>
  <c r="AL61" i="4"/>
  <c r="AJ62" i="4"/>
  <c r="AC70" i="4"/>
  <c r="AD74" i="4"/>
  <c r="AB79" i="4"/>
  <c r="AH84" i="4"/>
  <c r="AD90" i="4"/>
  <c r="AB95" i="4"/>
  <c r="AH100" i="4"/>
  <c r="AD106" i="4"/>
  <c r="AB111" i="4"/>
  <c r="AM57" i="4"/>
  <c r="AI67" i="4"/>
  <c r="AE73" i="4"/>
  <c r="AM78" i="4"/>
  <c r="AB529" i="4"/>
  <c r="AE547" i="4"/>
  <c r="AK513" i="4"/>
  <c r="AL531" i="4"/>
  <c r="AL517" i="4"/>
  <c r="AI7" i="4"/>
  <c r="AI532" i="4"/>
  <c r="AJ6" i="4"/>
  <c r="AF537" i="4"/>
  <c r="AJ531" i="4"/>
  <c r="AD526" i="4"/>
  <c r="AM520" i="4"/>
  <c r="AM8" i="4"/>
  <c r="AM541" i="4"/>
  <c r="AG536" i="4"/>
  <c r="AK530" i="4"/>
  <c r="AG524" i="4"/>
  <c r="AC516" i="4"/>
  <c r="AL11" i="4"/>
  <c r="AJ13" i="4"/>
  <c r="AM12" i="4"/>
  <c r="AK22" i="4"/>
  <c r="AC34" i="4"/>
  <c r="AL10" i="4"/>
  <c r="AL22" i="4"/>
  <c r="AB31" i="4"/>
  <c r="AM18" i="4"/>
  <c r="AI28" i="4"/>
  <c r="AB10" i="4"/>
  <c r="AF22" i="4"/>
  <c r="AB32" i="4"/>
  <c r="AM19" i="4"/>
  <c r="AK28" i="4"/>
  <c r="AI37" i="4"/>
  <c r="AD20" i="4"/>
  <c r="AK17" i="4"/>
  <c r="AK25" i="4"/>
  <c r="AF28" i="4"/>
  <c r="AF42" i="4"/>
  <c r="AB51" i="4"/>
  <c r="AB59" i="4"/>
  <c r="AB67" i="4"/>
  <c r="AC15" i="4"/>
  <c r="AG41" i="4"/>
  <c r="AE50" i="4"/>
  <c r="AE58" i="4"/>
  <c r="AH23" i="4"/>
  <c r="AH42" i="4"/>
  <c r="AF50" i="4"/>
  <c r="AJ56" i="4"/>
  <c r="AJ64" i="4"/>
  <c r="AF27" i="4"/>
  <c r="AI40" i="4"/>
  <c r="AI49" i="4"/>
  <c r="AC56" i="4"/>
  <c r="AB22" i="4"/>
  <c r="AI38" i="4"/>
  <c r="AF47" i="4"/>
  <c r="AJ53" i="4"/>
  <c r="AL60" i="4"/>
  <c r="AD17" i="4"/>
  <c r="AM36" i="4"/>
  <c r="AB42" i="4"/>
  <c r="AG47" i="4"/>
  <c r="AK53" i="4"/>
  <c r="AM32" i="4"/>
  <c r="AC40" i="4"/>
  <c r="AM44" i="4"/>
  <c r="AB50" i="4"/>
  <c r="AF56" i="4"/>
  <c r="AB62" i="4"/>
  <c r="AG63" i="4"/>
  <c r="AM70" i="4"/>
  <c r="AL74" i="4"/>
  <c r="AJ79" i="4"/>
  <c r="AJ537" i="4"/>
  <c r="AI537" i="4"/>
  <c r="AM512" i="4"/>
  <c r="AF538" i="4"/>
  <c r="AD531" i="4"/>
  <c r="AB524" i="4"/>
  <c r="AE550" i="4"/>
  <c r="AI544" i="4"/>
  <c r="AC531" i="4"/>
  <c r="AI524" i="4"/>
  <c r="AD514" i="4"/>
  <c r="AD550" i="4"/>
  <c r="AJ543" i="4"/>
  <c r="AB531" i="4"/>
  <c r="AF525" i="4"/>
  <c r="AC519" i="4"/>
  <c r="AI547" i="4"/>
  <c r="AE529" i="4"/>
  <c r="AC513" i="4"/>
  <c r="AB12" i="4"/>
  <c r="AC9" i="4"/>
  <c r="AG13" i="4"/>
  <c r="AM25" i="4"/>
  <c r="AG36" i="4"/>
  <c r="AC14" i="4"/>
  <c r="AB23" i="4"/>
  <c r="AH32" i="4"/>
  <c r="AK19" i="4"/>
  <c r="AG29" i="4"/>
  <c r="AE12" i="4"/>
  <c r="AL23" i="4"/>
  <c r="AJ32" i="4"/>
  <c r="AC20" i="4"/>
  <c r="AI29" i="4"/>
  <c r="AH12" i="4"/>
  <c r="AD9" i="4"/>
  <c r="AG19" i="4"/>
  <c r="AE28" i="4"/>
  <c r="AB30" i="4"/>
  <c r="AF43" i="4"/>
  <c r="AJ51" i="4"/>
  <c r="AJ59" i="4"/>
  <c r="AJ67" i="4"/>
  <c r="AF23" i="4"/>
  <c r="AG42" i="4"/>
  <c r="AM50" i="4"/>
  <c r="AM58" i="4"/>
  <c r="AJ30" i="4"/>
  <c r="AH43" i="4"/>
  <c r="AD51" i="4"/>
  <c r="AD59" i="4"/>
  <c r="AH65" i="4"/>
  <c r="AB29" i="4"/>
  <c r="AI41" i="4"/>
  <c r="AG50" i="4"/>
  <c r="AK56" i="4"/>
  <c r="AL25" i="4"/>
  <c r="AJ41" i="4"/>
  <c r="AD48" i="4"/>
  <c r="AH54" i="4"/>
  <c r="AJ61" i="4"/>
  <c r="AL20" i="4"/>
  <c r="AH37" i="4"/>
  <c r="AL42" i="4"/>
  <c r="AM48" i="4"/>
  <c r="AI54" i="4"/>
  <c r="AL34" i="4"/>
  <c r="AL40" i="4"/>
  <c r="AD45" i="4"/>
  <c r="AJ50" i="4"/>
  <c r="AD57" i="4"/>
  <c r="AK37" i="4"/>
  <c r="AI65" i="4"/>
  <c r="AD71" i="4"/>
  <c r="AB75" i="4"/>
  <c r="AH80" i="4"/>
  <c r="AD86" i="4"/>
  <c r="AB91" i="4"/>
  <c r="AH96" i="4"/>
  <c r="AD102" i="4"/>
  <c r="AB107" i="4"/>
  <c r="AH112" i="4"/>
  <c r="AE61" i="4"/>
  <c r="AM68" i="4"/>
  <c r="AM74" i="4"/>
  <c r="AI530" i="4"/>
  <c r="AJ8" i="4"/>
  <c r="AD544" i="4"/>
  <c r="AL524" i="4"/>
  <c r="AD517" i="4"/>
  <c r="AG507" i="4"/>
  <c r="AE543" i="4"/>
  <c r="AC536" i="4"/>
  <c r="AE527" i="4"/>
  <c r="AH537" i="4"/>
  <c r="AM511" i="4"/>
  <c r="AC543" i="4"/>
  <c r="AK535" i="4"/>
  <c r="AC523" i="4"/>
  <c r="AJ512" i="4"/>
  <c r="AH548" i="4"/>
  <c r="AD542" i="4"/>
  <c r="AE516" i="4"/>
  <c r="AE545" i="4"/>
  <c r="AM533" i="4"/>
  <c r="AG528" i="4"/>
  <c r="AL521" i="4"/>
  <c r="AG511" i="4"/>
  <c r="AL15" i="4"/>
  <c r="AC10" i="4"/>
  <c r="AE17" i="4"/>
  <c r="AG28" i="4"/>
  <c r="AC38" i="4"/>
  <c r="AH16" i="4"/>
  <c r="AF25" i="4"/>
  <c r="AM10" i="4"/>
  <c r="AC23" i="4"/>
  <c r="AI32" i="4"/>
  <c r="AI15" i="4"/>
  <c r="AH25" i="4"/>
  <c r="AK11" i="4"/>
  <c r="AG22" i="4"/>
  <c r="AC32" i="4"/>
  <c r="AK15" i="4"/>
  <c r="AD13" i="4"/>
  <c r="AC21" i="4"/>
  <c r="AC29" i="4"/>
  <c r="AB34" i="4"/>
  <c r="AD46" i="4"/>
  <c r="AD54" i="4"/>
  <c r="AL62" i="4"/>
  <c r="AD70" i="4"/>
  <c r="AC33" i="4"/>
  <c r="AH44" i="4"/>
  <c r="AI52" i="4"/>
  <c r="AI60" i="4"/>
  <c r="AF34" i="4"/>
  <c r="AF46" i="4"/>
  <c r="AC42" i="4"/>
  <c r="AM33" i="4"/>
  <c r="AI23" i="4"/>
  <c r="AL14" i="4"/>
  <c r="AM9" i="4"/>
  <c r="AB9" i="4"/>
  <c r="AB520" i="4"/>
  <c r="AK526" i="4"/>
  <c r="AE537" i="4"/>
  <c r="AK542" i="4"/>
  <c r="AE8" i="4"/>
  <c r="AI517" i="4"/>
  <c r="AH524" i="4"/>
  <c r="AJ535" i="4"/>
  <c r="AH540" i="4"/>
  <c r="AB547" i="4"/>
  <c r="AH7" i="4"/>
  <c r="AE538" i="4"/>
  <c r="AK6" i="4"/>
  <c r="AL523" i="4"/>
  <c r="AD547" i="4"/>
  <c r="AE507" i="4"/>
  <c r="AG519" i="4"/>
  <c r="AL57" i="4"/>
  <c r="AF52" i="4"/>
  <c r="AJ46" i="4"/>
  <c r="AM42" i="4"/>
  <c r="AL38" i="4"/>
  <c r="AL29" i="4"/>
  <c r="AC53" i="4"/>
  <c r="AE48" i="4"/>
  <c r="AC43" i="4"/>
  <c r="AB39" i="4"/>
  <c r="AJ29" i="4"/>
  <c r="AL64" i="4"/>
  <c r="AH58" i="4"/>
  <c r="AL52" i="4"/>
  <c r="AH46" i="4"/>
  <c r="AJ40" i="4"/>
  <c r="AH27" i="4"/>
  <c r="AG58" i="4"/>
  <c r="AC52" i="4"/>
  <c r="AG46" i="4"/>
  <c r="AD37" i="4"/>
  <c r="AF16" i="4"/>
  <c r="AB64" i="4"/>
  <c r="AH57" i="4"/>
  <c r="AL51" i="4"/>
  <c r="AH45" i="4"/>
  <c r="AH36" i="4"/>
  <c r="AM62" i="4"/>
  <c r="AC55" i="4"/>
  <c r="AI48" i="4"/>
  <c r="AF39" i="4"/>
  <c r="AJ21" i="4"/>
  <c r="AH68" i="4"/>
  <c r="AD62" i="4"/>
  <c r="AL54" i="4"/>
  <c r="AJ47" i="4"/>
  <c r="AE39" i="4"/>
  <c r="AK14" i="4"/>
  <c r="AC25" i="4"/>
  <c r="AI18" i="4"/>
  <c r="AB11" i="4"/>
  <c r="AI14" i="4"/>
  <c r="AK32" i="4"/>
  <c r="AK24" i="4"/>
  <c r="AB16" i="4"/>
  <c r="AH29" i="4"/>
  <c r="AH21" i="4"/>
  <c r="AJ11" i="4"/>
  <c r="AM30" i="4"/>
  <c r="AM22" i="4"/>
  <c r="AK13" i="4"/>
  <c r="AB27" i="4"/>
  <c r="AL18" i="4"/>
  <c r="AI43" i="4"/>
  <c r="AK34" i="4"/>
  <c r="AI27" i="4"/>
  <c r="AK18" i="4"/>
  <c r="AJ10" i="4"/>
  <c r="AH14" i="4"/>
  <c r="AF14" i="4"/>
  <c r="AF510" i="4"/>
  <c r="AK519" i="4"/>
  <c r="AE525" i="4"/>
  <c r="AM529" i="4"/>
  <c r="AI535" i="4"/>
  <c r="AM549" i="4"/>
  <c r="AH511" i="4"/>
  <c r="AL519" i="4"/>
  <c r="AF529" i="4"/>
  <c r="AB535" i="4"/>
  <c r="AJ539" i="4"/>
  <c r="AH544" i="4"/>
  <c r="AF549" i="4"/>
  <c r="AH509" i="4"/>
  <c r="AM519" i="4"/>
  <c r="AK527" i="4"/>
  <c r="AC539" i="4"/>
  <c r="AC6" i="4"/>
  <c r="AK512" i="4"/>
  <c r="AF521" i="4"/>
  <c r="AF526" i="4"/>
  <c r="AF542" i="4"/>
  <c r="AH549" i="4"/>
  <c r="AG520" i="4"/>
  <c r="AG506" i="4"/>
  <c r="AG527" i="4"/>
  <c r="AJ525" i="4"/>
  <c r="AM547" i="4"/>
  <c r="AC540" i="4"/>
  <c r="AK532" i="4"/>
  <c r="AH533" i="4"/>
  <c r="AD527" i="4"/>
  <c r="AF522" i="4"/>
  <c r="AM515" i="4"/>
  <c r="AK547" i="4"/>
  <c r="AE542" i="4"/>
  <c r="AK531" i="4"/>
  <c r="AE526" i="4"/>
  <c r="AD519" i="4"/>
  <c r="AI510" i="4"/>
  <c r="AB6" i="4"/>
  <c r="AD546" i="4"/>
  <c r="AF541" i="4"/>
  <c r="AH532" i="4"/>
  <c r="AJ523" i="4"/>
  <c r="AB518" i="4"/>
  <c r="AG510" i="4"/>
  <c r="AK550" i="4"/>
  <c r="AM545" i="4"/>
  <c r="AE541" i="4"/>
  <c r="AG532" i="4"/>
  <c r="AI523" i="4"/>
  <c r="AG9" i="4"/>
  <c r="AI9" i="4"/>
  <c r="AF15" i="4"/>
  <c r="AM13" i="4"/>
  <c r="AM17" i="4"/>
  <c r="AG24" i="4"/>
  <c r="AI31" i="4"/>
  <c r="AK38" i="4"/>
  <c r="AG11" i="4"/>
  <c r="AH20" i="4"/>
  <c r="AJ27" i="4"/>
  <c r="AH11" i="4"/>
  <c r="AI20" i="4"/>
  <c r="AK27" i="4"/>
  <c r="AM34" i="4"/>
  <c r="AJ16" i="4"/>
  <c r="AB24" i="4"/>
  <c r="AD31" i="4"/>
  <c r="AK16" i="4"/>
  <c r="AC24" i="4"/>
  <c r="AE31" i="4"/>
  <c r="AE10" i="4"/>
  <c r="AH18" i="4"/>
  <c r="AB15" i="4"/>
  <c r="AM20" i="4"/>
  <c r="AI26" i="4"/>
  <c r="AD21" i="4"/>
  <c r="AE38" i="4"/>
  <c r="AL46" i="4"/>
  <c r="AH52" i="4"/>
  <c r="AL58" i="4"/>
  <c r="AH64" i="4"/>
  <c r="AL70" i="4"/>
  <c r="AL28" i="4"/>
  <c r="AF40" i="4"/>
  <c r="AK47" i="4"/>
  <c r="AE54" i="4"/>
  <c r="AK59" i="4"/>
  <c r="AD25" i="4"/>
  <c r="AH40" i="4"/>
  <c r="AL47" i="4"/>
  <c r="AJ52" i="4"/>
  <c r="AF58" i="4"/>
  <c r="AL63" i="4"/>
  <c r="AJ68" i="4"/>
  <c r="AH34" i="4"/>
  <c r="AI42" i="4"/>
  <c r="AK48" i="4"/>
  <c r="AG54" i="4"/>
  <c r="AM59" i="4"/>
  <c r="AD29" i="4"/>
  <c r="AJ39" i="4"/>
  <c r="AB45" i="4"/>
  <c r="AH50" i="4"/>
  <c r="AD56" i="4"/>
  <c r="AB61" i="4"/>
  <c r="AH66" i="4"/>
  <c r="AL32" i="4"/>
  <c r="AD524" i="4"/>
  <c r="AH542" i="4"/>
  <c r="AM11" i="4"/>
  <c r="AI33" i="4"/>
  <c r="AC28" i="4"/>
  <c r="AE23" i="4"/>
  <c r="AI17" i="4"/>
  <c r="AH33" i="4"/>
  <c r="AB28" i="4"/>
  <c r="AD23" i="4"/>
  <c r="AH17" i="4"/>
  <c r="AG37" i="4"/>
  <c r="AK31" i="4"/>
  <c r="AM26" i="4"/>
  <c r="AG21" i="4"/>
  <c r="AH15" i="4"/>
  <c r="AJ31" i="4"/>
  <c r="AL26" i="4"/>
  <c r="AF21" i="4"/>
  <c r="AG15" i="4"/>
  <c r="AK42" i="4"/>
  <c r="AM37" i="4"/>
  <c r="AG32" i="4"/>
  <c r="AK26" i="4"/>
  <c r="AM21" i="4"/>
  <c r="AG16" i="4"/>
  <c r="AL9" i="4"/>
  <c r="AE9" i="4"/>
  <c r="AL12" i="4"/>
  <c r="AD15" i="4"/>
  <c r="AH9" i="4"/>
  <c r="AH515" i="4"/>
  <c r="AK520" i="4"/>
  <c r="AD513" i="4"/>
  <c r="AL518" i="4"/>
  <c r="AL522" i="4"/>
  <c r="AL526" i="4"/>
  <c r="AL530" i="4"/>
  <c r="AL534" i="4"/>
  <c r="AL538" i="4"/>
  <c r="AL542" i="4"/>
  <c r="AL546" i="4"/>
  <c r="AL550" i="4"/>
  <c r="AC508" i="4"/>
  <c r="AL515" i="4"/>
  <c r="AE520" i="4"/>
  <c r="AG525" i="4"/>
  <c r="AG529" i="4"/>
  <c r="AG533" i="4"/>
  <c r="AG537" i="4"/>
  <c r="AG541" i="4"/>
  <c r="AG545" i="4"/>
  <c r="AG549" i="4"/>
  <c r="AG8" i="4"/>
  <c r="AF514" i="4"/>
  <c r="AF520" i="4"/>
  <c r="AJ524" i="4"/>
  <c r="AD539" i="4"/>
  <c r="AJ508" i="4"/>
  <c r="AJ516" i="4"/>
  <c r="AC528" i="4"/>
  <c r="AI533" i="4"/>
  <c r="AC544" i="4"/>
  <c r="AG550" i="4"/>
  <c r="AB533" i="4"/>
  <c r="AB545" i="4"/>
  <c r="AD7" i="4"/>
  <c r="AI534" i="4"/>
  <c r="AF516" i="4"/>
  <c r="AE521" i="4"/>
  <c r="AH529" i="4"/>
  <c r="AF534" i="4"/>
  <c r="AL539" i="4"/>
  <c r="AH545" i="4"/>
  <c r="AF550" i="4"/>
  <c r="AK509" i="4"/>
  <c r="AE523" i="4"/>
  <c r="AK528" i="4"/>
  <c r="AE539" i="4"/>
  <c r="AK544" i="4"/>
  <c r="AH526" i="4"/>
  <c r="AJ533" i="4"/>
  <c r="AD540" i="4"/>
  <c r="AL7" i="4"/>
  <c r="AI518" i="4"/>
  <c r="AG547" i="4"/>
  <c r="AD32" i="4"/>
  <c r="AE62" i="4"/>
  <c r="AI56" i="4"/>
  <c r="AC51" i="4"/>
  <c r="AE46" i="4"/>
  <c r="AF38" i="4"/>
  <c r="AB25" i="4"/>
  <c r="AB71" i="4"/>
  <c r="AD66" i="4"/>
  <c r="AH60" i="4"/>
  <c r="AB55" i="4"/>
  <c r="AD50" i="4"/>
  <c r="AF44" i="4"/>
  <c r="AE36" i="4"/>
  <c r="AJ18" i="4"/>
  <c r="AG27" i="4"/>
  <c r="AK21" i="4"/>
  <c r="AM16" i="4"/>
  <c r="AG10" i="4"/>
  <c r="AC16" i="4"/>
  <c r="AK36" i="4"/>
  <c r="AM31" i="4"/>
  <c r="AG26" i="4"/>
  <c r="AK20" i="4"/>
  <c r="AJ15" i="4"/>
  <c r="AL31" i="4"/>
  <c r="AF26" i="4"/>
  <c r="AJ20" i="4"/>
  <c r="AE14" i="4"/>
  <c r="AC35" i="4"/>
  <c r="AE30" i="4"/>
  <c r="AI24" i="4"/>
  <c r="AC19" i="4"/>
  <c r="AC12" i="4"/>
  <c r="AD30" i="4"/>
  <c r="AH24" i="4"/>
  <c r="AB19" i="4"/>
  <c r="AI13" i="4"/>
  <c r="AE41" i="4"/>
  <c r="AI35" i="4"/>
  <c r="AC30" i="4"/>
  <c r="AE25" i="4"/>
  <c r="AI19" i="4"/>
  <c r="AB14" i="4"/>
  <c r="AG12" i="4"/>
  <c r="AD16" i="4"/>
  <c r="AH10" i="4"/>
  <c r="AJ12" i="4"/>
  <c r="AH517" i="4"/>
  <c r="AC522" i="4"/>
  <c r="AC526" i="4"/>
  <c r="AC530" i="4"/>
  <c r="AC534" i="4"/>
  <c r="AC538" i="4"/>
  <c r="AC542" i="4"/>
  <c r="AC546" i="4"/>
  <c r="AC550" i="4"/>
  <c r="AB508" i="4"/>
  <c r="AJ515" i="4"/>
  <c r="AC520" i="4"/>
  <c r="AL511" i="4"/>
  <c r="AK517" i="4"/>
  <c r="AM522" i="4"/>
  <c r="AM526" i="4"/>
  <c r="AM530" i="4"/>
  <c r="AM534" i="4"/>
  <c r="AM538" i="4"/>
  <c r="AM542" i="4"/>
  <c r="AM546" i="4"/>
  <c r="AM550" i="4"/>
  <c r="AE508" i="4"/>
  <c r="AH516" i="4"/>
  <c r="AF530" i="4"/>
  <c r="AL535" i="4"/>
  <c r="AH541" i="4"/>
  <c r="AF546" i="4"/>
  <c r="AL6" i="4"/>
  <c r="AK524" i="4"/>
  <c r="AE535" i="4"/>
  <c r="AK540" i="4"/>
  <c r="AC7" i="4"/>
  <c r="AL528" i="4"/>
  <c r="AH534" i="4"/>
  <c r="AD548" i="4"/>
  <c r="AK537" i="4"/>
  <c r="AM528" i="4"/>
  <c r="AG539" i="4"/>
  <c r="AB528" i="4"/>
  <c r="AB532" i="4"/>
  <c r="AB536" i="4"/>
  <c r="AB540" i="4"/>
  <c r="AB544" i="4"/>
  <c r="AB548" i="4"/>
  <c r="AB7" i="4"/>
  <c r="AC517" i="4"/>
  <c r="AG546" i="4"/>
  <c r="AH522" i="4"/>
  <c r="AD532" i="4"/>
  <c r="AL536" i="4"/>
  <c r="AB541" i="4"/>
  <c r="AH550" i="4"/>
  <c r="AD511" i="4"/>
  <c r="AM524" i="4"/>
  <c r="AK549" i="4"/>
  <c r="AJ532" i="4"/>
  <c r="AJ536" i="4"/>
  <c r="AJ540" i="4"/>
  <c r="AJ544" i="4"/>
  <c r="AJ548" i="4"/>
  <c r="AJ7" i="4"/>
  <c r="AF518" i="4"/>
  <c r="AG522" i="4"/>
  <c r="AG526" i="4"/>
  <c r="AG530" i="4"/>
  <c r="AG534" i="4"/>
  <c r="AG538" i="4"/>
  <c r="AG542" i="4"/>
  <c r="AE6" i="4"/>
  <c r="AG518" i="4"/>
  <c r="AD528" i="4"/>
  <c r="AL532" i="4"/>
  <c r="AB537" i="4"/>
  <c r="AJ541" i="4"/>
  <c r="AH546" i="4"/>
  <c r="AB512" i="4"/>
  <c r="AK525" i="4"/>
  <c r="AK533" i="4"/>
  <c r="AK541" i="4"/>
  <c r="AG514" i="4"/>
  <c r="AM523" i="4"/>
  <c r="AM527" i="4"/>
  <c r="AM531" i="4"/>
  <c r="AM535" i="4"/>
  <c r="AM539" i="4"/>
  <c r="AM543" i="4"/>
  <c r="AC548" i="4"/>
  <c r="AK7" i="4"/>
  <c r="AD515" i="4"/>
  <c r="AH520" i="4"/>
  <c r="AB525" i="4"/>
  <c r="AJ529" i="4"/>
  <c r="AH538" i="4"/>
  <c r="AL548" i="4"/>
  <c r="AB8" i="4"/>
  <c r="AJ514" i="4"/>
  <c r="AI522" i="4"/>
  <c r="AI546" i="4"/>
  <c r="AI519" i="4"/>
  <c r="AK529" i="4"/>
  <c r="AG535" i="4"/>
  <c r="AI542" i="4"/>
  <c r="AG543" i="4"/>
  <c r="AI550" i="4"/>
  <c r="AJ545" i="4"/>
  <c r="AL507" i="4"/>
  <c r="AI526" i="4"/>
  <c r="AG531" i="4"/>
  <c r="AI538" i="4"/>
  <c r="AM508" i="4"/>
  <c r="AF517" i="4"/>
  <c r="AI521" i="4"/>
  <c r="AK545" i="4"/>
  <c r="AG6" i="4"/>
  <c r="AE515" i="4"/>
  <c r="AE524" i="4"/>
  <c r="AE528" i="4"/>
  <c r="AE532" i="4"/>
  <c r="AE536" i="4"/>
  <c r="AE540" i="4"/>
  <c r="AE544" i="4"/>
  <c r="AE548" i="4"/>
  <c r="AE7" i="4"/>
  <c r="AM532" i="4"/>
  <c r="AM536" i="4"/>
  <c r="AM540" i="4"/>
  <c r="AM544" i="4"/>
  <c r="AM548" i="4"/>
  <c r="AM7" i="4"/>
  <c r="AI545" i="4"/>
  <c r="AI549" i="4"/>
  <c r="AI8" i="4"/>
  <c r="AI514" i="4"/>
  <c r="AH519" i="4"/>
  <c r="AF523" i="4"/>
  <c r="AF527" i="4"/>
  <c r="AF531" i="4"/>
  <c r="AF535" i="4"/>
  <c r="AF539" i="4"/>
  <c r="AF543" i="4"/>
  <c r="AF547" i="4"/>
  <c r="AF6" i="4"/>
  <c r="AM516" i="4"/>
  <c r="AC525" i="4"/>
  <c r="AC529" i="4"/>
  <c r="AC533" i="4"/>
  <c r="AC537" i="4"/>
  <c r="AC541" i="4"/>
  <c r="AC545" i="4"/>
  <c r="AC549" i="4"/>
  <c r="AC8" i="4"/>
  <c r="I16" i="2"/>
  <c r="I17" i="2"/>
  <c r="I19" i="2"/>
  <c r="I24" i="2"/>
  <c r="I15" i="2"/>
  <c r="I27" i="2"/>
  <c r="I25" i="2"/>
  <c r="I28" i="2"/>
  <c r="I26" i="2"/>
  <c r="I14" i="2"/>
  <c r="I12" i="2"/>
  <c r="I22" i="2"/>
  <c r="I20" i="2"/>
  <c r="I23" i="2"/>
  <c r="I21" i="2"/>
  <c r="I18" i="2"/>
  <c r="AN462" i="4" l="1"/>
  <c r="AN363" i="4"/>
  <c r="AN83" i="4"/>
  <c r="AY45" i="4"/>
  <c r="AY462" i="4"/>
  <c r="AY363" i="4"/>
  <c r="AY83" i="4"/>
  <c r="C2" i="2" a="1"/>
  <c r="C2" i="2" s="1"/>
  <c r="C3" i="6" s="1"/>
  <c r="K29" i="6" s="1"/>
  <c r="M27" i="6"/>
  <c r="AN540" i="4"/>
  <c r="AY540" i="4" s="1"/>
  <c r="AN315" i="4"/>
  <c r="AY315" i="4" s="1"/>
  <c r="AN87" i="4"/>
  <c r="AY87" i="4" s="1"/>
  <c r="AN79" i="4"/>
  <c r="AY79" i="4" s="1"/>
  <c r="AN513" i="4"/>
  <c r="AY513" i="4" s="1"/>
  <c r="AN243" i="4"/>
  <c r="AY243" i="4" s="1"/>
  <c r="AN105" i="4"/>
  <c r="AY105" i="4" s="1"/>
  <c r="AN447" i="4"/>
  <c r="AY447" i="4" s="1"/>
  <c r="AN433" i="4"/>
  <c r="AY433" i="4" s="1"/>
  <c r="AN212" i="4"/>
  <c r="AY212" i="4" s="1"/>
  <c r="AN37" i="4"/>
  <c r="AY37" i="4" s="1"/>
  <c r="AN413" i="4"/>
  <c r="AY413" i="4" s="1"/>
  <c r="AN209" i="4"/>
  <c r="AY209" i="4" s="1"/>
  <c r="AN337" i="4"/>
  <c r="AY337" i="4" s="1"/>
  <c r="AN188" i="4"/>
  <c r="AY188" i="4" s="1"/>
  <c r="AN240" i="4"/>
  <c r="AY240" i="4" s="1"/>
  <c r="AN512" i="4"/>
  <c r="AY512" i="4" s="1"/>
  <c r="AN307" i="4"/>
  <c r="AY307" i="4" s="1"/>
  <c r="AN150" i="4"/>
  <c r="AY150" i="4" s="1"/>
  <c r="AN506" i="4"/>
  <c r="AY506" i="4" s="1"/>
  <c r="AN418" i="4"/>
  <c r="AY418" i="4" s="1"/>
  <c r="AN290" i="4"/>
  <c r="AY290" i="4" s="1"/>
  <c r="AN147" i="4"/>
  <c r="AY147" i="4" s="1"/>
  <c r="AN54" i="4"/>
  <c r="AY54" i="4" s="1"/>
  <c r="AN492" i="4"/>
  <c r="AY492" i="4" s="1"/>
  <c r="AN405" i="4"/>
  <c r="AY405" i="4" s="1"/>
  <c r="AN198" i="4"/>
  <c r="AY198" i="4" s="1"/>
  <c r="AN170" i="4"/>
  <c r="AY170" i="4" s="1"/>
  <c r="AN21" i="4"/>
  <c r="AN476" i="4"/>
  <c r="AY476" i="4" s="1"/>
  <c r="AN392" i="4"/>
  <c r="AY392" i="4" s="1"/>
  <c r="AN268" i="4"/>
  <c r="AY268" i="4" s="1"/>
  <c r="AN189" i="4"/>
  <c r="AY189" i="4" s="1"/>
  <c r="AN480" i="4"/>
  <c r="AY480" i="4" s="1"/>
  <c r="AN439" i="4"/>
  <c r="AY439" i="4" s="1"/>
  <c r="AN393" i="4"/>
  <c r="AY393" i="4" s="1"/>
  <c r="AN309" i="4"/>
  <c r="AY309" i="4" s="1"/>
  <c r="AN284" i="4"/>
  <c r="AY284" i="4" s="1"/>
  <c r="AN265" i="4"/>
  <c r="AY265" i="4" s="1"/>
  <c r="AN129" i="4"/>
  <c r="AY129" i="4" s="1"/>
  <c r="AN102" i="4"/>
  <c r="AY102" i="4" s="1"/>
  <c r="AN546" i="4"/>
  <c r="AY546" i="4" s="1"/>
  <c r="AN384" i="4"/>
  <c r="AY384" i="4" s="1"/>
  <c r="AN93" i="4"/>
  <c r="AY93" i="4" s="1"/>
  <c r="AN483" i="4"/>
  <c r="AY483" i="4" s="1"/>
  <c r="AN431" i="4"/>
  <c r="AY431" i="4" s="1"/>
  <c r="AN252" i="4"/>
  <c r="AY252" i="4" s="1"/>
  <c r="AN192" i="4"/>
  <c r="AY192" i="4" s="1"/>
  <c r="AN128" i="4"/>
  <c r="AY128" i="4" s="1"/>
  <c r="AN542" i="4"/>
  <c r="AY542" i="4" s="1"/>
  <c r="AN471" i="4"/>
  <c r="AY471" i="4" s="1"/>
  <c r="AN450" i="4"/>
  <c r="AY450" i="4" s="1"/>
  <c r="AN382" i="4"/>
  <c r="AY382" i="4" s="1"/>
  <c r="AN358" i="4"/>
  <c r="AY358" i="4" s="1"/>
  <c r="AN223" i="4"/>
  <c r="AY223" i="4" s="1"/>
  <c r="AN196" i="4"/>
  <c r="AY196" i="4" s="1"/>
  <c r="AN111" i="4"/>
  <c r="AY111" i="4" s="1"/>
  <c r="AN41" i="4"/>
  <c r="AY41" i="4" s="1"/>
  <c r="AN317" i="4"/>
  <c r="AY317" i="4" s="1"/>
  <c r="AN533" i="4"/>
  <c r="AY533" i="4" s="1"/>
  <c r="AN459" i="4"/>
  <c r="AY459" i="4" s="1"/>
  <c r="AN430" i="4"/>
  <c r="AY430" i="4" s="1"/>
  <c r="AN345" i="4"/>
  <c r="AY345" i="4" s="1"/>
  <c r="AN350" i="4"/>
  <c r="AY350" i="4" s="1"/>
  <c r="AN255" i="4"/>
  <c r="AY255" i="4" s="1"/>
  <c r="AN148" i="4"/>
  <c r="AY148" i="4" s="1"/>
  <c r="AN131" i="4"/>
  <c r="AY131" i="4" s="1"/>
  <c r="AN58" i="4"/>
  <c r="AY58" i="4" s="1"/>
  <c r="AN60" i="4"/>
  <c r="AY60" i="4" s="1"/>
  <c r="AN65" i="4"/>
  <c r="AY65" i="4" s="1"/>
  <c r="AN538" i="4"/>
  <c r="AY538" i="4" s="1"/>
  <c r="AN455" i="4"/>
  <c r="AY455" i="4" s="1"/>
  <c r="AN406" i="4"/>
  <c r="AY406" i="4" s="1"/>
  <c r="AN325" i="4"/>
  <c r="AY325" i="4" s="1"/>
  <c r="AN351" i="4"/>
  <c r="AY351" i="4" s="1"/>
  <c r="AN210" i="4"/>
  <c r="AY210" i="4" s="1"/>
  <c r="AN180" i="4"/>
  <c r="AY180" i="4" s="1"/>
  <c r="AN126" i="4"/>
  <c r="AY126" i="4" s="1"/>
  <c r="AN510" i="4"/>
  <c r="AY510" i="4" s="1"/>
  <c r="AN451" i="4"/>
  <c r="AY451" i="4" s="1"/>
  <c r="AN428" i="4"/>
  <c r="AY428" i="4" s="1"/>
  <c r="AN339" i="4"/>
  <c r="AY339" i="4" s="1"/>
  <c r="AN233" i="4"/>
  <c r="AY233" i="4" s="1"/>
  <c r="AN90" i="4"/>
  <c r="AY90" i="4" s="1"/>
  <c r="AN520" i="4"/>
  <c r="AY520" i="4" s="1"/>
  <c r="AN528" i="4"/>
  <c r="AY528" i="4" s="1"/>
  <c r="AN515" i="4"/>
  <c r="AY515" i="4" s="1"/>
  <c r="AN482" i="4"/>
  <c r="AY482" i="4" s="1"/>
  <c r="AN485" i="4"/>
  <c r="AY485" i="4" s="1"/>
  <c r="AN395" i="4"/>
  <c r="AY395" i="4" s="1"/>
  <c r="AN398" i="4"/>
  <c r="AY398" i="4" s="1"/>
  <c r="AN424" i="4"/>
  <c r="AY424" i="4" s="1"/>
  <c r="AN369" i="4"/>
  <c r="AY369" i="4" s="1"/>
  <c r="AN360" i="4"/>
  <c r="AY360" i="4" s="1"/>
  <c r="AN311" i="4"/>
  <c r="AY311" i="4" s="1"/>
  <c r="AN326" i="4"/>
  <c r="AY326" i="4" s="1"/>
  <c r="AN300" i="4"/>
  <c r="AY300" i="4" s="1"/>
  <c r="AN270" i="4"/>
  <c r="AY270" i="4" s="1"/>
  <c r="AN220" i="4"/>
  <c r="AY220" i="4" s="1"/>
  <c r="AN184" i="4"/>
  <c r="AY184" i="4" s="1"/>
  <c r="AN195" i="4"/>
  <c r="AY195" i="4" s="1"/>
  <c r="AN155" i="4"/>
  <c r="AY155" i="4" s="1"/>
  <c r="AN153" i="4"/>
  <c r="AY153" i="4" s="1"/>
  <c r="AN118" i="4"/>
  <c r="AY118" i="4" s="1"/>
  <c r="AN42" i="4"/>
  <c r="AY42" i="4" s="1"/>
  <c r="AN27" i="4"/>
  <c r="AY27" i="4" s="1"/>
  <c r="AN39" i="4"/>
  <c r="AY39" i="4" s="1"/>
  <c r="AN536" i="4"/>
  <c r="AY536" i="4" s="1"/>
  <c r="AN493" i="4"/>
  <c r="AY493" i="4" s="1"/>
  <c r="AN375" i="4"/>
  <c r="AY375" i="4" s="1"/>
  <c r="AN342" i="4"/>
  <c r="AY342" i="4" s="1"/>
  <c r="AN228" i="4"/>
  <c r="AY228" i="4" s="1"/>
  <c r="AN185" i="4"/>
  <c r="AY185" i="4" s="1"/>
  <c r="AN519" i="4"/>
  <c r="AY519" i="4" s="1"/>
  <c r="AN411" i="4"/>
  <c r="AY411" i="4" s="1"/>
  <c r="AN324" i="4"/>
  <c r="AY324" i="4" s="1"/>
  <c r="AN330" i="4"/>
  <c r="AY330" i="4" s="1"/>
  <c r="AN227" i="4"/>
  <c r="AY227" i="4" s="1"/>
  <c r="AN159" i="4"/>
  <c r="AY159" i="4" s="1"/>
  <c r="AN122" i="4"/>
  <c r="AY122" i="4" s="1"/>
  <c r="AN40" i="4"/>
  <c r="AY40" i="4" s="1"/>
  <c r="AN6" i="4"/>
  <c r="AY6" i="4" s="1"/>
  <c r="AN8" i="4"/>
  <c r="AY8" i="4" s="1"/>
  <c r="AN508" i="4"/>
  <c r="AY508" i="4" s="1"/>
  <c r="AN511" i="4"/>
  <c r="AY511" i="4" s="1"/>
  <c r="AN474" i="4"/>
  <c r="AY474" i="4" s="1"/>
  <c r="AN481" i="4"/>
  <c r="AY481" i="4" s="1"/>
  <c r="AN391" i="4"/>
  <c r="AY391" i="4" s="1"/>
  <c r="AN425" i="4"/>
  <c r="AY425" i="4" s="1"/>
  <c r="AN420" i="4"/>
  <c r="AY420" i="4" s="1"/>
  <c r="AN353" i="4"/>
  <c r="AY353" i="4" s="1"/>
  <c r="AN356" i="4"/>
  <c r="AY356" i="4" s="1"/>
  <c r="AN306" i="4"/>
  <c r="AY306" i="4" s="1"/>
  <c r="AN319" i="4"/>
  <c r="AY319" i="4" s="1"/>
  <c r="AN296" i="4"/>
  <c r="AY296" i="4" s="1"/>
  <c r="AN225" i="4"/>
  <c r="AY225" i="4" s="1"/>
  <c r="AN250" i="4"/>
  <c r="AY250" i="4" s="1"/>
  <c r="AN183" i="4"/>
  <c r="AY183" i="4" s="1"/>
  <c r="AN172" i="4"/>
  <c r="AY172" i="4" s="1"/>
  <c r="AN135" i="4"/>
  <c r="AY135" i="4" s="1"/>
  <c r="AN106" i="4"/>
  <c r="AY106" i="4" s="1"/>
  <c r="AN88" i="4"/>
  <c r="AY88" i="4" s="1"/>
  <c r="AN32" i="4"/>
  <c r="AY32" i="4" s="1"/>
  <c r="AN55" i="4"/>
  <c r="AY55" i="4" s="1"/>
  <c r="AN38" i="4"/>
  <c r="AY38" i="4" s="1"/>
  <c r="AN460" i="4"/>
  <c r="AY460" i="4" s="1"/>
  <c r="AN427" i="4"/>
  <c r="AY427" i="4" s="1"/>
  <c r="AN376" i="4"/>
  <c r="AY376" i="4" s="1"/>
  <c r="AN293" i="4"/>
  <c r="AY293" i="4" s="1"/>
  <c r="AN245" i="4"/>
  <c r="AY245" i="4" s="1"/>
  <c r="AN113" i="4"/>
  <c r="AY113" i="4" s="1"/>
  <c r="AN532" i="4"/>
  <c r="AY532" i="4" s="1"/>
  <c r="AN489" i="4"/>
  <c r="AY489" i="4" s="1"/>
  <c r="AN402" i="4"/>
  <c r="AY402" i="4" s="1"/>
  <c r="AN364" i="4"/>
  <c r="AY364" i="4" s="1"/>
  <c r="AN260" i="4"/>
  <c r="AY260" i="4" s="1"/>
  <c r="AN287" i="4"/>
  <c r="AY287" i="4" s="1"/>
  <c r="AN145" i="4"/>
  <c r="AY145" i="4" s="1"/>
  <c r="AN165" i="4"/>
  <c r="AY165" i="4" s="1"/>
  <c r="AN56" i="4"/>
  <c r="AY56" i="4" s="1"/>
  <c r="AN531" i="4"/>
  <c r="AY531" i="4" s="1"/>
  <c r="AN545" i="4"/>
  <c r="AY545" i="4" s="1"/>
  <c r="AN500" i="4"/>
  <c r="AY500" i="4" s="1"/>
  <c r="AN503" i="4"/>
  <c r="AY503" i="4" s="1"/>
  <c r="AN470" i="4"/>
  <c r="AY470" i="4" s="1"/>
  <c r="AN457" i="4"/>
  <c r="AY457" i="4" s="1"/>
  <c r="AN387" i="4"/>
  <c r="AY387" i="4" s="1"/>
  <c r="AN417" i="4"/>
  <c r="AY417" i="4" s="1"/>
  <c r="AN416" i="4"/>
  <c r="AY416" i="4" s="1"/>
  <c r="AN349" i="4"/>
  <c r="AY349" i="4" s="1"/>
  <c r="AN332" i="4"/>
  <c r="AY332" i="4" s="1"/>
  <c r="AN318" i="4"/>
  <c r="AY318" i="4" s="1"/>
  <c r="AN294" i="4"/>
  <c r="AY294" i="4" s="1"/>
  <c r="AN274" i="4"/>
  <c r="AY274" i="4" s="1"/>
  <c r="AN224" i="4"/>
  <c r="AY224" i="4" s="1"/>
  <c r="AN238" i="4"/>
  <c r="AY238" i="4" s="1"/>
  <c r="AN121" i="4"/>
  <c r="AY121" i="4" s="1"/>
  <c r="AN149" i="4"/>
  <c r="AY149" i="4" s="1"/>
  <c r="AN182" i="4"/>
  <c r="AY182" i="4" s="1"/>
  <c r="AN132" i="4"/>
  <c r="AY132" i="4" s="1"/>
  <c r="AN76" i="4"/>
  <c r="AY76" i="4" s="1"/>
  <c r="AN72" i="4"/>
  <c r="AY72" i="4" s="1"/>
  <c r="AN62" i="4"/>
  <c r="AY62" i="4" s="1"/>
  <c r="AN26" i="4"/>
  <c r="AY26" i="4" s="1"/>
  <c r="AN527" i="4"/>
  <c r="AY527" i="4" s="1"/>
  <c r="AN521" i="4"/>
  <c r="AY521" i="4" s="1"/>
  <c r="AN7" i="4"/>
  <c r="AY7" i="4" s="1"/>
  <c r="AN504" i="4"/>
  <c r="AY504" i="4" s="1"/>
  <c r="AN449" i="4"/>
  <c r="AY449" i="4" s="1"/>
  <c r="AN479" i="4"/>
  <c r="AY479" i="4" s="1"/>
  <c r="AN478" i="4"/>
  <c r="AY478" i="4" s="1"/>
  <c r="AN505" i="4"/>
  <c r="AY505" i="4" s="1"/>
  <c r="AN453" i="4"/>
  <c r="AY453" i="4" s="1"/>
  <c r="AN399" i="4"/>
  <c r="AY399" i="4" s="1"/>
  <c r="AN426" i="4"/>
  <c r="AY426" i="4" s="1"/>
  <c r="AN421" i="4"/>
  <c r="AY421" i="4" s="1"/>
  <c r="AN440" i="4"/>
  <c r="AY440" i="4" s="1"/>
  <c r="AN388" i="4"/>
  <c r="AY388" i="4" s="1"/>
  <c r="AN357" i="4"/>
  <c r="AY357" i="4" s="1"/>
  <c r="AN304" i="4"/>
  <c r="AY304" i="4" s="1"/>
  <c r="AN328" i="4"/>
  <c r="AY328" i="4" s="1"/>
  <c r="AN331" i="4"/>
  <c r="AY331" i="4" s="1"/>
  <c r="AN354" i="4"/>
  <c r="AY354" i="4" s="1"/>
  <c r="AN298" i="4"/>
  <c r="AY298" i="4" s="1"/>
  <c r="AN278" i="4"/>
  <c r="AY278" i="4" s="1"/>
  <c r="AN271" i="4"/>
  <c r="AY271" i="4" s="1"/>
  <c r="AN226" i="4"/>
  <c r="AY226" i="4" s="1"/>
  <c r="AN229" i="4"/>
  <c r="AY229" i="4" s="1"/>
  <c r="AN214" i="4"/>
  <c r="AY214" i="4" s="1"/>
  <c r="AN202" i="4"/>
  <c r="AY202" i="4" s="1"/>
  <c r="AN200" i="4"/>
  <c r="AY200" i="4" s="1"/>
  <c r="AN152" i="4"/>
  <c r="AY152" i="4" s="1"/>
  <c r="AN163" i="4"/>
  <c r="AY163" i="4" s="1"/>
  <c r="AN140" i="4"/>
  <c r="AY140" i="4" s="1"/>
  <c r="AN107" i="4"/>
  <c r="AY107" i="4" s="1"/>
  <c r="AN130" i="4"/>
  <c r="AY130" i="4" s="1"/>
  <c r="AN91" i="4"/>
  <c r="AY91" i="4" s="1"/>
  <c r="AN68" i="4"/>
  <c r="AY68" i="4" s="1"/>
  <c r="AN64" i="4"/>
  <c r="AY64" i="4" s="1"/>
  <c r="AN66" i="4"/>
  <c r="AY66" i="4" s="1"/>
  <c r="AN5" i="4"/>
  <c r="AY5" i="4" s="1"/>
  <c r="AN10" i="4"/>
  <c r="AY10" i="4" s="1"/>
  <c r="AN30" i="4"/>
  <c r="AY30" i="4" s="1"/>
  <c r="AN49" i="4"/>
  <c r="AY49" i="4" s="1"/>
  <c r="AN28" i="4"/>
  <c r="AY28" i="4" s="1"/>
  <c r="AN23" i="4"/>
  <c r="AY23" i="4" s="1"/>
  <c r="AN20" i="4"/>
  <c r="AY20" i="4" s="1"/>
  <c r="AN77" i="4"/>
  <c r="AY77" i="4" s="1"/>
  <c r="AN109" i="4"/>
  <c r="AY109" i="4" s="1"/>
  <c r="AN74" i="4"/>
  <c r="AY74" i="4" s="1"/>
  <c r="AN34" i="4"/>
  <c r="AY34" i="4" s="1"/>
  <c r="AN95" i="4"/>
  <c r="AY95" i="4" s="1"/>
  <c r="AN92" i="4"/>
  <c r="AY92" i="4" s="1"/>
  <c r="AN115" i="4"/>
  <c r="AY115" i="4" s="1"/>
  <c r="AN112" i="4"/>
  <c r="AY112" i="4" s="1"/>
  <c r="AN108" i="4"/>
  <c r="AY108" i="4" s="1"/>
  <c r="AN169" i="4"/>
  <c r="AY169" i="4" s="1"/>
  <c r="AN154" i="4"/>
  <c r="AY154" i="4" s="1"/>
  <c r="AN134" i="4"/>
  <c r="AY134" i="4" s="1"/>
  <c r="AN167" i="4"/>
  <c r="AY167" i="4" s="1"/>
  <c r="AN151" i="4"/>
  <c r="AY151" i="4" s="1"/>
  <c r="AN156" i="4"/>
  <c r="AY156" i="4" s="1"/>
  <c r="AN199" i="4"/>
  <c r="AY199" i="4" s="1"/>
  <c r="AN204" i="4"/>
  <c r="AY204" i="4" s="1"/>
  <c r="AN193" i="4"/>
  <c r="AY193" i="4" s="1"/>
  <c r="AN216" i="4"/>
  <c r="AY216" i="4" s="1"/>
  <c r="AN249" i="4"/>
  <c r="AY249" i="4" s="1"/>
  <c r="AN219" i="4"/>
  <c r="AY219" i="4" s="1"/>
  <c r="AN254" i="4"/>
  <c r="AY254" i="4" s="1"/>
  <c r="AN230" i="4"/>
  <c r="AY230" i="4" s="1"/>
  <c r="AN259" i="4"/>
  <c r="AY259" i="4" s="1"/>
  <c r="AN244" i="4"/>
  <c r="AY244" i="4" s="1"/>
  <c r="AN291" i="4"/>
  <c r="AY291" i="4" s="1"/>
  <c r="AN276" i="4"/>
  <c r="AY276" i="4" s="1"/>
  <c r="AN279" i="4"/>
  <c r="AY279" i="4" s="1"/>
  <c r="AN232" i="4"/>
  <c r="AY232" i="4" s="1"/>
  <c r="AN236" i="4"/>
  <c r="AY236" i="4" s="1"/>
  <c r="AN302" i="4"/>
  <c r="AY302" i="4" s="1"/>
  <c r="AN334" i="4"/>
  <c r="AY334" i="4" s="1"/>
  <c r="AN366" i="4"/>
  <c r="AY366" i="4" s="1"/>
  <c r="AN316" i="4"/>
  <c r="AY316" i="4" s="1"/>
  <c r="AN355" i="4"/>
  <c r="AY355" i="4" s="1"/>
  <c r="AN336" i="4"/>
  <c r="AY336" i="4" s="1"/>
  <c r="AN368" i="4"/>
  <c r="AY368" i="4" s="1"/>
  <c r="AN329" i="4"/>
  <c r="AY329" i="4" s="1"/>
  <c r="AN361" i="4"/>
  <c r="AY361" i="4" s="1"/>
  <c r="AN378" i="4"/>
  <c r="AY378" i="4" s="1"/>
  <c r="AN400" i="4"/>
  <c r="AY400" i="4" s="1"/>
  <c r="AN432" i="4"/>
  <c r="AY432" i="4" s="1"/>
  <c r="AN397" i="4"/>
  <c r="AY397" i="4" s="1"/>
  <c r="AN429" i="4"/>
  <c r="AY429" i="4" s="1"/>
  <c r="AN410" i="4"/>
  <c r="AY410" i="4" s="1"/>
  <c r="AN442" i="4"/>
  <c r="AY442" i="4" s="1"/>
  <c r="AN403" i="4"/>
  <c r="AY403" i="4" s="1"/>
  <c r="AN435" i="4"/>
  <c r="AY435" i="4" s="1"/>
  <c r="AN465" i="4"/>
  <c r="AY465" i="4" s="1"/>
  <c r="AN497" i="4"/>
  <c r="AY497" i="4" s="1"/>
  <c r="AN454" i="4"/>
  <c r="AY454" i="4" s="1"/>
  <c r="AN486" i="4"/>
  <c r="AY486" i="4" s="1"/>
  <c r="AN463" i="4"/>
  <c r="AY463" i="4" s="1"/>
  <c r="AN495" i="4"/>
  <c r="AY495" i="4" s="1"/>
  <c r="AN452" i="4"/>
  <c r="AY452" i="4" s="1"/>
  <c r="AN484" i="4"/>
  <c r="AY484" i="4" s="1"/>
  <c r="AN445" i="4"/>
  <c r="AY445" i="4" s="1"/>
  <c r="AN544" i="4"/>
  <c r="AY544" i="4" s="1"/>
  <c r="AN537" i="4"/>
  <c r="AY537" i="4" s="1"/>
  <c r="AN518" i="4"/>
  <c r="AY518" i="4" s="1"/>
  <c r="AN550" i="4"/>
  <c r="AY550" i="4" s="1"/>
  <c r="AN543" i="4"/>
  <c r="AY543" i="4" s="1"/>
  <c r="AN82" i="4"/>
  <c r="AY82" i="4" s="1"/>
  <c r="AN104" i="4"/>
  <c r="AY104" i="4" s="1"/>
  <c r="AN123" i="4"/>
  <c r="AY123" i="4" s="1"/>
  <c r="AN137" i="4"/>
  <c r="AY137" i="4" s="1"/>
  <c r="AN177" i="4"/>
  <c r="AY177" i="4" s="1"/>
  <c r="AN143" i="4"/>
  <c r="AY143" i="4" s="1"/>
  <c r="AN139" i="4"/>
  <c r="AY139" i="4" s="1"/>
  <c r="AN164" i="4"/>
  <c r="AY164" i="4" s="1"/>
  <c r="AN207" i="4"/>
  <c r="AY207" i="4" s="1"/>
  <c r="AN201" i="4"/>
  <c r="AY201" i="4" s="1"/>
  <c r="AN257" i="4"/>
  <c r="AY257" i="4" s="1"/>
  <c r="AN217" i="4"/>
  <c r="AY217" i="4" s="1"/>
  <c r="AN235" i="4"/>
  <c r="AY235" i="4" s="1"/>
  <c r="AN267" i="4"/>
  <c r="AY267" i="4" s="1"/>
  <c r="AN299" i="4"/>
  <c r="AY299" i="4" s="1"/>
  <c r="AN288" i="4"/>
  <c r="AY288" i="4" s="1"/>
  <c r="AN272" i="4"/>
  <c r="AY272" i="4" s="1"/>
  <c r="AN14" i="4"/>
  <c r="AY14" i="4" s="1"/>
  <c r="AN13" i="4"/>
  <c r="AY13" i="4" s="1"/>
  <c r="AN53" i="4"/>
  <c r="AY53" i="4" s="1"/>
  <c r="AN35" i="4"/>
  <c r="AY35" i="4" s="1"/>
  <c r="AN16" i="4"/>
  <c r="AY16" i="4" s="1"/>
  <c r="AN36" i="4"/>
  <c r="AY36" i="4" s="1"/>
  <c r="AN81" i="4"/>
  <c r="AY81" i="4" s="1"/>
  <c r="AN31" i="4"/>
  <c r="AY31" i="4" s="1"/>
  <c r="AN78" i="4"/>
  <c r="AY78" i="4" s="1"/>
  <c r="AN43" i="4"/>
  <c r="AY43" i="4" s="1"/>
  <c r="AN99" i="4"/>
  <c r="AY99" i="4" s="1"/>
  <c r="AN96" i="4"/>
  <c r="AY96" i="4" s="1"/>
  <c r="AN119" i="4"/>
  <c r="AY119" i="4" s="1"/>
  <c r="AN116" i="4"/>
  <c r="AY116" i="4" s="1"/>
  <c r="AN125" i="4"/>
  <c r="AY125" i="4" s="1"/>
  <c r="AN173" i="4"/>
  <c r="AY173" i="4" s="1"/>
  <c r="AN158" i="4"/>
  <c r="AY158" i="4" s="1"/>
  <c r="AN138" i="4"/>
  <c r="AY138" i="4" s="1"/>
  <c r="AN171" i="4"/>
  <c r="AY171" i="4" s="1"/>
  <c r="AN117" i="4"/>
  <c r="AY117" i="4" s="1"/>
  <c r="AN160" i="4"/>
  <c r="AY160" i="4" s="1"/>
  <c r="AN203" i="4"/>
  <c r="AY203" i="4" s="1"/>
  <c r="AN208" i="4"/>
  <c r="AY208" i="4" s="1"/>
  <c r="AN197" i="4"/>
  <c r="AY197" i="4" s="1"/>
  <c r="AN222" i="4"/>
  <c r="AY222" i="4" s="1"/>
  <c r="AN253" i="4"/>
  <c r="AY253" i="4" s="1"/>
  <c r="AN221" i="4"/>
  <c r="AY221" i="4" s="1"/>
  <c r="AN258" i="4"/>
  <c r="AY258" i="4" s="1"/>
  <c r="AN231" i="4"/>
  <c r="AY231" i="4" s="1"/>
  <c r="AN263" i="4"/>
  <c r="AY263" i="4" s="1"/>
  <c r="AN273" i="4"/>
  <c r="AY273" i="4" s="1"/>
  <c r="AN295" i="4"/>
  <c r="AY295" i="4" s="1"/>
  <c r="AN281" i="4"/>
  <c r="AY281" i="4" s="1"/>
  <c r="AN280" i="4"/>
  <c r="AY280" i="4" s="1"/>
  <c r="AN264" i="4"/>
  <c r="AY264" i="4" s="1"/>
  <c r="AN266" i="4"/>
  <c r="AY266" i="4" s="1"/>
  <c r="AN308" i="4"/>
  <c r="AY308" i="4" s="1"/>
  <c r="AN338" i="4"/>
  <c r="AY338" i="4" s="1"/>
  <c r="AN370" i="4"/>
  <c r="AY370" i="4" s="1"/>
  <c r="AN327" i="4"/>
  <c r="AY327" i="4" s="1"/>
  <c r="AN359" i="4"/>
  <c r="AY359" i="4" s="1"/>
  <c r="AN340" i="4"/>
  <c r="AY340" i="4" s="1"/>
  <c r="AN372" i="4"/>
  <c r="AY372" i="4" s="1"/>
  <c r="AN333" i="4"/>
  <c r="AY333" i="4" s="1"/>
  <c r="AN365" i="4"/>
  <c r="AY365" i="4" s="1"/>
  <c r="AN381" i="4"/>
  <c r="AY381" i="4" s="1"/>
  <c r="AN404" i="4"/>
  <c r="AY404" i="4" s="1"/>
  <c r="AN436" i="4"/>
  <c r="AY436" i="4" s="1"/>
  <c r="AN401" i="4"/>
  <c r="AY401" i="4" s="1"/>
  <c r="AN379" i="4"/>
  <c r="AY379" i="4" s="1"/>
  <c r="AN414" i="4"/>
  <c r="AY414" i="4" s="1"/>
  <c r="AN446" i="4"/>
  <c r="AY446" i="4" s="1"/>
  <c r="AN407" i="4"/>
  <c r="AY407" i="4" s="1"/>
  <c r="AN371" i="4"/>
  <c r="AY371" i="4" s="1"/>
  <c r="AN469" i="4"/>
  <c r="AY469" i="4" s="1"/>
  <c r="AN501" i="4"/>
  <c r="AY501" i="4" s="1"/>
  <c r="AN458" i="4"/>
  <c r="AY458" i="4" s="1"/>
  <c r="AN490" i="4"/>
  <c r="AY490" i="4" s="1"/>
  <c r="AN467" i="4"/>
  <c r="AY467" i="4" s="1"/>
  <c r="AN499" i="4"/>
  <c r="AY499" i="4" s="1"/>
  <c r="AN456" i="4"/>
  <c r="AY456" i="4" s="1"/>
  <c r="AN488" i="4"/>
  <c r="AY488" i="4" s="1"/>
  <c r="AN448" i="4"/>
  <c r="AY448" i="4" s="1"/>
  <c r="AN548" i="4"/>
  <c r="AY548" i="4" s="1"/>
  <c r="AN541" i="4"/>
  <c r="AY541" i="4" s="1"/>
  <c r="AN522" i="4"/>
  <c r="AY522" i="4" s="1"/>
  <c r="AN517" i="4"/>
  <c r="AY517" i="4" s="1"/>
  <c r="AN547" i="4"/>
  <c r="AY547" i="4" s="1"/>
  <c r="AN67" i="4"/>
  <c r="AY67" i="4" s="1"/>
  <c r="AN103" i="4"/>
  <c r="AY103" i="4" s="1"/>
  <c r="AN120" i="4"/>
  <c r="AY120" i="4" s="1"/>
  <c r="AN162" i="4"/>
  <c r="AY162" i="4" s="1"/>
  <c r="AN175" i="4"/>
  <c r="AY175" i="4" s="1"/>
  <c r="AN190" i="4"/>
  <c r="AY190" i="4" s="1"/>
  <c r="AN206" i="4"/>
  <c r="AY206" i="4" s="1"/>
  <c r="AN262" i="4"/>
  <c r="AY262" i="4" s="1"/>
  <c r="AN248" i="4"/>
  <c r="AY248" i="4" s="1"/>
  <c r="AN282" i="4"/>
  <c r="AY282" i="4" s="1"/>
  <c r="AN275" i="4"/>
  <c r="AY275" i="4" s="1"/>
  <c r="AN12" i="4"/>
  <c r="AY12" i="4" s="1"/>
  <c r="AN19" i="4"/>
  <c r="AY19" i="4" s="1"/>
  <c r="AN57" i="4"/>
  <c r="AY57" i="4" s="1"/>
  <c r="AN46" i="4"/>
  <c r="AY46" i="4" s="1"/>
  <c r="AN47" i="4"/>
  <c r="AY47" i="4" s="1"/>
  <c r="AN48" i="4"/>
  <c r="AY48" i="4" s="1"/>
  <c r="AN85" i="4"/>
  <c r="AY85" i="4" s="1"/>
  <c r="AN70" i="4"/>
  <c r="AY70" i="4" s="1"/>
  <c r="AN17" i="4"/>
  <c r="AY17" i="4" s="1"/>
  <c r="AN24" i="4"/>
  <c r="AY24" i="4" s="1"/>
  <c r="AN61" i="4"/>
  <c r="AY61" i="4" s="1"/>
  <c r="AN50" i="4"/>
  <c r="AY50" i="4" s="1"/>
  <c r="AN51" i="4"/>
  <c r="AY51" i="4" s="1"/>
  <c r="AN52" i="4"/>
  <c r="AY52" i="4" s="1"/>
  <c r="AN89" i="4"/>
  <c r="AY89" i="4" s="1"/>
  <c r="AN71" i="4"/>
  <c r="AY71" i="4" s="1"/>
  <c r="AN86" i="4"/>
  <c r="AY86" i="4" s="1"/>
  <c r="AN75" i="4"/>
  <c r="AY75" i="4" s="1"/>
  <c r="AN44" i="4"/>
  <c r="AY44" i="4" s="1"/>
  <c r="AN114" i="4"/>
  <c r="AY114" i="4" s="1"/>
  <c r="AN127" i="4"/>
  <c r="AY127" i="4" s="1"/>
  <c r="AN124" i="4"/>
  <c r="AY124" i="4" s="1"/>
  <c r="AN142" i="4"/>
  <c r="AY142" i="4" s="1"/>
  <c r="AN181" i="4"/>
  <c r="AY181" i="4" s="1"/>
  <c r="AN166" i="4"/>
  <c r="AY166" i="4" s="1"/>
  <c r="AN133" i="4"/>
  <c r="AY133" i="4" s="1"/>
  <c r="AN179" i="4"/>
  <c r="AY179" i="4" s="1"/>
  <c r="AN146" i="4"/>
  <c r="AY146" i="4" s="1"/>
  <c r="AN168" i="4"/>
  <c r="AY168" i="4" s="1"/>
  <c r="AN211" i="4"/>
  <c r="AY211" i="4" s="1"/>
  <c r="AN191" i="4"/>
  <c r="AY191" i="4" s="1"/>
  <c r="AN205" i="4"/>
  <c r="AY205" i="4" s="1"/>
  <c r="AN213" i="4"/>
  <c r="AY213" i="4" s="1"/>
  <c r="AN261" i="4"/>
  <c r="AY261" i="4" s="1"/>
  <c r="AN234" i="4"/>
  <c r="AY234" i="4" s="1"/>
  <c r="AN215" i="4"/>
  <c r="AY215" i="4" s="1"/>
  <c r="AN239" i="4"/>
  <c r="AY239" i="4" s="1"/>
  <c r="AN194" i="4"/>
  <c r="AY194" i="4" s="1"/>
  <c r="AN269" i="4"/>
  <c r="AY269" i="4" s="1"/>
  <c r="AN303" i="4"/>
  <c r="AY303" i="4" s="1"/>
  <c r="AN283" i="4"/>
  <c r="AY283" i="4" s="1"/>
  <c r="AN292" i="4"/>
  <c r="AY292" i="4" s="1"/>
  <c r="AN289" i="4"/>
  <c r="AY289" i="4" s="1"/>
  <c r="AN277" i="4"/>
  <c r="AY277" i="4" s="1"/>
  <c r="AN320" i="4"/>
  <c r="AY320" i="4" s="1"/>
  <c r="AN346" i="4"/>
  <c r="AY346" i="4" s="1"/>
  <c r="AN313" i="4"/>
  <c r="AY313" i="4" s="1"/>
  <c r="AN335" i="4"/>
  <c r="AY335" i="4" s="1"/>
  <c r="AN367" i="4"/>
  <c r="AY367" i="4" s="1"/>
  <c r="AN348" i="4"/>
  <c r="AY348" i="4" s="1"/>
  <c r="AN380" i="4"/>
  <c r="AY380" i="4" s="1"/>
  <c r="AN341" i="4"/>
  <c r="AY341" i="4" s="1"/>
  <c r="AN310" i="4"/>
  <c r="AY310" i="4" s="1"/>
  <c r="AN383" i="4"/>
  <c r="AY383" i="4" s="1"/>
  <c r="AN412" i="4"/>
  <c r="AY412" i="4" s="1"/>
  <c r="AN373" i="4"/>
  <c r="AY373" i="4" s="1"/>
  <c r="AN409" i="4"/>
  <c r="AY409" i="4" s="1"/>
  <c r="AN390" i="4"/>
  <c r="AY390" i="4" s="1"/>
  <c r="AN422" i="4"/>
  <c r="AY422" i="4" s="1"/>
  <c r="AN377" i="4"/>
  <c r="AY377" i="4" s="1"/>
  <c r="AN415" i="4"/>
  <c r="AY415" i="4" s="1"/>
  <c r="AN437" i="4"/>
  <c r="AY437" i="4" s="1"/>
  <c r="AN477" i="4"/>
  <c r="AY477" i="4" s="1"/>
  <c r="AN509" i="4"/>
  <c r="AY509" i="4" s="1"/>
  <c r="AN466" i="4"/>
  <c r="AY466" i="4" s="1"/>
  <c r="AN498" i="4"/>
  <c r="AY498" i="4" s="1"/>
  <c r="AN475" i="4"/>
  <c r="AY475" i="4" s="1"/>
  <c r="AN507" i="4"/>
  <c r="AY507" i="4" s="1"/>
  <c r="AN464" i="4"/>
  <c r="AY464" i="4" s="1"/>
  <c r="AN496" i="4"/>
  <c r="AY496" i="4" s="1"/>
  <c r="AN524" i="4"/>
  <c r="AY524" i="4" s="1"/>
  <c r="AN514" i="4"/>
  <c r="AY514" i="4" s="1"/>
  <c r="AN549" i="4"/>
  <c r="AY549" i="4" s="1"/>
  <c r="AN530" i="4"/>
  <c r="AY530" i="4" s="1"/>
  <c r="AN523" i="4"/>
  <c r="AY523" i="4" s="1"/>
  <c r="AN539" i="4"/>
  <c r="AY539" i="4" s="1"/>
  <c r="AN534" i="4"/>
  <c r="AY534" i="4" s="1"/>
  <c r="AN529" i="4"/>
  <c r="AY529" i="4" s="1"/>
  <c r="AN516" i="4"/>
  <c r="AY516" i="4" s="1"/>
  <c r="AN472" i="4"/>
  <c r="AY472" i="4" s="1"/>
  <c r="AN491" i="4"/>
  <c r="AY491" i="4" s="1"/>
  <c r="AN502" i="4"/>
  <c r="AY502" i="4" s="1"/>
  <c r="AN444" i="4"/>
  <c r="AY444" i="4" s="1"/>
  <c r="AN473" i="4"/>
  <c r="AY473" i="4" s="1"/>
  <c r="AN423" i="4"/>
  <c r="AY423" i="4" s="1"/>
  <c r="AN438" i="4"/>
  <c r="AY438" i="4" s="1"/>
  <c r="AN394" i="4"/>
  <c r="AY394" i="4" s="1"/>
  <c r="AN389" i="4"/>
  <c r="AY389" i="4" s="1"/>
  <c r="AN408" i="4"/>
  <c r="AY408" i="4" s="1"/>
  <c r="AN323" i="4"/>
  <c r="AY323" i="4" s="1"/>
  <c r="AN305" i="4"/>
  <c r="AY305" i="4" s="1"/>
  <c r="AN352" i="4"/>
  <c r="AY352" i="4" s="1"/>
  <c r="AN347" i="4"/>
  <c r="AY347" i="4" s="1"/>
  <c r="AN374" i="4"/>
  <c r="AY374" i="4" s="1"/>
  <c r="AN322" i="4"/>
  <c r="AY322" i="4" s="1"/>
  <c r="AN301" i="4"/>
  <c r="AY301" i="4" s="1"/>
  <c r="AN256" i="4"/>
  <c r="AY256" i="4" s="1"/>
  <c r="AN286" i="4"/>
  <c r="AY286" i="4" s="1"/>
  <c r="AN251" i="4"/>
  <c r="AY251" i="4" s="1"/>
  <c r="AN246" i="4"/>
  <c r="AY246" i="4" s="1"/>
  <c r="AN241" i="4"/>
  <c r="AY241" i="4" s="1"/>
  <c r="AN187" i="4"/>
  <c r="AY187" i="4" s="1"/>
  <c r="AN144" i="4"/>
  <c r="AY144" i="4" s="1"/>
  <c r="AN141" i="4"/>
  <c r="AY141" i="4" s="1"/>
  <c r="AN178" i="4"/>
  <c r="AY178" i="4" s="1"/>
  <c r="AN161" i="4"/>
  <c r="AY161" i="4" s="1"/>
  <c r="AN110" i="4"/>
  <c r="AY110" i="4" s="1"/>
  <c r="AN84" i="4"/>
  <c r="AY84" i="4" s="1"/>
  <c r="AN98" i="4"/>
  <c r="AY98" i="4" s="1"/>
  <c r="AN101" i="4"/>
  <c r="AY101" i="4" s="1"/>
  <c r="AN63" i="4"/>
  <c r="AY63" i="4" s="1"/>
  <c r="AN73" i="4"/>
  <c r="AY73" i="4" s="1"/>
  <c r="AN29" i="4"/>
  <c r="AY29" i="4" s="1"/>
  <c r="AN535" i="4"/>
  <c r="AY535" i="4" s="1"/>
  <c r="AN526" i="4"/>
  <c r="AY526" i="4" s="1"/>
  <c r="AN525" i="4"/>
  <c r="AY525" i="4" s="1"/>
  <c r="AN443" i="4"/>
  <c r="AY443" i="4" s="1"/>
  <c r="AN468" i="4"/>
  <c r="AY468" i="4" s="1"/>
  <c r="AN487" i="4"/>
  <c r="AY487" i="4" s="1"/>
  <c r="AN494" i="4"/>
  <c r="AY494" i="4" s="1"/>
  <c r="AN441" i="4"/>
  <c r="AY441" i="4" s="1"/>
  <c r="AN461" i="4"/>
  <c r="AY461" i="4" s="1"/>
  <c r="AN419" i="4"/>
  <c r="AY419" i="4" s="1"/>
  <c r="AN434" i="4"/>
  <c r="AY434" i="4" s="1"/>
  <c r="AN386" i="4"/>
  <c r="AY386" i="4" s="1"/>
  <c r="AN385" i="4"/>
  <c r="AY385" i="4" s="1"/>
  <c r="AN396" i="4"/>
  <c r="AY396" i="4" s="1"/>
  <c r="AN314" i="4"/>
  <c r="AY314" i="4" s="1"/>
  <c r="AN312" i="4"/>
  <c r="AY312" i="4" s="1"/>
  <c r="AN344" i="4"/>
  <c r="AY344" i="4" s="1"/>
  <c r="AN343" i="4"/>
  <c r="AY343" i="4" s="1"/>
  <c r="AN362" i="4"/>
  <c r="AY362" i="4" s="1"/>
  <c r="AN321" i="4"/>
  <c r="AY321" i="4" s="1"/>
  <c r="AN297" i="4"/>
  <c r="AY297" i="4" s="1"/>
  <c r="AN218" i="4"/>
  <c r="AY218" i="4" s="1"/>
  <c r="AN285" i="4"/>
  <c r="AY285" i="4" s="1"/>
  <c r="AN247" i="4"/>
  <c r="AY247" i="4" s="1"/>
  <c r="AN242" i="4"/>
  <c r="AY242" i="4" s="1"/>
  <c r="AN237" i="4"/>
  <c r="AY237" i="4" s="1"/>
  <c r="AN186" i="4"/>
  <c r="AY186" i="4" s="1"/>
  <c r="AN176" i="4"/>
  <c r="AY176" i="4" s="1"/>
  <c r="AN136" i="4"/>
  <c r="AY136" i="4" s="1"/>
  <c r="AN174" i="4"/>
  <c r="AY174" i="4" s="1"/>
  <c r="AN157" i="4"/>
  <c r="AY157" i="4" s="1"/>
  <c r="AN100" i="4"/>
  <c r="AY100" i="4" s="1"/>
  <c r="AN80" i="4"/>
  <c r="AY80" i="4" s="1"/>
  <c r="AN94" i="4"/>
  <c r="AY94" i="4" s="1"/>
  <c r="AN97" i="4"/>
  <c r="AY97" i="4" s="1"/>
  <c r="AN59" i="4"/>
  <c r="AY59" i="4" s="1"/>
  <c r="AN69" i="4"/>
  <c r="AY69" i="4" s="1"/>
  <c r="AN25" i="4"/>
  <c r="AY25" i="4" s="1"/>
  <c r="AN22" i="4"/>
  <c r="AY22" i="4" s="1"/>
  <c r="AN9" i="4"/>
  <c r="AY9" i="4" s="1"/>
  <c r="AN18" i="4"/>
  <c r="AY18" i="4" s="1"/>
  <c r="AN15" i="4"/>
  <c r="AY15" i="4" s="1"/>
  <c r="AN33" i="4"/>
  <c r="AY33" i="4" s="1"/>
  <c r="AN11" i="4"/>
  <c r="AY11" i="4" s="1"/>
  <c r="H21" i="6"/>
  <c r="H16" i="6"/>
  <c r="H14" i="6"/>
  <c r="H35" i="6"/>
  <c r="H30" i="6"/>
  <c r="H28" i="6"/>
  <c r="H33" i="6"/>
  <c r="H22" i="6"/>
  <c r="H38" i="6"/>
  <c r="H29" i="6"/>
  <c r="H13" i="6"/>
  <c r="H23" i="6"/>
  <c r="H40" i="6"/>
  <c r="H15" i="6"/>
  <c r="H37" i="6"/>
  <c r="H17" i="6"/>
  <c r="H19" i="6"/>
  <c r="H36" i="6"/>
  <c r="H32" i="6"/>
  <c r="H20" i="6"/>
  <c r="H31" i="6"/>
  <c r="H39" i="6"/>
  <c r="I11" i="2"/>
  <c r="AA498" i="4"/>
  <c r="AA274" i="4"/>
  <c r="AA217" i="4"/>
  <c r="AA102" i="4"/>
  <c r="AA14" i="4"/>
  <c r="AA520" i="4"/>
  <c r="AA454" i="4"/>
  <c r="AA374" i="4"/>
  <c r="AA318" i="4"/>
  <c r="AA15" i="4"/>
  <c r="AA308" i="4"/>
  <c r="AA501" i="4"/>
  <c r="AA294" i="4"/>
  <c r="AA16" i="4"/>
  <c r="AA418" i="4"/>
  <c r="AA283" i="4"/>
  <c r="AA383" i="4"/>
  <c r="AA218" i="4"/>
  <c r="AA392" i="4"/>
  <c r="AA177" i="4"/>
  <c r="AA497" i="4"/>
  <c r="AA435" i="4"/>
  <c r="AA290" i="4"/>
  <c r="AA209" i="4"/>
  <c r="AA20" i="4"/>
  <c r="AA7" i="4"/>
  <c r="AX7" i="4" s="1"/>
  <c r="AZ7" i="4" s="1"/>
  <c r="AA484" i="4"/>
  <c r="AA340" i="4"/>
  <c r="AA241" i="4"/>
  <c r="AA160" i="4"/>
  <c r="AA531" i="4"/>
  <c r="AA430" i="4"/>
  <c r="AA339" i="4"/>
  <c r="AA232" i="4"/>
  <c r="AA125" i="4"/>
  <c r="AA518" i="4"/>
  <c r="AA426" i="4"/>
  <c r="AA319" i="4"/>
  <c r="AA179" i="4"/>
  <c r="AA113" i="4"/>
  <c r="AA519" i="4"/>
  <c r="AA485" i="4"/>
  <c r="AA398" i="4"/>
  <c r="AA431" i="4"/>
  <c r="AA362" i="4"/>
  <c r="AA305" i="4"/>
  <c r="AA263" i="4"/>
  <c r="AA182" i="4"/>
  <c r="AA144" i="4"/>
  <c r="AA39" i="4"/>
  <c r="AX39" i="4" s="1"/>
  <c r="AZ39" i="4" s="1"/>
  <c r="AA8" i="4"/>
  <c r="AA467" i="4"/>
  <c r="AA516" i="4"/>
  <c r="AA405" i="4"/>
  <c r="AA372" i="4"/>
  <c r="AA353" i="4"/>
  <c r="AA222" i="4"/>
  <c r="AA223" i="4"/>
  <c r="AA147" i="4"/>
  <c r="AA62" i="4"/>
  <c r="AA533" i="4"/>
  <c r="AA463" i="4"/>
  <c r="AA504" i="4"/>
  <c r="AA385" i="4"/>
  <c r="AA368" i="4"/>
  <c r="AA341" i="4"/>
  <c r="AA273" i="4"/>
  <c r="AA215" i="4"/>
  <c r="AA172" i="4"/>
  <c r="AA67" i="4"/>
  <c r="AA529" i="4"/>
  <c r="AA455" i="4"/>
  <c r="AA488" i="4"/>
  <c r="AA382" i="4"/>
  <c r="AA360" i="4"/>
  <c r="AA316" i="4"/>
  <c r="AA253" i="4"/>
  <c r="AA195" i="4"/>
  <c r="AA168" i="4"/>
  <c r="AA34" i="4"/>
  <c r="AA536" i="4"/>
  <c r="AA494" i="4"/>
  <c r="AA476" i="4"/>
  <c r="AA428" i="4"/>
  <c r="AA336" i="4"/>
  <c r="AA282" i="4"/>
  <c r="AA276" i="4"/>
  <c r="AA198" i="4"/>
  <c r="AA123" i="4"/>
  <c r="AA46" i="4"/>
  <c r="AA546" i="4"/>
  <c r="AA499" i="4"/>
  <c r="AA465" i="4"/>
  <c r="AA433" i="4"/>
  <c r="AA403" i="4"/>
  <c r="AA350" i="4"/>
  <c r="AA262" i="4"/>
  <c r="AA216" i="4"/>
  <c r="AA134" i="4"/>
  <c r="AA41" i="4"/>
  <c r="AA530" i="4"/>
  <c r="AA524" i="4"/>
  <c r="AA495" i="4"/>
  <c r="AA466" i="4"/>
  <c r="AA457" i="4"/>
  <c r="AA452" i="4"/>
  <c r="AA417" i="4"/>
  <c r="AA416" i="4"/>
  <c r="AA399" i="4"/>
  <c r="AA351" i="4"/>
  <c r="AA330" i="4"/>
  <c r="AA284" i="4"/>
  <c r="AA258" i="4"/>
  <c r="AA264" i="4"/>
  <c r="AA212" i="4"/>
  <c r="AA190" i="4"/>
  <c r="AA162" i="4"/>
  <c r="AA122" i="4"/>
  <c r="AA86" i="4"/>
  <c r="AA49" i="4"/>
  <c r="AA510" i="4"/>
  <c r="AA469" i="4"/>
  <c r="AA394" i="4"/>
  <c r="AA423" i="4"/>
  <c r="AA358" i="4"/>
  <c r="AA301" i="4"/>
  <c r="AA259" i="4"/>
  <c r="AA174" i="4"/>
  <c r="AA132" i="4"/>
  <c r="AA19" i="4"/>
  <c r="AX19" i="4" s="1"/>
  <c r="AZ19" i="4" s="1"/>
  <c r="AA532" i="4"/>
  <c r="AA482" i="4"/>
  <c r="AA456" i="4"/>
  <c r="AA424" i="4"/>
  <c r="AA367" i="4"/>
  <c r="AA286" i="4"/>
  <c r="AA272" i="4"/>
  <c r="AA186" i="4"/>
  <c r="AA166" i="4"/>
  <c r="AA70" i="4"/>
  <c r="AA526" i="4"/>
  <c r="AA535" i="4"/>
  <c r="AA483" i="4"/>
  <c r="AA462" i="4"/>
  <c r="AX462" i="4" s="1"/>
  <c r="AZ462" i="4" s="1"/>
  <c r="AA440" i="4"/>
  <c r="AA446" i="4"/>
  <c r="AA413" i="4"/>
  <c r="AA396" i="4"/>
  <c r="AA387" i="4"/>
  <c r="AA347" i="4"/>
  <c r="AA373" i="4"/>
  <c r="AA295" i="4"/>
  <c r="AA250" i="4"/>
  <c r="AA240" i="4"/>
  <c r="AA155" i="4"/>
  <c r="AA189" i="4"/>
  <c r="AA153" i="4"/>
  <c r="AA87" i="4"/>
  <c r="AX87" i="4" s="1"/>
  <c r="AZ87" i="4" s="1"/>
  <c r="AA74" i="4"/>
  <c r="AA26" i="4"/>
  <c r="AA549" i="4"/>
  <c r="AA6" i="4"/>
  <c r="AA515" i="4"/>
  <c r="AA451" i="4"/>
  <c r="AA445" i="4"/>
  <c r="AA453" i="4"/>
  <c r="AA472" i="4"/>
  <c r="AA414" i="4"/>
  <c r="AA401" i="4"/>
  <c r="AA412" i="4"/>
  <c r="AA419" i="4"/>
  <c r="AA356" i="4"/>
  <c r="AA335" i="4"/>
  <c r="AA326" i="4"/>
  <c r="AA288" i="4"/>
  <c r="AA325" i="4"/>
  <c r="AA220" i="4"/>
  <c r="AA244" i="4"/>
  <c r="AA251" i="4"/>
  <c r="AA183" i="4"/>
  <c r="AA221" i="4"/>
  <c r="AA154" i="4"/>
  <c r="AA103" i="4"/>
  <c r="AA104" i="4"/>
  <c r="AA93" i="4"/>
  <c r="AA60" i="4"/>
  <c r="AA9" i="4"/>
  <c r="AA550" i="4"/>
  <c r="AA517" i="4"/>
  <c r="AA523" i="4"/>
  <c r="AA487" i="4"/>
  <c r="AA486" i="4"/>
  <c r="AA489" i="4"/>
  <c r="AA508" i="4"/>
  <c r="AA450" i="4"/>
  <c r="AA386" i="4"/>
  <c r="AA384" i="4"/>
  <c r="AA379" i="4"/>
  <c r="AA391" i="4"/>
  <c r="AA328" i="4"/>
  <c r="AA312" i="4"/>
  <c r="AA349" i="4"/>
  <c r="AA299" i="4"/>
  <c r="AA293" i="4"/>
  <c r="AA249" i="4"/>
  <c r="AA230" i="4"/>
  <c r="AA204" i="4"/>
  <c r="AA194" i="4"/>
  <c r="AA192" i="4"/>
  <c r="AA145" i="4"/>
  <c r="AA91" i="4"/>
  <c r="AA75" i="4"/>
  <c r="AA84" i="4"/>
  <c r="AA23" i="4"/>
  <c r="AA24" i="4"/>
  <c r="AA25" i="4"/>
  <c r="AA30" i="4"/>
  <c r="AA53" i="4"/>
  <c r="AA50" i="4"/>
  <c r="AA88" i="4"/>
  <c r="AA77" i="4"/>
  <c r="AA55" i="4"/>
  <c r="AA90" i="4"/>
  <c r="AA116" i="4"/>
  <c r="AA148" i="4"/>
  <c r="AA108" i="4"/>
  <c r="AA129" i="4"/>
  <c r="AA100" i="4"/>
  <c r="AA138" i="4"/>
  <c r="AA127" i="4"/>
  <c r="AA149" i="4"/>
  <c r="AA157" i="4"/>
  <c r="AA170" i="4"/>
  <c r="AA193" i="4"/>
  <c r="AA225" i="4"/>
  <c r="AA191" i="4"/>
  <c r="AA202" i="4"/>
  <c r="AA199" i="4"/>
  <c r="AA181" i="4"/>
  <c r="AA235" i="4"/>
  <c r="AA267" i="4"/>
  <c r="AA231" i="4"/>
  <c r="AA248" i="4"/>
  <c r="AA224" i="4"/>
  <c r="AA257" i="4"/>
  <c r="AA234" i="4"/>
  <c r="AA266" i="4"/>
  <c r="AA309" i="4"/>
  <c r="AA298" i="4"/>
  <c r="AA303" i="4"/>
  <c r="AA292" i="4"/>
  <c r="AA300" i="4"/>
  <c r="AA357" i="4"/>
  <c r="AA334" i="4"/>
  <c r="AA366" i="4"/>
  <c r="AA320" i="4"/>
  <c r="AA355" i="4"/>
  <c r="AA344" i="4"/>
  <c r="AX344" i="4" s="1"/>
  <c r="AZ344" i="4" s="1"/>
  <c r="AA376" i="4"/>
  <c r="AA407" i="4"/>
  <c r="AA439" i="4"/>
  <c r="AA400" i="4"/>
  <c r="AA432" i="4"/>
  <c r="AA389" i="4"/>
  <c r="AA421" i="4"/>
  <c r="AA402" i="4"/>
  <c r="AA434" i="4"/>
  <c r="AA460" i="4"/>
  <c r="AA492" i="4"/>
  <c r="AA444" i="4"/>
  <c r="AA473" i="4"/>
  <c r="AA505" i="4"/>
  <c r="AA470" i="4"/>
  <c r="AA502" i="4"/>
  <c r="AX502" i="4" s="1"/>
  <c r="AZ502" i="4" s="1"/>
  <c r="AA471" i="4"/>
  <c r="AA503" i="4"/>
  <c r="AA521" i="4"/>
  <c r="AA539" i="4"/>
  <c r="AA540" i="4"/>
  <c r="AA537" i="4"/>
  <c r="AA534" i="4"/>
  <c r="AA5" i="4"/>
  <c r="AA56" i="4"/>
  <c r="AA58" i="4"/>
  <c r="AA73" i="4"/>
  <c r="AA99" i="4"/>
  <c r="AA118" i="4"/>
  <c r="AA143" i="4"/>
  <c r="AA167" i="4"/>
  <c r="AA185" i="4"/>
  <c r="AA200" i="4"/>
  <c r="AA260" i="4"/>
  <c r="AA246" i="4"/>
  <c r="AA310" i="4"/>
  <c r="AA337" i="4"/>
  <c r="AA324" i="4"/>
  <c r="AA27" i="4"/>
  <c r="AA28" i="4"/>
  <c r="AA29" i="4"/>
  <c r="AA48" i="4"/>
  <c r="AA57" i="4"/>
  <c r="AA54" i="4"/>
  <c r="AA92" i="4"/>
  <c r="AA81" i="4"/>
  <c r="AA63" i="4"/>
  <c r="AA94" i="4"/>
  <c r="AA120" i="4"/>
  <c r="AA152" i="4"/>
  <c r="AA109" i="4"/>
  <c r="AA133" i="4"/>
  <c r="AA105" i="4"/>
  <c r="AA142" i="4"/>
  <c r="AA131" i="4"/>
  <c r="AA150" i="4"/>
  <c r="AX150" i="4" s="1"/>
  <c r="AZ150" i="4" s="1"/>
  <c r="AA161" i="4"/>
  <c r="AA101" i="4"/>
  <c r="AA197" i="4"/>
  <c r="AA229" i="4"/>
  <c r="AA180" i="4"/>
  <c r="AA206" i="4"/>
  <c r="AA203" i="4"/>
  <c r="AA159" i="4"/>
  <c r="AA239" i="4"/>
  <c r="AA271" i="4"/>
  <c r="AA226" i="4"/>
  <c r="AA252" i="4"/>
  <c r="AA175" i="4"/>
  <c r="AA261" i="4"/>
  <c r="AA238" i="4"/>
  <c r="AA270" i="4"/>
  <c r="AA313" i="4"/>
  <c r="AA302" i="4"/>
  <c r="AA307" i="4"/>
  <c r="AX307" i="4" s="1"/>
  <c r="AZ307" i="4" s="1"/>
  <c r="AA296" i="4"/>
  <c r="AA329" i="4"/>
  <c r="AA361" i="4"/>
  <c r="AA338" i="4"/>
  <c r="AA322" i="4"/>
  <c r="AA327" i="4"/>
  <c r="AA359" i="4"/>
  <c r="AA348" i="4"/>
  <c r="AA380" i="4"/>
  <c r="AA411" i="4"/>
  <c r="AA443" i="4"/>
  <c r="AA404" i="4"/>
  <c r="AA370" i="4"/>
  <c r="AA393" i="4"/>
  <c r="AA425" i="4"/>
  <c r="AA406" i="4"/>
  <c r="AA438" i="4"/>
  <c r="AA464" i="4"/>
  <c r="AA496" i="4"/>
  <c r="AA441" i="4"/>
  <c r="AA477" i="4"/>
  <c r="AA437" i="4"/>
  <c r="AA474" i="4"/>
  <c r="AA506" i="4"/>
  <c r="AA475" i="4"/>
  <c r="AA507" i="4"/>
  <c r="AA509" i="4"/>
  <c r="AA543" i="4"/>
  <c r="AA544" i="4"/>
  <c r="AA541" i="4"/>
  <c r="AA538" i="4"/>
  <c r="AA35" i="4"/>
  <c r="AA37" i="4"/>
  <c r="AX37" i="4" s="1"/>
  <c r="AZ37" i="4" s="1"/>
  <c r="AA40" i="4"/>
  <c r="AA89" i="4"/>
  <c r="AA128" i="4"/>
  <c r="AA141" i="4"/>
  <c r="AA98" i="4"/>
  <c r="AA169" i="4"/>
  <c r="AA205" i="4"/>
  <c r="AA214" i="4"/>
  <c r="AA247" i="4"/>
  <c r="AA228" i="4"/>
  <c r="AA269" i="4"/>
  <c r="AA321" i="4"/>
  <c r="AA315" i="4"/>
  <c r="AA369" i="4"/>
  <c r="AA31" i="4"/>
  <c r="AA32" i="4"/>
  <c r="AA33" i="4"/>
  <c r="AA52" i="4"/>
  <c r="AA61" i="4"/>
  <c r="AA64" i="4"/>
  <c r="AX64" i="4" s="1"/>
  <c r="AZ64" i="4" s="1"/>
  <c r="AA96" i="4"/>
  <c r="AA85" i="4"/>
  <c r="AA72" i="4"/>
  <c r="AA66" i="4"/>
  <c r="AA124" i="4"/>
  <c r="AA79" i="4"/>
  <c r="AA110" i="4"/>
  <c r="AA137" i="4"/>
  <c r="AA114" i="4"/>
  <c r="AA95" i="4"/>
  <c r="AA135" i="4"/>
  <c r="AA151" i="4"/>
  <c r="AA165" i="4"/>
  <c r="AA139" i="4"/>
  <c r="AA201" i="4"/>
  <c r="AA171" i="4"/>
  <c r="AA184" i="4"/>
  <c r="AA210" i="4"/>
  <c r="AA207" i="4"/>
  <c r="AA196" i="4"/>
  <c r="AA243" i="4"/>
  <c r="AA275" i="4"/>
  <c r="AA227" i="4"/>
  <c r="AA256" i="4"/>
  <c r="AA233" i="4"/>
  <c r="AA265" i="4"/>
  <c r="AA242" i="4"/>
  <c r="AA163" i="4"/>
  <c r="AA317" i="4"/>
  <c r="AA306" i="4"/>
  <c r="AA311" i="4"/>
  <c r="AA280" i="4"/>
  <c r="AA333" i="4"/>
  <c r="AA365" i="4"/>
  <c r="AA342" i="4"/>
  <c r="AA323" i="4"/>
  <c r="AA331" i="4"/>
  <c r="AA363" i="4"/>
  <c r="AX363" i="4" s="1"/>
  <c r="AZ363" i="4" s="1"/>
  <c r="AA352" i="4"/>
  <c r="AA378" i="4"/>
  <c r="AX378" i="4" s="1"/>
  <c r="AZ378" i="4" s="1"/>
  <c r="AA415" i="4"/>
  <c r="AA371" i="4"/>
  <c r="AA408" i="4"/>
  <c r="AA375" i="4"/>
  <c r="AA397" i="4"/>
  <c r="AA429" i="4"/>
  <c r="AA410" i="4"/>
  <c r="AA442" i="4"/>
  <c r="AA468" i="4"/>
  <c r="AA500" i="4"/>
  <c r="AA449" i="4"/>
  <c r="AA481" i="4"/>
  <c r="AA436" i="4"/>
  <c r="AA478" i="4"/>
  <c r="AA448" i="4"/>
  <c r="AA479" i="4"/>
  <c r="AA511" i="4"/>
  <c r="AA514" i="4"/>
  <c r="AA547" i="4"/>
  <c r="AA548" i="4"/>
  <c r="AA545" i="4"/>
  <c r="AA542" i="4"/>
  <c r="AA36" i="4"/>
  <c r="AA68" i="4"/>
  <c r="AA69" i="4"/>
  <c r="AA111" i="4"/>
  <c r="AA156" i="4"/>
  <c r="AA173" i="4"/>
  <c r="AA211" i="4"/>
  <c r="AA279" i="4"/>
  <c r="AA237" i="4"/>
  <c r="AA289" i="4"/>
  <c r="AA281" i="4"/>
  <c r="AA346" i="4"/>
  <c r="AA10" i="4"/>
  <c r="AA43" i="4"/>
  <c r="AA13" i="4"/>
  <c r="AA18" i="4"/>
  <c r="AA44" i="4"/>
  <c r="AA42" i="4"/>
  <c r="AA76" i="4"/>
  <c r="AA47" i="4"/>
  <c r="AA97" i="4"/>
  <c r="AA78" i="4"/>
  <c r="AA71" i="4"/>
  <c r="AA136" i="4"/>
  <c r="AA112" i="4"/>
  <c r="AA117" i="4"/>
  <c r="AA106" i="4"/>
  <c r="AA126" i="4"/>
  <c r="AA115" i="4"/>
  <c r="AA164" i="4"/>
  <c r="AA146" i="4"/>
  <c r="AA158" i="4"/>
  <c r="AA176" i="4"/>
  <c r="AA213" i="4"/>
  <c r="AA188" i="4"/>
  <c r="AA187" i="4"/>
  <c r="AA178" i="4"/>
  <c r="AA219" i="4"/>
  <c r="AA208" i="4"/>
  <c r="AA255" i="4"/>
  <c r="AA287" i="4"/>
  <c r="AA236" i="4"/>
  <c r="AA268" i="4"/>
  <c r="AA245" i="4"/>
  <c r="AA277" i="4"/>
  <c r="AA254" i="4"/>
  <c r="AA297" i="4"/>
  <c r="AA278" i="4"/>
  <c r="AA291" i="4"/>
  <c r="AA285" i="4"/>
  <c r="AA304" i="4"/>
  <c r="AA345" i="4"/>
  <c r="AA377" i="4"/>
  <c r="AA354" i="4"/>
  <c r="AA314" i="4"/>
  <c r="AA343" i="4"/>
  <c r="AA332" i="4"/>
  <c r="AA364" i="4"/>
  <c r="AX364" i="4" s="1"/>
  <c r="AZ364" i="4" s="1"/>
  <c r="AA395" i="4"/>
  <c r="AA427" i="4"/>
  <c r="AA388" i="4"/>
  <c r="AA420" i="4"/>
  <c r="AA381" i="4"/>
  <c r="AA409" i="4"/>
  <c r="AA390" i="4"/>
  <c r="AA422" i="4"/>
  <c r="AA447" i="4"/>
  <c r="AX447" i="4" s="1"/>
  <c r="AZ447" i="4" s="1"/>
  <c r="AA480" i="4"/>
  <c r="AA512" i="4"/>
  <c r="AA461" i="4"/>
  <c r="AA493" i="4"/>
  <c r="AX493" i="4" s="1"/>
  <c r="AZ493" i="4" s="1"/>
  <c r="AA458" i="4"/>
  <c r="AA490" i="4"/>
  <c r="AA459" i="4"/>
  <c r="AA491" i="4"/>
  <c r="AA513" i="4"/>
  <c r="AA527" i="4"/>
  <c r="AA528" i="4"/>
  <c r="AA525" i="4"/>
  <c r="AA522" i="4"/>
  <c r="AA11" i="4"/>
  <c r="AA12" i="4"/>
  <c r="AA17" i="4"/>
  <c r="AA22" i="4"/>
  <c r="AA45" i="4"/>
  <c r="AX45" i="4" s="1"/>
  <c r="AZ45" i="4" s="1"/>
  <c r="AA38" i="4"/>
  <c r="AA80" i="4"/>
  <c r="AA65" i="4"/>
  <c r="AA51" i="4"/>
  <c r="AA82" i="4"/>
  <c r="AA59" i="4"/>
  <c r="AA140" i="4"/>
  <c r="AA83" i="4"/>
  <c r="AX83" i="4" s="1"/>
  <c r="AA121" i="4"/>
  <c r="AA107" i="4"/>
  <c r="AA130" i="4"/>
  <c r="AA119" i="4"/>
  <c r="AZ83" i="4" l="1"/>
  <c r="AX243" i="4"/>
  <c r="AZ243" i="4" s="1"/>
  <c r="AX105" i="4"/>
  <c r="AZ105" i="4" s="1"/>
  <c r="AX107" i="4"/>
  <c r="AZ107" i="4" s="1"/>
  <c r="AX165" i="4"/>
  <c r="AZ165" i="4" s="1"/>
  <c r="AX337" i="4"/>
  <c r="AZ337" i="4" s="1"/>
  <c r="AX512" i="4"/>
  <c r="AZ512" i="4" s="1"/>
  <c r="AX212" i="4"/>
  <c r="AZ212" i="4" s="1"/>
  <c r="AX441" i="4"/>
  <c r="AZ441" i="4" s="1"/>
  <c r="AX27" i="4"/>
  <c r="AZ27" i="4" s="1"/>
  <c r="AX148" i="4"/>
  <c r="AZ148" i="4" s="1"/>
  <c r="AX312" i="4"/>
  <c r="AZ312" i="4" s="1"/>
  <c r="AX549" i="4"/>
  <c r="AZ549" i="4" s="1"/>
  <c r="AX272" i="4"/>
  <c r="AZ272" i="4" s="1"/>
  <c r="AX519" i="4"/>
  <c r="AZ519" i="4" s="1"/>
  <c r="AX339" i="4"/>
  <c r="AZ339" i="4" s="1"/>
  <c r="AX255" i="4"/>
  <c r="AZ255" i="4" s="1"/>
  <c r="AX275" i="4"/>
  <c r="AZ275" i="4" s="1"/>
  <c r="AX328" i="4"/>
  <c r="AZ328" i="4" s="1"/>
  <c r="AX21" i="4"/>
  <c r="AY21" i="4"/>
  <c r="AX315" i="4"/>
  <c r="AZ315" i="4" s="1"/>
  <c r="AX509" i="4"/>
  <c r="AZ509" i="4" s="1"/>
  <c r="AX487" i="4"/>
  <c r="AZ487" i="4" s="1"/>
  <c r="AX240" i="4"/>
  <c r="AZ240" i="4" s="1"/>
  <c r="AX381" i="4"/>
  <c r="AZ381" i="4" s="1"/>
  <c r="AX297" i="4"/>
  <c r="AZ297" i="4" s="1"/>
  <c r="AX118" i="4"/>
  <c r="AZ118" i="4" s="1"/>
  <c r="AX540" i="4"/>
  <c r="AZ540" i="4" s="1"/>
  <c r="AX391" i="4"/>
  <c r="AZ391" i="4" s="1"/>
  <c r="AX103" i="4"/>
  <c r="AZ103" i="4" s="1"/>
  <c r="AX263" i="4"/>
  <c r="AZ263" i="4" s="1"/>
  <c r="AX433" i="4"/>
  <c r="AZ433" i="4" s="1"/>
  <c r="J11" i="2"/>
  <c r="K11" i="2" s="1"/>
  <c r="AX241" i="4"/>
  <c r="AZ241" i="4" s="1"/>
  <c r="AX388" i="4"/>
  <c r="AZ388" i="4" s="1"/>
  <c r="AX547" i="4"/>
  <c r="AZ547" i="4" s="1"/>
  <c r="AX393" i="4"/>
  <c r="AZ393" i="4" s="1"/>
  <c r="AX376" i="4"/>
  <c r="AZ376" i="4" s="1"/>
  <c r="AX450" i="4"/>
  <c r="AZ450" i="4" s="1"/>
  <c r="AX419" i="4"/>
  <c r="AZ419" i="4" s="1"/>
  <c r="AX413" i="4"/>
  <c r="AZ413" i="4" s="1"/>
  <c r="AX72" i="4"/>
  <c r="AZ72" i="4" s="1"/>
  <c r="AX358" i="4"/>
  <c r="AZ358" i="4" s="1"/>
  <c r="AX10" i="4"/>
  <c r="AZ10" i="4" s="1"/>
  <c r="AX35" i="4"/>
  <c r="AZ35" i="4" s="1"/>
  <c r="AX65" i="4"/>
  <c r="AZ65" i="4" s="1"/>
  <c r="AX79" i="4"/>
  <c r="AZ79" i="4" s="1"/>
  <c r="AX389" i="4"/>
  <c r="AZ389" i="4" s="1"/>
  <c r="AX157" i="4"/>
  <c r="AZ157" i="4" s="1"/>
  <c r="AX284" i="4"/>
  <c r="AZ284" i="4" s="1"/>
  <c r="AX430" i="4"/>
  <c r="AZ430" i="4" s="1"/>
  <c r="AX146" i="4"/>
  <c r="AZ146" i="4" s="1"/>
  <c r="AX195" i="4"/>
  <c r="AZ195" i="4" s="1"/>
  <c r="AX520" i="4"/>
  <c r="AZ520" i="4" s="1"/>
  <c r="AX513" i="4"/>
  <c r="AZ513" i="4" s="1"/>
  <c r="AX369" i="4"/>
  <c r="AZ369" i="4" s="1"/>
  <c r="AX169" i="4"/>
  <c r="AZ169" i="4" s="1"/>
  <c r="AX293" i="4"/>
  <c r="AZ293" i="4" s="1"/>
  <c r="AX316" i="4"/>
  <c r="AZ316" i="4" s="1"/>
  <c r="AX215" i="4"/>
  <c r="AZ215" i="4" s="1"/>
  <c r="AX467" i="4"/>
  <c r="AZ467" i="4" s="1"/>
  <c r="AX287" i="4"/>
  <c r="AZ287" i="4" s="1"/>
  <c r="AX306" i="4"/>
  <c r="AZ306" i="4" s="1"/>
  <c r="AX309" i="4"/>
  <c r="AZ309" i="4" s="1"/>
  <c r="AX209" i="4"/>
  <c r="AZ209" i="4" s="1"/>
  <c r="AX525" i="4"/>
  <c r="AZ525" i="4" s="1"/>
  <c r="AX507" i="4"/>
  <c r="AZ507" i="4" s="1"/>
  <c r="AX180" i="4"/>
  <c r="AZ180" i="4" s="1"/>
  <c r="AX473" i="4"/>
  <c r="AZ473" i="4" s="1"/>
  <c r="AX432" i="4"/>
  <c r="AZ432" i="4" s="1"/>
  <c r="AX483" i="4"/>
  <c r="AZ483" i="4" s="1"/>
  <c r="AX330" i="4"/>
  <c r="AZ330" i="4" s="1"/>
  <c r="AX372" i="4"/>
  <c r="AZ372" i="4" s="1"/>
  <c r="AX418" i="4"/>
  <c r="AZ418" i="4" s="1"/>
  <c r="AX481" i="4"/>
  <c r="AZ481" i="4" s="1"/>
  <c r="AX32" i="4"/>
  <c r="AZ32" i="4" s="1"/>
  <c r="AX438" i="4"/>
  <c r="AZ438" i="4" s="1"/>
  <c r="AX296" i="4"/>
  <c r="AZ296" i="4" s="1"/>
  <c r="AX252" i="4"/>
  <c r="AZ252" i="4" s="1"/>
  <c r="AX160" i="4"/>
  <c r="AZ160" i="4" s="1"/>
  <c r="AX16" i="4"/>
  <c r="AZ16" i="4" s="1"/>
  <c r="AX188" i="4"/>
  <c r="AZ188" i="4" s="1"/>
  <c r="AX251" i="4"/>
  <c r="AZ251" i="4" s="1"/>
  <c r="AX93" i="4"/>
  <c r="AZ93" i="4" s="1"/>
  <c r="AX170" i="4"/>
  <c r="AZ170" i="4" s="1"/>
  <c r="AX506" i="4"/>
  <c r="AZ506" i="4" s="1"/>
  <c r="AX533" i="4"/>
  <c r="AZ533" i="4" s="1"/>
  <c r="AX58" i="4"/>
  <c r="AZ58" i="4" s="1"/>
  <c r="AX227" i="4"/>
  <c r="AZ227" i="4" s="1"/>
  <c r="AX113" i="4"/>
  <c r="AZ113" i="4" s="1"/>
  <c r="AX147" i="4"/>
  <c r="AZ147" i="4" s="1"/>
  <c r="AX392" i="4"/>
  <c r="AZ392" i="4" s="1"/>
  <c r="AX276" i="4"/>
  <c r="AZ276" i="4" s="1"/>
  <c r="AX397" i="4"/>
  <c r="AZ397" i="4" s="1"/>
  <c r="AX464" i="4"/>
  <c r="AZ464" i="4" s="1"/>
  <c r="AX266" i="4"/>
  <c r="AZ266" i="4" s="1"/>
  <c r="AX74" i="4"/>
  <c r="AZ74" i="4" s="1"/>
  <c r="AX168" i="4"/>
  <c r="AZ168" i="4" s="1"/>
  <c r="AX290" i="4"/>
  <c r="AZ290" i="4" s="1"/>
  <c r="AX454" i="4"/>
  <c r="AZ454" i="4" s="1"/>
  <c r="AX528" i="4"/>
  <c r="AZ528" i="4" s="1"/>
  <c r="AX375" i="4"/>
  <c r="AZ375" i="4" s="1"/>
  <c r="AX310" i="4"/>
  <c r="AZ310" i="4" s="1"/>
  <c r="AX127" i="4"/>
  <c r="AZ127" i="4" s="1"/>
  <c r="AX154" i="4"/>
  <c r="AZ154" i="4" s="1"/>
  <c r="AX347" i="4"/>
  <c r="AZ347" i="4" s="1"/>
  <c r="AX319" i="4"/>
  <c r="AZ319" i="4" s="1"/>
  <c r="AX476" i="4"/>
  <c r="AZ476" i="4" s="1"/>
  <c r="AX82" i="4"/>
  <c r="AZ82" i="4" s="1"/>
  <c r="AX12" i="4"/>
  <c r="AZ12" i="4" s="1"/>
  <c r="AX213" i="4"/>
  <c r="AZ213" i="4" s="1"/>
  <c r="AX68" i="4"/>
  <c r="AZ68" i="4" s="1"/>
  <c r="AX270" i="4"/>
  <c r="AZ270" i="4" s="1"/>
  <c r="AX402" i="4"/>
  <c r="AZ402" i="4" s="1"/>
  <c r="AX349" i="4"/>
  <c r="AZ349" i="4" s="1"/>
  <c r="AX6" i="4"/>
  <c r="AZ6" i="4" s="1"/>
  <c r="AX452" i="4"/>
  <c r="AZ452" i="4" s="1"/>
  <c r="AX545" i="4"/>
  <c r="AZ545" i="4" s="1"/>
  <c r="AX436" i="4"/>
  <c r="AZ436" i="4" s="1"/>
  <c r="AX331" i="4"/>
  <c r="AZ331" i="4" s="1"/>
  <c r="AX149" i="4"/>
  <c r="AZ149" i="4" s="1"/>
  <c r="AX403" i="4"/>
  <c r="AZ403" i="4" s="1"/>
  <c r="AX492" i="4"/>
  <c r="AZ492" i="4" s="1"/>
  <c r="AX189" i="4"/>
  <c r="AZ189" i="4" s="1"/>
  <c r="AX542" i="4"/>
  <c r="AZ542" i="4" s="1"/>
  <c r="AX228" i="4"/>
  <c r="AZ228" i="4" s="1"/>
  <c r="AX361" i="4"/>
  <c r="AZ361" i="4" s="1"/>
  <c r="AX325" i="4"/>
  <c r="AZ325" i="4" s="1"/>
  <c r="AX26" i="4"/>
  <c r="AZ26" i="4" s="1"/>
  <c r="AX295" i="4"/>
  <c r="AZ295" i="4" s="1"/>
  <c r="AX350" i="4"/>
  <c r="AZ350" i="4" s="1"/>
  <c r="AX198" i="4"/>
  <c r="AZ198" i="4" s="1"/>
  <c r="AX455" i="4"/>
  <c r="AZ455" i="4" s="1"/>
  <c r="AX131" i="4"/>
  <c r="AZ131" i="4" s="1"/>
  <c r="AX86" i="4"/>
  <c r="AZ86" i="4" s="1"/>
  <c r="AX54" i="4"/>
  <c r="AZ54" i="4" s="1"/>
  <c r="AX405" i="4"/>
  <c r="AZ405" i="4" s="1"/>
  <c r="AX173" i="4"/>
  <c r="AZ173" i="4" s="1"/>
  <c r="AX439" i="4"/>
  <c r="AZ439" i="4" s="1"/>
  <c r="AX384" i="4"/>
  <c r="AZ384" i="4" s="1"/>
  <c r="AX420" i="4"/>
  <c r="AZ420" i="4" s="1"/>
  <c r="AX548" i="4"/>
  <c r="AZ548" i="4" s="1"/>
  <c r="AX480" i="4"/>
  <c r="AZ480" i="4" s="1"/>
  <c r="AX41" i="4"/>
  <c r="AZ41" i="4" s="1"/>
  <c r="AX317" i="4"/>
  <c r="AZ317" i="4" s="1"/>
  <c r="AX17" i="4"/>
  <c r="AZ17" i="4" s="1"/>
  <c r="AX491" i="4"/>
  <c r="AZ491" i="4" s="1"/>
  <c r="AX395" i="4"/>
  <c r="AZ395" i="4" s="1"/>
  <c r="AX268" i="4"/>
  <c r="AZ268" i="4" s="1"/>
  <c r="AX281" i="4"/>
  <c r="AZ281" i="4" s="1"/>
  <c r="AX233" i="4"/>
  <c r="AZ233" i="4" s="1"/>
  <c r="AX541" i="4"/>
  <c r="AZ541" i="4" s="1"/>
  <c r="AX327" i="4"/>
  <c r="AZ327" i="4" s="1"/>
  <c r="AX161" i="4"/>
  <c r="AZ161" i="4" s="1"/>
  <c r="AX200" i="4"/>
  <c r="AZ200" i="4" s="1"/>
  <c r="AX471" i="4"/>
  <c r="AZ471" i="4" s="1"/>
  <c r="AX292" i="4"/>
  <c r="AZ292" i="4" s="1"/>
  <c r="AX546" i="4"/>
  <c r="AZ546" i="4" s="1"/>
  <c r="AX8" i="4"/>
  <c r="AZ8" i="4" s="1"/>
  <c r="AX484" i="4"/>
  <c r="AZ484" i="4" s="1"/>
  <c r="AX81" i="4"/>
  <c r="AZ81" i="4" s="1"/>
  <c r="AX311" i="4"/>
  <c r="AZ311" i="4" s="1"/>
  <c r="AX510" i="4"/>
  <c r="AZ510" i="4" s="1"/>
  <c r="AX457" i="4"/>
  <c r="AZ457" i="4" s="1"/>
  <c r="AX342" i="4"/>
  <c r="AZ342" i="4" s="1"/>
  <c r="AX387" i="4"/>
  <c r="AZ387" i="4" s="1"/>
  <c r="AX345" i="4"/>
  <c r="AZ345" i="4" s="1"/>
  <c r="AX126" i="4"/>
  <c r="AZ126" i="4" s="1"/>
  <c r="AX474" i="4"/>
  <c r="AZ474" i="4" s="1"/>
  <c r="AX224" i="4"/>
  <c r="AZ224" i="4" s="1"/>
  <c r="AX62" i="4"/>
  <c r="AZ62" i="4" s="1"/>
  <c r="AX431" i="4"/>
  <c r="AZ431" i="4" s="1"/>
  <c r="AX106" i="4"/>
  <c r="AZ106" i="4" s="1"/>
  <c r="AX76" i="4"/>
  <c r="AZ76" i="4" s="1"/>
  <c r="AX511" i="4"/>
  <c r="AZ511" i="4" s="1"/>
  <c r="AX29" i="4"/>
  <c r="AZ29" i="4" s="1"/>
  <c r="AX56" i="4"/>
  <c r="AZ56" i="4" s="1"/>
  <c r="AX225" i="4"/>
  <c r="AZ225" i="4" s="1"/>
  <c r="AX129" i="4"/>
  <c r="AZ129" i="4" s="1"/>
  <c r="AX9" i="4"/>
  <c r="AZ9" i="4" s="1"/>
  <c r="AX515" i="4"/>
  <c r="AZ515" i="4" s="1"/>
  <c r="AX155" i="4"/>
  <c r="AZ155" i="4" s="1"/>
  <c r="AX166" i="4"/>
  <c r="AZ166" i="4" s="1"/>
  <c r="AX532" i="4"/>
  <c r="AZ532" i="4" s="1"/>
  <c r="AX417" i="4"/>
  <c r="AZ417" i="4" s="1"/>
  <c r="AX360" i="4"/>
  <c r="AZ360" i="4" s="1"/>
  <c r="AX153" i="4"/>
  <c r="AZ153" i="4" s="1"/>
  <c r="AX245" i="4"/>
  <c r="AZ245" i="4" s="1"/>
  <c r="AX265" i="4"/>
  <c r="AZ265" i="4" s="1"/>
  <c r="AX538" i="4"/>
  <c r="AZ538" i="4" s="1"/>
  <c r="AX88" i="4"/>
  <c r="AZ88" i="4" s="1"/>
  <c r="AX459" i="4"/>
  <c r="AZ459" i="4" s="1"/>
  <c r="AX256" i="4"/>
  <c r="AZ256" i="4" s="1"/>
  <c r="AX159" i="4"/>
  <c r="AZ159" i="4" s="1"/>
  <c r="AX145" i="4"/>
  <c r="AZ145" i="4" s="1"/>
  <c r="AX60" i="4"/>
  <c r="AZ60" i="4" s="1"/>
  <c r="AX382" i="4"/>
  <c r="AZ382" i="4" s="1"/>
  <c r="AX223" i="4"/>
  <c r="AZ223" i="4" s="1"/>
  <c r="AX274" i="4"/>
  <c r="AZ274" i="4" s="1"/>
  <c r="AX196" i="4"/>
  <c r="AZ196" i="4" s="1"/>
  <c r="AX111" i="4"/>
  <c r="AZ111" i="4" s="1"/>
  <c r="AX451" i="4"/>
  <c r="AZ451" i="4" s="1"/>
  <c r="AX482" i="4"/>
  <c r="AZ482" i="4" s="1"/>
  <c r="AX102" i="4"/>
  <c r="AZ102" i="4" s="1"/>
  <c r="AX128" i="4"/>
  <c r="AZ128" i="4" s="1"/>
  <c r="AX192" i="4"/>
  <c r="AZ192" i="4" s="1"/>
  <c r="AX398" i="4"/>
  <c r="AZ398" i="4" s="1"/>
  <c r="AX184" i="4"/>
  <c r="AZ184" i="4" s="1"/>
  <c r="AX261" i="4"/>
  <c r="AZ261" i="4" s="1"/>
  <c r="AX104" i="4"/>
  <c r="AZ104" i="4" s="1"/>
  <c r="AX466" i="4"/>
  <c r="AZ466" i="4" s="1"/>
  <c r="AX353" i="4"/>
  <c r="AZ353" i="4" s="1"/>
  <c r="AX247" i="4"/>
  <c r="AZ247" i="4" s="1"/>
  <c r="AX367" i="4"/>
  <c r="AZ367" i="4" s="1"/>
  <c r="AX458" i="4"/>
  <c r="AZ458" i="4" s="1"/>
  <c r="AX158" i="4"/>
  <c r="AZ158" i="4" s="1"/>
  <c r="AX182" i="4"/>
  <c r="AZ182" i="4" s="1"/>
  <c r="AX409" i="4"/>
  <c r="AZ409" i="4" s="1"/>
  <c r="AX13" i="4"/>
  <c r="AZ13" i="4" s="1"/>
  <c r="AX411" i="4"/>
  <c r="AZ411" i="4" s="1"/>
  <c r="AX24" i="4"/>
  <c r="AZ24" i="4" s="1"/>
  <c r="AX259" i="4"/>
  <c r="AZ259" i="4" s="1"/>
  <c r="AX504" i="4"/>
  <c r="AZ504" i="4" s="1"/>
  <c r="AX179" i="4"/>
  <c r="AZ179" i="4" s="1"/>
  <c r="AX78" i="4"/>
  <c r="AZ78" i="4" s="1"/>
  <c r="AX133" i="4"/>
  <c r="AZ133" i="4" s="1"/>
  <c r="AX334" i="4"/>
  <c r="AZ334" i="4" s="1"/>
  <c r="AX199" i="4"/>
  <c r="AZ199" i="4" s="1"/>
  <c r="AX23" i="4"/>
  <c r="AZ23" i="4" s="1"/>
  <c r="AX230" i="4"/>
  <c r="AZ230" i="4" s="1"/>
  <c r="AX535" i="4"/>
  <c r="AZ535" i="4" s="1"/>
  <c r="AX351" i="4"/>
  <c r="AZ351" i="4" s="1"/>
  <c r="AX435" i="4"/>
  <c r="AZ435" i="4" s="1"/>
  <c r="AX366" i="4"/>
  <c r="AZ366" i="4" s="1"/>
  <c r="AX90" i="4"/>
  <c r="AZ90" i="4" s="1"/>
  <c r="AX178" i="4"/>
  <c r="AZ178" i="4" s="1"/>
  <c r="AX115" i="4"/>
  <c r="AZ115" i="4" s="1"/>
  <c r="AX156" i="4"/>
  <c r="AZ156" i="4" s="1"/>
  <c r="AX408" i="4"/>
  <c r="AZ408" i="4" s="1"/>
  <c r="AX207" i="4"/>
  <c r="AZ207" i="4" s="1"/>
  <c r="AX31" i="4"/>
  <c r="AZ31" i="4" s="1"/>
  <c r="AX197" i="4"/>
  <c r="AZ197" i="4" s="1"/>
  <c r="AX521" i="4"/>
  <c r="AZ521" i="4" s="1"/>
  <c r="AX202" i="4"/>
  <c r="AZ202" i="4" s="1"/>
  <c r="AX162" i="4"/>
  <c r="AZ162" i="4" s="1"/>
  <c r="AX399" i="4"/>
  <c r="AZ399" i="4" s="1"/>
  <c r="AX324" i="4"/>
  <c r="AZ324" i="4" s="1"/>
  <c r="AX80" i="4"/>
  <c r="AZ80" i="4" s="1"/>
  <c r="AX175" i="4"/>
  <c r="AZ175" i="4" s="1"/>
  <c r="AX204" i="4"/>
  <c r="AZ204" i="4" s="1"/>
  <c r="AX461" i="4"/>
  <c r="AZ461" i="4" s="1"/>
  <c r="AX354" i="4"/>
  <c r="AZ354" i="4" s="1"/>
  <c r="AX323" i="4"/>
  <c r="AZ323" i="4" s="1"/>
  <c r="AX427" i="4"/>
  <c r="AZ427" i="4" s="1"/>
  <c r="AX500" i="4"/>
  <c r="AZ500" i="4" s="1"/>
  <c r="AX210" i="4"/>
  <c r="AZ210" i="4" s="1"/>
  <c r="AX359" i="4"/>
  <c r="AZ359" i="4" s="1"/>
  <c r="AX302" i="4"/>
  <c r="AZ302" i="4" s="1"/>
  <c r="AX152" i="4"/>
  <c r="AZ152" i="4" s="1"/>
  <c r="AX260" i="4"/>
  <c r="AZ260" i="4" s="1"/>
  <c r="AX503" i="4"/>
  <c r="AZ503" i="4" s="1"/>
  <c r="AX460" i="4"/>
  <c r="AZ460" i="4" s="1"/>
  <c r="AX100" i="4"/>
  <c r="AZ100" i="4" s="1"/>
  <c r="AX75" i="4"/>
  <c r="AZ75" i="4" s="1"/>
  <c r="AX183" i="4"/>
  <c r="AZ183" i="4" s="1"/>
  <c r="AX356" i="4"/>
  <c r="AZ356" i="4" s="1"/>
  <c r="AX501" i="4"/>
  <c r="AZ501" i="4" s="1"/>
  <c r="AX22" i="4"/>
  <c r="AZ22" i="4" s="1"/>
  <c r="AX514" i="4"/>
  <c r="AZ514" i="4" s="1"/>
  <c r="AX425" i="4"/>
  <c r="AZ425" i="4" s="1"/>
  <c r="AX300" i="4"/>
  <c r="AZ300" i="4" s="1"/>
  <c r="AX70" i="4"/>
  <c r="AZ70" i="4" s="1"/>
  <c r="AX416" i="4"/>
  <c r="AZ416" i="4" s="1"/>
  <c r="AX428" i="4"/>
  <c r="AZ428" i="4" s="1"/>
  <c r="AX120" i="4"/>
  <c r="AZ120" i="4" s="1"/>
  <c r="AX91" i="4"/>
  <c r="AZ91" i="4" s="1"/>
  <c r="AX273" i="4"/>
  <c r="AZ273" i="4" s="1"/>
  <c r="AX125" i="4"/>
  <c r="AZ125" i="4" s="1"/>
  <c r="AX285" i="4"/>
  <c r="AZ285" i="4" s="1"/>
  <c r="AX236" i="4"/>
  <c r="AZ236" i="4" s="1"/>
  <c r="AX42" i="4"/>
  <c r="AZ42" i="4" s="1"/>
  <c r="AX442" i="4"/>
  <c r="AZ442" i="4" s="1"/>
  <c r="AX141" i="4"/>
  <c r="AZ141" i="4" s="1"/>
  <c r="AX370" i="4"/>
  <c r="AZ370" i="4" s="1"/>
  <c r="AX28" i="4"/>
  <c r="AZ28" i="4" s="1"/>
  <c r="AX185" i="4"/>
  <c r="AZ185" i="4" s="1"/>
  <c r="AX303" i="4"/>
  <c r="AZ303" i="4" s="1"/>
  <c r="AX508" i="4"/>
  <c r="AZ508" i="4" s="1"/>
  <c r="AX469" i="4"/>
  <c r="AZ469" i="4" s="1"/>
  <c r="AX485" i="4"/>
  <c r="AZ485" i="4" s="1"/>
  <c r="AX390" i="4"/>
  <c r="AZ390" i="4" s="1"/>
  <c r="AX332" i="4"/>
  <c r="AZ332" i="4" s="1"/>
  <c r="AX112" i="4"/>
  <c r="AZ112" i="4" s="1"/>
  <c r="AX448" i="4"/>
  <c r="AZ448" i="4" s="1"/>
  <c r="AX201" i="4"/>
  <c r="AZ201" i="4" s="1"/>
  <c r="AX543" i="4"/>
  <c r="AZ543" i="4" s="1"/>
  <c r="AX404" i="4"/>
  <c r="AZ404" i="4" s="1"/>
  <c r="AX238" i="4"/>
  <c r="AZ238" i="4" s="1"/>
  <c r="AX470" i="4"/>
  <c r="AZ470" i="4" s="1"/>
  <c r="AX489" i="4"/>
  <c r="AZ489" i="4" s="1"/>
  <c r="AX220" i="4"/>
  <c r="AZ220" i="4" s="1"/>
  <c r="AX401" i="4"/>
  <c r="AZ401" i="4" s="1"/>
  <c r="AX250" i="4"/>
  <c r="AZ250" i="4" s="1"/>
  <c r="AX132" i="4"/>
  <c r="AZ132" i="4" s="1"/>
  <c r="AX536" i="4"/>
  <c r="AZ536" i="4" s="1"/>
  <c r="AX222" i="4"/>
  <c r="AZ222" i="4" s="1"/>
  <c r="AX20" i="4"/>
  <c r="AZ20" i="4" s="1"/>
  <c r="AX318" i="4"/>
  <c r="AZ318" i="4" s="1"/>
  <c r="AX71" i="4"/>
  <c r="AZ71" i="4" s="1"/>
  <c r="AX121" i="4"/>
  <c r="AZ121" i="4" s="1"/>
  <c r="AX164" i="4"/>
  <c r="AZ164" i="4" s="1"/>
  <c r="AX453" i="4"/>
  <c r="AZ453" i="4" s="1"/>
  <c r="AX301" i="4"/>
  <c r="AZ301" i="4" s="1"/>
  <c r="AX314" i="4"/>
  <c r="AZ314" i="4" s="1"/>
  <c r="AX208" i="4"/>
  <c r="AZ208" i="4" s="1"/>
  <c r="AX40" i="4"/>
  <c r="AZ40" i="4" s="1"/>
  <c r="AX329" i="4"/>
  <c r="AZ329" i="4" s="1"/>
  <c r="AX92" i="4"/>
  <c r="AZ92" i="4" s="1"/>
  <c r="AX181" i="4"/>
  <c r="AZ181" i="4" s="1"/>
  <c r="AX288" i="4"/>
  <c r="AZ288" i="4" s="1"/>
  <c r="AX472" i="4"/>
  <c r="AZ472" i="4" s="1"/>
  <c r="AX373" i="4"/>
  <c r="AZ373" i="4" s="1"/>
  <c r="AX495" i="4"/>
  <c r="AZ495" i="4" s="1"/>
  <c r="AX531" i="4"/>
  <c r="AZ531" i="4" s="1"/>
  <c r="AX38" i="4"/>
  <c r="AZ38" i="4" s="1"/>
  <c r="AX254" i="4"/>
  <c r="AZ254" i="4" s="1"/>
  <c r="AX43" i="4"/>
  <c r="AZ43" i="4" s="1"/>
  <c r="AX151" i="4"/>
  <c r="AZ151" i="4" s="1"/>
  <c r="AX66" i="4"/>
  <c r="AZ66" i="4" s="1"/>
  <c r="AX214" i="4"/>
  <c r="AZ214" i="4" s="1"/>
  <c r="AX55" i="4"/>
  <c r="AZ55" i="4" s="1"/>
  <c r="AX326" i="4"/>
  <c r="AZ326" i="4" s="1"/>
  <c r="AX424" i="4"/>
  <c r="AZ424" i="4" s="1"/>
  <c r="AX122" i="4"/>
  <c r="AZ122" i="4" s="1"/>
  <c r="AX527" i="4"/>
  <c r="AZ527" i="4" s="1"/>
  <c r="AX242" i="4"/>
  <c r="AZ242" i="4" s="1"/>
  <c r="AX135" i="4"/>
  <c r="AZ135" i="4" s="1"/>
  <c r="AX205" i="4"/>
  <c r="AZ205" i="4" s="1"/>
  <c r="AX406" i="4"/>
  <c r="AZ406" i="4" s="1"/>
  <c r="AX348" i="4"/>
  <c r="AZ348" i="4" s="1"/>
  <c r="AX73" i="4"/>
  <c r="AZ73" i="4" s="1"/>
  <c r="AX335" i="4"/>
  <c r="AZ335" i="4" s="1"/>
  <c r="AX172" i="4"/>
  <c r="AZ172" i="4" s="1"/>
  <c r="AX426" i="4"/>
  <c r="AZ426" i="4" s="1"/>
  <c r="AX294" i="4"/>
  <c r="AZ294" i="4" s="1"/>
  <c r="AX67" i="4"/>
  <c r="AZ67" i="4" s="1"/>
  <c r="AX140" i="4"/>
  <c r="AZ140" i="4" s="1"/>
  <c r="AX530" i="4"/>
  <c r="AZ530" i="4" s="1"/>
  <c r="AX47" i="4"/>
  <c r="AZ47" i="4" s="1"/>
  <c r="AX271" i="4"/>
  <c r="AZ271" i="4" s="1"/>
  <c r="AX499" i="4"/>
  <c r="AZ499" i="4" s="1"/>
  <c r="AX96" i="4"/>
  <c r="AZ96" i="4" s="1"/>
  <c r="AX333" i="4"/>
  <c r="AZ333" i="4" s="1"/>
  <c r="AX59" i="4"/>
  <c r="AZ59" i="4" s="1"/>
  <c r="AX415" i="4"/>
  <c r="AZ415" i="4" s="1"/>
  <c r="AX479" i="4"/>
  <c r="AZ479" i="4" s="1"/>
  <c r="AX475" i="4"/>
  <c r="AZ475" i="4" s="1"/>
  <c r="AX380" i="4"/>
  <c r="AZ380" i="4" s="1"/>
  <c r="AX444" i="4"/>
  <c r="AZ444" i="4" s="1"/>
  <c r="AX400" i="4"/>
  <c r="AZ400" i="4" s="1"/>
  <c r="AX234" i="4"/>
  <c r="AZ234" i="4" s="1"/>
  <c r="AX379" i="4"/>
  <c r="AZ379" i="4" s="1"/>
  <c r="AX523" i="4"/>
  <c r="AZ523" i="4" s="1"/>
  <c r="AX57" i="4"/>
  <c r="AZ57" i="4" s="1"/>
  <c r="AX257" i="4"/>
  <c r="AZ257" i="4" s="1"/>
  <c r="AX138" i="4"/>
  <c r="AZ138" i="4" s="1"/>
  <c r="AX77" i="4"/>
  <c r="AZ77" i="4" s="1"/>
  <c r="AX445" i="4"/>
  <c r="AZ445" i="4" s="1"/>
  <c r="AX465" i="4"/>
  <c r="AZ465" i="4" s="1"/>
  <c r="AX253" i="4"/>
  <c r="AZ253" i="4" s="1"/>
  <c r="AX190" i="4"/>
  <c r="AZ190" i="4" s="1"/>
  <c r="AX340" i="4"/>
  <c r="AZ340" i="4" s="1"/>
  <c r="AX211" i="4"/>
  <c r="AZ211" i="4" s="1"/>
  <c r="AX124" i="4"/>
  <c r="AZ124" i="4" s="1"/>
  <c r="AX529" i="4"/>
  <c r="AZ529" i="4" s="1"/>
  <c r="AX386" i="4"/>
  <c r="AZ386" i="4" s="1"/>
  <c r="AX423" i="4"/>
  <c r="AZ423" i="4" s="1"/>
  <c r="AX283" i="4"/>
  <c r="AZ283" i="4" s="1"/>
  <c r="AX177" i="4"/>
  <c r="AZ177" i="4" s="1"/>
  <c r="AX239" i="4"/>
  <c r="AZ239" i="4" s="1"/>
  <c r="AX98" i="4"/>
  <c r="AZ98" i="4" s="1"/>
  <c r="AX226" i="4"/>
  <c r="AZ226" i="4" s="1"/>
  <c r="AX357" i="4"/>
  <c r="AZ357" i="4" s="1"/>
  <c r="AX249" i="4"/>
  <c r="AZ249" i="4" s="1"/>
  <c r="AX456" i="4"/>
  <c r="AZ456" i="4" s="1"/>
  <c r="AX336" i="4"/>
  <c r="AZ336" i="4" s="1"/>
  <c r="AX346" i="4"/>
  <c r="AZ346" i="4" s="1"/>
  <c r="AX85" i="4"/>
  <c r="AZ85" i="4" s="1"/>
  <c r="AX407" i="4"/>
  <c r="AZ407" i="4" s="1"/>
  <c r="AX396" i="4"/>
  <c r="AZ396" i="4" s="1"/>
  <c r="AX437" i="4"/>
  <c r="AZ437" i="4" s="1"/>
  <c r="AX134" i="4"/>
  <c r="AZ134" i="4" s="1"/>
  <c r="AX422" i="4"/>
  <c r="AZ422" i="4" s="1"/>
  <c r="AX117" i="4"/>
  <c r="AZ117" i="4" s="1"/>
  <c r="AX289" i="4"/>
  <c r="AZ289" i="4" s="1"/>
  <c r="AX280" i="4"/>
  <c r="AZ280" i="4" s="1"/>
  <c r="AX321" i="4"/>
  <c r="AZ321" i="4" s="1"/>
  <c r="AX94" i="4"/>
  <c r="AZ94" i="4" s="1"/>
  <c r="AX231" i="4"/>
  <c r="AZ231" i="4" s="1"/>
  <c r="AX108" i="4"/>
  <c r="AZ108" i="4" s="1"/>
  <c r="AX244" i="4"/>
  <c r="AZ244" i="4" s="1"/>
  <c r="AX446" i="4"/>
  <c r="AZ446" i="4" s="1"/>
  <c r="AX216" i="4"/>
  <c r="AZ216" i="4" s="1"/>
  <c r="AX494" i="4"/>
  <c r="AZ494" i="4" s="1"/>
  <c r="AX365" i="4"/>
  <c r="AZ365" i="4" s="1"/>
  <c r="AX95" i="4"/>
  <c r="AZ95" i="4" s="1"/>
  <c r="AX48" i="4"/>
  <c r="AZ48" i="4" s="1"/>
  <c r="AX518" i="4"/>
  <c r="AZ518" i="4" s="1"/>
  <c r="AX248" i="4"/>
  <c r="AZ248" i="4" s="1"/>
  <c r="AX308" i="4"/>
  <c r="AZ308" i="4" s="1"/>
  <c r="AX119" i="4"/>
  <c r="AZ119" i="4" s="1"/>
  <c r="AX51" i="4"/>
  <c r="AZ51" i="4" s="1"/>
  <c r="AX490" i="4"/>
  <c r="AZ490" i="4" s="1"/>
  <c r="AX176" i="4"/>
  <c r="AZ176" i="4" s="1"/>
  <c r="AX44" i="4"/>
  <c r="AZ44" i="4" s="1"/>
  <c r="AX237" i="4"/>
  <c r="AZ237" i="4" s="1"/>
  <c r="AX110" i="4"/>
  <c r="AZ110" i="4" s="1"/>
  <c r="AX61" i="4"/>
  <c r="AZ61" i="4" s="1"/>
  <c r="AX534" i="4"/>
  <c r="AZ534" i="4" s="1"/>
  <c r="AX421" i="4"/>
  <c r="AZ421" i="4" s="1"/>
  <c r="AX355" i="4"/>
  <c r="AZ355" i="4" s="1"/>
  <c r="AX298" i="4"/>
  <c r="AZ298" i="4" s="1"/>
  <c r="AX267" i="4"/>
  <c r="AZ267" i="4" s="1"/>
  <c r="AX30" i="4"/>
  <c r="AZ30" i="4" s="1"/>
  <c r="AX258" i="4"/>
  <c r="AZ258" i="4" s="1"/>
  <c r="AX262" i="4"/>
  <c r="AZ262" i="4" s="1"/>
  <c r="AX123" i="4"/>
  <c r="AZ123" i="4" s="1"/>
  <c r="AX383" i="4"/>
  <c r="AZ383" i="4" s="1"/>
  <c r="AX187" i="4"/>
  <c r="AZ187" i="4" s="1"/>
  <c r="AX371" i="4"/>
  <c r="AZ371" i="4" s="1"/>
  <c r="AX101" i="4"/>
  <c r="AZ101" i="4" s="1"/>
  <c r="AX191" i="4"/>
  <c r="AZ191" i="4" s="1"/>
  <c r="AX550" i="4"/>
  <c r="AZ550" i="4" s="1"/>
  <c r="AX69" i="4"/>
  <c r="AZ69" i="4" s="1"/>
  <c r="AX468" i="4"/>
  <c r="AZ468" i="4" s="1"/>
  <c r="AX130" i="4"/>
  <c r="AZ130" i="4" s="1"/>
  <c r="AX522" i="4"/>
  <c r="AZ522" i="4" s="1"/>
  <c r="AX343" i="4"/>
  <c r="AZ343" i="4" s="1"/>
  <c r="AX136" i="4"/>
  <c r="AZ136" i="4" s="1"/>
  <c r="AX279" i="4"/>
  <c r="AZ279" i="4" s="1"/>
  <c r="AX478" i="4"/>
  <c r="AZ478" i="4" s="1"/>
  <c r="AX429" i="4"/>
  <c r="AZ429" i="4" s="1"/>
  <c r="AX52" i="4"/>
  <c r="AZ52" i="4" s="1"/>
  <c r="AX496" i="4"/>
  <c r="AZ496" i="4" s="1"/>
  <c r="AX443" i="4"/>
  <c r="AZ443" i="4" s="1"/>
  <c r="AX143" i="4"/>
  <c r="AZ143" i="4" s="1"/>
  <c r="AX537" i="4"/>
  <c r="AZ537" i="4" s="1"/>
  <c r="AX320" i="4"/>
  <c r="AZ320" i="4" s="1"/>
  <c r="AX235" i="4"/>
  <c r="AZ235" i="4" s="1"/>
  <c r="AX194" i="4"/>
  <c r="AZ194" i="4" s="1"/>
  <c r="AX486" i="4"/>
  <c r="AZ486" i="4" s="1"/>
  <c r="AX34" i="4"/>
  <c r="AZ34" i="4" s="1"/>
  <c r="AX526" i="4"/>
  <c r="AZ526" i="4" s="1"/>
  <c r="AX286" i="4"/>
  <c r="AZ286" i="4" s="1"/>
  <c r="AX385" i="4"/>
  <c r="AZ385" i="4" s="1"/>
  <c r="AX374" i="4"/>
  <c r="AZ374" i="4" s="1"/>
  <c r="AX219" i="4"/>
  <c r="AZ219" i="4" s="1"/>
  <c r="AX163" i="4"/>
  <c r="AZ163" i="4" s="1"/>
  <c r="AX229" i="4"/>
  <c r="AZ229" i="4" s="1"/>
  <c r="AX99" i="4"/>
  <c r="AZ99" i="4" s="1"/>
  <c r="AX539" i="4"/>
  <c r="AZ539" i="4" s="1"/>
  <c r="AX524" i="4"/>
  <c r="AZ524" i="4" s="1"/>
  <c r="AX282" i="4"/>
  <c r="AZ282" i="4" s="1"/>
  <c r="AX463" i="4"/>
  <c r="AZ463" i="4" s="1"/>
  <c r="AX305" i="4"/>
  <c r="AZ305" i="4" s="1"/>
  <c r="AX377" i="4"/>
  <c r="AZ377" i="4" s="1"/>
  <c r="AX277" i="4"/>
  <c r="AZ277" i="4" s="1"/>
  <c r="AX97" i="4"/>
  <c r="AZ97" i="4" s="1"/>
  <c r="AX449" i="4"/>
  <c r="AZ449" i="4" s="1"/>
  <c r="AX109" i="4"/>
  <c r="AZ109" i="4" s="1"/>
  <c r="AX246" i="4"/>
  <c r="AZ246" i="4" s="1"/>
  <c r="AX84" i="4"/>
  <c r="AZ84" i="4" s="1"/>
  <c r="AX517" i="4"/>
  <c r="AZ517" i="4" s="1"/>
  <c r="AX221" i="4"/>
  <c r="AZ221" i="4" s="1"/>
  <c r="AX516" i="4"/>
  <c r="AZ516" i="4" s="1"/>
  <c r="AX362" i="4"/>
  <c r="AZ362" i="4" s="1"/>
  <c r="AX497" i="4"/>
  <c r="AZ497" i="4" s="1"/>
  <c r="AX14" i="4"/>
  <c r="AZ14" i="4" s="1"/>
  <c r="AX304" i="4"/>
  <c r="AZ304" i="4" s="1"/>
  <c r="AX114" i="4"/>
  <c r="AZ114" i="4" s="1"/>
  <c r="AX313" i="4"/>
  <c r="AZ313" i="4" s="1"/>
  <c r="AX434" i="4"/>
  <c r="AZ434" i="4" s="1"/>
  <c r="AX50" i="4"/>
  <c r="AZ50" i="4" s="1"/>
  <c r="AX299" i="4"/>
  <c r="AZ299" i="4" s="1"/>
  <c r="AX394" i="4"/>
  <c r="AZ394" i="4" s="1"/>
  <c r="AX217" i="4"/>
  <c r="AZ217" i="4" s="1"/>
  <c r="AX171" i="4"/>
  <c r="AZ171" i="4" s="1"/>
  <c r="AX137" i="4"/>
  <c r="AZ137" i="4" s="1"/>
  <c r="AX544" i="4"/>
  <c r="AZ544" i="4" s="1"/>
  <c r="AX477" i="4"/>
  <c r="AZ477" i="4" s="1"/>
  <c r="AX322" i="4"/>
  <c r="AZ322" i="4" s="1"/>
  <c r="AX5" i="4"/>
  <c r="AX193" i="4"/>
  <c r="AZ193" i="4" s="1"/>
  <c r="AX53" i="4"/>
  <c r="AZ53" i="4" s="1"/>
  <c r="AX412" i="4"/>
  <c r="AZ412" i="4" s="1"/>
  <c r="AX186" i="4"/>
  <c r="AZ186" i="4" s="1"/>
  <c r="AX264" i="4"/>
  <c r="AZ264" i="4" s="1"/>
  <c r="AX46" i="4"/>
  <c r="AZ46" i="4" s="1"/>
  <c r="AX341" i="4"/>
  <c r="AZ341" i="4" s="1"/>
  <c r="AX232" i="4"/>
  <c r="AZ232" i="4" s="1"/>
  <c r="AX218" i="4"/>
  <c r="AZ218" i="4" s="1"/>
  <c r="AX291" i="4"/>
  <c r="AZ291" i="4" s="1"/>
  <c r="AX36" i="4"/>
  <c r="AZ36" i="4" s="1"/>
  <c r="AX410" i="4"/>
  <c r="AZ410" i="4" s="1"/>
  <c r="AX352" i="4"/>
  <c r="AZ352" i="4" s="1"/>
  <c r="AX269" i="4"/>
  <c r="AZ269" i="4" s="1"/>
  <c r="AX338" i="4"/>
  <c r="AZ338" i="4" s="1"/>
  <c r="AX203" i="4"/>
  <c r="AZ203" i="4" s="1"/>
  <c r="AX63" i="4"/>
  <c r="AZ63" i="4" s="1"/>
  <c r="AX167" i="4"/>
  <c r="AZ167" i="4" s="1"/>
  <c r="AX440" i="4"/>
  <c r="AZ440" i="4" s="1"/>
  <c r="AX488" i="4"/>
  <c r="AZ488" i="4" s="1"/>
  <c r="AX368" i="4"/>
  <c r="AZ368" i="4" s="1"/>
  <c r="AX144" i="4"/>
  <c r="AZ144" i="4" s="1"/>
  <c r="AX498" i="4"/>
  <c r="AZ498" i="4" s="1"/>
  <c r="AX278" i="4"/>
  <c r="AZ278" i="4" s="1"/>
  <c r="AX139" i="4"/>
  <c r="AZ139" i="4" s="1"/>
  <c r="AX89" i="4"/>
  <c r="AZ89" i="4" s="1"/>
  <c r="AX206" i="4"/>
  <c r="AZ206" i="4" s="1"/>
  <c r="AX142" i="4"/>
  <c r="AZ142" i="4" s="1"/>
  <c r="AX505" i="4"/>
  <c r="AZ505" i="4" s="1"/>
  <c r="AX116" i="4"/>
  <c r="AZ116" i="4" s="1"/>
  <c r="AX25" i="4"/>
  <c r="AZ25" i="4" s="1"/>
  <c r="AX414" i="4"/>
  <c r="AZ414" i="4" s="1"/>
  <c r="AX174" i="4"/>
  <c r="AZ174" i="4" s="1"/>
  <c r="AX49" i="4"/>
  <c r="AZ49" i="4" s="1"/>
  <c r="AX18" i="4"/>
  <c r="AZ18" i="4" s="1"/>
  <c r="AX33" i="4"/>
  <c r="AZ33" i="4" s="1"/>
  <c r="AX11" i="4"/>
  <c r="AZ11" i="4" s="1"/>
  <c r="AX15" i="4"/>
  <c r="AZ15" i="4" s="1"/>
  <c r="K36" i="6"/>
  <c r="D22" i="6"/>
  <c r="E22" i="6" s="1"/>
  <c r="D20" i="6"/>
  <c r="E20" i="6" s="1"/>
  <c r="D37" i="6"/>
  <c r="K40" i="6"/>
  <c r="I40" i="6"/>
  <c r="J40" i="6" s="1"/>
  <c r="I32" i="6"/>
  <c r="J32" i="6" s="1"/>
  <c r="I29" i="6"/>
  <c r="J29" i="6" s="1"/>
  <c r="I19" i="6"/>
  <c r="J19" i="6" s="1"/>
  <c r="I15" i="6"/>
  <c r="J15" i="6" s="1"/>
  <c r="I36" i="6"/>
  <c r="J36" i="6" s="1"/>
  <c r="I22" i="6"/>
  <c r="J22" i="6" s="1"/>
  <c r="I39" i="6"/>
  <c r="J39" i="6" s="1"/>
  <c r="I17" i="6"/>
  <c r="J17" i="6" s="1"/>
  <c r="I14" i="6"/>
  <c r="J14" i="6" s="1"/>
  <c r="I23" i="6"/>
  <c r="J23" i="6" s="1"/>
  <c r="I31" i="6"/>
  <c r="J31" i="6" s="1"/>
  <c r="I28" i="6"/>
  <c r="J28" i="6" s="1"/>
  <c r="I38" i="6"/>
  <c r="J38" i="6" s="1"/>
  <c r="I35" i="6"/>
  <c r="J35" i="6" s="1"/>
  <c r="I21" i="6"/>
  <c r="J21" i="6" s="1"/>
  <c r="I27" i="6"/>
  <c r="J27" i="6" s="1"/>
  <c r="I16" i="6"/>
  <c r="J16" i="6" s="1"/>
  <c r="I13" i="6"/>
  <c r="J13" i="6" s="1"/>
  <c r="I33" i="6"/>
  <c r="J33" i="6" s="1"/>
  <c r="I30" i="6"/>
  <c r="J30" i="6" s="1"/>
  <c r="I20" i="6"/>
  <c r="J20" i="6" s="1"/>
  <c r="C4" i="6"/>
  <c r="I37" i="6"/>
  <c r="J37" i="6" s="1"/>
  <c r="D28" i="6"/>
  <c r="E28" i="6" s="1"/>
  <c r="K31" i="6"/>
  <c r="D36" i="6"/>
  <c r="E36" i="6" s="1"/>
  <c r="D40" i="6"/>
  <c r="E40" i="6" s="1"/>
  <c r="K13" i="6"/>
  <c r="K22" i="6"/>
  <c r="D27" i="6"/>
  <c r="K27" i="6"/>
  <c r="H27" i="6"/>
  <c r="K20" i="6"/>
  <c r="K19" i="6"/>
  <c r="D29" i="6"/>
  <c r="E29" i="6" s="1"/>
  <c r="D30" i="6"/>
  <c r="E30" i="6" s="1"/>
  <c r="D16" i="6"/>
  <c r="E16" i="6" s="1"/>
  <c r="K15" i="6"/>
  <c r="D32" i="6"/>
  <c r="E32" i="6" s="1"/>
  <c r="D19" i="6"/>
  <c r="D15" i="6"/>
  <c r="E15" i="6" s="1"/>
  <c r="K23" i="6"/>
  <c r="K38" i="6"/>
  <c r="K33" i="6"/>
  <c r="D35" i="6"/>
  <c r="D21" i="6"/>
  <c r="E21" i="6" s="1"/>
  <c r="K17" i="6"/>
  <c r="D14" i="6"/>
  <c r="E14" i="6" s="1"/>
  <c r="K37" i="6"/>
  <c r="K30" i="6"/>
  <c r="K39" i="6"/>
  <c r="D23" i="6"/>
  <c r="E23" i="6" s="1"/>
  <c r="D33" i="6"/>
  <c r="K16" i="6"/>
  <c r="D39" i="6"/>
  <c r="K32" i="6"/>
  <c r="K28" i="6"/>
  <c r="K35" i="6"/>
  <c r="D31" i="6"/>
  <c r="E31" i="6" s="1"/>
  <c r="D17" i="6"/>
  <c r="E17" i="6" s="1"/>
  <c r="D13" i="6"/>
  <c r="D38" i="6"/>
  <c r="E38" i="6" s="1"/>
  <c r="K14" i="6"/>
  <c r="K21" i="6"/>
  <c r="F2" i="2"/>
  <c r="F30" i="2"/>
  <c r="F32" i="2"/>
  <c r="D29" i="2"/>
  <c r="J30" i="2"/>
  <c r="J32" i="2"/>
  <c r="J31" i="2"/>
  <c r="J33" i="2"/>
  <c r="K33" i="2" s="1"/>
  <c r="F29" i="2"/>
  <c r="D31" i="2"/>
  <c r="D30" i="2"/>
  <c r="F31" i="2"/>
  <c r="D33" i="2"/>
  <c r="E33" i="2" s="1"/>
  <c r="J29" i="2"/>
  <c r="F33" i="2"/>
  <c r="D32" i="2"/>
  <c r="D15" i="2"/>
  <c r="E15" i="2" s="1"/>
  <c r="J23" i="2"/>
  <c r="K23" i="2" s="1"/>
  <c r="D19" i="2"/>
  <c r="E19" i="2" s="1"/>
  <c r="J20" i="2"/>
  <c r="K20" i="2" s="1"/>
  <c r="D21" i="2"/>
  <c r="E21" i="2" s="1"/>
  <c r="F23" i="2"/>
  <c r="F18" i="2"/>
  <c r="C3" i="2"/>
  <c r="D23" i="2"/>
  <c r="E23" i="2" s="1"/>
  <c r="D28" i="2"/>
  <c r="J26" i="2"/>
  <c r="J27" i="2"/>
  <c r="F27" i="2"/>
  <c r="F28" i="2"/>
  <c r="D13" i="2"/>
  <c r="E13" i="2" s="1"/>
  <c r="D24" i="2"/>
  <c r="J18" i="2"/>
  <c r="K18" i="2" s="1"/>
  <c r="J21" i="2"/>
  <c r="K21" i="2" s="1"/>
  <c r="J19" i="2"/>
  <c r="K19" i="2" s="1"/>
  <c r="F25" i="2"/>
  <c r="F22" i="2"/>
  <c r="D12" i="2"/>
  <c r="E12" i="2" s="1"/>
  <c r="D18" i="2"/>
  <c r="E18" i="2" s="1"/>
  <c r="J17" i="2"/>
  <c r="K17" i="2" s="1"/>
  <c r="J13" i="2"/>
  <c r="K13" i="2" s="1"/>
  <c r="D11" i="2"/>
  <c r="E11" i="2" s="1"/>
  <c r="F11" i="2"/>
  <c r="F20" i="2"/>
  <c r="D22" i="2"/>
  <c r="E22" i="2" s="1"/>
  <c r="D14" i="2"/>
  <c r="E14" i="2" s="1"/>
  <c r="J16" i="2"/>
  <c r="K16" i="2" s="1"/>
  <c r="J28" i="2"/>
  <c r="F21" i="2"/>
  <c r="F17" i="2"/>
  <c r="D16" i="2"/>
  <c r="E16" i="2" s="1"/>
  <c r="D26" i="2"/>
  <c r="J15" i="2"/>
  <c r="K15" i="2" s="1"/>
  <c r="J12" i="2"/>
  <c r="K12" i="2" s="1"/>
  <c r="F26" i="2"/>
  <c r="F14" i="2"/>
  <c r="F19" i="2"/>
  <c r="D17" i="2"/>
  <c r="E17" i="2" s="1"/>
  <c r="D20" i="2"/>
  <c r="E20" i="2" s="1"/>
  <c r="J22" i="2"/>
  <c r="K22" i="2" s="1"/>
  <c r="J25" i="2"/>
  <c r="F13" i="2"/>
  <c r="F16" i="2"/>
  <c r="F24" i="2"/>
  <c r="D27" i="2"/>
  <c r="D25" i="2"/>
  <c r="J14" i="2"/>
  <c r="K14" i="2" s="1"/>
  <c r="J24" i="2"/>
  <c r="F15" i="2"/>
  <c r="F12" i="2"/>
  <c r="AZ5" i="4" l="1"/>
  <c r="BC5" i="4"/>
  <c r="BB7" i="4"/>
  <c r="BC6" i="4"/>
  <c r="BB8" i="4"/>
  <c r="BC7" i="4"/>
  <c r="BB9" i="4"/>
  <c r="BC8" i="4"/>
  <c r="BB4" i="4"/>
  <c r="BB6" i="4"/>
  <c r="BC9" i="4"/>
  <c r="BC4" i="4"/>
  <c r="BB5" i="4"/>
  <c r="AZ21" i="4"/>
  <c r="B1" i="4"/>
  <c r="C5" i="6" s="1"/>
  <c r="G7" i="6"/>
  <c r="H7" i="6" s="1"/>
  <c r="E37" i="6"/>
  <c r="G9" i="6"/>
  <c r="H9" i="6" s="1"/>
  <c r="E33" i="6"/>
  <c r="G8" i="6"/>
  <c r="H8" i="6" s="1"/>
  <c r="E39" i="6"/>
  <c r="G10" i="6"/>
  <c r="H10" i="6" s="1"/>
  <c r="G6" i="6"/>
  <c r="H6" i="6" s="1"/>
  <c r="B2" i="4"/>
  <c r="C6" i="2" s="1"/>
  <c r="E27" i="6"/>
  <c r="E19" i="6"/>
  <c r="G4" i="6"/>
  <c r="H4" i="6" s="1"/>
  <c r="E13" i="6"/>
  <c r="G3" i="6"/>
  <c r="H3" i="6" s="1"/>
  <c r="E35" i="6"/>
  <c r="E32" i="2"/>
  <c r="K25" i="2"/>
  <c r="K31" i="2"/>
  <c r="K24" i="2"/>
  <c r="E26" i="2"/>
  <c r="K29" i="2"/>
  <c r="K32" i="2"/>
  <c r="K27" i="2"/>
  <c r="K30" i="2"/>
  <c r="E25" i="2"/>
  <c r="E29" i="2"/>
  <c r="E27" i="2"/>
  <c r="K26" i="2"/>
  <c r="E30" i="2"/>
  <c r="E28" i="2"/>
  <c r="D42" i="6"/>
  <c r="E31" i="2"/>
  <c r="K28" i="2"/>
  <c r="E24" i="2"/>
  <c r="C5" i="2" l="1"/>
  <c r="P5" i="2" s="1"/>
  <c r="P6" i="2"/>
  <c r="Q8" i="2"/>
  <c r="R8" i="2"/>
  <c r="P8" i="2"/>
  <c r="C6" i="6"/>
  <c r="E42" i="6"/>
  <c r="P7" i="2" l="1"/>
  <c r="Q7" i="2"/>
  <c r="R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<sst xmlns="http://schemas.openxmlformats.org/spreadsheetml/2006/main" count="322" uniqueCount="80">
  <si>
    <t>Risk</t>
  </si>
  <si>
    <t>Bucket</t>
  </si>
  <si>
    <t>Type</t>
  </si>
  <si>
    <t>USD Swap</t>
  </si>
  <si>
    <t>FX</t>
  </si>
  <si>
    <t>Q*S</t>
  </si>
  <si>
    <t xml:space="preserve">CoVaR Multiplier (c) </t>
  </si>
  <si>
    <t>99% VaR</t>
  </si>
  <si>
    <t>Allocation</t>
  </si>
  <si>
    <t>Min Trade</t>
  </si>
  <si>
    <t>diag(Q)</t>
  </si>
  <si>
    <t>1mo</t>
  </si>
  <si>
    <t>2mo</t>
  </si>
  <si>
    <t>3mo</t>
  </si>
  <si>
    <t>4mo</t>
  </si>
  <si>
    <t>6mo</t>
  </si>
  <si>
    <t>1y</t>
  </si>
  <si>
    <t>2y</t>
  </si>
  <si>
    <t>3y</t>
  </si>
  <si>
    <t>5y</t>
  </si>
  <si>
    <t>7y</t>
  </si>
  <si>
    <t>10y</t>
  </si>
  <si>
    <t>20y</t>
  </si>
  <si>
    <t>30y</t>
  </si>
  <si>
    <t>USDBRL</t>
  </si>
  <si>
    <t>USDCOP</t>
  </si>
  <si>
    <t>USDCLP</t>
  </si>
  <si>
    <t>USDPEN</t>
  </si>
  <si>
    <t>USDMXN</t>
  </si>
  <si>
    <t>dates</t>
  </si>
  <si>
    <t>Hist VaR</t>
  </si>
  <si>
    <t>PnL</t>
  </si>
  <si>
    <t>Hist 99%</t>
  </si>
  <si>
    <t>eqw</t>
  </si>
  <si>
    <t>c Reduc</t>
  </si>
  <si>
    <t>ewma</t>
  </si>
  <si>
    <t>1Y</t>
  </si>
  <si>
    <t>all</t>
  </si>
  <si>
    <t>rie</t>
  </si>
  <si>
    <t>%c Reduc</t>
  </si>
  <si>
    <t>99% CoVaR</t>
  </si>
  <si>
    <t>95% CoVaR</t>
  </si>
  <si>
    <t>99%  Last 300 obs Hist vs CoVar</t>
  </si>
  <si>
    <t>99%  Last 546 obs Hist vs CoVar</t>
  </si>
  <si>
    <t>Hist 99% 300 obs</t>
  </si>
  <si>
    <t>Hist 99% 546 obs</t>
  </si>
  <si>
    <t xml:space="preserve"> marginal c x 1k/1mio</t>
  </si>
  <si>
    <t>%Allocation</t>
  </si>
  <si>
    <t>real risk</t>
  </si>
  <si>
    <t>USDEUR</t>
  </si>
  <si>
    <t>USDGBP</t>
  </si>
  <si>
    <t>USDJPY</t>
  </si>
  <si>
    <t>USDAUD</t>
  </si>
  <si>
    <t>USDCHF</t>
  </si>
  <si>
    <t>Latam FX</t>
  </si>
  <si>
    <t>G10 FX</t>
  </si>
  <si>
    <t>m c x 1mio</t>
  </si>
  <si>
    <t>STIR</t>
  </si>
  <si>
    <t>LT Rates</t>
  </si>
  <si>
    <t>Total Risk</t>
  </si>
  <si>
    <t>c Multiplier</t>
  </si>
  <si>
    <t>DV01</t>
  </si>
  <si>
    <t xml:space="preserve">FX 1% Delta </t>
  </si>
  <si>
    <t>FX (in USD)</t>
  </si>
  <si>
    <t>US Swaps (in USD)</t>
  </si>
  <si>
    <t>99% Hist VaR (1y)</t>
  </si>
  <si>
    <t>99% Hist VaR (All)</t>
  </si>
  <si>
    <t>Half Life: Number of days until the following obs go to 0.5 weight</t>
  </si>
  <si>
    <t>0.94 EWMA CoVaR (2y Lookback, OW last 11 obs)</t>
  </si>
  <si>
    <t>m c x 10k</t>
  </si>
  <si>
    <t>std</t>
  </si>
  <si>
    <t>Delta</t>
  </si>
  <si>
    <t>USD Parll</t>
  </si>
  <si>
    <t>0-1Y</t>
  </si>
  <si>
    <t>1-5Y</t>
  </si>
  <si>
    <t>5-10Y</t>
  </si>
  <si>
    <t>10-30Y</t>
  </si>
  <si>
    <t>CoVaR</t>
  </si>
  <si>
    <t>fx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</si>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</sst>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4" fontId="0" fillId="0" borderId="0" xfId="0" applyNumberFormat="1"/>
    <xf numFmtId="10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0" fillId="0" borderId="0" xfId="0" applyFont="1"/>
    <xf numFmtId="3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1</xdr:row>
      <xdr:rowOff>38100</xdr:rowOff>
    </xdr:from>
    <xdr:to>
      <xdr:col>11</xdr:col>
      <xdr:colOff>124011</xdr:colOff>
      <xdr:row>3</xdr:row>
      <xdr:rowOff>133416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8B684-2049-7A03-1965-4B6FA3354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4275" y="228600"/>
          <a:ext cx="1333686" cy="476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995A-D163-447B-B33C-10F82B1ADAD3}">
  <dimension ref="B1:P68"/>
  <sheetViews>
    <sheetView workbookViewId="0">
      <selection activeCell="C36" sqref="C36"/>
    </sheetView>
  </sheetViews>
  <sheetFormatPr defaultRowHeight="15" x14ac:dyDescent="0.25"/>
  <cols>
    <col min="1" max="1" width="4.140625" customWidth="1"/>
    <col min="2" max="2" width="17.7109375" bestFit="1" customWidth="1"/>
    <col min="3" max="3" width="12.42578125" bestFit="1" customWidth="1"/>
    <col min="4" max="4" width="10.28515625" customWidth="1"/>
    <col min="5" max="5" width="11.140625" customWidth="1"/>
    <col min="6" max="6" width="10.85546875" bestFit="1" customWidth="1"/>
    <col min="13" max="13" width="10.85546875" bestFit="1" customWidth="1"/>
    <col min="14" max="14" width="9.28515625" bestFit="1" customWidth="1"/>
  </cols>
  <sheetData>
    <row r="1" spans="2:16" x14ac:dyDescent="0.25">
      <c r="B1" t="s">
        <v>68</v>
      </c>
      <c r="J1" t="s">
        <v>67</v>
      </c>
    </row>
    <row r="2" spans="2:16" x14ac:dyDescent="0.25">
      <c r="F2" t="s">
        <v>71</v>
      </c>
      <c r="G2" t="s">
        <v>77</v>
      </c>
    </row>
    <row r="3" spans="2:16" x14ac:dyDescent="0.25">
      <c r="B3" t="s">
        <v>60</v>
      </c>
      <c r="C3" s="2">
        <f>Risk!C2</f>
        <v>666190.69739097019</v>
      </c>
      <c r="E3" t="s">
        <v>54</v>
      </c>
      <c r="F3" s="2">
        <f>SUM(C13:C17)*100</f>
        <v>-15000000</v>
      </c>
      <c r="G3" s="2">
        <f>SUM(D13:D17)</f>
        <v>77852.582379245519</v>
      </c>
      <c r="H3" s="3">
        <f>G3/$C$3</f>
        <v>0.11686230787091859</v>
      </c>
      <c r="M3" s="1">
        <f>LN(0.5)/LN(0.94)</f>
        <v>11.202305583621158</v>
      </c>
    </row>
    <row r="4" spans="2:16" x14ac:dyDescent="0.25">
      <c r="B4" t="s">
        <v>40</v>
      </c>
      <c r="C4" s="2">
        <f>C3*-2.326</f>
        <v>-1549559.5621313967</v>
      </c>
      <c r="E4" t="s">
        <v>55</v>
      </c>
      <c r="F4" s="2">
        <f>SUM(C19:C23)*100</f>
        <v>12000000</v>
      </c>
      <c r="G4" s="2">
        <f>SUM(D19:D23)</f>
        <v>-10281.739591732789</v>
      </c>
      <c r="H4" s="3">
        <f t="shared" ref="H4:H9" si="0">G4/$C$3</f>
        <v>-1.543362828691482E-2</v>
      </c>
    </row>
    <row r="5" spans="2:16" x14ac:dyDescent="0.25">
      <c r="B5" t="s">
        <v>65</v>
      </c>
      <c r="C5" s="2">
        <f>Hist!B1</f>
        <v>-1916578.1142613946</v>
      </c>
    </row>
    <row r="6" spans="2:16" x14ac:dyDescent="0.25">
      <c r="B6" t="s">
        <v>66</v>
      </c>
      <c r="C6" s="2">
        <f>Hist!B2</f>
        <v>-2040256.1805218225</v>
      </c>
      <c r="E6" t="s">
        <v>72</v>
      </c>
      <c r="F6" s="2">
        <f>SUM(C27:C40)</f>
        <v>-126093.5</v>
      </c>
      <c r="G6" s="2">
        <f>SUM(D27:D40)</f>
        <v>598619.85460345773</v>
      </c>
      <c r="H6" s="3">
        <f>G6/$C$3</f>
        <v>0.89857132041599663</v>
      </c>
    </row>
    <row r="7" spans="2:16" x14ac:dyDescent="0.25">
      <c r="E7" s="11" t="s">
        <v>73</v>
      </c>
      <c r="F7" s="9">
        <f>SUM(C27:C32)</f>
        <v>-13052</v>
      </c>
      <c r="G7" s="9">
        <f>SUM(D27:D32)</f>
        <v>43865.185746914562</v>
      </c>
      <c r="H7" s="10">
        <f>G7/$C$3</f>
        <v>6.5844788764997136E-2</v>
      </c>
    </row>
    <row r="8" spans="2:16" x14ac:dyDescent="0.25">
      <c r="E8" s="11" t="s">
        <v>74</v>
      </c>
      <c r="F8" s="9">
        <f>SUM(C33:C36)</f>
        <v>-97723.5</v>
      </c>
      <c r="G8" s="9">
        <f>SUM(D33:D36)</f>
        <v>434912.7636994319</v>
      </c>
      <c r="H8" s="10">
        <f>G8/$C$3</f>
        <v>0.65283523982351976</v>
      </c>
    </row>
    <row r="9" spans="2:16" x14ac:dyDescent="0.25">
      <c r="E9" s="11" t="s">
        <v>75</v>
      </c>
      <c r="F9" s="9">
        <f>SUM(C37:C38)</f>
        <v>-47391</v>
      </c>
      <c r="G9" s="9">
        <f>SUM(D37:D38)</f>
        <v>215114.2419009213</v>
      </c>
      <c r="H9" s="10">
        <f>G9/$C$3</f>
        <v>0.32290189992652552</v>
      </c>
    </row>
    <row r="10" spans="2:16" x14ac:dyDescent="0.25">
      <c r="E10" s="11" t="s">
        <v>76</v>
      </c>
      <c r="F10" s="9">
        <f>SUM(C39:C40)</f>
        <v>32073</v>
      </c>
      <c r="G10" s="9">
        <f>SUM(D39:D40)</f>
        <v>-95272.336743810156</v>
      </c>
      <c r="H10" s="10">
        <f>G10/$C$3</f>
        <v>-0.14301060809904595</v>
      </c>
    </row>
    <row r="11" spans="2:16" x14ac:dyDescent="0.25">
      <c r="B11" s="6" t="s">
        <v>63</v>
      </c>
    </row>
    <row r="12" spans="2:16" x14ac:dyDescent="0.25">
      <c r="B12" t="s">
        <v>54</v>
      </c>
      <c r="C12" s="2" t="s">
        <v>62</v>
      </c>
      <c r="D12" t="s">
        <v>8</v>
      </c>
      <c r="E12" t="s">
        <v>47</v>
      </c>
      <c r="H12" t="s">
        <v>9</v>
      </c>
      <c r="I12" t="s">
        <v>34</v>
      </c>
      <c r="J12" t="s">
        <v>39</v>
      </c>
      <c r="K12" t="s">
        <v>56</v>
      </c>
      <c r="M12" t="s">
        <v>5</v>
      </c>
      <c r="N12" t="s">
        <v>10</v>
      </c>
    </row>
    <row r="13" spans="2:16" x14ac:dyDescent="0.25">
      <c r="B13" t="s">
        <v>24</v>
      </c>
      <c r="C13" s="2">
        <v>0</v>
      </c>
      <c r="D13" s="2">
        <f>(C13*M13)/$C$3</f>
        <v>0</v>
      </c>
      <c r="E13" s="3">
        <f>D13/$C$3</f>
        <v>0</v>
      </c>
      <c r="G13" s="2"/>
      <c r="H13" s="2">
        <f>-M13/N13</f>
        <v>287604.24373797141</v>
      </c>
      <c r="I13" s="2">
        <f>$C$3-SQRT($C$3^2-(M13^2)/N13)</f>
        <v>40020.886695430148</v>
      </c>
      <c r="J13" s="3">
        <f>I13/$C$3</f>
        <v>6.0074220267808572E-2</v>
      </c>
      <c r="K13" s="2">
        <f>(-1000*M13)/$C$3</f>
        <v>269.94577277148795</v>
      </c>
      <c r="M13" s="2">
        <f>Risk!M24</f>
        <v>-179835.36262038193</v>
      </c>
      <c r="N13" s="1">
        <f>Risk!N24</f>
        <v>0.62528758367079296</v>
      </c>
      <c r="O13" s="3"/>
      <c r="P13" s="3"/>
    </row>
    <row r="14" spans="2:16" x14ac:dyDescent="0.25">
      <c r="B14" t="s">
        <v>25</v>
      </c>
      <c r="C14" s="2">
        <v>-50000</v>
      </c>
      <c r="D14" s="2">
        <f>(C14*M14)/$C$3</f>
        <v>6806.1777391799524</v>
      </c>
      <c r="E14" s="3">
        <f t="shared" ref="E14:E17" si="1">D14/$C$3</f>
        <v>1.0216560762309146E-2</v>
      </c>
      <c r="G14" s="2"/>
      <c r="H14" s="2">
        <f>-M14/N14</f>
        <v>63942.370797365984</v>
      </c>
      <c r="I14" s="2">
        <f>$C$3-SQRT($C$3^2-(M14^2)/N14)</f>
        <v>4366.3403188528027</v>
      </c>
      <c r="J14" s="3">
        <f t="shared" ref="J14:J17" si="2">I14/$C$3</f>
        <v>6.5541898677854244E-3</v>
      </c>
      <c r="K14" s="2">
        <f>(-1000*M14)/$C$3</f>
        <v>136.12355478359905</v>
      </c>
      <c r="M14" s="2">
        <f>Risk!M25</f>
        <v>-90684.245892623789</v>
      </c>
      <c r="N14" s="1">
        <f>Risk!N25</f>
        <v>1.41821838573992</v>
      </c>
      <c r="O14" s="3"/>
      <c r="P14" s="3"/>
    </row>
    <row r="15" spans="2:16" x14ac:dyDescent="0.25">
      <c r="B15" t="s">
        <v>26</v>
      </c>
      <c r="C15" s="2">
        <v>120000</v>
      </c>
      <c r="D15" s="2">
        <f>(C15*M15)/$C$3</f>
        <v>17508.830886585351</v>
      </c>
      <c r="E15" s="3">
        <f t="shared" si="1"/>
        <v>2.6282010474111842E-2</v>
      </c>
      <c r="G15" s="2"/>
      <c r="H15" s="2">
        <f>-M15/N15</f>
        <v>-79902.171365373419</v>
      </c>
      <c r="I15" s="2">
        <f>$C$3-SQRT($C$3^2-(M15^2)/N15)</f>
        <v>5854.8680027010851</v>
      </c>
      <c r="J15" s="3">
        <f t="shared" si="2"/>
        <v>8.7885766427401989E-3</v>
      </c>
      <c r="K15" s="2">
        <f>(-1000*M15)/$C$3</f>
        <v>-145.90692405487792</v>
      </c>
      <c r="M15" s="2">
        <f>Risk!M26</f>
        <v>97201.835490290454</v>
      </c>
      <c r="N15" s="1">
        <f>Risk!N26</f>
        <v>1.2165105632212401</v>
      </c>
      <c r="O15" s="3"/>
      <c r="P15" s="3"/>
    </row>
    <row r="16" spans="2:16" x14ac:dyDescent="0.25">
      <c r="B16" t="s">
        <v>27</v>
      </c>
      <c r="C16" s="2">
        <v>-150000</v>
      </c>
      <c r="D16" s="2">
        <f>(C16*M16)/$C$3</f>
        <v>30596.248149629773</v>
      </c>
      <c r="E16" s="3">
        <f t="shared" si="1"/>
        <v>4.5927162101565076E-2</v>
      </c>
      <c r="G16" s="2"/>
      <c r="H16" s="2">
        <f>-M16/N16</f>
        <v>322172.31251573708</v>
      </c>
      <c r="I16" s="2">
        <f>$C$3-SQRT($C$3^2-(M16^2)/N16)</f>
        <v>33710.451579598477</v>
      </c>
      <c r="J16" s="3">
        <f t="shared" si="2"/>
        <v>5.0601804725914204E-2</v>
      </c>
      <c r="K16" s="2">
        <f>(-1000*M16)/$C$3</f>
        <v>203.97498766419849</v>
      </c>
      <c r="M16" s="2">
        <f>Risk!M27</f>
        <v>-135886.23928232695</v>
      </c>
      <c r="N16" s="1">
        <f>Risk!N27</f>
        <v>0.42178124563602698</v>
      </c>
      <c r="O16" s="3"/>
      <c r="P16" s="3"/>
    </row>
    <row r="17" spans="2:16" x14ac:dyDescent="0.25">
      <c r="B17" t="s">
        <v>28</v>
      </c>
      <c r="C17" s="2">
        <v>-70000</v>
      </c>
      <c r="D17" s="2">
        <f>(C17*M17)/$C$3</f>
        <v>22941.325603850448</v>
      </c>
      <c r="E17" s="3">
        <f t="shared" si="1"/>
        <v>3.4436574532932536E-2</v>
      </c>
      <c r="G17" s="2"/>
      <c r="H17" s="2">
        <f>-M17/N17</f>
        <v>456362.07220987271</v>
      </c>
      <c r="I17" s="2">
        <f>$C$3-SQRT($C$3^2-(M17^2)/N17)</f>
        <v>79529.615378895425</v>
      </c>
      <c r="J17" s="3">
        <f t="shared" si="2"/>
        <v>0.11937965463997097</v>
      </c>
      <c r="K17" s="2">
        <f>(-1000*M17)/$C$3</f>
        <v>327.73322291214924</v>
      </c>
      <c r="M17" s="2">
        <f>Risk!M28</f>
        <v>-218332.82433003502</v>
      </c>
      <c r="N17" s="1">
        <f>Risk!N28</f>
        <v>0.478420179119591</v>
      </c>
      <c r="O17" s="3"/>
      <c r="P17" s="3"/>
    </row>
    <row r="18" spans="2:16" x14ac:dyDescent="0.25">
      <c r="B18" t="s">
        <v>55</v>
      </c>
      <c r="C18" s="2" t="s">
        <v>62</v>
      </c>
      <c r="D18" s="2" t="s">
        <v>8</v>
      </c>
      <c r="E18" s="2" t="s">
        <v>47</v>
      </c>
      <c r="G18" s="2"/>
      <c r="H18" s="2" t="s">
        <v>9</v>
      </c>
      <c r="I18" s="2" t="s">
        <v>34</v>
      </c>
      <c r="J18" s="2" t="s">
        <v>39</v>
      </c>
      <c r="K18" t="s">
        <v>56</v>
      </c>
      <c r="M18" t="s">
        <v>5</v>
      </c>
      <c r="N18" t="s">
        <v>10</v>
      </c>
    </row>
    <row r="19" spans="2:16" x14ac:dyDescent="0.25">
      <c r="B19" t="s">
        <v>49</v>
      </c>
      <c r="C19" s="2">
        <v>40000</v>
      </c>
      <c r="D19" s="2">
        <f>(C19*M19)/$C$3</f>
        <v>-4599.5783898058526</v>
      </c>
      <c r="E19" s="3">
        <f>D19/$C$3</f>
        <v>-6.9042969345254578E-3</v>
      </c>
      <c r="G19" s="2"/>
      <c r="H19" s="2">
        <f>-M19/N19</f>
        <v>160120.56289348309</v>
      </c>
      <c r="I19" s="2">
        <f>$C$3-SQRT($C$3^2-(M19^2)/N19)</f>
        <v>9270.5924771222053</v>
      </c>
      <c r="J19" s="3">
        <f t="shared" ref="J19:J23" si="3">I19/$C$3</f>
        <v>1.3915823972668794E-2</v>
      </c>
      <c r="K19" s="2">
        <f>(-1000*M19)/$C$3</f>
        <v>114.98945974514632</v>
      </c>
      <c r="M19" s="2">
        <f>Risk!M29</f>
        <v>-76604.908380229914</v>
      </c>
      <c r="N19" s="1">
        <f>Risk!N28</f>
        <v>0.478420179119591</v>
      </c>
    </row>
    <row r="20" spans="2:16" x14ac:dyDescent="0.25">
      <c r="B20" t="s">
        <v>50</v>
      </c>
      <c r="C20" s="2">
        <v>80000</v>
      </c>
      <c r="D20" s="2">
        <f>(C20*M20)/$C$3</f>
        <v>-5682.161201926936</v>
      </c>
      <c r="E20" s="3">
        <f t="shared" ref="E20:E23" si="4">D20/$C$3</f>
        <v>-8.5293313523893619E-3</v>
      </c>
      <c r="G20" s="2"/>
      <c r="H20" s="2">
        <f>-M20/N20</f>
        <v>98903.722580370581</v>
      </c>
      <c r="I20" s="2">
        <f>$C$3-SQRT($C$3^2-(M20^2)/N20)</f>
        <v>3521.7266597127309</v>
      </c>
      <c r="J20" s="3">
        <f t="shared" si="3"/>
        <v>5.2863642099852384E-3</v>
      </c>
      <c r="K20" s="2">
        <f>(-1000*M20)/$C$3</f>
        <v>71.027015024086694</v>
      </c>
      <c r="M20" s="2">
        <f>Risk!M30</f>
        <v>-47317.536672495233</v>
      </c>
      <c r="N20" s="1">
        <f>Risk!N29</f>
        <v>0.478420179119591</v>
      </c>
    </row>
    <row r="21" spans="2:16" x14ac:dyDescent="0.25">
      <c r="B21" t="s">
        <v>51</v>
      </c>
      <c r="C21" s="2">
        <v>0</v>
      </c>
      <c r="D21" s="2">
        <f>(C21*M21)/$C$3</f>
        <v>0</v>
      </c>
      <c r="E21" s="3">
        <f t="shared" si="4"/>
        <v>0</v>
      </c>
      <c r="G21" s="2"/>
      <c r="H21" s="2">
        <f>-M21/N21</f>
        <v>158654.61359774822</v>
      </c>
      <c r="I21" s="2">
        <f>$C$3-SQRT($C$3^2-(M21^2)/N21)</f>
        <v>9100.4494535005651</v>
      </c>
      <c r="J21" s="3">
        <f t="shared" si="3"/>
        <v>1.366042709563647E-2</v>
      </c>
      <c r="K21" s="2">
        <f>(-1000*M21)/$C$3</f>
        <v>113.93669853519187</v>
      </c>
      <c r="M21" s="2">
        <f>Risk!M31</f>
        <v>-75903.568655584197</v>
      </c>
      <c r="N21" s="1">
        <f>Risk!N30</f>
        <v>0.478420179119591</v>
      </c>
    </row>
    <row r="22" spans="2:16" x14ac:dyDescent="0.25">
      <c r="B22" t="s">
        <v>52</v>
      </c>
      <c r="C22" s="2">
        <v>0</v>
      </c>
      <c r="D22" s="2">
        <f>(C22*M22)/$C$3</f>
        <v>0</v>
      </c>
      <c r="E22" s="3">
        <f t="shared" si="4"/>
        <v>0</v>
      </c>
      <c r="G22" s="2"/>
      <c r="H22" s="2">
        <f>-M22/N22</f>
        <v>-102041.45936898384</v>
      </c>
      <c r="I22" s="2">
        <f>$C$3-SQRT($C$3^2-(M22^2)/N22)</f>
        <v>3749.3682269314304</v>
      </c>
      <c r="J22" s="3">
        <f t="shared" si="3"/>
        <v>5.6280705233730131E-3</v>
      </c>
      <c r="K22" s="2">
        <f>(-1000*M22)/$C$3</f>
        <v>-73.28035870228203</v>
      </c>
      <c r="M22" s="2">
        <f>Risk!M32</f>
        <v>48818.693268933712</v>
      </c>
      <c r="N22" s="1">
        <f>Risk!N31</f>
        <v>0.478420179119591</v>
      </c>
    </row>
    <row r="23" spans="2:16" x14ac:dyDescent="0.25">
      <c r="B23" t="s">
        <v>53</v>
      </c>
      <c r="C23" s="2">
        <v>0</v>
      </c>
      <c r="D23" s="2">
        <f>(C23*M23)/$C$3</f>
        <v>0</v>
      </c>
      <c r="E23" s="3">
        <f t="shared" si="4"/>
        <v>0</v>
      </c>
      <c r="G23" s="2"/>
      <c r="H23" s="2">
        <f>-M23/N23</f>
        <v>67057.041800429972</v>
      </c>
      <c r="I23" s="2">
        <f>$C$3-SQRT($C$3^2-(M23^2)/N23)</f>
        <v>1616.5791043423815</v>
      </c>
      <c r="J23" s="3">
        <f t="shared" si="3"/>
        <v>2.4266011378925828E-3</v>
      </c>
      <c r="K23" s="2">
        <f>(-1000*M23)/$C$3</f>
        <v>48.156544477479898</v>
      </c>
      <c r="M23" s="2">
        <f>Risk!M33</f>
        <v>-32081.441949391607</v>
      </c>
      <c r="N23" s="1">
        <f>Risk!N32</f>
        <v>0.478420179119591</v>
      </c>
    </row>
    <row r="24" spans="2:16" x14ac:dyDescent="0.25">
      <c r="C24" s="2"/>
    </row>
    <row r="25" spans="2:16" x14ac:dyDescent="0.25">
      <c r="B25" s="6" t="s">
        <v>64</v>
      </c>
      <c r="C25" s="2"/>
    </row>
    <row r="26" spans="2:16" x14ac:dyDescent="0.25">
      <c r="B26" s="8" t="s">
        <v>57</v>
      </c>
      <c r="C26" s="2" t="s">
        <v>61</v>
      </c>
      <c r="D26" t="s">
        <v>8</v>
      </c>
      <c r="E26" t="s">
        <v>47</v>
      </c>
      <c r="H26" t="s">
        <v>9</v>
      </c>
      <c r="I26" t="s">
        <v>34</v>
      </c>
      <c r="J26" t="s">
        <v>39</v>
      </c>
      <c r="K26" t="s">
        <v>69</v>
      </c>
      <c r="M26" t="s">
        <v>5</v>
      </c>
      <c r="N26" t="s">
        <v>10</v>
      </c>
    </row>
    <row r="27" spans="2:16" x14ac:dyDescent="0.25">
      <c r="B27" t="s">
        <v>11</v>
      </c>
      <c r="C27" s="2">
        <v>-983</v>
      </c>
      <c r="D27" s="2">
        <f>(C27*M27)/$C$3</f>
        <v>162.87601548370142</v>
      </c>
      <c r="E27" s="3">
        <f t="shared" ref="E27:E33" si="5">D27/$C$3</f>
        <v>2.4448857680177676E-4</v>
      </c>
      <c r="H27" s="2">
        <f>-M27/N27</f>
        <v>76910.866664511108</v>
      </c>
      <c r="I27" s="2">
        <f>$C$3-SQRT($C$3^2-(M27^2)/N27)</f>
        <v>6402.5546488492982</v>
      </c>
      <c r="J27" s="3">
        <f t="shared" ref="J27:J33" si="6">I27/$C$3</f>
        <v>9.6106935655569554E-3</v>
      </c>
      <c r="K27" s="2">
        <f>(-10000*M27)/$C$3</f>
        <v>1656.9279296409097</v>
      </c>
      <c r="M27" s="2">
        <f>Risk!M11</f>
        <v>-110382.99729740541</v>
      </c>
      <c r="N27" s="2">
        <f>Risk!N11</f>
        <v>1.43520678006271</v>
      </c>
    </row>
    <row r="28" spans="2:16" x14ac:dyDescent="0.25">
      <c r="B28" t="s">
        <v>12</v>
      </c>
      <c r="C28" s="2">
        <v>-2584</v>
      </c>
      <c r="D28" s="2">
        <f>(C28*M28)/$C$3</f>
        <v>403.57172953602804</v>
      </c>
      <c r="E28" s="3">
        <f t="shared" si="5"/>
        <v>6.0579010051709284E-4</v>
      </c>
      <c r="H28" s="2">
        <f>-M28/N28</f>
        <v>49074.535697899482</v>
      </c>
      <c r="I28" s="2">
        <f>$C$3-SQRT($C$3^2-(M28^2)/N28)</f>
        <v>3843.3416438045679</v>
      </c>
      <c r="J28" s="3">
        <f t="shared" si="6"/>
        <v>5.7691313596188055E-3</v>
      </c>
      <c r="K28" s="2">
        <f>(-10000*M28)/$C$3</f>
        <v>1561.8100988236381</v>
      </c>
      <c r="M28" s="2">
        <f>Risk!M12</f>
        <v>-104046.33589275795</v>
      </c>
      <c r="N28" s="2">
        <f>Risk!N12</f>
        <v>2.1201695423724898</v>
      </c>
    </row>
    <row r="29" spans="2:16" x14ac:dyDescent="0.25">
      <c r="B29" t="s">
        <v>13</v>
      </c>
      <c r="C29" s="2">
        <v>16143</v>
      </c>
      <c r="D29" s="2">
        <f>(C29*M29)/$C$3</f>
        <v>-9512.0370894193638</v>
      </c>
      <c r="E29" s="3">
        <f t="shared" si="5"/>
        <v>-1.427824964634262E-2</v>
      </c>
      <c r="H29" s="2">
        <f>-M29/N29</f>
        <v>162801.38851030587</v>
      </c>
      <c r="I29" s="2">
        <f>$C$3-SQRT($C$3^2-(M29^2)/N29)</f>
        <v>49827.647439175169</v>
      </c>
      <c r="J29" s="3">
        <f t="shared" si="6"/>
        <v>7.479487124980462E-2</v>
      </c>
      <c r="K29" s="2">
        <f>(-10000*M29)/$C$3</f>
        <v>5892.3602114968489</v>
      </c>
      <c r="M29" s="2">
        <f>Risk!M13</f>
        <v>-392543.55585758906</v>
      </c>
      <c r="N29" s="2">
        <f>Risk!N13</f>
        <v>2.4111806382581298</v>
      </c>
    </row>
    <row r="30" spans="2:16" x14ac:dyDescent="0.25">
      <c r="B30" t="s">
        <v>14</v>
      </c>
      <c r="C30" s="2">
        <v>2428</v>
      </c>
      <c r="D30" s="2">
        <f>(C30*M30)/$C$3</f>
        <v>-539.55010106819088</v>
      </c>
      <c r="E30" s="3">
        <f t="shared" si="5"/>
        <v>-8.0990338529380993E-4</v>
      </c>
      <c r="H30" s="2">
        <f>-M30/N30</f>
        <v>132416.92029204126</v>
      </c>
      <c r="I30" s="2">
        <f>$C$3-SQRT($C$3^2-(M30^2)/N30)</f>
        <v>14878.999504863285</v>
      </c>
      <c r="J30" s="3">
        <f t="shared" si="6"/>
        <v>2.2334445021725036E-2</v>
      </c>
      <c r="K30" s="2">
        <f>(-10000*M30)/$C$3</f>
        <v>2222.1997572824998</v>
      </c>
      <c r="M30" s="2">
        <f>Risk!M14</f>
        <v>-148040.88060460732</v>
      </c>
      <c r="N30" s="2">
        <f>Risk!N14</f>
        <v>1.1179906637165999</v>
      </c>
    </row>
    <row r="31" spans="2:16" x14ac:dyDescent="0.25">
      <c r="B31" t="s">
        <v>15</v>
      </c>
      <c r="C31" s="2">
        <v>-12428</v>
      </c>
      <c r="D31" s="2">
        <f>(C31*M31)/$C$3</f>
        <v>13362.513666844608</v>
      </c>
      <c r="E31" s="3">
        <f t="shared" si="5"/>
        <v>2.0058091052872346E-2</v>
      </c>
      <c r="H31" s="2">
        <f>-M31/N31</f>
        <v>185902.84338867044</v>
      </c>
      <c r="I31" s="2">
        <f>$C$3-SQRT($C$3^2-(M31^2)/N31)</f>
        <v>108830.18388575234</v>
      </c>
      <c r="J31" s="3">
        <f t="shared" si="6"/>
        <v>0.16336190870267092</v>
      </c>
      <c r="K31" s="2">
        <f>(-10000*M31)/$C$3</f>
        <v>10751.942120087389</v>
      </c>
      <c r="M31" s="2">
        <f>Risk!M15</f>
        <v>-716284.38192883646</v>
      </c>
      <c r="N31" s="2">
        <f>Risk!N15</f>
        <v>3.8530039071607298</v>
      </c>
    </row>
    <row r="32" spans="2:16" x14ac:dyDescent="0.25">
      <c r="B32" t="s">
        <v>16</v>
      </c>
      <c r="C32" s="2">
        <v>-15628</v>
      </c>
      <c r="D32" s="2">
        <f>(C32*M32)/$C$3</f>
        <v>39987.811525537778</v>
      </c>
      <c r="E32" s="3">
        <f t="shared" si="5"/>
        <v>6.002457206644235E-2</v>
      </c>
      <c r="H32" s="2">
        <f>-M32/N32</f>
        <v>179030.29288489025</v>
      </c>
      <c r="I32" s="2">
        <f>$C$3-SQRT($C$3^2-(M32^2)/N32)</f>
        <v>293853.76993653004</v>
      </c>
      <c r="J32" s="3">
        <f t="shared" si="6"/>
        <v>0.44109557681811162</v>
      </c>
      <c r="K32" s="2">
        <f>(-10000*M32)/$C$3</f>
        <v>25587.286617313654</v>
      </c>
      <c r="M32" s="2">
        <f>Risk!M16</f>
        <v>-1704601.2315930822</v>
      </c>
      <c r="N32" s="2">
        <f>Risk!N16</f>
        <v>9.5213005806178099</v>
      </c>
    </row>
    <row r="33" spans="2:14" x14ac:dyDescent="0.25">
      <c r="B33" t="s">
        <v>17</v>
      </c>
      <c r="C33" s="2">
        <v>-28216</v>
      </c>
      <c r="D33" s="2">
        <f>(C33*M33)/$C$3</f>
        <v>127259.0795885533</v>
      </c>
      <c r="E33" s="3">
        <f t="shared" si="5"/>
        <v>0.19102500243090037</v>
      </c>
      <c r="H33" s="2">
        <f>-M33/N33</f>
        <v>127449.25403257724</v>
      </c>
      <c r="I33" s="2">
        <f>$C$3-SQRT($C$3^2-(M33^2)/N33)</f>
        <v>419469.39077943214</v>
      </c>
      <c r="J33" s="3">
        <f t="shared" si="6"/>
        <v>0.62965362984235185</v>
      </c>
      <c r="K33" s="2">
        <f>(-10000*M33)/$C$3</f>
        <v>45101.743545702193</v>
      </c>
      <c r="M33" s="2">
        <f>Risk!M17</f>
        <v>-3004636.1986260032</v>
      </c>
      <c r="N33" s="2">
        <f>Risk!N17</f>
        <v>23.5751571983151</v>
      </c>
    </row>
    <row r="34" spans="2:14" x14ac:dyDescent="0.25">
      <c r="B34" s="8" t="s">
        <v>58</v>
      </c>
      <c r="C34" s="2" t="s">
        <v>61</v>
      </c>
      <c r="D34" t="s">
        <v>8</v>
      </c>
      <c r="E34" t="s">
        <v>47</v>
      </c>
      <c r="H34" t="s">
        <v>9</v>
      </c>
      <c r="I34" t="s">
        <v>34</v>
      </c>
      <c r="J34" t="s">
        <v>39</v>
      </c>
      <c r="K34" t="s">
        <v>56</v>
      </c>
      <c r="M34" t="s">
        <v>5</v>
      </c>
      <c r="N34" t="s">
        <v>10</v>
      </c>
    </row>
    <row r="35" spans="2:14" x14ac:dyDescent="0.25">
      <c r="B35" t="s">
        <v>18</v>
      </c>
      <c r="C35" s="2">
        <v>-18456</v>
      </c>
      <c r="D35" s="2">
        <f>(C35*M35)/$C$3</f>
        <v>83685.020452720171</v>
      </c>
      <c r="E35" s="3">
        <f t="shared" ref="E35:E40" si="7">D35/$C$3</f>
        <v>0.12561721558175343</v>
      </c>
      <c r="H35" s="2">
        <f>-M35/N35</f>
        <v>129887.56434678857</v>
      </c>
      <c r="I35" s="2">
        <f>$C$3-SQRT($C$3^2-(M35^2)/N35)</f>
        <v>439347.85812787106</v>
      </c>
      <c r="J35" s="3">
        <f t="shared" ref="J35:J40" si="8">I35/$C$3</f>
        <v>0.65949263453918971</v>
      </c>
      <c r="K35" s="2">
        <f>(-10000*M35)/$C$3</f>
        <v>45342.988975249333</v>
      </c>
      <c r="M35" s="2">
        <f>Risk!M18</f>
        <v>-3020707.7447212427</v>
      </c>
      <c r="N35" s="2">
        <f>Risk!N18</f>
        <v>23.256327577721098</v>
      </c>
    </row>
    <row r="36" spans="2:14" x14ac:dyDescent="0.25">
      <c r="B36" t="s">
        <v>19</v>
      </c>
      <c r="C36" s="2">
        <v>-51051.5</v>
      </c>
      <c r="D36" s="2">
        <f>(C36*M36)/$C$3</f>
        <v>223968.66365815842</v>
      </c>
      <c r="E36" s="3">
        <f t="shared" si="7"/>
        <v>0.33619302181086591</v>
      </c>
      <c r="H36" s="2">
        <f>-M36/N36</f>
        <v>132154.11025671585</v>
      </c>
      <c r="I36" s="2">
        <f>$C$3-SQRT($C$3^2-(M36^2)/N36)</f>
        <v>426254.48682057916</v>
      </c>
      <c r="J36" s="3">
        <f t="shared" si="8"/>
        <v>0.63983854546443986</v>
      </c>
      <c r="K36" s="2">
        <f>(-10000*M36)/$C$3</f>
        <v>43871.123014633929</v>
      </c>
      <c r="M36" s="2">
        <f>Risk!M19</f>
        <v>-2922653.403644402</v>
      </c>
      <c r="N36" s="2">
        <f>Risk!N19</f>
        <v>22.115493781971701</v>
      </c>
    </row>
    <row r="37" spans="2:14" x14ac:dyDescent="0.25">
      <c r="B37" t="s">
        <v>20</v>
      </c>
      <c r="C37" s="2">
        <v>-78395</v>
      </c>
      <c r="D37" s="2">
        <f>(C37*M37)/$C$3</f>
        <v>323574.77435647143</v>
      </c>
      <c r="E37" s="3">
        <f t="shared" si="7"/>
        <v>0.48570893532992959</v>
      </c>
      <c r="H37" s="2">
        <f>-M37/N37</f>
        <v>133312.35310834504</v>
      </c>
      <c r="I37" s="2">
        <f>$C$3-SQRT($C$3^2-(M37^2)/N37)</f>
        <v>388267.22983349371</v>
      </c>
      <c r="J37" s="3">
        <f t="shared" si="8"/>
        <v>0.58281694919199634</v>
      </c>
      <c r="K37" s="2">
        <f>(-10000*M37)/$C$3</f>
        <v>41274.924976908151</v>
      </c>
      <c r="M37" s="2">
        <f>Risk!M20</f>
        <v>-2749697.1055126414</v>
      </c>
      <c r="N37" s="2">
        <f>Risk!N20</f>
        <v>20.625973823130401</v>
      </c>
    </row>
    <row r="38" spans="2:14" x14ac:dyDescent="0.25">
      <c r="B38" t="s">
        <v>21</v>
      </c>
      <c r="C38" s="2">
        <v>31004</v>
      </c>
      <c r="D38" s="2">
        <f>(C38*M38)/$C$3</f>
        <v>-108460.53245555013</v>
      </c>
      <c r="E38" s="3">
        <f t="shared" si="7"/>
        <v>-0.16280703540340408</v>
      </c>
      <c r="H38" s="2">
        <f>-M38/N38</f>
        <v>143306.69780152556</v>
      </c>
      <c r="I38" s="2">
        <f>$C$3-SQRT($C$3^2-(M38^2)/N38)</f>
        <v>334782.90507996932</v>
      </c>
      <c r="J38" s="3">
        <f t="shared" si="8"/>
        <v>0.50253314312417341</v>
      </c>
      <c r="K38" s="2">
        <f>(-10000*M38)/$C$3</f>
        <v>34982.754630225172</v>
      </c>
      <c r="M38" s="2">
        <f>Risk!M21</f>
        <v>-2330518.57037669</v>
      </c>
      <c r="N38" s="2">
        <f>Risk!N21</f>
        <v>16.2624539266432</v>
      </c>
    </row>
    <row r="39" spans="2:14" x14ac:dyDescent="0.25">
      <c r="B39" t="s">
        <v>22</v>
      </c>
      <c r="C39" s="2">
        <v>32073</v>
      </c>
      <c r="D39" s="2">
        <f>(C39*M39)/$C$3</f>
        <v>-95272.336743810156</v>
      </c>
      <c r="E39" s="3">
        <f t="shared" si="7"/>
        <v>-0.14301060809904595</v>
      </c>
      <c r="H39" s="2">
        <f>-M39/N39</f>
        <v>129117.49594078258</v>
      </c>
      <c r="I39" s="2">
        <f>$C$3-SQRT($C$3^2-(M39^2)/N39)</f>
        <v>232257.19302163541</v>
      </c>
      <c r="J39" s="3">
        <f t="shared" si="8"/>
        <v>0.34863469863994456</v>
      </c>
      <c r="K39" s="2">
        <f>(-10000*M39)/$C$3</f>
        <v>29704.841063763961</v>
      </c>
      <c r="M39" s="2">
        <f>Risk!M22</f>
        <v>-1978908.8784156842</v>
      </c>
      <c r="N39" s="2">
        <f>Risk!N22</f>
        <v>15.326419274141401</v>
      </c>
    </row>
    <row r="40" spans="2:14" x14ac:dyDescent="0.25">
      <c r="B40" t="s">
        <v>23</v>
      </c>
      <c r="C40" s="2">
        <v>0</v>
      </c>
      <c r="D40" s="2">
        <f>(C40*M40)/$C$3</f>
        <v>0</v>
      </c>
      <c r="E40" s="3">
        <f t="shared" si="7"/>
        <v>0</v>
      </c>
      <c r="H40" s="2">
        <f>-M40/N40</f>
        <v>106779.71960799876</v>
      </c>
      <c r="I40" s="2">
        <f>$C$3-SQRT($C$3^2-(M40^2)/N40)</f>
        <v>148220.34505675361</v>
      </c>
      <c r="J40" s="3">
        <f t="shared" si="8"/>
        <v>0.22248936473780703</v>
      </c>
      <c r="K40" s="2">
        <f>(-10000*M40)/$C$3</f>
        <v>24673.527957164235</v>
      </c>
      <c r="M40" s="2">
        <f>Risk!M23</f>
        <v>-1643727.4796878842</v>
      </c>
      <c r="N40" s="2">
        <f>Risk!N23</f>
        <v>15.393629855202899</v>
      </c>
    </row>
    <row r="41" spans="2:14" x14ac:dyDescent="0.25">
      <c r="M41" s="2"/>
      <c r="N41" s="2"/>
    </row>
    <row r="42" spans="2:14" x14ac:dyDescent="0.25">
      <c r="C42" t="s">
        <v>59</v>
      </c>
      <c r="D42" s="2">
        <f>SUM(D13:D40)</f>
        <v>666190.69739097031</v>
      </c>
      <c r="E42" s="3">
        <f>SUM(E13:E40)</f>
        <v>1.0000000000000002</v>
      </c>
    </row>
    <row r="45" spans="2:14" x14ac:dyDescent="0.25">
      <c r="C45" s="6"/>
    </row>
    <row r="59" spans="3:3" x14ac:dyDescent="0.25">
      <c r="C59" s="6"/>
    </row>
    <row r="60" spans="3:3" x14ac:dyDescent="0.25">
      <c r="C60" s="8"/>
    </row>
    <row r="68" spans="3:3" x14ac:dyDescent="0.25">
      <c r="C68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AEE0-B28D-41C0-A17A-4F881AAE6663}">
  <dimension ref="A1:R59"/>
  <sheetViews>
    <sheetView workbookViewId="0">
      <selection activeCell="C6" sqref="C6"/>
    </sheetView>
  </sheetViews>
  <sheetFormatPr defaultRowHeight="15" x14ac:dyDescent="0.25"/>
  <cols>
    <col min="3" max="3" width="12.7109375" bestFit="1" customWidth="1"/>
    <col min="4" max="4" width="10" bestFit="1" customWidth="1"/>
    <col min="5" max="5" width="10.85546875" bestFit="1" customWidth="1"/>
    <col min="6" max="6" width="12.7109375" bestFit="1" customWidth="1"/>
    <col min="7" max="8" width="12" customWidth="1"/>
    <col min="9" max="10" width="10.85546875" bestFit="1" customWidth="1"/>
  </cols>
  <sheetData>
    <row r="1" spans="1:18" x14ac:dyDescent="0.25">
      <c r="P1" t="s">
        <v>33</v>
      </c>
      <c r="Q1" t="s">
        <v>35</v>
      </c>
      <c r="R1" t="s">
        <v>38</v>
      </c>
    </row>
    <row r="2" spans="1:18" x14ac:dyDescent="0.25">
      <c r="A2" t="s">
        <v>6</v>
      </c>
      <c r="C2" s="2" cm="1">
        <f t="array" ref="C2">SQRT(MMULT(TRANSPOSE(C11:C33),_xlfn.ANCHORARRAY(M11)))</f>
        <v>666190.69739097019</v>
      </c>
      <c r="E2">
        <v>330174.53088122775</v>
      </c>
      <c r="F2" s="2">
        <f>C2-E2</f>
        <v>336016.16650974244</v>
      </c>
      <c r="G2" s="2"/>
      <c r="H2" s="2"/>
      <c r="O2" t="s">
        <v>6</v>
      </c>
      <c r="P2" s="2">
        <v>198545.56473182217</v>
      </c>
      <c r="Q2" s="2">
        <v>299271.20297015866</v>
      </c>
      <c r="R2" s="2">
        <v>205307.0039625697</v>
      </c>
    </row>
    <row r="3" spans="1:18" x14ac:dyDescent="0.25">
      <c r="B3" s="6" t="s">
        <v>7</v>
      </c>
      <c r="C3" s="7">
        <f>C2*2.326</f>
        <v>1549559.5621313967</v>
      </c>
      <c r="O3" s="6" t="s">
        <v>40</v>
      </c>
      <c r="P3" s="2">
        <v>461816.98356621841</v>
      </c>
      <c r="Q3" s="2">
        <v>696104.81810858904</v>
      </c>
      <c r="R3" s="2">
        <v>477544.09121693711</v>
      </c>
    </row>
    <row r="4" spans="1:18" x14ac:dyDescent="0.25">
      <c r="C4" s="2"/>
      <c r="O4" t="s">
        <v>41</v>
      </c>
      <c r="P4" s="2">
        <v>326408.90841911564</v>
      </c>
      <c r="Q4" s="2">
        <v>492001.85768294078</v>
      </c>
      <c r="R4" s="2">
        <v>337524.71451446455</v>
      </c>
    </row>
    <row r="5" spans="1:18" x14ac:dyDescent="0.25">
      <c r="A5" t="s">
        <v>36</v>
      </c>
      <c r="B5" s="6" t="s">
        <v>32</v>
      </c>
      <c r="C5" s="7">
        <f>Hist!B1*-1</f>
        <v>1916578.1142613946</v>
      </c>
      <c r="O5" s="6" t="s">
        <v>44</v>
      </c>
      <c r="P5" s="7">
        <f>C5</f>
        <v>1916578.1142613946</v>
      </c>
    </row>
    <row r="6" spans="1:18" x14ac:dyDescent="0.25">
      <c r="A6" t="s">
        <v>37</v>
      </c>
      <c r="B6" s="6" t="s">
        <v>32</v>
      </c>
      <c r="C6" s="7">
        <f>Hist!B2*-1</f>
        <v>2040256.1805218225</v>
      </c>
      <c r="O6" s="6" t="s">
        <v>45</v>
      </c>
      <c r="P6" s="7">
        <f>C6</f>
        <v>2040256.1805218225</v>
      </c>
    </row>
    <row r="7" spans="1:18" x14ac:dyDescent="0.25">
      <c r="B7" s="6"/>
      <c r="C7" s="7"/>
      <c r="O7" s="6" t="s">
        <v>42</v>
      </c>
      <c r="P7" s="2">
        <f>P3-$C5</f>
        <v>-1454761.1306951763</v>
      </c>
      <c r="Q7" s="2">
        <f>Q3-$C5</f>
        <v>-1220473.2961528054</v>
      </c>
      <c r="R7" s="2">
        <f>R3-$C5</f>
        <v>-1439034.0230444574</v>
      </c>
    </row>
    <row r="8" spans="1:18" x14ac:dyDescent="0.25">
      <c r="B8" s="6"/>
      <c r="C8" s="7"/>
      <c r="O8" s="6" t="s">
        <v>43</v>
      </c>
      <c r="P8" s="2">
        <f>P3-$C6</f>
        <v>-1578439.196955604</v>
      </c>
      <c r="Q8" s="2">
        <f>Q3-$C6</f>
        <v>-1344151.3624132336</v>
      </c>
      <c r="R8" s="2">
        <f>R3-$C6</f>
        <v>-1562712.0893048854</v>
      </c>
    </row>
    <row r="9" spans="1:18" x14ac:dyDescent="0.25">
      <c r="B9" s="6"/>
      <c r="C9" s="7"/>
    </row>
    <row r="10" spans="1:18" x14ac:dyDescent="0.25">
      <c r="A10" t="s">
        <v>2</v>
      </c>
      <c r="B10" t="s">
        <v>1</v>
      </c>
      <c r="C10" t="s">
        <v>0</v>
      </c>
      <c r="D10" t="s">
        <v>8</v>
      </c>
      <c r="E10" t="s">
        <v>47</v>
      </c>
      <c r="F10" t="s">
        <v>46</v>
      </c>
      <c r="I10" t="s">
        <v>9</v>
      </c>
      <c r="J10" t="s">
        <v>34</v>
      </c>
      <c r="K10" t="s">
        <v>39</v>
      </c>
      <c r="M10" t="s">
        <v>5</v>
      </c>
      <c r="N10" t="s">
        <v>10</v>
      </c>
    </row>
    <row r="11" spans="1:18" x14ac:dyDescent="0.25">
      <c r="A11" t="s">
        <v>3</v>
      </c>
      <c r="B11" t="s">
        <v>11</v>
      </c>
      <c r="C11" s="2">
        <f>Dash!C27</f>
        <v>-983</v>
      </c>
      <c r="D11" s="2">
        <f>(C11*M11)/$C$2</f>
        <v>162.87601548370142</v>
      </c>
      <c r="E11" s="3">
        <f>+D11/$C$2</f>
        <v>2.4448857680177676E-4</v>
      </c>
      <c r="F11" s="2">
        <f>(-1000*M11)/$C$2</f>
        <v>165.69279296409098</v>
      </c>
      <c r="G11" s="2"/>
      <c r="H11" s="2"/>
      <c r="I11" s="2">
        <f t="shared" ref="I11:I28" si="0">-M11/N11</f>
        <v>76910.866664511108</v>
      </c>
      <c r="J11" s="2">
        <f>$C$2-SQRT($C$2^2-(M11^2)/N11)</f>
        <v>6402.5546488492982</v>
      </c>
      <c r="K11" s="3">
        <f>J11/$C$2</f>
        <v>9.6106935655569554E-3</v>
      </c>
      <c r="M11" s="2" cm="1">
        <f t="array" ref="M11:M33">MMULT(Q!B2:X24,C11:C33)</f>
        <v>-110382.99729740541</v>
      </c>
      <c r="N11">
        <v>1.43520678006271</v>
      </c>
    </row>
    <row r="12" spans="1:18" x14ac:dyDescent="0.25">
      <c r="A12" t="s">
        <v>3</v>
      </c>
      <c r="B12" t="s">
        <v>12</v>
      </c>
      <c r="C12" s="2">
        <f>Dash!C28</f>
        <v>-2584</v>
      </c>
      <c r="D12" s="2">
        <f>(C12*M12)/$C$2</f>
        <v>403.57172953602804</v>
      </c>
      <c r="E12" s="3">
        <f t="shared" ref="E12:E33" si="1">+D12/$C$2</f>
        <v>6.0579010051709284E-4</v>
      </c>
      <c r="F12" s="2">
        <f>(-1000*M12)/$C$2</f>
        <v>156.18100988236381</v>
      </c>
      <c r="G12" s="2"/>
      <c r="H12" s="2"/>
      <c r="I12" s="2">
        <f t="shared" si="0"/>
        <v>49074.535697899482</v>
      </c>
      <c r="J12" s="2">
        <f t="shared" ref="J11:J28" si="2">$C$2-SQRT($C$2^2-(M12^2)/N12)</f>
        <v>3843.3416438045679</v>
      </c>
      <c r="K12" s="3">
        <f t="shared" ref="K12:K28" si="3">J12/$C$2</f>
        <v>5.7691313596188055E-3</v>
      </c>
      <c r="M12" s="2">
        <v>-104046.33589275795</v>
      </c>
      <c r="N12">
        <v>2.1201695423724898</v>
      </c>
    </row>
    <row r="13" spans="1:18" x14ac:dyDescent="0.25">
      <c r="A13" t="s">
        <v>3</v>
      </c>
      <c r="B13" t="s">
        <v>13</v>
      </c>
      <c r="C13" s="2">
        <f>Dash!C29</f>
        <v>16143</v>
      </c>
      <c r="D13" s="2">
        <f>(C13*M13)/$C$2</f>
        <v>-9512.0370894193638</v>
      </c>
      <c r="E13" s="3">
        <f t="shared" si="1"/>
        <v>-1.427824964634262E-2</v>
      </c>
      <c r="F13" s="2">
        <f>(-1000*M13)/$C$2</f>
        <v>589.23602114968492</v>
      </c>
      <c r="G13" s="2"/>
      <c r="H13" s="2"/>
      <c r="I13" s="2">
        <f t="shared" si="0"/>
        <v>162801.38851030587</v>
      </c>
      <c r="J13" s="2">
        <f t="shared" si="2"/>
        <v>49827.647439175169</v>
      </c>
      <c r="K13" s="3">
        <f t="shared" si="3"/>
        <v>7.479487124980462E-2</v>
      </c>
      <c r="M13" s="2">
        <v>-392543.55585758906</v>
      </c>
      <c r="N13">
        <v>2.4111806382581298</v>
      </c>
    </row>
    <row r="14" spans="1:18" x14ac:dyDescent="0.25">
      <c r="A14" t="s">
        <v>3</v>
      </c>
      <c r="B14" t="s">
        <v>14</v>
      </c>
      <c r="C14" s="2">
        <f>Dash!C30</f>
        <v>2428</v>
      </c>
      <c r="D14" s="2">
        <f>(C14*M14)/$C$2</f>
        <v>-539.55010106819088</v>
      </c>
      <c r="E14" s="3">
        <f t="shared" si="1"/>
        <v>-8.0990338529380993E-4</v>
      </c>
      <c r="F14" s="2">
        <f>(-1000*M14)/$C$2</f>
        <v>222.21997572824998</v>
      </c>
      <c r="G14" s="2"/>
      <c r="H14" s="2"/>
      <c r="I14" s="2">
        <f t="shared" si="0"/>
        <v>132416.92029204126</v>
      </c>
      <c r="J14" s="2">
        <f t="shared" si="2"/>
        <v>14878.999504863285</v>
      </c>
      <c r="K14" s="3">
        <f t="shared" si="3"/>
        <v>2.2334445021725036E-2</v>
      </c>
      <c r="M14" s="2">
        <v>-148040.88060460732</v>
      </c>
      <c r="N14">
        <v>1.1179906637165999</v>
      </c>
    </row>
    <row r="15" spans="1:18" x14ac:dyDescent="0.25">
      <c r="A15" t="s">
        <v>3</v>
      </c>
      <c r="B15" t="s">
        <v>15</v>
      </c>
      <c r="C15" s="2">
        <f>Dash!C31</f>
        <v>-12428</v>
      </c>
      <c r="D15" s="2">
        <f>(C15*M15)/$C$2</f>
        <v>13362.513666844608</v>
      </c>
      <c r="E15" s="3">
        <f t="shared" si="1"/>
        <v>2.0058091052872346E-2</v>
      </c>
      <c r="F15" s="2">
        <f>(-1000*M15)/$C$2</f>
        <v>1075.194212008739</v>
      </c>
      <c r="G15" s="2"/>
      <c r="H15" s="2"/>
      <c r="I15" s="2">
        <f t="shared" si="0"/>
        <v>185902.84338867044</v>
      </c>
      <c r="J15" s="2">
        <f t="shared" si="2"/>
        <v>108830.18388575234</v>
      </c>
      <c r="K15" s="3">
        <f t="shared" si="3"/>
        <v>0.16336190870267092</v>
      </c>
      <c r="M15" s="2">
        <v>-716284.38192883646</v>
      </c>
      <c r="N15">
        <v>3.8530039071607298</v>
      </c>
    </row>
    <row r="16" spans="1:18" x14ac:dyDescent="0.25">
      <c r="A16" t="s">
        <v>3</v>
      </c>
      <c r="B16" t="s">
        <v>16</v>
      </c>
      <c r="C16" s="2">
        <f>Dash!C32</f>
        <v>-15628</v>
      </c>
      <c r="D16" s="2">
        <f>(C16*M16)/$C$2</f>
        <v>39987.811525537778</v>
      </c>
      <c r="E16" s="3">
        <f t="shared" si="1"/>
        <v>6.002457206644235E-2</v>
      </c>
      <c r="F16" s="2">
        <f>(-1000*M16)/$C$2</f>
        <v>2558.7286617313653</v>
      </c>
      <c r="G16" s="2"/>
      <c r="H16" s="2"/>
      <c r="I16" s="2">
        <f t="shared" si="0"/>
        <v>179030.29288489025</v>
      </c>
      <c r="J16" s="2">
        <f t="shared" si="2"/>
        <v>293853.76993653004</v>
      </c>
      <c r="K16" s="3">
        <f t="shared" si="3"/>
        <v>0.44109557681811162</v>
      </c>
      <c r="M16" s="2">
        <v>-1704601.2315930822</v>
      </c>
      <c r="N16">
        <v>9.5213005806178099</v>
      </c>
    </row>
    <row r="17" spans="1:14" x14ac:dyDescent="0.25">
      <c r="A17" t="s">
        <v>3</v>
      </c>
      <c r="B17" t="s">
        <v>17</v>
      </c>
      <c r="C17" s="2">
        <f>Dash!C33</f>
        <v>-28216</v>
      </c>
      <c r="D17" s="2">
        <f>(C17*M17)/$C$2</f>
        <v>127259.0795885533</v>
      </c>
      <c r="E17" s="3">
        <f t="shared" si="1"/>
        <v>0.19102500243090037</v>
      </c>
      <c r="F17" s="2">
        <f>(-1000*M17)/$C$2</f>
        <v>4510.1743545702193</v>
      </c>
      <c r="G17" s="2"/>
      <c r="H17" s="2"/>
      <c r="I17" s="2">
        <f t="shared" si="0"/>
        <v>127449.25403257724</v>
      </c>
      <c r="J17" s="2">
        <f t="shared" si="2"/>
        <v>419469.39077943214</v>
      </c>
      <c r="K17" s="3">
        <f t="shared" ref="K17:K27" si="4">J17/$C$2</f>
        <v>0.62965362984235185</v>
      </c>
      <c r="M17" s="2">
        <v>-3004636.1986260032</v>
      </c>
      <c r="N17">
        <v>23.5751571983151</v>
      </c>
    </row>
    <row r="18" spans="1:14" x14ac:dyDescent="0.25">
      <c r="A18" t="s">
        <v>3</v>
      </c>
      <c r="B18" t="s">
        <v>18</v>
      </c>
      <c r="C18" s="2">
        <f>Dash!C35</f>
        <v>-18456</v>
      </c>
      <c r="D18" s="2">
        <f>(C18*M18)/$C$2</f>
        <v>83685.020452720171</v>
      </c>
      <c r="E18" s="3">
        <f t="shared" si="1"/>
        <v>0.12561721558175343</v>
      </c>
      <c r="F18" s="2">
        <f>(-1000*M18)/$C$2</f>
        <v>4534.2988975249336</v>
      </c>
      <c r="G18" s="2"/>
      <c r="H18" s="2"/>
      <c r="I18" s="2">
        <f t="shared" si="0"/>
        <v>129887.56434678857</v>
      </c>
      <c r="J18" s="2">
        <f t="shared" si="2"/>
        <v>439347.85812787106</v>
      </c>
      <c r="K18" s="3">
        <f t="shared" si="4"/>
        <v>0.65949263453918971</v>
      </c>
      <c r="M18" s="2">
        <v>-3020707.7447212427</v>
      </c>
      <c r="N18">
        <v>23.256327577721098</v>
      </c>
    </row>
    <row r="19" spans="1:14" x14ac:dyDescent="0.25">
      <c r="A19" t="s">
        <v>3</v>
      </c>
      <c r="B19" t="s">
        <v>19</v>
      </c>
      <c r="C19" s="2">
        <f>Dash!C36</f>
        <v>-51051.5</v>
      </c>
      <c r="D19" s="2">
        <f>(C19*M19)/$C$2</f>
        <v>223968.66365815842</v>
      </c>
      <c r="E19" s="3">
        <f t="shared" si="1"/>
        <v>0.33619302181086591</v>
      </c>
      <c r="F19" s="2">
        <f>(-1000*M19)/$C$2</f>
        <v>4387.1123014633931</v>
      </c>
      <c r="G19" s="2"/>
      <c r="H19" s="2"/>
      <c r="I19" s="2">
        <f t="shared" si="0"/>
        <v>132154.11025671585</v>
      </c>
      <c r="J19" s="2">
        <f t="shared" si="2"/>
        <v>426254.48682057916</v>
      </c>
      <c r="K19" s="3">
        <f t="shared" si="4"/>
        <v>0.63983854546443986</v>
      </c>
      <c r="M19" s="2">
        <v>-2922653.403644402</v>
      </c>
      <c r="N19">
        <v>22.115493781971701</v>
      </c>
    </row>
    <row r="20" spans="1:14" x14ac:dyDescent="0.25">
      <c r="A20" t="s">
        <v>3</v>
      </c>
      <c r="B20" t="s">
        <v>20</v>
      </c>
      <c r="C20" s="2">
        <f>Dash!C37</f>
        <v>-78395</v>
      </c>
      <c r="D20" s="2">
        <f>(C20*M20)/$C$2</f>
        <v>323574.77435647143</v>
      </c>
      <c r="E20" s="3">
        <f t="shared" si="1"/>
        <v>0.48570893532992959</v>
      </c>
      <c r="F20" s="2">
        <f>(-1000*M20)/$C$2</f>
        <v>4127.4924976908151</v>
      </c>
      <c r="G20" s="2"/>
      <c r="H20" s="2"/>
      <c r="I20" s="2">
        <f t="shared" si="0"/>
        <v>133312.35310834504</v>
      </c>
      <c r="J20" s="2">
        <f t="shared" si="2"/>
        <v>388267.22983349371</v>
      </c>
      <c r="K20" s="3">
        <f t="shared" si="4"/>
        <v>0.58281694919199634</v>
      </c>
      <c r="M20" s="2">
        <v>-2749697.1055126414</v>
      </c>
      <c r="N20">
        <v>20.625973823130401</v>
      </c>
    </row>
    <row r="21" spans="1:14" x14ac:dyDescent="0.25">
      <c r="A21" t="s">
        <v>3</v>
      </c>
      <c r="B21" t="s">
        <v>21</v>
      </c>
      <c r="C21" s="2">
        <f>Dash!C38</f>
        <v>31004</v>
      </c>
      <c r="D21" s="2">
        <f>(C21*M21)/$C$2</f>
        <v>-108460.53245555013</v>
      </c>
      <c r="E21" s="3">
        <f t="shared" si="1"/>
        <v>-0.16280703540340408</v>
      </c>
      <c r="F21" s="2">
        <f>(-1000*M21)/$C$2</f>
        <v>3498.2754630225172</v>
      </c>
      <c r="G21" s="2"/>
      <c r="H21" s="2"/>
      <c r="I21" s="2">
        <f t="shared" si="0"/>
        <v>143306.69780152556</v>
      </c>
      <c r="J21" s="2">
        <f t="shared" si="2"/>
        <v>334782.90507996932</v>
      </c>
      <c r="K21" s="3">
        <f t="shared" si="4"/>
        <v>0.50253314312417341</v>
      </c>
      <c r="M21" s="2">
        <v>-2330518.57037669</v>
      </c>
      <c r="N21">
        <v>16.2624539266432</v>
      </c>
    </row>
    <row r="22" spans="1:14" x14ac:dyDescent="0.25">
      <c r="A22" t="s">
        <v>3</v>
      </c>
      <c r="B22" t="s">
        <v>22</v>
      </c>
      <c r="C22" s="2">
        <f>Dash!C39</f>
        <v>32073</v>
      </c>
      <c r="D22" s="2">
        <f>(C22*M22)/$C$2</f>
        <v>-95272.336743810156</v>
      </c>
      <c r="E22" s="3">
        <f t="shared" si="1"/>
        <v>-0.14301060809904595</v>
      </c>
      <c r="F22" s="2">
        <f>(-1000*M22)/$C$2</f>
        <v>2970.4841063763961</v>
      </c>
      <c r="G22" s="2"/>
      <c r="H22" s="2"/>
      <c r="I22" s="2">
        <f t="shared" si="0"/>
        <v>129117.49594078258</v>
      </c>
      <c r="J22" s="2">
        <f t="shared" si="2"/>
        <v>232257.19302163541</v>
      </c>
      <c r="K22" s="3">
        <f t="shared" si="4"/>
        <v>0.34863469863994456</v>
      </c>
      <c r="M22" s="2">
        <v>-1978908.8784156842</v>
      </c>
      <c r="N22">
        <v>15.326419274141401</v>
      </c>
    </row>
    <row r="23" spans="1:14" x14ac:dyDescent="0.25">
      <c r="A23" t="s">
        <v>3</v>
      </c>
      <c r="B23" t="s">
        <v>23</v>
      </c>
      <c r="C23" s="2">
        <f>Dash!C40</f>
        <v>0</v>
      </c>
      <c r="D23" s="2">
        <f>(C23*M23)/$C$2</f>
        <v>0</v>
      </c>
      <c r="E23" s="3">
        <f t="shared" si="1"/>
        <v>0</v>
      </c>
      <c r="F23" s="2">
        <f>(-1000*M23)/$C$2</f>
        <v>2467.3527957164238</v>
      </c>
      <c r="G23" s="2"/>
      <c r="H23" s="2"/>
      <c r="I23" s="2">
        <f t="shared" si="0"/>
        <v>106779.71960799876</v>
      </c>
      <c r="J23" s="2">
        <f t="shared" si="2"/>
        <v>148220.34505675361</v>
      </c>
      <c r="K23" s="3">
        <f t="shared" si="4"/>
        <v>0.22248936473780703</v>
      </c>
      <c r="M23" s="2">
        <v>-1643727.4796878842</v>
      </c>
      <c r="N23">
        <v>15.393629855202899</v>
      </c>
    </row>
    <row r="24" spans="1:14" x14ac:dyDescent="0.25">
      <c r="A24" t="s">
        <v>4</v>
      </c>
      <c r="B24" t="s">
        <v>24</v>
      </c>
      <c r="C24" s="2">
        <f>Dash!C13</f>
        <v>0</v>
      </c>
      <c r="D24" s="2">
        <f>(C24*M24)/$C$2</f>
        <v>0</v>
      </c>
      <c r="E24" s="3">
        <f t="shared" si="1"/>
        <v>0</v>
      </c>
      <c r="F24" s="2">
        <f>(-1000*M24)/$C$2</f>
        <v>269.94577277148795</v>
      </c>
      <c r="G24" s="2"/>
      <c r="H24" s="3"/>
      <c r="I24" s="2">
        <f t="shared" si="0"/>
        <v>287604.24373797141</v>
      </c>
      <c r="J24" s="2">
        <f t="shared" si="2"/>
        <v>40020.886695430148</v>
      </c>
      <c r="K24" s="3">
        <f t="shared" si="4"/>
        <v>6.0074220267808572E-2</v>
      </c>
      <c r="M24" s="2">
        <v>-179835.36262038193</v>
      </c>
      <c r="N24">
        <v>0.62528758367079296</v>
      </c>
    </row>
    <row r="25" spans="1:14" x14ac:dyDescent="0.25">
      <c r="A25" t="s">
        <v>4</v>
      </c>
      <c r="B25" t="s">
        <v>25</v>
      </c>
      <c r="C25" s="2">
        <f>Dash!C14</f>
        <v>-50000</v>
      </c>
      <c r="D25" s="2">
        <f>(C25*M25)/$C$2</f>
        <v>6806.1777391799524</v>
      </c>
      <c r="E25" s="3">
        <f t="shared" si="1"/>
        <v>1.0216560762309146E-2</v>
      </c>
      <c r="F25" s="2">
        <f>(-1000*M25)/$C$2</f>
        <v>136.12355478359905</v>
      </c>
      <c r="G25" s="2"/>
      <c r="H25" s="5"/>
      <c r="I25" s="2">
        <f t="shared" si="0"/>
        <v>63942.370797365984</v>
      </c>
      <c r="J25" s="2">
        <f t="shared" si="2"/>
        <v>4366.3403188528027</v>
      </c>
      <c r="K25" s="3">
        <f t="shared" si="4"/>
        <v>6.5541898677854244E-3</v>
      </c>
      <c r="M25" s="2">
        <v>-90684.245892623789</v>
      </c>
      <c r="N25">
        <v>1.41821838573992</v>
      </c>
    </row>
    <row r="26" spans="1:14" x14ac:dyDescent="0.25">
      <c r="A26" t="s">
        <v>4</v>
      </c>
      <c r="B26" t="s">
        <v>26</v>
      </c>
      <c r="C26" s="2">
        <f>Dash!C15</f>
        <v>120000</v>
      </c>
      <c r="D26" s="2">
        <f>(C26*M26)/$C$2</f>
        <v>17508.830886585351</v>
      </c>
      <c r="E26" s="3">
        <f t="shared" si="1"/>
        <v>2.6282010474111842E-2</v>
      </c>
      <c r="F26" s="2">
        <f>(-1000*M26)/$C$2</f>
        <v>-145.90692405487792</v>
      </c>
      <c r="G26" s="2"/>
      <c r="H26" s="5"/>
      <c r="I26" s="2">
        <f t="shared" si="0"/>
        <v>-79902.171365373419</v>
      </c>
      <c r="J26" s="2">
        <f t="shared" si="2"/>
        <v>5854.8680027010851</v>
      </c>
      <c r="K26" s="3">
        <f t="shared" si="4"/>
        <v>8.7885766427401989E-3</v>
      </c>
      <c r="M26" s="2">
        <v>97201.835490290454</v>
      </c>
      <c r="N26">
        <v>1.2165105632212401</v>
      </c>
    </row>
    <row r="27" spans="1:14" x14ac:dyDescent="0.25">
      <c r="A27" t="s">
        <v>4</v>
      </c>
      <c r="B27" t="s">
        <v>27</v>
      </c>
      <c r="C27" s="2">
        <f>Dash!C16</f>
        <v>-150000</v>
      </c>
      <c r="D27" s="2">
        <f>(C27*M27)/$C$2</f>
        <v>30596.248149629773</v>
      </c>
      <c r="E27" s="3">
        <f t="shared" si="1"/>
        <v>4.5927162101565076E-2</v>
      </c>
      <c r="F27" s="2">
        <f>(-1000*M27)/$C$2</f>
        <v>203.97498766419849</v>
      </c>
      <c r="G27" s="2"/>
      <c r="H27" s="5"/>
      <c r="I27" s="2">
        <f t="shared" si="0"/>
        <v>322172.31251573708</v>
      </c>
      <c r="J27" s="2">
        <f t="shared" si="2"/>
        <v>33710.451579598477</v>
      </c>
      <c r="K27" s="3">
        <f t="shared" si="4"/>
        <v>5.0601804725914204E-2</v>
      </c>
      <c r="M27" s="2">
        <v>-135886.23928232695</v>
      </c>
      <c r="N27">
        <v>0.42178124563602698</v>
      </c>
    </row>
    <row r="28" spans="1:14" x14ac:dyDescent="0.25">
      <c r="A28" t="s">
        <v>4</v>
      </c>
      <c r="B28" t="s">
        <v>28</v>
      </c>
      <c r="C28" s="2">
        <f>Dash!C17</f>
        <v>-70000</v>
      </c>
      <c r="D28" s="2">
        <f>(C28*M28)/$C$2</f>
        <v>22941.325603850448</v>
      </c>
      <c r="E28" s="3">
        <f t="shared" si="1"/>
        <v>3.4436574532932536E-2</v>
      </c>
      <c r="F28" s="2">
        <f>(-1000*M28)/$C$2</f>
        <v>327.73322291214924</v>
      </c>
      <c r="G28" s="2"/>
      <c r="H28" s="5"/>
      <c r="I28" s="2">
        <f t="shared" si="0"/>
        <v>456362.07220987271</v>
      </c>
      <c r="J28" s="2">
        <f t="shared" si="2"/>
        <v>79529.615378895425</v>
      </c>
      <c r="K28" s="3">
        <f t="shared" si="3"/>
        <v>0.11937965463997097</v>
      </c>
      <c r="M28" s="2">
        <v>-218332.82433003502</v>
      </c>
      <c r="N28">
        <v>0.478420179119591</v>
      </c>
    </row>
    <row r="29" spans="1:14" x14ac:dyDescent="0.25">
      <c r="A29" t="s">
        <v>4</v>
      </c>
      <c r="B29" t="s">
        <v>49</v>
      </c>
      <c r="C29" s="2">
        <f>Dash!C19</f>
        <v>40000</v>
      </c>
      <c r="D29" s="2">
        <f>(C29*M29)/$C$2</f>
        <v>-4599.5783898058526</v>
      </c>
      <c r="E29" s="3">
        <f t="shared" si="1"/>
        <v>-6.9042969345254578E-3</v>
      </c>
      <c r="F29" s="2">
        <f t="shared" ref="F29:F33" si="5">(-1000*M29)/$C$2</f>
        <v>114.98945974514632</v>
      </c>
      <c r="G29" s="2"/>
      <c r="H29" s="5"/>
      <c r="I29" s="2">
        <f t="shared" ref="I29:I33" si="6">-M29/N29</f>
        <v>160120.56289348309</v>
      </c>
      <c r="J29" s="2">
        <f t="shared" ref="J29:J33" si="7">$C$2-SQRT($C$2^2-(M29^2)/N29)</f>
        <v>9270.5924771222053</v>
      </c>
      <c r="K29" s="3">
        <f t="shared" ref="K29:K33" si="8">J29/$C$2</f>
        <v>1.3915823972668794E-2</v>
      </c>
      <c r="M29" s="2">
        <v>-76604.908380229914</v>
      </c>
      <c r="N29">
        <v>0.478420179119591</v>
      </c>
    </row>
    <row r="30" spans="1:14" x14ac:dyDescent="0.25">
      <c r="A30" t="s">
        <v>4</v>
      </c>
      <c r="B30" t="s">
        <v>50</v>
      </c>
      <c r="C30" s="2">
        <f>Dash!C20</f>
        <v>80000</v>
      </c>
      <c r="D30" s="2">
        <f>(C30*M30)/$C$2</f>
        <v>-5682.161201926936</v>
      </c>
      <c r="E30" s="3">
        <f t="shared" si="1"/>
        <v>-8.5293313523893619E-3</v>
      </c>
      <c r="F30" s="2">
        <f t="shared" si="5"/>
        <v>71.027015024086694</v>
      </c>
      <c r="G30" s="2"/>
      <c r="H30" s="5"/>
      <c r="I30" s="2">
        <f t="shared" si="6"/>
        <v>98903.722580370581</v>
      </c>
      <c r="J30" s="2">
        <f t="shared" si="7"/>
        <v>3521.7266597127309</v>
      </c>
      <c r="K30" s="3">
        <f t="shared" si="8"/>
        <v>5.2863642099852384E-3</v>
      </c>
      <c r="M30" s="2">
        <v>-47317.536672495233</v>
      </c>
      <c r="N30">
        <v>0.478420179119591</v>
      </c>
    </row>
    <row r="31" spans="1:14" x14ac:dyDescent="0.25">
      <c r="A31" t="s">
        <v>4</v>
      </c>
      <c r="B31" t="s">
        <v>51</v>
      </c>
      <c r="C31" s="2">
        <f>Dash!C21</f>
        <v>0</v>
      </c>
      <c r="D31" s="2">
        <f>(C31*M31)/$C$2</f>
        <v>0</v>
      </c>
      <c r="E31" s="3">
        <f t="shared" si="1"/>
        <v>0</v>
      </c>
      <c r="F31" s="2">
        <f t="shared" si="5"/>
        <v>113.93669853519187</v>
      </c>
      <c r="G31" s="2"/>
      <c r="H31" s="5"/>
      <c r="I31" s="2">
        <f t="shared" si="6"/>
        <v>158654.61359774822</v>
      </c>
      <c r="J31" s="2">
        <f t="shared" si="7"/>
        <v>9100.4494535005651</v>
      </c>
      <c r="K31" s="3">
        <f t="shared" si="8"/>
        <v>1.366042709563647E-2</v>
      </c>
      <c r="M31" s="2">
        <v>-75903.568655584197</v>
      </c>
      <c r="N31">
        <v>0.478420179119591</v>
      </c>
    </row>
    <row r="32" spans="1:14" x14ac:dyDescent="0.25">
      <c r="A32" t="s">
        <v>4</v>
      </c>
      <c r="B32" t="s">
        <v>52</v>
      </c>
      <c r="C32" s="2">
        <f>Dash!C22</f>
        <v>0</v>
      </c>
      <c r="D32" s="2">
        <f>(C32*M32)/$C$2</f>
        <v>0</v>
      </c>
      <c r="E32" s="3">
        <f t="shared" si="1"/>
        <v>0</v>
      </c>
      <c r="F32" s="2">
        <f t="shared" si="5"/>
        <v>-73.28035870228203</v>
      </c>
      <c r="G32" s="2"/>
      <c r="H32" s="5"/>
      <c r="I32" s="2">
        <f t="shared" si="6"/>
        <v>-102041.45936898384</v>
      </c>
      <c r="J32" s="2">
        <f t="shared" si="7"/>
        <v>3749.3682269314304</v>
      </c>
      <c r="K32" s="3">
        <f t="shared" si="8"/>
        <v>5.6280705233730131E-3</v>
      </c>
      <c r="M32" s="2">
        <v>48818.693268933712</v>
      </c>
      <c r="N32">
        <v>0.478420179119591</v>
      </c>
    </row>
    <row r="33" spans="1:14" x14ac:dyDescent="0.25">
      <c r="A33" t="s">
        <v>4</v>
      </c>
      <c r="B33" t="s">
        <v>53</v>
      </c>
      <c r="C33" s="2">
        <f>Dash!C23</f>
        <v>0</v>
      </c>
      <c r="D33" s="2">
        <f>(C33*M33)/$C$2</f>
        <v>0</v>
      </c>
      <c r="E33" s="3">
        <f t="shared" si="1"/>
        <v>0</v>
      </c>
      <c r="F33" s="2">
        <f t="shared" si="5"/>
        <v>48.156544477479898</v>
      </c>
      <c r="G33" s="2"/>
      <c r="H33" s="5"/>
      <c r="I33" s="2">
        <f t="shared" si="6"/>
        <v>67057.041800429972</v>
      </c>
      <c r="J33" s="2">
        <f t="shared" si="7"/>
        <v>1616.5791043423815</v>
      </c>
      <c r="K33" s="3">
        <f t="shared" si="8"/>
        <v>2.4266011378925828E-3</v>
      </c>
      <c r="M33" s="2">
        <v>-32081.441949391607</v>
      </c>
      <c r="N33">
        <v>0.478420179119591</v>
      </c>
    </row>
    <row r="34" spans="1:14" x14ac:dyDescent="0.25">
      <c r="C34" s="2"/>
    </row>
    <row r="35" spans="1:14" x14ac:dyDescent="0.25">
      <c r="C35" s="2"/>
      <c r="F35" s="5"/>
      <c r="G35" s="1"/>
    </row>
    <row r="36" spans="1:14" x14ac:dyDescent="0.25">
      <c r="A36" t="s">
        <v>48</v>
      </c>
      <c r="B36" s="6"/>
      <c r="C36" s="2" t="s">
        <v>70</v>
      </c>
      <c r="E36" s="8" t="s">
        <v>57</v>
      </c>
      <c r="F36" s="2" t="s">
        <v>61</v>
      </c>
      <c r="G36" s="1"/>
    </row>
    <row r="37" spans="1:14" x14ac:dyDescent="0.25">
      <c r="A37">
        <v>-983</v>
      </c>
      <c r="B37" t="s">
        <v>11</v>
      </c>
      <c r="C37" s="1">
        <v>-4000</v>
      </c>
      <c r="E37" t="s">
        <v>11</v>
      </c>
      <c r="F37" s="2">
        <v>-983</v>
      </c>
      <c r="G37" s="1"/>
      <c r="H37" s="1"/>
    </row>
    <row r="38" spans="1:14" x14ac:dyDescent="0.25">
      <c r="A38">
        <v>-2584</v>
      </c>
      <c r="B38" t="s">
        <v>12</v>
      </c>
      <c r="C38">
        <v>-2223</v>
      </c>
      <c r="E38" t="s">
        <v>12</v>
      </c>
      <c r="F38" s="2">
        <v>-2584</v>
      </c>
      <c r="G38" s="1"/>
      <c r="H38" s="1"/>
    </row>
    <row r="39" spans="1:14" x14ac:dyDescent="0.25">
      <c r="A39">
        <v>26143</v>
      </c>
      <c r="B39" t="s">
        <v>13</v>
      </c>
      <c r="C39">
        <v>4590</v>
      </c>
      <c r="E39" t="s">
        <v>13</v>
      </c>
      <c r="F39" s="2">
        <v>26143</v>
      </c>
      <c r="G39" s="1"/>
      <c r="H39" s="1"/>
    </row>
    <row r="40" spans="1:14" x14ac:dyDescent="0.25">
      <c r="A40">
        <v>2428</v>
      </c>
      <c r="B40" t="s">
        <v>14</v>
      </c>
      <c r="C40">
        <v>-3445</v>
      </c>
      <c r="E40" t="s">
        <v>14</v>
      </c>
      <c r="F40" s="2">
        <v>2428</v>
      </c>
    </row>
    <row r="41" spans="1:14" x14ac:dyDescent="0.25">
      <c r="A41">
        <v>12428</v>
      </c>
      <c r="B41" t="s">
        <v>15</v>
      </c>
      <c r="C41">
        <v>5435</v>
      </c>
      <c r="E41" t="s">
        <v>15</v>
      </c>
      <c r="F41" s="2">
        <v>12428</v>
      </c>
    </row>
    <row r="42" spans="1:14" x14ac:dyDescent="0.25">
      <c r="A42">
        <v>-25628</v>
      </c>
      <c r="B42" t="s">
        <v>16</v>
      </c>
      <c r="C42">
        <v>-2000</v>
      </c>
      <c r="E42" t="s">
        <v>16</v>
      </c>
      <c r="F42" s="2">
        <v>-25628</v>
      </c>
    </row>
    <row r="43" spans="1:14" x14ac:dyDescent="0.25">
      <c r="A43">
        <v>38216</v>
      </c>
      <c r="B43" t="s">
        <v>17</v>
      </c>
      <c r="C43">
        <v>4564</v>
      </c>
      <c r="E43" t="s">
        <v>17</v>
      </c>
      <c r="F43" s="2">
        <v>38216</v>
      </c>
    </row>
    <row r="44" spans="1:14" x14ac:dyDescent="0.25">
      <c r="A44">
        <v>-28456</v>
      </c>
      <c r="B44" t="s">
        <v>18</v>
      </c>
      <c r="C44">
        <v>-2223</v>
      </c>
      <c r="E44" s="8" t="s">
        <v>58</v>
      </c>
      <c r="F44" s="2" t="s">
        <v>61</v>
      </c>
    </row>
    <row r="45" spans="1:14" x14ac:dyDescent="0.25">
      <c r="A45">
        <v>11051.5</v>
      </c>
      <c r="B45" t="s">
        <v>19</v>
      </c>
      <c r="C45">
        <v>-100544</v>
      </c>
      <c r="E45" t="s">
        <v>18</v>
      </c>
      <c r="F45" s="2">
        <v>-28456</v>
      </c>
    </row>
    <row r="46" spans="1:14" x14ac:dyDescent="0.25">
      <c r="A46">
        <v>-128395</v>
      </c>
      <c r="B46" t="s">
        <v>20</v>
      </c>
      <c r="C46">
        <v>1</v>
      </c>
      <c r="E46" t="s">
        <v>19</v>
      </c>
      <c r="F46" s="2">
        <v>-51051.5</v>
      </c>
    </row>
    <row r="47" spans="1:14" x14ac:dyDescent="0.25">
      <c r="A47">
        <v>-11004</v>
      </c>
      <c r="B47" t="s">
        <v>21</v>
      </c>
      <c r="C47">
        <v>50323</v>
      </c>
      <c r="E47" t="s">
        <v>20</v>
      </c>
      <c r="F47" s="2">
        <v>-128395</v>
      </c>
    </row>
    <row r="48" spans="1:14" x14ac:dyDescent="0.25">
      <c r="A48">
        <v>32073</v>
      </c>
      <c r="B48" t="s">
        <v>22</v>
      </c>
      <c r="C48">
        <v>25323</v>
      </c>
      <c r="E48" t="s">
        <v>21</v>
      </c>
      <c r="F48" s="2">
        <v>-11004</v>
      </c>
    </row>
    <row r="49" spans="1:6" x14ac:dyDescent="0.25">
      <c r="A49">
        <v>19072</v>
      </c>
      <c r="B49" t="s">
        <v>23</v>
      </c>
      <c r="C49">
        <v>1</v>
      </c>
      <c r="E49" t="s">
        <v>22</v>
      </c>
      <c r="F49" s="2">
        <v>32073</v>
      </c>
    </row>
    <row r="50" spans="1:6" x14ac:dyDescent="0.25">
      <c r="A50">
        <v>0</v>
      </c>
      <c r="B50" t="s">
        <v>24</v>
      </c>
      <c r="C50">
        <v>1</v>
      </c>
      <c r="E50" t="s">
        <v>23</v>
      </c>
      <c r="F50" s="2">
        <v>19072</v>
      </c>
    </row>
    <row r="51" spans="1:6" x14ac:dyDescent="0.25">
      <c r="A51">
        <v>160023</v>
      </c>
      <c r="B51" t="s">
        <v>25</v>
      </c>
      <c r="C51">
        <v>-10000</v>
      </c>
    </row>
    <row r="52" spans="1:6" x14ac:dyDescent="0.25">
      <c r="A52">
        <v>202333</v>
      </c>
      <c r="B52" t="s">
        <v>26</v>
      </c>
      <c r="C52">
        <v>10000</v>
      </c>
    </row>
    <row r="53" spans="1:6" x14ac:dyDescent="0.25">
      <c r="A53">
        <v>-443783</v>
      </c>
      <c r="B53" t="s">
        <v>27</v>
      </c>
      <c r="C53">
        <v>-250000</v>
      </c>
    </row>
    <row r="54" spans="1:6" x14ac:dyDescent="0.25">
      <c r="A54">
        <v>350000</v>
      </c>
      <c r="B54" t="s">
        <v>28</v>
      </c>
      <c r="C54">
        <v>-100000</v>
      </c>
    </row>
    <row r="55" spans="1:6" x14ac:dyDescent="0.25">
      <c r="A55">
        <v>148000</v>
      </c>
      <c r="B55" t="s">
        <v>49</v>
      </c>
    </row>
    <row r="56" spans="1:6" x14ac:dyDescent="0.25">
      <c r="A56">
        <v>50000</v>
      </c>
      <c r="B56" t="s">
        <v>50</v>
      </c>
    </row>
    <row r="57" spans="1:6" x14ac:dyDescent="0.25">
      <c r="A57">
        <v>0</v>
      </c>
      <c r="B57" t="s">
        <v>51</v>
      </c>
    </row>
    <row r="58" spans="1:6" x14ac:dyDescent="0.25">
      <c r="A58">
        <v>0</v>
      </c>
      <c r="B58" t="s">
        <v>52</v>
      </c>
    </row>
    <row r="59" spans="1:6" x14ac:dyDescent="0.25">
      <c r="A59">
        <v>0</v>
      </c>
      <c r="B5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9E1F-BE3F-4036-9CAA-53DF22472DD9}">
  <dimension ref="A1:X24"/>
  <sheetViews>
    <sheetView workbookViewId="0">
      <selection activeCell="B2" sqref="B2"/>
    </sheetView>
  </sheetViews>
  <sheetFormatPr defaultRowHeight="15" x14ac:dyDescent="0.25"/>
  <sheetData>
    <row r="1" spans="1:24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</row>
    <row r="2" spans="1:24" x14ac:dyDescent="0.25">
      <c r="A2" t="s">
        <v>11</v>
      </c>
      <c r="B2">
        <v>1.43520678006271</v>
      </c>
      <c r="C2">
        <v>0.71559403362253005</v>
      </c>
      <c r="D2">
        <v>0.28725654116503702</v>
      </c>
      <c r="E2">
        <v>0.223676142586715</v>
      </c>
      <c r="F2">
        <v>6.8100075159347906E-2</v>
      </c>
      <c r="G2">
        <v>0.35063582309396502</v>
      </c>
      <c r="H2">
        <v>0.52161864047529305</v>
      </c>
      <c r="I2">
        <v>0.53362192379096796</v>
      </c>
      <c r="J2">
        <v>0.27183172077611001</v>
      </c>
      <c r="K2">
        <v>0.135390265421415</v>
      </c>
      <c r="L2">
        <v>-3.6740770323439198E-2</v>
      </c>
      <c r="M2">
        <v>-0.27440652312608399</v>
      </c>
      <c r="N2">
        <v>-0.58282892732907798</v>
      </c>
      <c r="O2">
        <v>0.125627268568271</v>
      </c>
      <c r="P2">
        <v>0.33922941107655502</v>
      </c>
      <c r="Q2">
        <v>-6.0095521588356099E-2</v>
      </c>
      <c r="R2">
        <v>0.10710347743170601</v>
      </c>
      <c r="S2">
        <v>0.14345151227623101</v>
      </c>
      <c r="T2">
        <v>6.3559651621645702E-2</v>
      </c>
      <c r="U2">
        <v>9.4800357309985303E-3</v>
      </c>
      <c r="V2">
        <v>0.11068184502310401</v>
      </c>
      <c r="W2">
        <v>-6.9076900997667195E-2</v>
      </c>
      <c r="X2">
        <v>0.121409051886255</v>
      </c>
    </row>
    <row r="3" spans="1:24" x14ac:dyDescent="0.25">
      <c r="A3" t="s">
        <v>12</v>
      </c>
      <c r="B3">
        <v>0.71559403362253005</v>
      </c>
      <c r="C3">
        <v>2.1201695423724898</v>
      </c>
      <c r="D3">
        <v>0.75240878944713796</v>
      </c>
      <c r="E3">
        <v>0.27493260347645698</v>
      </c>
      <c r="F3">
        <v>0.51441231519528796</v>
      </c>
      <c r="G3">
        <v>0.830320747791507</v>
      </c>
      <c r="H3">
        <v>1.1131113402822801</v>
      </c>
      <c r="I3">
        <v>1.1734039477457401</v>
      </c>
      <c r="J3">
        <v>0.51587879197200104</v>
      </c>
      <c r="K3">
        <v>0.234859842541602</v>
      </c>
      <c r="L3">
        <v>6.4348762555221895E-4</v>
      </c>
      <c r="M3">
        <v>-0.67510850825200697</v>
      </c>
      <c r="N3">
        <v>-0.90968578551354795</v>
      </c>
      <c r="O3">
        <v>2.14225234051988E-2</v>
      </c>
      <c r="P3">
        <v>0.16751739969400301</v>
      </c>
      <c r="Q3">
        <v>0.32538114332629797</v>
      </c>
      <c r="R3">
        <v>0.113446115156854</v>
      </c>
      <c r="S3">
        <v>-2.9098081191961198E-2</v>
      </c>
      <c r="T3">
        <v>0.157062157927047</v>
      </c>
      <c r="U3">
        <v>7.7049093562690393E-2</v>
      </c>
      <c r="V3">
        <v>0.25755131012979499</v>
      </c>
      <c r="W3">
        <v>0.117023985341817</v>
      </c>
      <c r="X3">
        <v>7.5077502040390695E-2</v>
      </c>
    </row>
    <row r="4" spans="1:24" x14ac:dyDescent="0.25">
      <c r="A4" t="s">
        <v>13</v>
      </c>
      <c r="B4">
        <v>0.28725654116503702</v>
      </c>
      <c r="C4">
        <v>0.75240878944713796</v>
      </c>
      <c r="D4">
        <v>2.4111806382581298</v>
      </c>
      <c r="E4">
        <v>0.79910393773562904</v>
      </c>
      <c r="F4">
        <v>2.3338224959776799</v>
      </c>
      <c r="G4">
        <v>2.5084867369980799</v>
      </c>
      <c r="H4">
        <v>3.5782706739847998</v>
      </c>
      <c r="I4">
        <v>3.53713165160858</v>
      </c>
      <c r="J4">
        <v>3.6654033251967899</v>
      </c>
      <c r="K4">
        <v>3.1019776310845901</v>
      </c>
      <c r="L4">
        <v>2.3717488751285001</v>
      </c>
      <c r="M4">
        <v>1.6827620412855799</v>
      </c>
      <c r="N4">
        <v>1.3029264078634899</v>
      </c>
      <c r="O4">
        <v>-8.3650379671805497E-2</v>
      </c>
      <c r="P4">
        <v>-0.30393001891538302</v>
      </c>
      <c r="Q4">
        <v>0.43502167836319899</v>
      </c>
      <c r="R4">
        <v>-3.3058402263003703E-2</v>
      </c>
      <c r="S4">
        <v>-0.126357423608915</v>
      </c>
      <c r="T4">
        <v>0.185222215329162</v>
      </c>
      <c r="U4">
        <v>0.21824332813842501</v>
      </c>
      <c r="V4">
        <v>0.215064380726842</v>
      </c>
      <c r="W4">
        <v>0.20417056961424099</v>
      </c>
      <c r="X4">
        <v>-4.2291786891323298E-2</v>
      </c>
    </row>
    <row r="5" spans="1:24" x14ac:dyDescent="0.25">
      <c r="A5" t="s">
        <v>14</v>
      </c>
      <c r="B5">
        <v>0.223676142586715</v>
      </c>
      <c r="C5">
        <v>0.27493260347645698</v>
      </c>
      <c r="D5">
        <v>0.79910393773562904</v>
      </c>
      <c r="E5">
        <v>1.1179906637165999</v>
      </c>
      <c r="F5">
        <v>0.96358574507105299</v>
      </c>
      <c r="G5">
        <v>1.2958679547983101</v>
      </c>
      <c r="H5">
        <v>1.4651771368525099</v>
      </c>
      <c r="I5">
        <v>1.45007883092763</v>
      </c>
      <c r="J5">
        <v>1.5907532339919801</v>
      </c>
      <c r="K5">
        <v>1.24797702499384</v>
      </c>
      <c r="L5">
        <v>0.90825076449840503</v>
      </c>
      <c r="M5">
        <v>0.63041082213912303</v>
      </c>
      <c r="N5">
        <v>0.62213527373640098</v>
      </c>
      <c r="O5">
        <v>-0.267891659578959</v>
      </c>
      <c r="P5">
        <v>-8.9806924756677994E-2</v>
      </c>
      <c r="Q5">
        <v>0.124653960015041</v>
      </c>
      <c r="R5">
        <v>-0.19826699536352199</v>
      </c>
      <c r="S5">
        <v>-0.24543361728680499</v>
      </c>
      <c r="T5">
        <v>-8.7214000469512994E-3</v>
      </c>
      <c r="U5">
        <v>2.8161504664022698E-2</v>
      </c>
      <c r="V5">
        <v>-5.5255426611063897E-2</v>
      </c>
      <c r="W5">
        <v>2.3112137300484899E-2</v>
      </c>
      <c r="X5">
        <v>-8.6617155661819101E-2</v>
      </c>
    </row>
    <row r="6" spans="1:24" x14ac:dyDescent="0.25">
      <c r="A6" t="s">
        <v>15</v>
      </c>
      <c r="B6">
        <v>6.8100075159347906E-2</v>
      </c>
      <c r="C6">
        <v>0.51441231519528796</v>
      </c>
      <c r="D6">
        <v>2.3338224959776799</v>
      </c>
      <c r="E6">
        <v>0.96358574507105299</v>
      </c>
      <c r="F6">
        <v>3.8530039071607298</v>
      </c>
      <c r="G6">
        <v>4.02014767940166</v>
      </c>
      <c r="H6">
        <v>5.6726295422070203</v>
      </c>
      <c r="I6">
        <v>5.6035234324450203</v>
      </c>
      <c r="J6">
        <v>5.7111237210358503</v>
      </c>
      <c r="K6">
        <v>4.9258685108949196</v>
      </c>
      <c r="L6">
        <v>3.8127521748584399</v>
      </c>
      <c r="M6">
        <v>2.96553837495546</v>
      </c>
      <c r="N6">
        <v>2.4443084818111802</v>
      </c>
      <c r="O6">
        <v>0.12537732705619101</v>
      </c>
      <c r="P6">
        <v>-0.22509799716092499</v>
      </c>
      <c r="Q6">
        <v>0.51096869662636002</v>
      </c>
      <c r="R6">
        <v>8.3872214838876899E-2</v>
      </c>
      <c r="S6">
        <v>5.8461523003031597E-2</v>
      </c>
      <c r="T6">
        <v>0.208154909378584</v>
      </c>
      <c r="U6">
        <v>0.24329095105516599</v>
      </c>
      <c r="V6">
        <v>0.15278324849372199</v>
      </c>
      <c r="W6">
        <v>0.17797091937564</v>
      </c>
      <c r="X6">
        <v>-0.14833332244974301</v>
      </c>
    </row>
    <row r="7" spans="1:24" x14ac:dyDescent="0.25">
      <c r="A7" t="s">
        <v>16</v>
      </c>
      <c r="B7">
        <v>0.35063582309396502</v>
      </c>
      <c r="C7">
        <v>0.830320747791507</v>
      </c>
      <c r="D7">
        <v>2.5084867369980799</v>
      </c>
      <c r="E7">
        <v>1.2958679547983101</v>
      </c>
      <c r="F7">
        <v>4.02014767940166</v>
      </c>
      <c r="G7">
        <v>9.5213005806178099</v>
      </c>
      <c r="H7">
        <v>13.1808476084344</v>
      </c>
      <c r="I7">
        <v>13.109374509019201</v>
      </c>
      <c r="J7">
        <v>12.0485781221967</v>
      </c>
      <c r="K7">
        <v>10.5854958218085</v>
      </c>
      <c r="L7">
        <v>8.5498965343573801</v>
      </c>
      <c r="M7">
        <v>6.8363462916207798</v>
      </c>
      <c r="N7">
        <v>5.71452589081734</v>
      </c>
      <c r="O7">
        <v>4.0013075410319898E-2</v>
      </c>
      <c r="P7">
        <v>-0.15352503685159199</v>
      </c>
      <c r="Q7">
        <v>0.17624832277544</v>
      </c>
      <c r="R7">
        <v>0.15508243627661</v>
      </c>
      <c r="S7">
        <v>0.42259017978257202</v>
      </c>
      <c r="T7">
        <v>0.52431448493635202</v>
      </c>
      <c r="U7">
        <v>0.38145835727578198</v>
      </c>
      <c r="V7">
        <v>0.42502680085775602</v>
      </c>
      <c r="W7">
        <v>4.59334104516761E-2</v>
      </c>
      <c r="X7">
        <v>0.22953341207667999</v>
      </c>
    </row>
    <row r="8" spans="1:24" x14ac:dyDescent="0.25">
      <c r="A8" t="s">
        <v>17</v>
      </c>
      <c r="B8">
        <v>0.52161864047529305</v>
      </c>
      <c r="C8">
        <v>1.1131113402822801</v>
      </c>
      <c r="D8">
        <v>3.5782706739847998</v>
      </c>
      <c r="E8">
        <v>1.4651771368525099</v>
      </c>
      <c r="F8">
        <v>5.6726295422070203</v>
      </c>
      <c r="G8">
        <v>13.1808476084344</v>
      </c>
      <c r="H8">
        <v>23.5751571983151</v>
      </c>
      <c r="I8">
        <v>22.321996491006502</v>
      </c>
      <c r="J8">
        <v>21.374197163242101</v>
      </c>
      <c r="K8">
        <v>19.6784582361805</v>
      </c>
      <c r="L8">
        <v>16.7001932671057</v>
      </c>
      <c r="M8">
        <v>14.2896669117823</v>
      </c>
      <c r="N8">
        <v>12.017395062175</v>
      </c>
      <c r="O8">
        <v>0.82373894958662797</v>
      </c>
      <c r="P8">
        <v>-0.60453093119740298</v>
      </c>
      <c r="Q8">
        <v>0.27339760619172898</v>
      </c>
      <c r="R8">
        <v>0.76149005548028403</v>
      </c>
      <c r="S8">
        <v>1.2116791508679901</v>
      </c>
      <c r="T8">
        <v>0.86168787094351995</v>
      </c>
      <c r="U8">
        <v>0.630300543439545</v>
      </c>
      <c r="V8">
        <v>0.79139618006490497</v>
      </c>
      <c r="W8">
        <v>-1.38873278131116E-2</v>
      </c>
      <c r="X8">
        <v>0.53273490458501604</v>
      </c>
    </row>
    <row r="9" spans="1:24" x14ac:dyDescent="0.25">
      <c r="A9" t="s">
        <v>18</v>
      </c>
      <c r="B9">
        <v>0.53362192379096796</v>
      </c>
      <c r="C9">
        <v>1.1734039477457401</v>
      </c>
      <c r="D9">
        <v>3.53713165160858</v>
      </c>
      <c r="E9">
        <v>1.45007883092763</v>
      </c>
      <c r="F9">
        <v>5.6035234324450203</v>
      </c>
      <c r="G9">
        <v>13.109374509019201</v>
      </c>
      <c r="H9">
        <v>22.321996491006502</v>
      </c>
      <c r="I9">
        <v>23.256327577721098</v>
      </c>
      <c r="J9">
        <v>22.047672192871101</v>
      </c>
      <c r="K9">
        <v>20.645031847028701</v>
      </c>
      <c r="L9">
        <v>17.5141056826902</v>
      </c>
      <c r="M9">
        <v>14.661103130272</v>
      </c>
      <c r="N9">
        <v>12.519986529618</v>
      </c>
      <c r="O9">
        <v>0.69946226653666399</v>
      </c>
      <c r="P9">
        <v>-0.55078428432668103</v>
      </c>
      <c r="Q9">
        <v>0.34904200269700397</v>
      </c>
      <c r="R9">
        <v>0.69578141901128698</v>
      </c>
      <c r="S9">
        <v>0.91795621524613602</v>
      </c>
      <c r="T9">
        <v>0.87864510149276198</v>
      </c>
      <c r="U9">
        <v>0.63316884031898202</v>
      </c>
      <c r="V9">
        <v>0.83868004011422803</v>
      </c>
      <c r="W9">
        <v>0.30783689523304802</v>
      </c>
      <c r="X9">
        <v>0.44343124512783899</v>
      </c>
    </row>
    <row r="10" spans="1:24" x14ac:dyDescent="0.25">
      <c r="A10" t="s">
        <v>19</v>
      </c>
      <c r="B10">
        <v>0.27183172077611001</v>
      </c>
      <c r="C10">
        <v>0.51587879197200104</v>
      </c>
      <c r="D10">
        <v>3.6654033251967899</v>
      </c>
      <c r="E10">
        <v>1.5907532339919801</v>
      </c>
      <c r="F10">
        <v>5.7111237210358503</v>
      </c>
      <c r="G10">
        <v>12.0485781221967</v>
      </c>
      <c r="H10">
        <v>21.374197163242101</v>
      </c>
      <c r="I10">
        <v>22.047672192871101</v>
      </c>
      <c r="J10">
        <v>22.115493781971701</v>
      </c>
      <c r="K10">
        <v>20.978806710670099</v>
      </c>
      <c r="L10">
        <v>18.0339204866312</v>
      </c>
      <c r="M10">
        <v>15.7535479854642</v>
      </c>
      <c r="N10">
        <v>13.931889121044801</v>
      </c>
      <c r="O10">
        <v>0.69649641309322896</v>
      </c>
      <c r="P10">
        <v>-0.70203279919125405</v>
      </c>
      <c r="Q10">
        <v>0.178705702964185</v>
      </c>
      <c r="R10">
        <v>0.47918026010128201</v>
      </c>
      <c r="S10">
        <v>0.84498147050191097</v>
      </c>
      <c r="T10">
        <v>0.67895027628364102</v>
      </c>
      <c r="U10">
        <v>0.522374585311287</v>
      </c>
      <c r="V10">
        <v>0.63054493299875902</v>
      </c>
      <c r="W10">
        <v>0.17323315775738701</v>
      </c>
      <c r="X10">
        <v>0.27205054587357402</v>
      </c>
    </row>
    <row r="11" spans="1:24" x14ac:dyDescent="0.25">
      <c r="A11" t="s">
        <v>20</v>
      </c>
      <c r="B11">
        <v>0.135390265421415</v>
      </c>
      <c r="C11">
        <v>0.234859842541602</v>
      </c>
      <c r="D11">
        <v>3.1019776310845901</v>
      </c>
      <c r="E11">
        <v>1.24797702499384</v>
      </c>
      <c r="F11">
        <v>4.9258685108949196</v>
      </c>
      <c r="G11">
        <v>10.5854958218085</v>
      </c>
      <c r="H11">
        <v>19.6784582361805</v>
      </c>
      <c r="I11">
        <v>20.645031847028701</v>
      </c>
      <c r="J11">
        <v>20.978806710670099</v>
      </c>
      <c r="K11">
        <v>20.625973823130401</v>
      </c>
      <c r="L11">
        <v>17.932341451383401</v>
      </c>
      <c r="M11">
        <v>15.915839495562601</v>
      </c>
      <c r="N11">
        <v>14.5199126904125</v>
      </c>
      <c r="O11">
        <v>0.767157627161968</v>
      </c>
      <c r="P11">
        <v>-0.72594993305695699</v>
      </c>
      <c r="Q11">
        <v>9.5906200246755599E-2</v>
      </c>
      <c r="R11">
        <v>0.37581799547037598</v>
      </c>
      <c r="S11">
        <v>0.856557517744712</v>
      </c>
      <c r="T11">
        <v>0.50574763526894295</v>
      </c>
      <c r="U11">
        <v>0.38354711721563101</v>
      </c>
      <c r="V11">
        <v>0.53479390713227104</v>
      </c>
      <c r="W11">
        <v>9.2710813694207805E-2</v>
      </c>
      <c r="X11">
        <v>0.20309150607127199</v>
      </c>
    </row>
    <row r="12" spans="1:24" x14ac:dyDescent="0.25">
      <c r="A12" t="s">
        <v>21</v>
      </c>
      <c r="B12">
        <v>-3.6740770323439198E-2</v>
      </c>
      <c r="C12">
        <v>6.4348762555221895E-4</v>
      </c>
      <c r="D12">
        <v>2.3717488751285001</v>
      </c>
      <c r="E12">
        <v>0.90825076449840503</v>
      </c>
      <c r="F12">
        <v>3.8127521748584399</v>
      </c>
      <c r="G12">
        <v>8.5498965343573801</v>
      </c>
      <c r="H12">
        <v>16.7001932671057</v>
      </c>
      <c r="I12">
        <v>17.5141056826902</v>
      </c>
      <c r="J12">
        <v>18.0339204866312</v>
      </c>
      <c r="K12">
        <v>17.932341451383401</v>
      </c>
      <c r="L12">
        <v>16.2624539266432</v>
      </c>
      <c r="M12">
        <v>14.961846837305</v>
      </c>
      <c r="N12">
        <v>14.034064312592101</v>
      </c>
      <c r="O12">
        <v>0.66128548985999502</v>
      </c>
      <c r="P12">
        <v>-0.61093900525973799</v>
      </c>
      <c r="Q12">
        <v>-0.18435586240229901</v>
      </c>
      <c r="R12">
        <v>0.28964251208602798</v>
      </c>
      <c r="S12">
        <v>0.76665429817789998</v>
      </c>
      <c r="T12">
        <v>0.36522033881999599</v>
      </c>
      <c r="U12">
        <v>0.26101922563673402</v>
      </c>
      <c r="V12">
        <v>0.48421979686984801</v>
      </c>
      <c r="W12">
        <v>-4.3502902367194902E-2</v>
      </c>
      <c r="X12">
        <v>0.170211184631331</v>
      </c>
    </row>
    <row r="13" spans="1:24" x14ac:dyDescent="0.25">
      <c r="A13" t="s">
        <v>22</v>
      </c>
      <c r="B13">
        <v>-0.27440652312608399</v>
      </c>
      <c r="C13">
        <v>-0.67510850825200697</v>
      </c>
      <c r="D13">
        <v>1.6827620412855799</v>
      </c>
      <c r="E13">
        <v>0.63041082213912303</v>
      </c>
      <c r="F13">
        <v>2.96553837495546</v>
      </c>
      <c r="G13">
        <v>6.8363462916207798</v>
      </c>
      <c r="H13">
        <v>14.2896669117823</v>
      </c>
      <c r="I13">
        <v>14.661103130272</v>
      </c>
      <c r="J13">
        <v>15.7535479854642</v>
      </c>
      <c r="K13">
        <v>15.915839495562601</v>
      </c>
      <c r="L13">
        <v>14.961846837305</v>
      </c>
      <c r="M13">
        <v>15.326419274141401</v>
      </c>
      <c r="N13">
        <v>14.8221942741934</v>
      </c>
      <c r="O13">
        <v>0.61929367098541399</v>
      </c>
      <c r="P13">
        <v>-0.73505452347871403</v>
      </c>
      <c r="Q13">
        <v>-0.67997965214905598</v>
      </c>
      <c r="R13">
        <v>0.117065337567581</v>
      </c>
      <c r="S13">
        <v>0.71722812054488705</v>
      </c>
      <c r="T13">
        <v>0.15979474336952701</v>
      </c>
      <c r="U13">
        <v>0.13250106420426999</v>
      </c>
      <c r="V13">
        <v>0.27905755837912799</v>
      </c>
      <c r="W13">
        <v>-0.260243265587008</v>
      </c>
      <c r="X13">
        <v>0.102331377466407</v>
      </c>
    </row>
    <row r="14" spans="1:24" x14ac:dyDescent="0.25">
      <c r="A14" t="s">
        <v>23</v>
      </c>
      <c r="B14">
        <v>-0.58282892732907798</v>
      </c>
      <c r="C14">
        <v>-0.90968578551354795</v>
      </c>
      <c r="D14">
        <v>1.3029264078634899</v>
      </c>
      <c r="E14">
        <v>0.62213527373640098</v>
      </c>
      <c r="F14">
        <v>2.4443084818111802</v>
      </c>
      <c r="G14">
        <v>5.71452589081734</v>
      </c>
      <c r="H14">
        <v>12.017395062175</v>
      </c>
      <c r="I14">
        <v>12.519986529618</v>
      </c>
      <c r="J14">
        <v>13.931889121044801</v>
      </c>
      <c r="K14">
        <v>14.5199126904125</v>
      </c>
      <c r="L14">
        <v>14.034064312592101</v>
      </c>
      <c r="M14">
        <v>14.8221942741934</v>
      </c>
      <c r="N14">
        <v>15.393629855202899</v>
      </c>
      <c r="O14">
        <v>0.332465260303625</v>
      </c>
      <c r="P14">
        <v>-0.961856449606037</v>
      </c>
      <c r="Q14">
        <v>-0.84063660890541603</v>
      </c>
      <c r="R14">
        <v>-0.32472910551392498</v>
      </c>
      <c r="S14">
        <v>0.42797529685458902</v>
      </c>
      <c r="T14">
        <v>-6.5776343259984701E-2</v>
      </c>
      <c r="U14">
        <v>-4.5837399322621999E-2</v>
      </c>
      <c r="V14">
        <v>0.15792951899617</v>
      </c>
      <c r="W14">
        <v>-0.39887384641519202</v>
      </c>
      <c r="X14">
        <v>-7.7687582247455804E-3</v>
      </c>
    </row>
    <row r="15" spans="1:24" x14ac:dyDescent="0.25">
      <c r="A15" t="s">
        <v>24</v>
      </c>
      <c r="B15">
        <v>0.125627268568271</v>
      </c>
      <c r="C15">
        <v>2.14225234051988E-2</v>
      </c>
      <c r="D15">
        <v>-8.3650379671805497E-2</v>
      </c>
      <c r="E15">
        <v>-0.267891659578959</v>
      </c>
      <c r="F15">
        <v>0.12537732705619101</v>
      </c>
      <c r="G15">
        <v>4.0013075410319898E-2</v>
      </c>
      <c r="H15">
        <v>0.82373894958662797</v>
      </c>
      <c r="I15">
        <v>0.69946226653666399</v>
      </c>
      <c r="J15">
        <v>0.69649641309322896</v>
      </c>
      <c r="K15">
        <v>0.767157627161968</v>
      </c>
      <c r="L15">
        <v>0.66128548985999502</v>
      </c>
      <c r="M15">
        <v>0.61929367098541399</v>
      </c>
      <c r="N15">
        <v>0.332465260303625</v>
      </c>
      <c r="O15">
        <v>0.62528758367079296</v>
      </c>
      <c r="P15">
        <v>0.25951056779578802</v>
      </c>
      <c r="Q15">
        <v>-4.6495162706820498E-2</v>
      </c>
      <c r="R15">
        <v>0.31626446906807298</v>
      </c>
      <c r="S15">
        <v>0.36935175041567198</v>
      </c>
      <c r="T15">
        <v>6.3110012235760696E-2</v>
      </c>
      <c r="U15">
        <v>6.6724365765569602E-2</v>
      </c>
      <c r="V15">
        <v>5.6344683718504998E-2</v>
      </c>
      <c r="W15">
        <v>4.7069953515440903E-2</v>
      </c>
      <c r="X15">
        <v>0.101473501888247</v>
      </c>
    </row>
    <row r="16" spans="1:24" x14ac:dyDescent="0.25">
      <c r="A16" t="s">
        <v>25</v>
      </c>
      <c r="B16">
        <v>0.33922941107655502</v>
      </c>
      <c r="C16">
        <v>0.16751739969400301</v>
      </c>
      <c r="D16">
        <v>-0.30393001891538302</v>
      </c>
      <c r="E16">
        <v>-8.9806924756677994E-2</v>
      </c>
      <c r="F16">
        <v>-0.22509799716092499</v>
      </c>
      <c r="G16">
        <v>-0.15352503685159199</v>
      </c>
      <c r="H16">
        <v>-0.60453093119740298</v>
      </c>
      <c r="I16">
        <v>-0.55078428432668103</v>
      </c>
      <c r="J16">
        <v>-0.70203279919125405</v>
      </c>
      <c r="K16">
        <v>-0.72594993305695699</v>
      </c>
      <c r="L16">
        <v>-0.61093900525973799</v>
      </c>
      <c r="M16">
        <v>-0.73505452347871403</v>
      </c>
      <c r="N16">
        <v>-0.961856449606037</v>
      </c>
      <c r="O16">
        <v>0.25951056779578802</v>
      </c>
      <c r="P16">
        <v>1.41821838573992</v>
      </c>
      <c r="Q16">
        <v>-0.243147465495516</v>
      </c>
      <c r="R16">
        <v>0.29826000728928997</v>
      </c>
      <c r="S16">
        <v>0.22887179557505</v>
      </c>
      <c r="T16">
        <v>-4.32298105923263E-2</v>
      </c>
      <c r="U16">
        <v>-6.0861663105081801E-2</v>
      </c>
      <c r="V16">
        <v>1.6428694245862002E-2</v>
      </c>
      <c r="W16">
        <v>-0.14550487113980001</v>
      </c>
      <c r="X16">
        <v>-2.04206052009578E-2</v>
      </c>
    </row>
    <row r="17" spans="1:24" x14ac:dyDescent="0.25">
      <c r="A17" t="s">
        <v>26</v>
      </c>
      <c r="B17">
        <v>-6.0095521588356099E-2</v>
      </c>
      <c r="C17">
        <v>0.32538114332629797</v>
      </c>
      <c r="D17">
        <v>0.43502167836319899</v>
      </c>
      <c r="E17">
        <v>0.124653960015041</v>
      </c>
      <c r="F17">
        <v>0.51096869662636002</v>
      </c>
      <c r="G17">
        <v>0.17624832277544</v>
      </c>
      <c r="H17">
        <v>0.27339760619172898</v>
      </c>
      <c r="I17">
        <v>0.34904200269700397</v>
      </c>
      <c r="J17">
        <v>0.178705702964185</v>
      </c>
      <c r="K17">
        <v>9.5906200246755599E-2</v>
      </c>
      <c r="L17">
        <v>-0.18435586240229901</v>
      </c>
      <c r="M17">
        <v>-0.67997965214905598</v>
      </c>
      <c r="N17">
        <v>-0.84063660890541603</v>
      </c>
      <c r="O17">
        <v>-4.6495162706820498E-2</v>
      </c>
      <c r="P17">
        <v>-0.243147465495516</v>
      </c>
      <c r="Q17">
        <v>1.2165105632212401</v>
      </c>
      <c r="R17">
        <v>0.21972831367759199</v>
      </c>
      <c r="S17">
        <v>-8.2502255270416394E-2</v>
      </c>
      <c r="T17">
        <v>0.26798015144149601</v>
      </c>
      <c r="U17">
        <v>0.205149063431532</v>
      </c>
      <c r="V17">
        <v>0.15876906952154099</v>
      </c>
      <c r="W17">
        <v>0.46809945469042902</v>
      </c>
      <c r="X17">
        <v>0.17922987951198999</v>
      </c>
    </row>
    <row r="18" spans="1:24" x14ac:dyDescent="0.25">
      <c r="A18" t="s">
        <v>27</v>
      </c>
      <c r="B18">
        <v>0.10710347743170601</v>
      </c>
      <c r="C18">
        <v>0.113446115156854</v>
      </c>
      <c r="D18">
        <v>-3.3058402263003703E-2</v>
      </c>
      <c r="E18">
        <v>-0.19826699536352199</v>
      </c>
      <c r="F18">
        <v>8.3872214838876899E-2</v>
      </c>
      <c r="G18">
        <v>0.15508243627661</v>
      </c>
      <c r="H18">
        <v>0.76149005548028403</v>
      </c>
      <c r="I18">
        <v>0.69578141901128698</v>
      </c>
      <c r="J18">
        <v>0.47918026010128201</v>
      </c>
      <c r="K18">
        <v>0.37581799547037598</v>
      </c>
      <c r="L18">
        <v>0.28964251208602798</v>
      </c>
      <c r="M18">
        <v>0.117065337567581</v>
      </c>
      <c r="N18">
        <v>-0.32472910551392498</v>
      </c>
      <c r="O18">
        <v>0.31626446906807298</v>
      </c>
      <c r="P18">
        <v>0.29826000728928997</v>
      </c>
      <c r="Q18">
        <v>0.21972831367759199</v>
      </c>
      <c r="R18">
        <v>0.42178124563602698</v>
      </c>
      <c r="S18">
        <v>0.27424346756123702</v>
      </c>
      <c r="T18">
        <v>0.15622838642984799</v>
      </c>
      <c r="U18">
        <v>0.115898579405889</v>
      </c>
      <c r="V18">
        <v>0.10574103040173401</v>
      </c>
      <c r="W18">
        <v>0.14302273248466199</v>
      </c>
      <c r="X18">
        <v>0.122208694390462</v>
      </c>
    </row>
    <row r="19" spans="1:24" x14ac:dyDescent="0.25">
      <c r="A19" t="s">
        <v>28</v>
      </c>
      <c r="B19">
        <v>0.14345151227623101</v>
      </c>
      <c r="C19">
        <v>-2.9098081191961198E-2</v>
      </c>
      <c r="D19">
        <v>-0.126357423608915</v>
      </c>
      <c r="E19">
        <v>-0.24543361728680499</v>
      </c>
      <c r="F19">
        <v>5.8461523003031597E-2</v>
      </c>
      <c r="G19">
        <v>0.42259017978257202</v>
      </c>
      <c r="H19">
        <v>1.2116791508679901</v>
      </c>
      <c r="I19">
        <v>0.91795621524613602</v>
      </c>
      <c r="J19">
        <v>0.84498147050191097</v>
      </c>
      <c r="K19">
        <v>0.856557517744712</v>
      </c>
      <c r="L19">
        <v>0.76665429817789998</v>
      </c>
      <c r="M19">
        <v>0.71722812054488705</v>
      </c>
      <c r="N19">
        <v>0.42797529685458902</v>
      </c>
      <c r="O19">
        <v>0.36935175041567198</v>
      </c>
      <c r="P19">
        <v>0.22887179557505</v>
      </c>
      <c r="Q19">
        <v>-8.2502255270416394E-2</v>
      </c>
      <c r="R19">
        <v>0.27424346756123702</v>
      </c>
      <c r="S19">
        <v>0.478420179119591</v>
      </c>
      <c r="T19">
        <v>4.0823638257059099E-2</v>
      </c>
      <c r="U19">
        <v>8.5159508909926594E-3</v>
      </c>
      <c r="V19">
        <v>2.22566198044661E-2</v>
      </c>
      <c r="W19">
        <v>-0.13108551344078101</v>
      </c>
      <c r="X19">
        <v>8.6034158052020498E-2</v>
      </c>
    </row>
    <row r="20" spans="1:24" x14ac:dyDescent="0.25">
      <c r="A20" t="s">
        <v>49</v>
      </c>
      <c r="B20">
        <v>6.3559651621645702E-2</v>
      </c>
      <c r="C20">
        <v>0.157062157927047</v>
      </c>
      <c r="D20">
        <v>0.185222215329162</v>
      </c>
      <c r="E20">
        <v>-8.7214000469512994E-3</v>
      </c>
      <c r="F20">
        <v>0.208154909378584</v>
      </c>
      <c r="G20">
        <v>0.52431448493635202</v>
      </c>
      <c r="H20">
        <v>0.86168787094351995</v>
      </c>
      <c r="I20">
        <v>0.87864510149276198</v>
      </c>
      <c r="J20">
        <v>0.67895027628364102</v>
      </c>
      <c r="K20">
        <v>0.50574763526894295</v>
      </c>
      <c r="L20">
        <v>0.36522033881999599</v>
      </c>
      <c r="M20">
        <v>0.15979474336952701</v>
      </c>
      <c r="N20">
        <v>-6.5776343259984701E-2</v>
      </c>
      <c r="O20">
        <v>6.3110012235760696E-2</v>
      </c>
      <c r="P20">
        <v>-4.32298105923263E-2</v>
      </c>
      <c r="Q20">
        <v>0.26798015144149601</v>
      </c>
      <c r="R20">
        <v>0.15622838642984799</v>
      </c>
      <c r="S20">
        <v>4.0823638257059099E-2</v>
      </c>
      <c r="T20">
        <v>0.21055751214548599</v>
      </c>
      <c r="U20">
        <v>0.17020973520601601</v>
      </c>
      <c r="V20">
        <v>0.17406409550378699</v>
      </c>
      <c r="W20">
        <v>0.220154515606755</v>
      </c>
      <c r="X20">
        <v>0.17518596426442301</v>
      </c>
    </row>
    <row r="21" spans="1:24" x14ac:dyDescent="0.25">
      <c r="A21" t="s">
        <v>50</v>
      </c>
      <c r="B21">
        <v>9.4800357309985303E-3</v>
      </c>
      <c r="C21">
        <v>7.7049093562690393E-2</v>
      </c>
      <c r="D21">
        <v>0.21824332813842501</v>
      </c>
      <c r="E21">
        <v>2.8161504664022698E-2</v>
      </c>
      <c r="F21">
        <v>0.24329095105516599</v>
      </c>
      <c r="G21">
        <v>0.38145835727578198</v>
      </c>
      <c r="H21">
        <v>0.630300543439545</v>
      </c>
      <c r="I21">
        <v>0.63316884031898202</v>
      </c>
      <c r="J21">
        <v>0.522374585311287</v>
      </c>
      <c r="K21">
        <v>0.38354711721563101</v>
      </c>
      <c r="L21">
        <v>0.26101922563673402</v>
      </c>
      <c r="M21">
        <v>0.13250106420426999</v>
      </c>
      <c r="N21">
        <v>-4.5837399322621999E-2</v>
      </c>
      <c r="O21">
        <v>6.6724365765569602E-2</v>
      </c>
      <c r="P21">
        <v>-6.0861663105081801E-2</v>
      </c>
      <c r="Q21">
        <v>0.205149063431532</v>
      </c>
      <c r="R21">
        <v>0.115898579405889</v>
      </c>
      <c r="S21">
        <v>8.5159508909926594E-3</v>
      </c>
      <c r="T21">
        <v>0.17020973520601601</v>
      </c>
      <c r="U21">
        <v>0.19575191586270399</v>
      </c>
      <c r="V21">
        <v>0.12826390493793899</v>
      </c>
      <c r="W21">
        <v>0.24689862403524801</v>
      </c>
      <c r="X21">
        <v>0.126906112718463</v>
      </c>
    </row>
    <row r="22" spans="1:24" x14ac:dyDescent="0.25">
      <c r="A22" t="s">
        <v>51</v>
      </c>
      <c r="B22">
        <v>0.11068184502310401</v>
      </c>
      <c r="C22">
        <v>0.25755131012979499</v>
      </c>
      <c r="D22">
        <v>0.215064380726842</v>
      </c>
      <c r="E22">
        <v>-5.5255426611063897E-2</v>
      </c>
      <c r="F22">
        <v>0.15278324849372199</v>
      </c>
      <c r="G22">
        <v>0.42502680085775602</v>
      </c>
      <c r="H22">
        <v>0.79139618006490497</v>
      </c>
      <c r="I22">
        <v>0.83868004011422803</v>
      </c>
      <c r="J22">
        <v>0.63054493299875902</v>
      </c>
      <c r="K22">
        <v>0.53479390713227104</v>
      </c>
      <c r="L22">
        <v>0.48421979686984801</v>
      </c>
      <c r="M22">
        <v>0.27905755837912799</v>
      </c>
      <c r="N22">
        <v>0.15792951899617</v>
      </c>
      <c r="O22">
        <v>5.6344683718504998E-2</v>
      </c>
      <c r="P22">
        <v>1.6428694245862002E-2</v>
      </c>
      <c r="Q22">
        <v>0.15876906952154099</v>
      </c>
      <c r="R22">
        <v>0.10574103040173401</v>
      </c>
      <c r="S22">
        <v>2.22566198044661E-2</v>
      </c>
      <c r="T22">
        <v>0.17406409550378699</v>
      </c>
      <c r="U22">
        <v>0.12826390493793899</v>
      </c>
      <c r="V22">
        <v>0.293504430851806</v>
      </c>
      <c r="W22">
        <v>0.15813973682315599</v>
      </c>
      <c r="X22">
        <v>0.148646481611031</v>
      </c>
    </row>
    <row r="23" spans="1:24" x14ac:dyDescent="0.25">
      <c r="A23" t="s">
        <v>52</v>
      </c>
      <c r="B23">
        <v>-6.9076900997667195E-2</v>
      </c>
      <c r="C23">
        <v>0.117023985341817</v>
      </c>
      <c r="D23">
        <v>0.20417056961424099</v>
      </c>
      <c r="E23">
        <v>2.3112137300484899E-2</v>
      </c>
      <c r="F23">
        <v>0.17797091937564</v>
      </c>
      <c r="G23">
        <v>4.59334104516761E-2</v>
      </c>
      <c r="H23">
        <v>-1.38873278131116E-2</v>
      </c>
      <c r="I23">
        <v>0.30783689523304802</v>
      </c>
      <c r="J23">
        <v>0.17323315775738701</v>
      </c>
      <c r="K23">
        <v>9.2710813694207805E-2</v>
      </c>
      <c r="L23">
        <v>-4.3502902367194902E-2</v>
      </c>
      <c r="M23">
        <v>-0.260243265587008</v>
      </c>
      <c r="N23">
        <v>-0.39887384641519202</v>
      </c>
      <c r="O23">
        <v>4.7069953515440903E-2</v>
      </c>
      <c r="P23">
        <v>-0.14550487113980001</v>
      </c>
      <c r="Q23">
        <v>0.46809945469042902</v>
      </c>
      <c r="R23">
        <v>0.14302273248466199</v>
      </c>
      <c r="S23">
        <v>-0.13108551344078101</v>
      </c>
      <c r="T23">
        <v>0.220154515606755</v>
      </c>
      <c r="U23">
        <v>0.24689862403524801</v>
      </c>
      <c r="V23">
        <v>0.15813973682315599</v>
      </c>
      <c r="W23">
        <v>0.51990502080424505</v>
      </c>
      <c r="X23">
        <v>0.12617070121423299</v>
      </c>
    </row>
    <row r="24" spans="1:24" x14ac:dyDescent="0.25">
      <c r="A24" t="s">
        <v>53</v>
      </c>
      <c r="B24">
        <v>0.121409051886255</v>
      </c>
      <c r="C24">
        <v>7.5077502040390695E-2</v>
      </c>
      <c r="D24">
        <v>-4.2291786891323298E-2</v>
      </c>
      <c r="E24">
        <v>-8.6617155661819101E-2</v>
      </c>
      <c r="F24">
        <v>-0.14833332244974301</v>
      </c>
      <c r="G24">
        <v>0.22953341207667999</v>
      </c>
      <c r="H24">
        <v>0.53273490458501604</v>
      </c>
      <c r="I24">
        <v>0.44343124512783899</v>
      </c>
      <c r="J24">
        <v>0.27205054587357402</v>
      </c>
      <c r="K24">
        <v>0.20309150607127199</v>
      </c>
      <c r="L24">
        <v>0.170211184631331</v>
      </c>
      <c r="M24">
        <v>0.102331377466407</v>
      </c>
      <c r="N24">
        <v>-7.7687582247455804E-3</v>
      </c>
      <c r="O24">
        <v>0.101473501888247</v>
      </c>
      <c r="P24">
        <v>-2.04206052009578E-2</v>
      </c>
      <c r="Q24">
        <v>0.17922987951198999</v>
      </c>
      <c r="R24">
        <v>0.122208694390462</v>
      </c>
      <c r="S24">
        <v>8.6034158052020498E-2</v>
      </c>
      <c r="T24">
        <v>0.17518596426442301</v>
      </c>
      <c r="U24">
        <v>0.126906112718463</v>
      </c>
      <c r="V24">
        <v>0.148646481611031</v>
      </c>
      <c r="W24">
        <v>0.12617070121423299</v>
      </c>
      <c r="X24">
        <v>0.248815331333093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E859-9EB0-484D-9C84-1DD42B44CF82}">
  <dimension ref="A1:BC1100"/>
  <sheetViews>
    <sheetView tabSelected="1" topLeftCell="AQ1" workbookViewId="0">
      <selection activeCell="BC3" sqref="BC3:BC9"/>
    </sheetView>
  </sheetViews>
  <sheetFormatPr defaultRowHeight="15" x14ac:dyDescent="0.25"/>
  <cols>
    <col min="2" max="2" width="12.42578125" bestFit="1" customWidth="1"/>
    <col min="15" max="15" width="9.28515625" bestFit="1" customWidth="1"/>
    <col min="16" max="16" width="13.5703125" bestFit="1" customWidth="1"/>
    <col min="17" max="17" width="12.7109375" bestFit="1" customWidth="1"/>
    <col min="18" max="19" width="13.5703125" bestFit="1" customWidth="1"/>
    <col min="20" max="24" width="13.5703125" customWidth="1"/>
    <col min="50" max="50" width="12.42578125" bestFit="1" customWidth="1"/>
    <col min="51" max="51" width="10.85546875" bestFit="1" customWidth="1"/>
    <col min="52" max="52" width="12.42578125" bestFit="1" customWidth="1"/>
    <col min="54" max="55" width="12.42578125" bestFit="1" customWidth="1"/>
  </cols>
  <sheetData>
    <row r="1" spans="1:55" x14ac:dyDescent="0.25">
      <c r="A1" t="s">
        <v>30</v>
      </c>
      <c r="B1" s="1">
        <f>SMALL(AX5:AX304,4)</f>
        <v>-1916578.1142613946</v>
      </c>
    </row>
    <row r="2" spans="1:55" x14ac:dyDescent="0.25">
      <c r="A2" t="s">
        <v>30</v>
      </c>
      <c r="B2" s="1">
        <f>SMALL(AX5:AX550,4)</f>
        <v>-2040256.1805218225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 spans="1:55" x14ac:dyDescent="0.25">
      <c r="A3" t="s">
        <v>0</v>
      </c>
      <c r="B3" cm="1">
        <f t="array" ref="B3:N3">TRANSPOSE(Risk!C11:C23)</f>
        <v>-983</v>
      </c>
      <c r="C3">
        <v>-2584</v>
      </c>
      <c r="D3">
        <v>16143</v>
      </c>
      <c r="E3">
        <v>2428</v>
      </c>
      <c r="F3">
        <v>-12428</v>
      </c>
      <c r="G3">
        <v>-15628</v>
      </c>
      <c r="H3">
        <v>-28216</v>
      </c>
      <c r="I3">
        <v>-18456</v>
      </c>
      <c r="J3">
        <v>-51051.5</v>
      </c>
      <c r="K3">
        <v>-78395</v>
      </c>
      <c r="L3">
        <v>31004</v>
      </c>
      <c r="M3">
        <v>32073</v>
      </c>
      <c r="N3">
        <v>0</v>
      </c>
      <c r="O3" s="1" cm="1">
        <f t="array" ref="O3:X3">TRANSPOSE(Risk!C24:C33)/0.01</f>
        <v>0</v>
      </c>
      <c r="P3" s="1">
        <v>-5000000</v>
      </c>
      <c r="Q3" s="1">
        <v>12000000</v>
      </c>
      <c r="R3" s="1">
        <v>-15000000</v>
      </c>
      <c r="S3" s="1">
        <v>-7000000</v>
      </c>
      <c r="T3" s="1">
        <v>4000000</v>
      </c>
      <c r="U3" s="1">
        <v>8000000</v>
      </c>
      <c r="V3" s="1">
        <v>0</v>
      </c>
      <c r="W3" s="1">
        <v>0</v>
      </c>
      <c r="X3" s="1">
        <v>0</v>
      </c>
      <c r="BB3" t="s">
        <v>37</v>
      </c>
      <c r="BC3" t="s">
        <v>16</v>
      </c>
    </row>
    <row r="4" spans="1:55" x14ac:dyDescent="0.25">
      <c r="A4" t="s">
        <v>29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 t="s">
        <v>27</v>
      </c>
      <c r="S4" t="s">
        <v>28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Z4" t="s">
        <v>29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t="s">
        <v>18</v>
      </c>
      <c r="AI4" t="s">
        <v>19</v>
      </c>
      <c r="AJ4" t="s">
        <v>20</v>
      </c>
      <c r="AK4" t="s">
        <v>21</v>
      </c>
      <c r="AL4" t="s">
        <v>22</v>
      </c>
      <c r="AM4" t="s">
        <v>23</v>
      </c>
      <c r="AN4" t="s">
        <v>24</v>
      </c>
      <c r="AO4" t="s">
        <v>25</v>
      </c>
      <c r="AP4" t="s">
        <v>26</v>
      </c>
      <c r="AQ4" t="s">
        <v>27</v>
      </c>
      <c r="AR4" t="s">
        <v>28</v>
      </c>
      <c r="AS4" t="s">
        <v>49</v>
      </c>
      <c r="AT4" t="s">
        <v>50</v>
      </c>
      <c r="AU4" t="s">
        <v>51</v>
      </c>
      <c r="AV4" t="s">
        <v>52</v>
      </c>
      <c r="AW4" t="s">
        <v>53</v>
      </c>
      <c r="AX4" t="s">
        <v>31</v>
      </c>
      <c r="AY4" t="s">
        <v>78</v>
      </c>
      <c r="AZ4" t="s">
        <v>79</v>
      </c>
      <c r="BA4">
        <v>6</v>
      </c>
      <c r="BB4" s="2">
        <f>SMALL($AX$5:$AX$550,BA4)</f>
        <v>-1916578.1142613946</v>
      </c>
      <c r="BC4" s="2">
        <f>SMALL($AX$5:$AX$304,BA4)</f>
        <v>-1399680.7967496014</v>
      </c>
    </row>
    <row r="5" spans="1:55" x14ac:dyDescent="0.25">
      <c r="A5" s="4">
        <v>46093</v>
      </c>
      <c r="B5">
        <f t="shared" ref="B5:K5" si="0">(B554-B555)*100</f>
        <v>0.99999999999997868</v>
      </c>
      <c r="C5">
        <f t="shared" si="0"/>
        <v>2.0000000000000018</v>
      </c>
      <c r="D5">
        <f t="shared" si="0"/>
        <v>1.0000000000000231</v>
      </c>
      <c r="E5">
        <f t="shared" si="0"/>
        <v>0</v>
      </c>
      <c r="F5">
        <f t="shared" si="0"/>
        <v>2.0000000000000018</v>
      </c>
      <c r="G5">
        <f t="shared" si="0"/>
        <v>6.0000000000000053</v>
      </c>
      <c r="H5">
        <f t="shared" si="0"/>
        <v>11.999999999999966</v>
      </c>
      <c r="I5">
        <f t="shared" si="0"/>
        <v>10.999999999999988</v>
      </c>
      <c r="J5">
        <f t="shared" si="0"/>
        <v>8.9999999999999858</v>
      </c>
      <c r="K5">
        <f t="shared" si="0"/>
        <v>7.9999999999999627</v>
      </c>
      <c r="L5">
        <f>(L554-L555)*100</f>
        <v>5.9999999999999609</v>
      </c>
      <c r="M5">
        <f>(M554-M555)*100</f>
        <v>4.0000000000000036</v>
      </c>
      <c r="N5">
        <f>(N554-N555)*100</f>
        <v>1.9999999999999574</v>
      </c>
      <c r="O5" s="5">
        <f t="shared" ref="O5:S14" si="1">LN(O554/O555)</f>
        <v>8.7803653607101493E-3</v>
      </c>
      <c r="P5" s="5">
        <f t="shared" si="1"/>
        <v>-5.9286303675641396E-3</v>
      </c>
      <c r="Q5" s="5">
        <f t="shared" si="1"/>
        <v>2.4251918790547562E-3</v>
      </c>
      <c r="R5" s="5">
        <f t="shared" si="1"/>
        <v>7.5757938084575014E-3</v>
      </c>
      <c r="S5" s="5">
        <f t="shared" si="1"/>
        <v>9.8607854674106418E-3</v>
      </c>
      <c r="T5" s="5">
        <f t="shared" ref="T5:X5" si="2">LN(T554/T555)</f>
        <v>5.8811669780615946E-3</v>
      </c>
      <c r="U5" s="5">
        <f t="shared" si="2"/>
        <v>2.7739263891929178E-3</v>
      </c>
      <c r="V5" s="5">
        <f t="shared" si="2"/>
        <v>6.0594881263611273E-3</v>
      </c>
      <c r="W5" s="5">
        <f t="shared" si="2"/>
        <v>-1.1520886056811789E-3</v>
      </c>
      <c r="X5" s="5">
        <f t="shared" si="2"/>
        <v>4.0530593735549573E-3</v>
      </c>
      <c r="Z5" s="4">
        <v>46093</v>
      </c>
      <c r="AA5">
        <f>B5*B$3</f>
        <v>-982.99999999997908</v>
      </c>
      <c r="AB5">
        <f>C5*C$3</f>
        <v>-5168.0000000000045</v>
      </c>
      <c r="AC5">
        <f>D5*D$3</f>
        <v>16143.000000000373</v>
      </c>
      <c r="AD5">
        <f>E5*E$3</f>
        <v>0</v>
      </c>
      <c r="AE5">
        <f>F5*F$3</f>
        <v>-24856.000000000022</v>
      </c>
      <c r="AF5">
        <f>G5*G$3</f>
        <v>-93768.000000000087</v>
      </c>
      <c r="AG5">
        <f>H5*H$3</f>
        <v>-338591.99999999907</v>
      </c>
      <c r="AH5">
        <f>I5*I$3</f>
        <v>-203015.99999999977</v>
      </c>
      <c r="AI5">
        <f>J5*J$3</f>
        <v>-459463.4999999993</v>
      </c>
      <c r="AJ5">
        <f>K5*K$3</f>
        <v>-627159.99999999709</v>
      </c>
      <c r="AK5">
        <f>L5*L$3</f>
        <v>186023.99999999878</v>
      </c>
      <c r="AL5">
        <f>M5*M$3</f>
        <v>128292.00000000012</v>
      </c>
      <c r="AM5">
        <f>N5*N$3</f>
        <v>0</v>
      </c>
      <c r="AN5">
        <f>O5*O$3</f>
        <v>0</v>
      </c>
      <c r="AO5">
        <f>P5*P$3</f>
        <v>29643.151837820697</v>
      </c>
      <c r="AP5">
        <f>Q5*Q$3</f>
        <v>29102.302548657073</v>
      </c>
      <c r="AQ5">
        <f>R5*R$3</f>
        <v>-113636.90712686253</v>
      </c>
      <c r="AR5" s="1">
        <f>S5*S$3</f>
        <v>-69025.498271874487</v>
      </c>
      <c r="AS5" s="1">
        <f t="shared" ref="AS5:AW20" si="3">T5*T$3</f>
        <v>23524.667912246379</v>
      </c>
      <c r="AT5" s="1">
        <f t="shared" si="3"/>
        <v>22191.411113543341</v>
      </c>
      <c r="AU5" s="1">
        <f t="shared" si="3"/>
        <v>0</v>
      </c>
      <c r="AV5" s="1">
        <f t="shared" si="3"/>
        <v>0</v>
      </c>
      <c r="AW5" s="1">
        <f t="shared" si="3"/>
        <v>0</v>
      </c>
      <c r="AX5" s="1">
        <f>SUM(AA5:AW5)</f>
        <v>-1500748.3719864651</v>
      </c>
      <c r="AY5" s="1">
        <f>SUM(AN5:AW5)</f>
        <v>-78200.871986469516</v>
      </c>
      <c r="AZ5" s="1">
        <f>AX5-AY5</f>
        <v>-1422547.4999999956</v>
      </c>
      <c r="BA5">
        <v>5</v>
      </c>
      <c r="BB5" s="2">
        <f t="shared" ref="BB5:BB9" si="4">SMALL($AX$5:$AX$550,BA5)</f>
        <v>-1964331.7703833887</v>
      </c>
      <c r="BC5" s="2">
        <f t="shared" ref="BC5:BC9" si="5">SMALL($AX$5:$AX$304,BA5)</f>
        <v>-1500748.3719864651</v>
      </c>
    </row>
    <row r="6" spans="1:55" x14ac:dyDescent="0.25">
      <c r="A6" s="4">
        <v>46092</v>
      </c>
      <c r="B6">
        <f t="shared" ref="B6:N6" si="6">(B556-B555)*100</f>
        <v>0</v>
      </c>
      <c r="C6">
        <f t="shared" si="6"/>
        <v>0.99999999999997868</v>
      </c>
      <c r="D6">
        <f t="shared" si="6"/>
        <v>0</v>
      </c>
      <c r="E6">
        <f t="shared" si="6"/>
        <v>0</v>
      </c>
      <c r="F6">
        <f t="shared" si="6"/>
        <v>0</v>
      </c>
      <c r="G6">
        <f t="shared" si="6"/>
        <v>-4.0000000000000036</v>
      </c>
      <c r="H6">
        <f t="shared" si="6"/>
        <v>-7.0000000000000284</v>
      </c>
      <c r="I6">
        <f t="shared" si="6"/>
        <v>-6.0000000000000053</v>
      </c>
      <c r="J6">
        <f t="shared" si="6"/>
        <v>-6.0000000000000053</v>
      </c>
      <c r="K6">
        <f t="shared" si="6"/>
        <v>-4.9999999999999822</v>
      </c>
      <c r="L6">
        <f t="shared" si="6"/>
        <v>-5.9999999999999609</v>
      </c>
      <c r="M6">
        <f t="shared" si="6"/>
        <v>-8.0000000000000071</v>
      </c>
      <c r="N6">
        <f t="shared" si="6"/>
        <v>-8.0000000000000071</v>
      </c>
      <c r="O6" s="5">
        <f t="shared" si="1"/>
        <v>-5.0381739623241455E-4</v>
      </c>
      <c r="P6" s="5">
        <f t="shared" si="1"/>
        <v>2.1210634881449093E-3</v>
      </c>
      <c r="Q6" s="5">
        <f t="shared" si="1"/>
        <v>-2.5050341677574452E-2</v>
      </c>
      <c r="R6" s="5">
        <f t="shared" si="1"/>
        <v>-1.169248890884063E-3</v>
      </c>
      <c r="S6" s="5">
        <f t="shared" si="1"/>
        <v>4.5093538994223819E-3</v>
      </c>
      <c r="T6" s="5">
        <f t="shared" ref="T6:X6" si="7">LN(T555/T556)</f>
        <v>5.1104650326657883E-4</v>
      </c>
      <c r="U6" s="5">
        <f t="shared" si="7"/>
        <v>4.4283798227127643E-4</v>
      </c>
      <c r="V6" s="5">
        <f t="shared" si="7"/>
        <v>1.6836915138288191E-3</v>
      </c>
      <c r="W6" s="5">
        <f t="shared" si="7"/>
        <v>-7.3877800674422263E-3</v>
      </c>
      <c r="X6" s="5">
        <f t="shared" si="7"/>
        <v>8.9687025121723367E-4</v>
      </c>
      <c r="Z6" s="4">
        <v>46092</v>
      </c>
      <c r="AA6">
        <f>B6*B$3</f>
        <v>0</v>
      </c>
      <c r="AB6">
        <f>C6*C$3</f>
        <v>-2583.999999999945</v>
      </c>
      <c r="AC6">
        <f>D6*D$3</f>
        <v>0</v>
      </c>
      <c r="AD6">
        <f>E6*E$3</f>
        <v>0</v>
      </c>
      <c r="AE6">
        <f>F6*F$3</f>
        <v>0</v>
      </c>
      <c r="AF6">
        <f>G6*G$3</f>
        <v>62512.000000000058</v>
      </c>
      <c r="AG6">
        <f>H6*H$3</f>
        <v>197512.00000000081</v>
      </c>
      <c r="AH6">
        <f>I6*I$3</f>
        <v>110736.0000000001</v>
      </c>
      <c r="AI6">
        <f>J6*J$3</f>
        <v>306309.00000000029</v>
      </c>
      <c r="AJ6">
        <f>K6*K$3</f>
        <v>391974.9999999986</v>
      </c>
      <c r="AK6">
        <f>L6*L$3</f>
        <v>-186023.99999999878</v>
      </c>
      <c r="AL6">
        <f>M6*M$3</f>
        <v>-256584.00000000023</v>
      </c>
      <c r="AM6">
        <f>N6*N$3</f>
        <v>0</v>
      </c>
      <c r="AN6">
        <f>O6*O$3</f>
        <v>0</v>
      </c>
      <c r="AO6">
        <f>P6*P$3</f>
        <v>-10605.317440724546</v>
      </c>
      <c r="AP6">
        <f>Q6*Q$3</f>
        <v>-300604.10013089341</v>
      </c>
      <c r="AQ6">
        <f>R6*R$3</f>
        <v>17538.733363260944</v>
      </c>
      <c r="AR6" s="1">
        <f>S6*S$3</f>
        <v>-31565.477295956673</v>
      </c>
      <c r="AS6" s="1">
        <f t="shared" si="3"/>
        <v>2044.1860130663154</v>
      </c>
      <c r="AT6" s="1">
        <f t="shared" si="3"/>
        <v>3542.7038581702113</v>
      </c>
      <c r="AU6" s="1">
        <f t="shared" si="3"/>
        <v>0</v>
      </c>
      <c r="AV6" s="1">
        <f t="shared" si="3"/>
        <v>0</v>
      </c>
      <c r="AW6" s="1">
        <f t="shared" si="3"/>
        <v>0</v>
      </c>
      <c r="AX6" s="1">
        <f t="shared" ref="AX6:AX69" si="8">SUM(AA6:AW6)</f>
        <v>304202.72836692369</v>
      </c>
      <c r="AY6" s="1">
        <f t="shared" ref="AY6:AY69" si="9">SUM(AN6:AW6)</f>
        <v>-319649.27163307718</v>
      </c>
      <c r="AZ6" s="1">
        <f t="shared" ref="AZ6:AZ69" si="10">AX6-AY6</f>
        <v>623852.00000000093</v>
      </c>
      <c r="BA6">
        <v>4</v>
      </c>
      <c r="BB6" s="2">
        <f t="shared" si="4"/>
        <v>-2040256.1805218225</v>
      </c>
      <c r="BC6" s="2">
        <f t="shared" si="5"/>
        <v>-1916578.1142613946</v>
      </c>
    </row>
    <row r="7" spans="1:55" x14ac:dyDescent="0.25">
      <c r="A7" s="4">
        <v>46091</v>
      </c>
      <c r="B7">
        <f t="shared" ref="B7:N7" si="11">(B557-B556)*100</f>
        <v>0</v>
      </c>
      <c r="C7">
        <f t="shared" si="11"/>
        <v>1.0000000000000231</v>
      </c>
      <c r="D7">
        <f t="shared" si="11"/>
        <v>0</v>
      </c>
      <c r="E7">
        <f t="shared" si="11"/>
        <v>-0.99999999999997868</v>
      </c>
      <c r="F7">
        <f t="shared" si="11"/>
        <v>0</v>
      </c>
      <c r="G7">
        <f t="shared" si="11"/>
        <v>0</v>
      </c>
      <c r="H7">
        <f t="shared" si="11"/>
        <v>-0.99999999999997868</v>
      </c>
      <c r="I7">
        <f t="shared" si="11"/>
        <v>0</v>
      </c>
      <c r="J7">
        <f t="shared" si="11"/>
        <v>-2.0000000000000018</v>
      </c>
      <c r="K7">
        <f t="shared" si="11"/>
        <v>-3.0000000000000249</v>
      </c>
      <c r="L7">
        <f t="shared" si="11"/>
        <v>-3.0000000000000249</v>
      </c>
      <c r="M7">
        <f t="shared" si="11"/>
        <v>-4.0000000000000036</v>
      </c>
      <c r="N7">
        <f t="shared" si="11"/>
        <v>-6.0000000000000497</v>
      </c>
      <c r="O7" s="5">
        <f t="shared" si="1"/>
        <v>-9.9658672635611935E-3</v>
      </c>
      <c r="P7" s="5">
        <f t="shared" si="1"/>
        <v>-1.8743724367556495E-2</v>
      </c>
      <c r="Q7" s="5">
        <f t="shared" si="1"/>
        <v>-5.8755854189256737E-3</v>
      </c>
      <c r="R7" s="5">
        <f t="shared" si="1"/>
        <v>-1.8811146498684851E-2</v>
      </c>
      <c r="S7" s="5">
        <f t="shared" si="1"/>
        <v>-4.5829230502128287E-3</v>
      </c>
      <c r="T7" s="5">
        <f t="shared" ref="T7:X7" si="12">LN(T556/T557)</f>
        <v>-8.1221758204361068E-3</v>
      </c>
      <c r="U7" s="5">
        <f t="shared" si="12"/>
        <v>-9.2738105178604806E-3</v>
      </c>
      <c r="V7" s="5">
        <f t="shared" si="12"/>
        <v>-3.6613414340195493E-3</v>
      </c>
      <c r="W7" s="5">
        <f t="shared" si="12"/>
        <v>-1.4590730459002166E-2</v>
      </c>
      <c r="X7" s="5">
        <f t="shared" si="12"/>
        <v>-4.2845371250609223E-3</v>
      </c>
      <c r="Z7" s="4">
        <v>46091</v>
      </c>
      <c r="AA7">
        <f>B7*B$3</f>
        <v>0</v>
      </c>
      <c r="AB7">
        <f>C7*C$3</f>
        <v>-2584.0000000000596</v>
      </c>
      <c r="AC7">
        <f>D7*D$3</f>
        <v>0</v>
      </c>
      <c r="AD7">
        <f>E7*E$3</f>
        <v>-2427.9999999999482</v>
      </c>
      <c r="AE7">
        <f>F7*F$3</f>
        <v>0</v>
      </c>
      <c r="AF7">
        <f>G7*G$3</f>
        <v>0</v>
      </c>
      <c r="AG7">
        <f>H7*H$3</f>
        <v>28215.9999999994</v>
      </c>
      <c r="AH7">
        <f>I7*I$3</f>
        <v>0</v>
      </c>
      <c r="AI7">
        <f>J7*J$3</f>
        <v>102103.00000000009</v>
      </c>
      <c r="AJ7">
        <f>K7*K$3</f>
        <v>235185.00000000195</v>
      </c>
      <c r="AK7">
        <f>L7*L$3</f>
        <v>-93012.000000000771</v>
      </c>
      <c r="AL7">
        <f>M7*M$3</f>
        <v>-128292.00000000012</v>
      </c>
      <c r="AM7">
        <f>N7*N$3</f>
        <v>0</v>
      </c>
      <c r="AN7">
        <f>O7*O$3</f>
        <v>0</v>
      </c>
      <c r="AO7">
        <f>P7*P$3</f>
        <v>93718.621837782484</v>
      </c>
      <c r="AP7">
        <f>Q7*Q$3</f>
        <v>-70507.025027108088</v>
      </c>
      <c r="AQ7">
        <f>R7*R$3</f>
        <v>282167.19748027279</v>
      </c>
      <c r="AR7" s="1">
        <f>S7*S$3</f>
        <v>32080.461351489801</v>
      </c>
      <c r="AS7" s="1">
        <f t="shared" si="3"/>
        <v>-32488.703281744427</v>
      </c>
      <c r="AT7" s="1">
        <f t="shared" si="3"/>
        <v>-74190.484142883841</v>
      </c>
      <c r="AU7" s="1">
        <f t="shared" si="3"/>
        <v>0</v>
      </c>
      <c r="AV7" s="1">
        <f t="shared" si="3"/>
        <v>0</v>
      </c>
      <c r="AW7" s="1">
        <f t="shared" si="3"/>
        <v>0</v>
      </c>
      <c r="AX7" s="1">
        <f t="shared" si="8"/>
        <v>369968.06821780925</v>
      </c>
      <c r="AY7" s="1">
        <f t="shared" si="9"/>
        <v>230780.06821780873</v>
      </c>
      <c r="AZ7" s="1">
        <f t="shared" si="10"/>
        <v>139188.00000000052</v>
      </c>
      <c r="BA7">
        <v>3</v>
      </c>
      <c r="BB7" s="2">
        <f t="shared" si="4"/>
        <v>-2974767.7330554263</v>
      </c>
      <c r="BC7" s="2">
        <f t="shared" si="5"/>
        <v>-1964331.7703833887</v>
      </c>
    </row>
    <row r="8" spans="1:55" x14ac:dyDescent="0.25">
      <c r="A8" s="4">
        <v>46090</v>
      </c>
      <c r="B8">
        <f t="shared" ref="B8:N8" si="13">(B558-B557)*100</f>
        <v>0</v>
      </c>
      <c r="C8">
        <f t="shared" si="13"/>
        <v>0</v>
      </c>
      <c r="D8">
        <f t="shared" si="13"/>
        <v>-2.0000000000000018</v>
      </c>
      <c r="E8">
        <f t="shared" si="13"/>
        <v>-1.0000000000000231</v>
      </c>
      <c r="F8">
        <f t="shared" si="13"/>
        <v>-2.0000000000000018</v>
      </c>
      <c r="G8">
        <f t="shared" si="13"/>
        <v>-1.0000000000000231</v>
      </c>
      <c r="H8">
        <f t="shared" si="13"/>
        <v>0</v>
      </c>
      <c r="I8">
        <f t="shared" si="13"/>
        <v>0.99999999999997868</v>
      </c>
      <c r="J8">
        <f t="shared" si="13"/>
        <v>1.0000000000000231</v>
      </c>
      <c r="K8">
        <f t="shared" si="13"/>
        <v>3.0000000000000249</v>
      </c>
      <c r="L8">
        <f t="shared" si="13"/>
        <v>3.0000000000000249</v>
      </c>
      <c r="M8">
        <f t="shared" si="13"/>
        <v>4.0000000000000036</v>
      </c>
      <c r="N8">
        <f t="shared" si="13"/>
        <v>4.9999999999999822</v>
      </c>
      <c r="O8" s="5">
        <f t="shared" si="1"/>
        <v>-1.4074948336362842E-2</v>
      </c>
      <c r="P8" s="5">
        <f t="shared" si="1"/>
        <v>-7.9607275001533748E-4</v>
      </c>
      <c r="Q8" s="5">
        <f t="shared" si="1"/>
        <v>1.5415026845646284E-2</v>
      </c>
      <c r="R8" s="5">
        <f t="shared" si="1"/>
        <v>2.8710901146419198E-3</v>
      </c>
      <c r="S8" s="5">
        <f t="shared" si="1"/>
        <v>-7.4589134944600521E-3</v>
      </c>
      <c r="T8" s="5">
        <f t="shared" ref="T8:X8" si="14">LN(T557/T558)</f>
        <v>7.3325559743646004E-3</v>
      </c>
      <c r="U8" s="5">
        <f t="shared" si="14"/>
        <v>4.2253433463825601E-3</v>
      </c>
      <c r="V8" s="5">
        <f t="shared" si="14"/>
        <v>5.6526454406606412E-3</v>
      </c>
      <c r="W8" s="5">
        <f t="shared" si="14"/>
        <v>6.4533157194547365E-3</v>
      </c>
      <c r="X8" s="5">
        <f t="shared" si="14"/>
        <v>7.1714250647553646E-4</v>
      </c>
      <c r="Z8" s="4">
        <v>46090</v>
      </c>
      <c r="AA8">
        <f>B8*B$3</f>
        <v>0</v>
      </c>
      <c r="AB8">
        <f>C8*C$3</f>
        <v>0</v>
      </c>
      <c r="AC8">
        <f>D8*D$3</f>
        <v>-32286.000000000029</v>
      </c>
      <c r="AD8">
        <f>E8*E$3</f>
        <v>-2428.0000000000559</v>
      </c>
      <c r="AE8">
        <f>F8*F$3</f>
        <v>24856.000000000022</v>
      </c>
      <c r="AF8">
        <f>G8*G$3</f>
        <v>15628.00000000036</v>
      </c>
      <c r="AG8">
        <f>H8*H$3</f>
        <v>0</v>
      </c>
      <c r="AH8">
        <f>I8*I$3</f>
        <v>-18455.999999999607</v>
      </c>
      <c r="AI8">
        <f>J8*J$3</f>
        <v>-51051.500000001179</v>
      </c>
      <c r="AJ8">
        <f>K8*K$3</f>
        <v>-235185.00000000195</v>
      </c>
      <c r="AK8">
        <f>L8*L$3</f>
        <v>93012.000000000771</v>
      </c>
      <c r="AL8">
        <f>M8*M$3</f>
        <v>128292.00000000012</v>
      </c>
      <c r="AM8">
        <f>N8*N$3</f>
        <v>0</v>
      </c>
      <c r="AN8">
        <f>O8*O$3</f>
        <v>0</v>
      </c>
      <c r="AO8">
        <f>P8*P$3</f>
        <v>3980.3637500766872</v>
      </c>
      <c r="AP8">
        <f>Q8*Q$3</f>
        <v>184980.32214775542</v>
      </c>
      <c r="AQ8">
        <f>R8*R$3</f>
        <v>-43066.351719628801</v>
      </c>
      <c r="AR8" s="1">
        <f>S8*S$3</f>
        <v>52212.394461220363</v>
      </c>
      <c r="AS8" s="1">
        <f t="shared" si="3"/>
        <v>29330.223897458403</v>
      </c>
      <c r="AT8" s="1">
        <f t="shared" si="3"/>
        <v>33802.746771060483</v>
      </c>
      <c r="AU8" s="1">
        <f t="shared" si="3"/>
        <v>0</v>
      </c>
      <c r="AV8" s="1">
        <f t="shared" si="3"/>
        <v>0</v>
      </c>
      <c r="AW8" s="1">
        <f t="shared" si="3"/>
        <v>0</v>
      </c>
      <c r="AX8" s="1">
        <f t="shared" si="8"/>
        <v>183621.19930794099</v>
      </c>
      <c r="AY8" s="1">
        <f t="shared" si="9"/>
        <v>261239.69930794256</v>
      </c>
      <c r="AZ8" s="1">
        <f t="shared" si="10"/>
        <v>-77618.500000001572</v>
      </c>
      <c r="BA8">
        <v>2</v>
      </c>
      <c r="BB8" s="2">
        <f t="shared" si="4"/>
        <v>-3495226.1151737617</v>
      </c>
      <c r="BC8" s="2">
        <f t="shared" si="5"/>
        <v>-2974767.7330554263</v>
      </c>
    </row>
    <row r="9" spans="1:55" x14ac:dyDescent="0.25">
      <c r="A9" s="4">
        <v>46087</v>
      </c>
      <c r="B9">
        <f t="shared" ref="B9:N9" si="15">(B559-B558)*100</f>
        <v>0</v>
      </c>
      <c r="C9">
        <f t="shared" si="15"/>
        <v>0</v>
      </c>
      <c r="D9">
        <f t="shared" si="15"/>
        <v>1.0000000000000231</v>
      </c>
      <c r="E9">
        <f t="shared" si="15"/>
        <v>1.0000000000000231</v>
      </c>
      <c r="F9">
        <f t="shared" si="15"/>
        <v>2.0000000000000018</v>
      </c>
      <c r="G9">
        <f t="shared" si="15"/>
        <v>4.0000000000000036</v>
      </c>
      <c r="H9">
        <f t="shared" si="15"/>
        <v>0.99999999999997868</v>
      </c>
      <c r="I9">
        <f t="shared" si="15"/>
        <v>0</v>
      </c>
      <c r="J9">
        <f t="shared" si="15"/>
        <v>0</v>
      </c>
      <c r="K9">
        <f t="shared" si="15"/>
        <v>-1.0000000000000231</v>
      </c>
      <c r="L9">
        <f t="shared" si="15"/>
        <v>-2.0000000000000462</v>
      </c>
      <c r="M9">
        <f t="shared" si="15"/>
        <v>-3.0000000000000249</v>
      </c>
      <c r="N9">
        <f t="shared" si="15"/>
        <v>-2.9999999999999361</v>
      </c>
      <c r="O9" s="5">
        <f t="shared" si="1"/>
        <v>8.1847037292866361E-3</v>
      </c>
      <c r="P9" s="5">
        <f t="shared" si="1"/>
        <v>-1.325381241068682E-3</v>
      </c>
      <c r="Q9" s="5">
        <f t="shared" si="1"/>
        <v>1.388972851561493E-2</v>
      </c>
      <c r="R9" s="5">
        <f t="shared" si="1"/>
        <v>1.1276684481962146E-2</v>
      </c>
      <c r="S9" s="5">
        <f t="shared" si="1"/>
        <v>7.5294861592734106E-4</v>
      </c>
      <c r="T9" s="5">
        <f t="shared" ref="T9:X9" si="16">LN(T558/T559)</f>
        <v>2.3707822306571918E-3</v>
      </c>
      <c r="U9" s="5">
        <f t="shared" si="16"/>
        <v>9.0882554477963128E-4</v>
      </c>
      <c r="V9" s="5">
        <f t="shared" si="16"/>
        <v>3.5037561703988931E-3</v>
      </c>
      <c r="W9" s="5">
        <f t="shared" si="16"/>
        <v>9.1855097148853589E-3</v>
      </c>
      <c r="X9" s="5">
        <f t="shared" si="16"/>
        <v>1.9360883113138899E-3</v>
      </c>
      <c r="Z9" s="4">
        <v>46087</v>
      </c>
      <c r="AA9">
        <f>B9*B$3</f>
        <v>0</v>
      </c>
      <c r="AB9">
        <f>C9*C$3</f>
        <v>0</v>
      </c>
      <c r="AC9">
        <f>D9*D$3</f>
        <v>16143.000000000373</v>
      </c>
      <c r="AD9">
        <f>E9*E$3</f>
        <v>2428.0000000000559</v>
      </c>
      <c r="AE9">
        <f>F9*F$3</f>
        <v>-24856.000000000022</v>
      </c>
      <c r="AF9">
        <f>G9*G$3</f>
        <v>-62512.000000000058</v>
      </c>
      <c r="AG9">
        <f>H9*H$3</f>
        <v>-28215.9999999994</v>
      </c>
      <c r="AH9">
        <f>I9*I$3</f>
        <v>0</v>
      </c>
      <c r="AI9">
        <f>J9*J$3</f>
        <v>0</v>
      </c>
      <c r="AJ9">
        <f>K9*K$3</f>
        <v>78395.000000001804</v>
      </c>
      <c r="AK9">
        <f>L9*L$3</f>
        <v>-62008.000000001433</v>
      </c>
      <c r="AL9">
        <f>M9*M$3</f>
        <v>-96219.0000000008</v>
      </c>
      <c r="AM9">
        <f>N9*N$3</f>
        <v>0</v>
      </c>
      <c r="AN9">
        <f>O9*O$3</f>
        <v>0</v>
      </c>
      <c r="AO9">
        <f>P9*P$3</f>
        <v>6626.90620534341</v>
      </c>
      <c r="AP9">
        <f>Q9*Q$3</f>
        <v>166676.74218737916</v>
      </c>
      <c r="AQ9">
        <f>R9*R$3</f>
        <v>-169150.26722943218</v>
      </c>
      <c r="AR9" s="1">
        <f>S9*S$3</f>
        <v>-5270.6403114913874</v>
      </c>
      <c r="AS9" s="1">
        <f t="shared" si="3"/>
        <v>9483.1289226287663</v>
      </c>
      <c r="AT9" s="1">
        <f t="shared" si="3"/>
        <v>7270.6043582370503</v>
      </c>
      <c r="AU9" s="1">
        <f t="shared" si="3"/>
        <v>0</v>
      </c>
      <c r="AV9" s="1">
        <f t="shared" si="3"/>
        <v>0</v>
      </c>
      <c r="AW9" s="1">
        <f t="shared" si="3"/>
        <v>0</v>
      </c>
      <c r="AX9" s="1">
        <f t="shared" si="8"/>
        <v>-161208.52586733465</v>
      </c>
      <c r="AY9" s="1">
        <f t="shared" si="9"/>
        <v>15636.474132664811</v>
      </c>
      <c r="AZ9" s="1">
        <f t="shared" si="10"/>
        <v>-176844.99999999948</v>
      </c>
      <c r="BA9">
        <v>1</v>
      </c>
      <c r="BB9" s="2">
        <f t="shared" si="4"/>
        <v>-3641162.9678325644</v>
      </c>
      <c r="BC9" s="2">
        <f t="shared" si="5"/>
        <v>-3495226.1151737617</v>
      </c>
    </row>
    <row r="10" spans="1:55" x14ac:dyDescent="0.25">
      <c r="A10" s="4">
        <v>46086</v>
      </c>
      <c r="B10">
        <f t="shared" ref="B10:N10" si="17">(B560-B559)*100</f>
        <v>0</v>
      </c>
      <c r="C10">
        <f t="shared" si="17"/>
        <v>2.9999999999999805</v>
      </c>
      <c r="D10">
        <f t="shared" si="17"/>
        <v>0.99999999999997868</v>
      </c>
      <c r="E10">
        <f t="shared" si="17"/>
        <v>0</v>
      </c>
      <c r="F10">
        <f t="shared" si="17"/>
        <v>0</v>
      </c>
      <c r="G10">
        <f t="shared" si="17"/>
        <v>-0.99999999999997868</v>
      </c>
      <c r="H10">
        <f t="shared" si="17"/>
        <v>-2.9999999999999805</v>
      </c>
      <c r="I10">
        <f t="shared" si="17"/>
        <v>-4.0000000000000036</v>
      </c>
      <c r="J10">
        <f t="shared" si="17"/>
        <v>-5.0000000000000266</v>
      </c>
      <c r="K10">
        <f t="shared" si="17"/>
        <v>-4.9999999999999822</v>
      </c>
      <c r="L10">
        <f t="shared" si="17"/>
        <v>-4.0000000000000036</v>
      </c>
      <c r="M10">
        <f t="shared" si="17"/>
        <v>-4.0000000000000036</v>
      </c>
      <c r="N10">
        <f t="shared" si="17"/>
        <v>-2.0000000000000462</v>
      </c>
      <c r="O10" s="5">
        <f t="shared" si="1"/>
        <v>6.8113377025942941E-3</v>
      </c>
      <c r="P10" s="5">
        <f t="shared" si="1"/>
        <v>7.4448628894377049E-3</v>
      </c>
      <c r="Q10" s="5">
        <f t="shared" si="1"/>
        <v>-1.2412313942421293E-2</v>
      </c>
      <c r="R10" s="5">
        <f t="shared" si="1"/>
        <v>8.1752280136205176E-3</v>
      </c>
      <c r="S10" s="5">
        <f t="shared" si="1"/>
        <v>1.3058472595134532E-2</v>
      </c>
      <c r="T10" s="5">
        <f t="shared" ref="T10:X10" si="18">LN(T559/T560)</f>
        <v>-2.0109002290510064E-3</v>
      </c>
      <c r="U10" s="5">
        <f t="shared" si="18"/>
        <v>-1.1892759238601924E-3</v>
      </c>
      <c r="V10" s="5">
        <f t="shared" si="18"/>
        <v>-5.0197292711677824E-3</v>
      </c>
      <c r="W10" s="5">
        <f t="shared" si="18"/>
        <v>-5.0007930209826001E-3</v>
      </c>
      <c r="X10" s="5">
        <f t="shared" si="18"/>
        <v>-3.5488601018020516E-3</v>
      </c>
      <c r="Z10" s="4">
        <v>46086</v>
      </c>
      <c r="AA10">
        <f>B10*B$3</f>
        <v>0</v>
      </c>
      <c r="AB10">
        <f>C10*C$3</f>
        <v>-7751.9999999999491</v>
      </c>
      <c r="AC10">
        <f>D10*D$3</f>
        <v>16142.999999999656</v>
      </c>
      <c r="AD10">
        <f>E10*E$3</f>
        <v>0</v>
      </c>
      <c r="AE10">
        <f>F10*F$3</f>
        <v>0</v>
      </c>
      <c r="AF10">
        <f>G10*G$3</f>
        <v>15627.999999999667</v>
      </c>
      <c r="AG10">
        <f>H10*H$3</f>
        <v>84647.999999999447</v>
      </c>
      <c r="AH10">
        <f>I10*I$3</f>
        <v>73824.000000000073</v>
      </c>
      <c r="AI10">
        <f>J10*J$3</f>
        <v>255257.50000000137</v>
      </c>
      <c r="AJ10">
        <f>K10*K$3</f>
        <v>391974.9999999986</v>
      </c>
      <c r="AK10">
        <f>L10*L$3</f>
        <v>-124016.00000000012</v>
      </c>
      <c r="AL10">
        <f>M10*M$3</f>
        <v>-128292.00000000012</v>
      </c>
      <c r="AM10">
        <f>N10*N$3</f>
        <v>0</v>
      </c>
      <c r="AN10">
        <f>O10*O$3</f>
        <v>0</v>
      </c>
      <c r="AO10">
        <f>P10*P$3</f>
        <v>-37224.314447188524</v>
      </c>
      <c r="AP10">
        <f>Q10*Q$3</f>
        <v>-148947.76730905552</v>
      </c>
      <c r="AQ10">
        <f>R10*R$3</f>
        <v>-122628.42020430777</v>
      </c>
      <c r="AR10" s="1">
        <f>S10*S$3</f>
        <v>-91409.308165941722</v>
      </c>
      <c r="AS10" s="1">
        <f t="shared" si="3"/>
        <v>-8043.6009162040255</v>
      </c>
      <c r="AT10" s="1">
        <f t="shared" si="3"/>
        <v>-9514.2073908815401</v>
      </c>
      <c r="AU10" s="1">
        <f t="shared" si="3"/>
        <v>0</v>
      </c>
      <c r="AV10" s="1">
        <f t="shared" si="3"/>
        <v>0</v>
      </c>
      <c r="AW10" s="1">
        <f t="shared" si="3"/>
        <v>0</v>
      </c>
      <c r="AX10" s="1">
        <f t="shared" si="8"/>
        <v>159647.88156641947</v>
      </c>
      <c r="AY10" s="1">
        <f t="shared" si="9"/>
        <v>-417767.61843357916</v>
      </c>
      <c r="AZ10" s="1">
        <f t="shared" si="10"/>
        <v>577415.4999999986</v>
      </c>
    </row>
    <row r="11" spans="1:55" x14ac:dyDescent="0.25">
      <c r="A11" s="4">
        <v>46085</v>
      </c>
      <c r="B11">
        <f t="shared" ref="B11:N11" si="19">(B561-B560)*100</f>
        <v>0</v>
      </c>
      <c r="C11">
        <f t="shared" si="19"/>
        <v>-0.99999999999997868</v>
      </c>
      <c r="D11">
        <f t="shared" si="19"/>
        <v>0</v>
      </c>
      <c r="E11">
        <f t="shared" si="19"/>
        <v>-1.0000000000000231</v>
      </c>
      <c r="F11">
        <f t="shared" si="19"/>
        <v>0</v>
      </c>
      <c r="G11">
        <f t="shared" si="19"/>
        <v>-3.0000000000000249</v>
      </c>
      <c r="H11">
        <f t="shared" si="19"/>
        <v>-3.0000000000000249</v>
      </c>
      <c r="I11">
        <f t="shared" si="19"/>
        <v>-4.9999999999999822</v>
      </c>
      <c r="J11">
        <f t="shared" si="19"/>
        <v>-4.0000000000000036</v>
      </c>
      <c r="K11">
        <f t="shared" si="19"/>
        <v>-4.0000000000000036</v>
      </c>
      <c r="L11">
        <f t="shared" si="19"/>
        <v>-3.0000000000000249</v>
      </c>
      <c r="M11">
        <f t="shared" si="19"/>
        <v>-1.9999999999999574</v>
      </c>
      <c r="N11">
        <f t="shared" si="19"/>
        <v>-1.9999999999999574</v>
      </c>
      <c r="O11" s="5">
        <f t="shared" si="1"/>
        <v>-1.4844729748438942E-2</v>
      </c>
      <c r="P11" s="5">
        <f t="shared" si="1"/>
        <v>-1.4045546920789735E-2</v>
      </c>
      <c r="Q11" s="5">
        <f t="shared" si="1"/>
        <v>2.4697853578595688E-2</v>
      </c>
      <c r="R11" s="5">
        <f t="shared" si="1"/>
        <v>-1.1719895862447518E-3</v>
      </c>
      <c r="S11" s="5">
        <f t="shared" si="1"/>
        <v>-4.4039291654255231E-3</v>
      </c>
      <c r="T11" s="5">
        <f t="shared" ref="T11:X11" si="20">LN(T560/T561)</f>
        <v>7.2958326259163798E-3</v>
      </c>
      <c r="U11" s="5">
        <f t="shared" si="20"/>
        <v>4.2555897821516166E-3</v>
      </c>
      <c r="V11" s="5">
        <f t="shared" si="20"/>
        <v>3.275825631615326E-3</v>
      </c>
      <c r="W11" s="5">
        <f t="shared" si="20"/>
        <v>9.2036123662311599E-3</v>
      </c>
      <c r="X11" s="5">
        <f t="shared" si="20"/>
        <v>4.1137394807971746E-3</v>
      </c>
      <c r="Z11" s="4">
        <v>46085</v>
      </c>
      <c r="AA11">
        <f>B11*B$3</f>
        <v>0</v>
      </c>
      <c r="AB11">
        <f>C11*C$3</f>
        <v>2583.999999999945</v>
      </c>
      <c r="AC11">
        <f>D11*D$3</f>
        <v>0</v>
      </c>
      <c r="AD11">
        <f>E11*E$3</f>
        <v>-2428.0000000000559</v>
      </c>
      <c r="AE11">
        <f>F11*F$3</f>
        <v>0</v>
      </c>
      <c r="AF11">
        <f>G11*G$3</f>
        <v>46884.000000000386</v>
      </c>
      <c r="AG11">
        <f>H11*H$3</f>
        <v>84648.000000000698</v>
      </c>
      <c r="AH11">
        <f>I11*I$3</f>
        <v>92279.999999999665</v>
      </c>
      <c r="AI11">
        <f>J11*J$3</f>
        <v>204206.00000000017</v>
      </c>
      <c r="AJ11">
        <f>K11*K$3</f>
        <v>313580.00000000029</v>
      </c>
      <c r="AK11">
        <f>L11*L$3</f>
        <v>-93012.000000000771</v>
      </c>
      <c r="AL11">
        <f>M11*M$3</f>
        <v>-64145.999999998632</v>
      </c>
      <c r="AM11">
        <f>N11*N$3</f>
        <v>0</v>
      </c>
      <c r="AN11">
        <f>O11*O$3</f>
        <v>0</v>
      </c>
      <c r="AO11">
        <f>P11*P$3</f>
        <v>70227.734603948673</v>
      </c>
      <c r="AP11">
        <f>Q11*Q$3</f>
        <v>296374.24294314825</v>
      </c>
      <c r="AQ11">
        <f>R11*R$3</f>
        <v>17579.843793671276</v>
      </c>
      <c r="AR11" s="1">
        <f>S11*S$3</f>
        <v>30827.504157978663</v>
      </c>
      <c r="AS11" s="1">
        <f t="shared" si="3"/>
        <v>29183.330503665518</v>
      </c>
      <c r="AT11" s="1">
        <f t="shared" si="3"/>
        <v>34044.718257212931</v>
      </c>
      <c r="AU11" s="1">
        <f t="shared" si="3"/>
        <v>0</v>
      </c>
      <c r="AV11" s="1">
        <f t="shared" si="3"/>
        <v>0</v>
      </c>
      <c r="AW11" s="1">
        <f t="shared" si="3"/>
        <v>0</v>
      </c>
      <c r="AX11" s="1">
        <f t="shared" si="8"/>
        <v>1062833.374259627</v>
      </c>
      <c r="AY11" s="1">
        <f t="shared" si="9"/>
        <v>478237.37425962527</v>
      </c>
      <c r="AZ11" s="1">
        <f t="shared" si="10"/>
        <v>584596.00000000163</v>
      </c>
    </row>
    <row r="12" spans="1:55" x14ac:dyDescent="0.25">
      <c r="A12" s="4">
        <v>46084</v>
      </c>
      <c r="B12">
        <f t="shared" ref="B12:N12" si="21">(B562-B561)*100</f>
        <v>-0.99999999999997868</v>
      </c>
      <c r="C12">
        <f t="shared" si="21"/>
        <v>0</v>
      </c>
      <c r="D12">
        <f t="shared" si="21"/>
        <v>1.0000000000000231</v>
      </c>
      <c r="E12">
        <f t="shared" si="21"/>
        <v>1.0000000000000231</v>
      </c>
      <c r="F12">
        <f t="shared" si="21"/>
        <v>0</v>
      </c>
      <c r="G12">
        <f t="shared" si="21"/>
        <v>-0.99999999999997868</v>
      </c>
      <c r="H12">
        <f t="shared" si="21"/>
        <v>-3.9999999999999591</v>
      </c>
      <c r="I12">
        <f t="shared" si="21"/>
        <v>-0.99999999999997868</v>
      </c>
      <c r="J12">
        <f t="shared" si="21"/>
        <v>-0.99999999999997868</v>
      </c>
      <c r="K12">
        <f t="shared" si="21"/>
        <v>-1.0000000000000231</v>
      </c>
      <c r="L12">
        <f t="shared" si="21"/>
        <v>-0.99999999999997868</v>
      </c>
      <c r="M12">
        <f t="shared" si="21"/>
        <v>-1.0000000000000675</v>
      </c>
      <c r="N12">
        <f t="shared" si="21"/>
        <v>0</v>
      </c>
      <c r="O12" s="5">
        <f t="shared" si="1"/>
        <v>1.6574069379698204E-2</v>
      </c>
      <c r="P12" s="5">
        <f t="shared" si="1"/>
        <v>1.3511928978565036E-2</v>
      </c>
      <c r="Q12" s="5">
        <f t="shared" si="1"/>
        <v>1.4582001583050733E-2</v>
      </c>
      <c r="R12" s="5">
        <f t="shared" si="1"/>
        <v>1.5344060264620764E-2</v>
      </c>
      <c r="S12" s="5">
        <f t="shared" si="1"/>
        <v>2.012552893596745E-2</v>
      </c>
      <c r="T12" s="5">
        <f t="shared" ref="T12:X12" si="22">LN(T561/T562)</f>
        <v>5.301246967733487E-3</v>
      </c>
      <c r="U12" s="5">
        <f t="shared" si="22"/>
        <v>-2.9498708867491054E-4</v>
      </c>
      <c r="V12" s="5">
        <f t="shared" si="22"/>
        <v>3.9759724869826577E-3</v>
      </c>
      <c r="W12" s="5">
        <f t="shared" si="22"/>
        <v>-6.7342486867721747E-3</v>
      </c>
      <c r="X12" s="5">
        <f t="shared" si="22"/>
        <v>1.1858777595146365E-2</v>
      </c>
      <c r="Z12" s="4">
        <v>46084</v>
      </c>
      <c r="AA12">
        <f>B12*B$3</f>
        <v>982.99999999997908</v>
      </c>
      <c r="AB12">
        <f>C12*C$3</f>
        <v>0</v>
      </c>
      <c r="AC12">
        <f>D12*D$3</f>
        <v>16143.000000000373</v>
      </c>
      <c r="AD12">
        <f>E12*E$3</f>
        <v>2428.0000000000559</v>
      </c>
      <c r="AE12">
        <f>F12*F$3</f>
        <v>0</v>
      </c>
      <c r="AF12">
        <f>G12*G$3</f>
        <v>15627.999999999667</v>
      </c>
      <c r="AG12">
        <f>H12*H$3</f>
        <v>112863.99999999885</v>
      </c>
      <c r="AH12">
        <f>I12*I$3</f>
        <v>18455.999999999607</v>
      </c>
      <c r="AI12">
        <f>J12*J$3</f>
        <v>51051.499999998909</v>
      </c>
      <c r="AJ12">
        <f>K12*K$3</f>
        <v>78395.000000001804</v>
      </c>
      <c r="AK12">
        <f>L12*L$3</f>
        <v>-31003.999999999338</v>
      </c>
      <c r="AL12">
        <f>M12*M$3</f>
        <v>-32073.000000002165</v>
      </c>
      <c r="AM12">
        <f>N12*N$3</f>
        <v>0</v>
      </c>
      <c r="AN12">
        <f>O12*O$3</f>
        <v>0</v>
      </c>
      <c r="AO12">
        <f>P12*P$3</f>
        <v>-67559.644892825178</v>
      </c>
      <c r="AP12">
        <f>Q12*Q$3</f>
        <v>174984.01899660879</v>
      </c>
      <c r="AQ12">
        <f>R12*R$3</f>
        <v>-230160.90396931148</v>
      </c>
      <c r="AR12" s="1">
        <f>S12*S$3</f>
        <v>-140878.70255177215</v>
      </c>
      <c r="AS12" s="1">
        <f t="shared" si="3"/>
        <v>21204.987870933946</v>
      </c>
      <c r="AT12" s="1">
        <f t="shared" si="3"/>
        <v>-2359.8967093992842</v>
      </c>
      <c r="AU12" s="1">
        <f t="shared" si="3"/>
        <v>0</v>
      </c>
      <c r="AV12" s="1">
        <f t="shared" si="3"/>
        <v>0</v>
      </c>
      <c r="AW12" s="1">
        <f t="shared" si="3"/>
        <v>0</v>
      </c>
      <c r="AX12" s="1">
        <f t="shared" si="8"/>
        <v>-11898.641255767601</v>
      </c>
      <c r="AY12" s="1">
        <f t="shared" si="9"/>
        <v>-244770.14125576534</v>
      </c>
      <c r="AZ12" s="1">
        <f t="shared" si="10"/>
        <v>232871.49999999773</v>
      </c>
    </row>
    <row r="13" spans="1:55" x14ac:dyDescent="0.25">
      <c r="A13" s="4">
        <v>46083</v>
      </c>
      <c r="B13">
        <f t="shared" ref="B13:N13" si="23">(B563-B562)*100</f>
        <v>0</v>
      </c>
      <c r="C13">
        <f t="shared" si="23"/>
        <v>-1.0000000000000231</v>
      </c>
      <c r="D13">
        <f t="shared" si="23"/>
        <v>-5.0000000000000266</v>
      </c>
      <c r="E13">
        <f t="shared" si="23"/>
        <v>-1.0000000000000231</v>
      </c>
      <c r="F13">
        <f t="shared" si="23"/>
        <v>-8.0000000000000071</v>
      </c>
      <c r="G13">
        <f t="shared" si="23"/>
        <v>-6.0000000000000053</v>
      </c>
      <c r="H13">
        <f t="shared" si="23"/>
        <v>-9.0000000000000302</v>
      </c>
      <c r="I13">
        <f t="shared" si="23"/>
        <v>-10.000000000000009</v>
      </c>
      <c r="J13">
        <f t="shared" si="23"/>
        <v>-11.000000000000032</v>
      </c>
      <c r="K13">
        <f t="shared" si="23"/>
        <v>-9.9999999999999645</v>
      </c>
      <c r="L13">
        <f t="shared" si="23"/>
        <v>-7.9999999999999627</v>
      </c>
      <c r="M13">
        <f t="shared" si="23"/>
        <v>-6.9999999999999396</v>
      </c>
      <c r="N13">
        <f t="shared" si="23"/>
        <v>-6.0000000000000497</v>
      </c>
      <c r="O13" s="5">
        <f t="shared" si="1"/>
        <v>9.7788005059138133E-3</v>
      </c>
      <c r="P13" s="5">
        <f t="shared" si="1"/>
        <v>-8.798475498610302E-4</v>
      </c>
      <c r="Q13" s="5">
        <f t="shared" si="1"/>
        <v>1.179743568539323E-2</v>
      </c>
      <c r="R13" s="5">
        <f t="shared" si="1"/>
        <v>2.9779652740410064E-3</v>
      </c>
      <c r="S13" s="5">
        <f t="shared" si="1"/>
        <v>3.0999152792231225E-3</v>
      </c>
      <c r="T13" s="5">
        <f t="shared" ref="T13:X13" si="24">LN(T562/T563)</f>
        <v>3.6992518169128032E-3</v>
      </c>
      <c r="U13" s="5">
        <f t="shared" si="24"/>
        <v>6.3074853383063203E-3</v>
      </c>
      <c r="V13" s="5">
        <f t="shared" si="24"/>
        <v>4.9537503994661518E-3</v>
      </c>
      <c r="W13" s="5">
        <f t="shared" si="24"/>
        <v>6.1709084756454199E-3</v>
      </c>
      <c r="X13" s="5">
        <f t="shared" si="24"/>
        <v>-4.7966306985945768E-3</v>
      </c>
      <c r="Z13" s="4">
        <v>46083</v>
      </c>
      <c r="AA13">
        <f>B13*B$3</f>
        <v>0</v>
      </c>
      <c r="AB13">
        <f>C13*C$3</f>
        <v>2584.0000000000596</v>
      </c>
      <c r="AC13">
        <f>D13*D$3</f>
        <v>-80715.000000000437</v>
      </c>
      <c r="AD13">
        <f>E13*E$3</f>
        <v>-2428.0000000000559</v>
      </c>
      <c r="AE13">
        <f>F13*F$3</f>
        <v>99424.000000000087</v>
      </c>
      <c r="AF13">
        <f>G13*G$3</f>
        <v>93768.000000000087</v>
      </c>
      <c r="AG13">
        <f>H13*H$3</f>
        <v>253944.00000000084</v>
      </c>
      <c r="AH13">
        <f>I13*I$3</f>
        <v>184560.00000000017</v>
      </c>
      <c r="AI13">
        <f>J13*J$3</f>
        <v>561566.50000000163</v>
      </c>
      <c r="AJ13">
        <f>K13*K$3</f>
        <v>783949.99999999721</v>
      </c>
      <c r="AK13">
        <f>L13*L$3</f>
        <v>-248031.99999999884</v>
      </c>
      <c r="AL13">
        <f>M13*M$3</f>
        <v>-224510.99999999805</v>
      </c>
      <c r="AM13">
        <f>N13*N$3</f>
        <v>0</v>
      </c>
      <c r="AN13">
        <f>O13*O$3</f>
        <v>0</v>
      </c>
      <c r="AO13">
        <f>P13*P$3</f>
        <v>4399.2377493051508</v>
      </c>
      <c r="AP13">
        <f>Q13*Q$3</f>
        <v>141569.22822471877</v>
      </c>
      <c r="AQ13">
        <f>R13*R$3</f>
        <v>-44669.479110615095</v>
      </c>
      <c r="AR13" s="1">
        <f>S13*S$3</f>
        <v>-21699.406954561859</v>
      </c>
      <c r="AS13" s="1">
        <f t="shared" si="3"/>
        <v>14797.007267651214</v>
      </c>
      <c r="AT13" s="1">
        <f t="shared" si="3"/>
        <v>50459.88270645056</v>
      </c>
      <c r="AU13" s="1">
        <f t="shared" si="3"/>
        <v>0</v>
      </c>
      <c r="AV13" s="1">
        <f t="shared" si="3"/>
        <v>0</v>
      </c>
      <c r="AW13" s="1">
        <f t="shared" si="3"/>
        <v>0</v>
      </c>
      <c r="AX13" s="1">
        <f t="shared" si="8"/>
        <v>1568966.9698829511</v>
      </c>
      <c r="AY13" s="1">
        <f t="shared" si="9"/>
        <v>144856.46988294873</v>
      </c>
      <c r="AZ13" s="1">
        <f t="shared" si="10"/>
        <v>1424110.5000000023</v>
      </c>
    </row>
    <row r="14" spans="1:55" x14ac:dyDescent="0.25">
      <c r="A14" s="4">
        <v>46080</v>
      </c>
      <c r="B14">
        <f t="shared" ref="B14:N14" si="25">(B564-B563)*100</f>
        <v>0</v>
      </c>
      <c r="C14">
        <f t="shared" si="25"/>
        <v>2.0000000000000018</v>
      </c>
      <c r="D14">
        <f t="shared" si="25"/>
        <v>1.0000000000000231</v>
      </c>
      <c r="E14">
        <f t="shared" si="25"/>
        <v>1.0000000000000231</v>
      </c>
      <c r="F14">
        <f t="shared" si="25"/>
        <v>0.99999999999997868</v>
      </c>
      <c r="G14">
        <f t="shared" si="25"/>
        <v>4.0000000000000036</v>
      </c>
      <c r="H14">
        <f t="shared" si="25"/>
        <v>4.0000000000000036</v>
      </c>
      <c r="I14">
        <f t="shared" si="25"/>
        <v>6.999999999999984</v>
      </c>
      <c r="J14">
        <f t="shared" si="25"/>
        <v>6.0000000000000053</v>
      </c>
      <c r="K14">
        <f t="shared" si="25"/>
        <v>5.9999999999999609</v>
      </c>
      <c r="L14">
        <f t="shared" si="25"/>
        <v>4.9999999999999378</v>
      </c>
      <c r="M14">
        <f t="shared" si="25"/>
        <v>2.9999999999999361</v>
      </c>
      <c r="N14">
        <f t="shared" si="25"/>
        <v>3.0000000000000249</v>
      </c>
      <c r="O14" s="5">
        <f t="shared" si="1"/>
        <v>2.1969271310561095E-3</v>
      </c>
      <c r="P14" s="5">
        <f t="shared" si="1"/>
        <v>-2.0495817888918619E-2</v>
      </c>
      <c r="Q14" s="5">
        <f t="shared" si="1"/>
        <v>4.2006845691145668E-3</v>
      </c>
      <c r="R14" s="5">
        <f t="shared" si="1"/>
        <v>-5.9630293955354905E-4</v>
      </c>
      <c r="S14" s="5">
        <f t="shared" si="1"/>
        <v>2.1378701486147156E-3</v>
      </c>
      <c r="T14" s="5">
        <f t="shared" ref="T14:X14" si="26">LN(T563/T564)</f>
        <v>1.0274385937267137E-3</v>
      </c>
      <c r="U14" s="5">
        <f t="shared" si="26"/>
        <v>4.9229840790520861E-3</v>
      </c>
      <c r="V14" s="5">
        <f t="shared" si="26"/>
        <v>-2.1855069977503739E-3</v>
      </c>
      <c r="W14" s="5">
        <f t="shared" si="26"/>
        <v>2.6296421577961977E-3</v>
      </c>
      <c r="X14" s="5">
        <f t="shared" si="26"/>
        <v>1.4106528402985645E-3</v>
      </c>
      <c r="Z14" s="4">
        <v>46080</v>
      </c>
      <c r="AA14">
        <f>B14*B$3</f>
        <v>0</v>
      </c>
      <c r="AB14">
        <f>C14*C$3</f>
        <v>-5168.0000000000045</v>
      </c>
      <c r="AC14">
        <f>D14*D$3</f>
        <v>16143.000000000373</v>
      </c>
      <c r="AD14">
        <f>E14*E$3</f>
        <v>2428.0000000000559</v>
      </c>
      <c r="AE14">
        <f>F14*F$3</f>
        <v>-12427.999999999734</v>
      </c>
      <c r="AF14">
        <f>G14*G$3</f>
        <v>-62512.000000000058</v>
      </c>
      <c r="AG14">
        <f>H14*H$3</f>
        <v>-112864.0000000001</v>
      </c>
      <c r="AH14">
        <f>I14*I$3</f>
        <v>-129191.99999999971</v>
      </c>
      <c r="AI14">
        <f>J14*J$3</f>
        <v>-306309.00000000029</v>
      </c>
      <c r="AJ14">
        <f>K14*K$3</f>
        <v>-470369.99999999691</v>
      </c>
      <c r="AK14">
        <f>L14*L$3</f>
        <v>155019.99999999808</v>
      </c>
      <c r="AL14">
        <f>M14*M$3</f>
        <v>96218.999999997948</v>
      </c>
      <c r="AM14">
        <f>N14*N$3</f>
        <v>0</v>
      </c>
      <c r="AN14">
        <f>O14*O$3</f>
        <v>0</v>
      </c>
      <c r="AO14">
        <f>P14*P$3</f>
        <v>102479.08944459309</v>
      </c>
      <c r="AP14">
        <f>Q14*Q$3</f>
        <v>50408.214829374803</v>
      </c>
      <c r="AQ14">
        <f>R14*R$3</f>
        <v>8944.5440933032351</v>
      </c>
      <c r="AR14" s="1">
        <f>S14*S$3</f>
        <v>-14965.09104030301</v>
      </c>
      <c r="AS14" s="1">
        <f t="shared" si="3"/>
        <v>4109.7543749068545</v>
      </c>
      <c r="AT14" s="1">
        <f t="shared" si="3"/>
        <v>39383.872632416686</v>
      </c>
      <c r="AU14" s="1">
        <f t="shared" si="3"/>
        <v>0</v>
      </c>
      <c r="AV14" s="1">
        <f t="shared" si="3"/>
        <v>0</v>
      </c>
      <c r="AW14" s="1">
        <f t="shared" si="3"/>
        <v>0</v>
      </c>
      <c r="AX14" s="1">
        <f t="shared" si="8"/>
        <v>-638672.61566570878</v>
      </c>
      <c r="AY14" s="1">
        <f t="shared" si="9"/>
        <v>190360.38433429168</v>
      </c>
      <c r="AZ14" s="1">
        <f t="shared" si="10"/>
        <v>-829033.00000000047</v>
      </c>
    </row>
    <row r="15" spans="1:55" x14ac:dyDescent="0.25">
      <c r="A15" s="4">
        <v>46079</v>
      </c>
      <c r="B15">
        <f t="shared" ref="B15:N15" si="27">(B565-B564)*100</f>
        <v>-3.0000000000000249</v>
      </c>
      <c r="C15">
        <f t="shared" si="27"/>
        <v>-2.0000000000000018</v>
      </c>
      <c r="D15">
        <f t="shared" si="27"/>
        <v>0.99999999999997868</v>
      </c>
      <c r="E15">
        <f t="shared" si="27"/>
        <v>0</v>
      </c>
      <c r="F15">
        <f t="shared" si="27"/>
        <v>1.0000000000000231</v>
      </c>
      <c r="G15">
        <f t="shared" si="27"/>
        <v>0.99999999999997868</v>
      </c>
      <c r="H15">
        <f t="shared" si="27"/>
        <v>3.0000000000000249</v>
      </c>
      <c r="I15">
        <f t="shared" si="27"/>
        <v>3.0000000000000249</v>
      </c>
      <c r="J15">
        <f t="shared" si="27"/>
        <v>4.0000000000000036</v>
      </c>
      <c r="K15">
        <f t="shared" si="27"/>
        <v>4.0000000000000036</v>
      </c>
      <c r="L15">
        <f t="shared" si="27"/>
        <v>3.0000000000000249</v>
      </c>
      <c r="M15">
        <f t="shared" si="27"/>
        <v>3.0000000000000249</v>
      </c>
      <c r="N15">
        <f t="shared" si="27"/>
        <v>3.0000000000000249</v>
      </c>
      <c r="O15" s="5">
        <f t="shared" ref="O15:S24" si="28">LN(O564/O565)</f>
        <v>-1.1282291890825195E-3</v>
      </c>
      <c r="P15" s="5">
        <f t="shared" si="28"/>
        <v>3.8051683940547101E-2</v>
      </c>
      <c r="Q15" s="5">
        <f t="shared" si="28"/>
        <v>-9.0311361729552026E-3</v>
      </c>
      <c r="R15" s="5">
        <f t="shared" si="28"/>
        <v>0</v>
      </c>
      <c r="S15" s="5">
        <f t="shared" si="28"/>
        <v>2.1599349355431612E-3</v>
      </c>
      <c r="T15" s="5">
        <f t="shared" ref="T15:X15" si="29">LN(T564/T565)</f>
        <v>-3.3853080428832426E-3</v>
      </c>
      <c r="U15" s="5">
        <f t="shared" si="29"/>
        <v>-4.4776649293250771E-3</v>
      </c>
      <c r="V15" s="5">
        <f t="shared" si="29"/>
        <v>2.0507060734017753E-3</v>
      </c>
      <c r="W15" s="5">
        <f t="shared" si="29"/>
        <v>-8.3910594496382097E-3</v>
      </c>
      <c r="X15" s="5">
        <f t="shared" si="29"/>
        <v>-2.05703513719576E-3</v>
      </c>
      <c r="Z15" s="4">
        <v>46079</v>
      </c>
      <c r="AA15">
        <f>B15*B$3</f>
        <v>2949.0000000000246</v>
      </c>
      <c r="AB15">
        <f>C15*C$3</f>
        <v>5168.0000000000045</v>
      </c>
      <c r="AC15">
        <f>D15*D$3</f>
        <v>16142.999999999656</v>
      </c>
      <c r="AD15">
        <f>E15*E$3</f>
        <v>0</v>
      </c>
      <c r="AE15">
        <f>F15*F$3</f>
        <v>-12428.000000000287</v>
      </c>
      <c r="AF15">
        <f>G15*G$3</f>
        <v>-15627.999999999667</v>
      </c>
      <c r="AG15">
        <f>H15*H$3</f>
        <v>-84648.000000000698</v>
      </c>
      <c r="AH15">
        <f>I15*I$3</f>
        <v>-55368.000000000458</v>
      </c>
      <c r="AI15">
        <f>J15*J$3</f>
        <v>-204206.00000000017</v>
      </c>
      <c r="AJ15">
        <f>K15*K$3</f>
        <v>-313580.00000000029</v>
      </c>
      <c r="AK15">
        <f>L15*L$3</f>
        <v>93012.000000000771</v>
      </c>
      <c r="AL15">
        <f>M15*M$3</f>
        <v>96219.0000000008</v>
      </c>
      <c r="AM15">
        <f>N15*N$3</f>
        <v>0</v>
      </c>
      <c r="AN15">
        <f>O15*O$3</f>
        <v>0</v>
      </c>
      <c r="AO15">
        <f>P15*P$3</f>
        <v>-190258.4197027355</v>
      </c>
      <c r="AP15">
        <f>Q15*Q$3</f>
        <v>-108373.63407546243</v>
      </c>
      <c r="AQ15">
        <f>R15*R$3</f>
        <v>0</v>
      </c>
      <c r="AR15" s="1">
        <f>S15*S$3</f>
        <v>-15119.544548802129</v>
      </c>
      <c r="AS15" s="1">
        <f t="shared" si="3"/>
        <v>-13541.232171532971</v>
      </c>
      <c r="AT15" s="1">
        <f t="shared" si="3"/>
        <v>-35821.31943460062</v>
      </c>
      <c r="AU15" s="1">
        <f t="shared" si="3"/>
        <v>0</v>
      </c>
      <c r="AV15" s="1">
        <f t="shared" si="3"/>
        <v>0</v>
      </c>
      <c r="AW15" s="1">
        <f t="shared" si="3"/>
        <v>0</v>
      </c>
      <c r="AX15" s="1">
        <f t="shared" si="8"/>
        <v>-835481.14993313386</v>
      </c>
      <c r="AY15" s="1">
        <f t="shared" si="9"/>
        <v>-363114.14993313362</v>
      </c>
      <c r="AZ15" s="1">
        <f t="shared" si="10"/>
        <v>-472367.00000000023</v>
      </c>
    </row>
    <row r="16" spans="1:55" x14ac:dyDescent="0.25">
      <c r="A16" s="4">
        <v>46078</v>
      </c>
      <c r="B16">
        <f t="shared" ref="B16:N16" si="30">(B566-B565)*100</f>
        <v>1.0000000000000231</v>
      </c>
      <c r="C16">
        <f t="shared" si="30"/>
        <v>0</v>
      </c>
      <c r="D16">
        <f t="shared" si="30"/>
        <v>0</v>
      </c>
      <c r="E16">
        <f t="shared" si="30"/>
        <v>2.0000000000000018</v>
      </c>
      <c r="F16">
        <f t="shared" si="30"/>
        <v>0</v>
      </c>
      <c r="G16">
        <f t="shared" si="30"/>
        <v>-0.99999999999997868</v>
      </c>
      <c r="H16">
        <f t="shared" si="30"/>
        <v>-2.0000000000000018</v>
      </c>
      <c r="I16">
        <f t="shared" si="30"/>
        <v>-2.0000000000000018</v>
      </c>
      <c r="J16">
        <f t="shared" si="30"/>
        <v>0</v>
      </c>
      <c r="K16">
        <f t="shared" si="30"/>
        <v>-0.99999999999997868</v>
      </c>
      <c r="L16">
        <f t="shared" si="30"/>
        <v>-0.99999999999997868</v>
      </c>
      <c r="M16">
        <f t="shared" si="30"/>
        <v>0</v>
      </c>
      <c r="N16">
        <f t="shared" si="30"/>
        <v>0</v>
      </c>
      <c r="O16" s="5">
        <f t="shared" si="28"/>
        <v>-4.693751586520167E-3</v>
      </c>
      <c r="P16" s="5">
        <f t="shared" si="28"/>
        <v>-4.6001975319254753E-3</v>
      </c>
      <c r="Q16" s="5">
        <f t="shared" si="28"/>
        <v>-2.2278022661613548E-3</v>
      </c>
      <c r="R16" s="5">
        <f t="shared" si="28"/>
        <v>-2.9801818131454513E-4</v>
      </c>
      <c r="S16" s="5">
        <f t="shared" si="28"/>
        <v>-1.0135962560842203E-3</v>
      </c>
      <c r="T16" s="5">
        <f t="shared" ref="T16:X16" si="31">LN(T565/T566)</f>
        <v>1.5791679800709587E-3</v>
      </c>
      <c r="U16" s="5">
        <f t="shared" si="31"/>
        <v>-4.0451277282247269E-5</v>
      </c>
      <c r="V16" s="5">
        <f t="shared" si="31"/>
        <v>8.0190461016492794E-3</v>
      </c>
      <c r="W16" s="5">
        <f t="shared" si="31"/>
        <v>-4.2376669340080332E-5</v>
      </c>
      <c r="X16" s="5">
        <f t="shared" si="31"/>
        <v>-6.4604174241063989E-4</v>
      </c>
      <c r="Z16" s="4">
        <v>46078</v>
      </c>
      <c r="AA16">
        <f>B16*B$3</f>
        <v>-983.00000000002274</v>
      </c>
      <c r="AB16">
        <f>C16*C$3</f>
        <v>0</v>
      </c>
      <c r="AC16">
        <f>D16*D$3</f>
        <v>0</v>
      </c>
      <c r="AD16">
        <f>E16*E$3</f>
        <v>4856.0000000000045</v>
      </c>
      <c r="AE16">
        <f>F16*F$3</f>
        <v>0</v>
      </c>
      <c r="AF16">
        <f>G16*G$3</f>
        <v>15627.999999999667</v>
      </c>
      <c r="AG16">
        <f>H16*H$3</f>
        <v>56432.000000000051</v>
      </c>
      <c r="AH16">
        <f>I16*I$3</f>
        <v>36912.000000000036</v>
      </c>
      <c r="AI16">
        <f>J16*J$3</f>
        <v>0</v>
      </c>
      <c r="AJ16">
        <f>K16*K$3</f>
        <v>78394.999999998327</v>
      </c>
      <c r="AK16">
        <f>L16*L$3</f>
        <v>-31003.999999999338</v>
      </c>
      <c r="AL16">
        <f>M16*M$3</f>
        <v>0</v>
      </c>
      <c r="AM16">
        <f>N16*N$3</f>
        <v>0</v>
      </c>
      <c r="AN16">
        <f>O16*O$3</f>
        <v>0</v>
      </c>
      <c r="AO16">
        <f>P16*P$3</f>
        <v>23000.987659627375</v>
      </c>
      <c r="AP16">
        <f>Q16*Q$3</f>
        <v>-26733.627193936256</v>
      </c>
      <c r="AQ16">
        <f>R16*R$3</f>
        <v>4470.2727197181766</v>
      </c>
      <c r="AR16" s="1">
        <f>S16*S$3</f>
        <v>7095.1737925895422</v>
      </c>
      <c r="AS16" s="1">
        <f t="shared" si="3"/>
        <v>6316.6719202838349</v>
      </c>
      <c r="AT16" s="1">
        <f t="shared" si="3"/>
        <v>-323.61021825797815</v>
      </c>
      <c r="AU16" s="1">
        <f t="shared" si="3"/>
        <v>0</v>
      </c>
      <c r="AV16" s="1">
        <f t="shared" si="3"/>
        <v>0</v>
      </c>
      <c r="AW16" s="1">
        <f t="shared" si="3"/>
        <v>0</v>
      </c>
      <c r="AX16" s="1">
        <f t="shared" si="8"/>
        <v>174061.86868002341</v>
      </c>
      <c r="AY16" s="1">
        <f t="shared" si="9"/>
        <v>13825.868680024694</v>
      </c>
      <c r="AZ16" s="1">
        <f t="shared" si="10"/>
        <v>160235.99999999872</v>
      </c>
    </row>
    <row r="17" spans="1:52" x14ac:dyDescent="0.25">
      <c r="A17" s="4">
        <v>46077</v>
      </c>
      <c r="B17">
        <f t="shared" ref="B17:N17" si="32">(B567-B566)*100</f>
        <v>0</v>
      </c>
      <c r="C17">
        <f t="shared" si="32"/>
        <v>1.0000000000000231</v>
      </c>
      <c r="D17">
        <f t="shared" si="32"/>
        <v>0</v>
      </c>
      <c r="E17">
        <f t="shared" si="32"/>
        <v>0</v>
      </c>
      <c r="F17">
        <f t="shared" si="32"/>
        <v>0</v>
      </c>
      <c r="G17">
        <f t="shared" si="32"/>
        <v>-2.0000000000000018</v>
      </c>
      <c r="H17">
        <f t="shared" si="32"/>
        <v>0</v>
      </c>
      <c r="I17">
        <f t="shared" si="32"/>
        <v>-2.0000000000000018</v>
      </c>
      <c r="J17">
        <f t="shared" si="32"/>
        <v>-2.0000000000000018</v>
      </c>
      <c r="K17">
        <f t="shared" si="32"/>
        <v>-2.0000000000000018</v>
      </c>
      <c r="L17">
        <f t="shared" si="32"/>
        <v>-0.99999999999997868</v>
      </c>
      <c r="M17">
        <f t="shared" si="32"/>
        <v>0</v>
      </c>
      <c r="N17">
        <f t="shared" si="32"/>
        <v>0</v>
      </c>
      <c r="O17" s="5">
        <f t="shared" si="28"/>
        <v>9.0987413232850825E-4</v>
      </c>
      <c r="P17" s="5">
        <f t="shared" si="28"/>
        <v>5.6042273029859513E-3</v>
      </c>
      <c r="Q17" s="5">
        <f t="shared" si="28"/>
        <v>1.8449971800813976E-4</v>
      </c>
      <c r="R17" s="5">
        <f t="shared" si="28"/>
        <v>-5.9577005038945153E-4</v>
      </c>
      <c r="S17" s="5">
        <f t="shared" si="28"/>
        <v>-5.2611528623775555E-3</v>
      </c>
      <c r="T17" s="5">
        <f t="shared" ref="T17:X17" si="33">LN(T566/T567)</f>
        <v>3.4615685408097199E-3</v>
      </c>
      <c r="U17" s="5">
        <f t="shared" si="33"/>
        <v>2.6895356188239221E-3</v>
      </c>
      <c r="V17" s="5">
        <f t="shared" si="33"/>
        <v>1.9159546221681741E-3</v>
      </c>
      <c r="W17" s="5">
        <f t="shared" si="33"/>
        <v>7.1547245132869298E-3</v>
      </c>
      <c r="X17" s="5">
        <f t="shared" si="33"/>
        <v>3.2730860582731326E-3</v>
      </c>
      <c r="Z17" s="4">
        <v>46077</v>
      </c>
      <c r="AA17">
        <f>B17*B$3</f>
        <v>0</v>
      </c>
      <c r="AB17">
        <f>C17*C$3</f>
        <v>-2584.0000000000596</v>
      </c>
      <c r="AC17">
        <f>D17*D$3</f>
        <v>0</v>
      </c>
      <c r="AD17">
        <f>E17*E$3</f>
        <v>0</v>
      </c>
      <c r="AE17">
        <f>F17*F$3</f>
        <v>0</v>
      </c>
      <c r="AF17">
        <f>G17*G$3</f>
        <v>31256.000000000029</v>
      </c>
      <c r="AG17">
        <f>H17*H$3</f>
        <v>0</v>
      </c>
      <c r="AH17">
        <f>I17*I$3</f>
        <v>36912.000000000036</v>
      </c>
      <c r="AI17">
        <f>J17*J$3</f>
        <v>102103.00000000009</v>
      </c>
      <c r="AJ17">
        <f>K17*K$3</f>
        <v>156790.00000000015</v>
      </c>
      <c r="AK17">
        <f>L17*L$3</f>
        <v>-31003.999999999338</v>
      </c>
      <c r="AL17">
        <f>M17*M$3</f>
        <v>0</v>
      </c>
      <c r="AM17">
        <f>N17*N$3</f>
        <v>0</v>
      </c>
      <c r="AN17">
        <f>O17*O$3</f>
        <v>0</v>
      </c>
      <c r="AO17">
        <f>P17*P$3</f>
        <v>-28021.136514929756</v>
      </c>
      <c r="AP17">
        <f>Q17*Q$3</f>
        <v>2213.9966160976769</v>
      </c>
      <c r="AQ17">
        <f>R17*R$3</f>
        <v>8936.5507558417721</v>
      </c>
      <c r="AR17" s="1">
        <f>S17*S$3</f>
        <v>36828.070036642886</v>
      </c>
      <c r="AS17" s="1">
        <f t="shared" si="3"/>
        <v>13846.274163238879</v>
      </c>
      <c r="AT17" s="1">
        <f t="shared" si="3"/>
        <v>21516.284950591376</v>
      </c>
      <c r="AU17" s="1">
        <f t="shared" si="3"/>
        <v>0</v>
      </c>
      <c r="AV17" s="1">
        <f t="shared" si="3"/>
        <v>0</v>
      </c>
      <c r="AW17" s="1">
        <f t="shared" si="3"/>
        <v>0</v>
      </c>
      <c r="AX17" s="1">
        <f t="shared" si="8"/>
        <v>348793.04000748374</v>
      </c>
      <c r="AY17" s="1">
        <f t="shared" si="9"/>
        <v>55320.040007482836</v>
      </c>
      <c r="AZ17" s="1">
        <f t="shared" si="10"/>
        <v>293473.00000000093</v>
      </c>
    </row>
    <row r="18" spans="1:52" x14ac:dyDescent="0.25">
      <c r="A18" s="4">
        <v>46076</v>
      </c>
      <c r="B18">
        <f t="shared" ref="B18:N18" si="34">(B568-B567)*100</f>
        <v>0</v>
      </c>
      <c r="C18">
        <f t="shared" si="34"/>
        <v>0</v>
      </c>
      <c r="D18">
        <f t="shared" si="34"/>
        <v>0</v>
      </c>
      <c r="E18">
        <f t="shared" si="34"/>
        <v>0.99999999999997868</v>
      </c>
      <c r="F18">
        <f t="shared" si="34"/>
        <v>-1.0000000000000231</v>
      </c>
      <c r="G18">
        <f t="shared" si="34"/>
        <v>0.99999999999997868</v>
      </c>
      <c r="H18">
        <f t="shared" si="34"/>
        <v>4.9999999999999822</v>
      </c>
      <c r="I18">
        <f t="shared" si="34"/>
        <v>4.9999999999999822</v>
      </c>
      <c r="J18">
        <f t="shared" si="34"/>
        <v>6.0000000000000053</v>
      </c>
      <c r="K18">
        <f t="shared" si="34"/>
        <v>6.0000000000000053</v>
      </c>
      <c r="L18">
        <f t="shared" si="34"/>
        <v>4.9999999999999822</v>
      </c>
      <c r="M18">
        <f t="shared" si="34"/>
        <v>3.0000000000000249</v>
      </c>
      <c r="N18">
        <f t="shared" si="34"/>
        <v>1.9999999999999574</v>
      </c>
      <c r="O18" s="5">
        <f t="shared" si="28"/>
        <v>-7.159773915376616E-3</v>
      </c>
      <c r="P18" s="5">
        <f t="shared" si="28"/>
        <v>-9.2423098712260052E-3</v>
      </c>
      <c r="Q18" s="5">
        <f t="shared" si="28"/>
        <v>4.4986072378802377E-4</v>
      </c>
      <c r="R18" s="5">
        <f t="shared" si="28"/>
        <v>-5.9541531976367568E-4</v>
      </c>
      <c r="S18" s="5">
        <f t="shared" si="28"/>
        <v>7.5169309691290416E-3</v>
      </c>
      <c r="T18" s="5">
        <f t="shared" ref="T18:X18" si="35">LN(T567/T568)</f>
        <v>-5.5586994405438022E-3</v>
      </c>
      <c r="U18" s="5">
        <f t="shared" si="35"/>
        <v>-5.3448782582212308E-3</v>
      </c>
      <c r="V18" s="5">
        <f t="shared" si="35"/>
        <v>-5.3053551030495744E-3</v>
      </c>
      <c r="W18" s="5">
        <f t="shared" si="35"/>
        <v>-7.8061329558027697E-3</v>
      </c>
      <c r="X18" s="5">
        <f t="shared" si="35"/>
        <v>-4.7057641203361146E-3</v>
      </c>
      <c r="Z18" s="4">
        <v>46076</v>
      </c>
      <c r="AA18">
        <f>B18*B$3</f>
        <v>0</v>
      </c>
      <c r="AB18">
        <f>C18*C$3</f>
        <v>0</v>
      </c>
      <c r="AC18">
        <f>D18*D$3</f>
        <v>0</v>
      </c>
      <c r="AD18">
        <f>E18*E$3</f>
        <v>2427.9999999999482</v>
      </c>
      <c r="AE18">
        <f>F18*F$3</f>
        <v>12428.000000000287</v>
      </c>
      <c r="AF18">
        <f>G18*G$3</f>
        <v>-15627.999999999667</v>
      </c>
      <c r="AG18">
        <f>H18*H$3</f>
        <v>-141079.99999999951</v>
      </c>
      <c r="AH18">
        <f>I18*I$3</f>
        <v>-92279.999999999665</v>
      </c>
      <c r="AI18">
        <f>J18*J$3</f>
        <v>-306309.00000000029</v>
      </c>
      <c r="AJ18">
        <f>K18*K$3</f>
        <v>-470370.00000000041</v>
      </c>
      <c r="AK18">
        <f>L18*L$3</f>
        <v>155019.99999999945</v>
      </c>
      <c r="AL18">
        <f>M18*M$3</f>
        <v>96219.0000000008</v>
      </c>
      <c r="AM18">
        <f>N18*N$3</f>
        <v>0</v>
      </c>
      <c r="AN18">
        <f>O18*O$3</f>
        <v>0</v>
      </c>
      <c r="AO18">
        <f>P18*P$3</f>
        <v>46211.549356130025</v>
      </c>
      <c r="AP18">
        <f>Q18*Q$3</f>
        <v>5398.3286854562848</v>
      </c>
      <c r="AQ18">
        <f>R18*R$3</f>
        <v>8931.2297964551344</v>
      </c>
      <c r="AR18" s="1">
        <f>S18*S$3</f>
        <v>-52618.516783903287</v>
      </c>
      <c r="AS18" s="1">
        <f t="shared" si="3"/>
        <v>-22234.797762175211</v>
      </c>
      <c r="AT18" s="1">
        <f t="shared" si="3"/>
        <v>-42759.026065769845</v>
      </c>
      <c r="AU18" s="1">
        <f t="shared" si="3"/>
        <v>0</v>
      </c>
      <c r="AV18" s="1">
        <f t="shared" si="3"/>
        <v>0</v>
      </c>
      <c r="AW18" s="1">
        <f t="shared" si="3"/>
        <v>0</v>
      </c>
      <c r="AX18" s="1">
        <f t="shared" si="8"/>
        <v>-816643.23277380585</v>
      </c>
      <c r="AY18" s="1">
        <f t="shared" si="9"/>
        <v>-57071.2327738069</v>
      </c>
      <c r="AZ18" s="1">
        <f t="shared" si="10"/>
        <v>-759571.99999999895</v>
      </c>
    </row>
    <row r="19" spans="1:52" x14ac:dyDescent="0.25">
      <c r="A19" s="4">
        <v>46073</v>
      </c>
      <c r="B19">
        <f t="shared" ref="B19:N19" si="36">(B569-B568)*100</f>
        <v>0</v>
      </c>
      <c r="C19">
        <f t="shared" si="36"/>
        <v>0.99999999999997868</v>
      </c>
      <c r="D19">
        <f t="shared" si="36"/>
        <v>0</v>
      </c>
      <c r="E19">
        <f t="shared" si="36"/>
        <v>-0.99999999999997868</v>
      </c>
      <c r="F19">
        <f t="shared" si="36"/>
        <v>-0.99999999999997868</v>
      </c>
      <c r="G19">
        <f t="shared" si="36"/>
        <v>-0.99999999999997868</v>
      </c>
      <c r="H19">
        <f t="shared" si="36"/>
        <v>-0.99999999999997868</v>
      </c>
      <c r="I19">
        <f t="shared" si="36"/>
        <v>0</v>
      </c>
      <c r="J19">
        <f t="shared" si="36"/>
        <v>0</v>
      </c>
      <c r="K19">
        <f t="shared" si="36"/>
        <v>0</v>
      </c>
      <c r="L19">
        <f t="shared" si="36"/>
        <v>0</v>
      </c>
      <c r="M19">
        <f t="shared" si="36"/>
        <v>-2.0000000000000462</v>
      </c>
      <c r="N19">
        <f t="shared" si="36"/>
        <v>-1.9999999999999574</v>
      </c>
      <c r="O19" s="5">
        <f t="shared" si="28"/>
        <v>-4.8054650224326366E-3</v>
      </c>
      <c r="P19" s="5">
        <f t="shared" si="28"/>
        <v>5.1402902310028449E-3</v>
      </c>
      <c r="Q19" s="5">
        <f t="shared" si="28"/>
        <v>3.9883754308319471E-3</v>
      </c>
      <c r="R19" s="5">
        <f t="shared" si="28"/>
        <v>5.9541531976368511E-4</v>
      </c>
      <c r="S19" s="5">
        <f t="shared" si="28"/>
        <v>-8.1480339438115782E-3</v>
      </c>
      <c r="T19" s="5">
        <f t="shared" ref="T19:X19" si="37">LN(T568/T569)</f>
        <v>1.6727172625491543E-3</v>
      </c>
      <c r="U19" s="5">
        <f t="shared" si="37"/>
        <v>2.5743468450839294E-3</v>
      </c>
      <c r="V19" s="5">
        <f t="shared" si="37"/>
        <v>3.0144026777833349E-3</v>
      </c>
      <c r="W19" s="5">
        <f t="shared" si="37"/>
        <v>-1.7463028249906369E-3</v>
      </c>
      <c r="X19" s="5">
        <f t="shared" si="37"/>
        <v>4.0581007047619643E-3</v>
      </c>
      <c r="Z19" s="4">
        <v>46073</v>
      </c>
      <c r="AA19">
        <f>B19*B$3</f>
        <v>0</v>
      </c>
      <c r="AB19">
        <f>C19*C$3</f>
        <v>-2583.999999999945</v>
      </c>
      <c r="AC19">
        <f>D19*D$3</f>
        <v>0</v>
      </c>
      <c r="AD19">
        <f>E19*E$3</f>
        <v>-2427.9999999999482</v>
      </c>
      <c r="AE19">
        <f>F19*F$3</f>
        <v>12427.999999999734</v>
      </c>
      <c r="AF19">
        <f>G19*G$3</f>
        <v>15627.999999999667</v>
      </c>
      <c r="AG19">
        <f>H19*H$3</f>
        <v>28215.9999999994</v>
      </c>
      <c r="AH19">
        <f>I19*I$3</f>
        <v>0</v>
      </c>
      <c r="AI19">
        <f>J19*J$3</f>
        <v>0</v>
      </c>
      <c r="AJ19">
        <f>K19*K$3</f>
        <v>0</v>
      </c>
      <c r="AK19">
        <f>L19*L$3</f>
        <v>0</v>
      </c>
      <c r="AL19">
        <f>M19*M$3</f>
        <v>-64146.000000001484</v>
      </c>
      <c r="AM19">
        <f>N19*N$3</f>
        <v>0</v>
      </c>
      <c r="AN19">
        <f>O19*O$3</f>
        <v>0</v>
      </c>
      <c r="AO19">
        <f>P19*P$3</f>
        <v>-25701.451155014223</v>
      </c>
      <c r="AP19">
        <f>Q19*Q$3</f>
        <v>47860.505169983364</v>
      </c>
      <c r="AQ19">
        <f>R19*R$3</f>
        <v>-8931.2297964552763</v>
      </c>
      <c r="AR19" s="1">
        <f>S19*S$3</f>
        <v>57036.237606681047</v>
      </c>
      <c r="AS19" s="1">
        <f t="shared" si="3"/>
        <v>6690.8690501966175</v>
      </c>
      <c r="AT19" s="1">
        <f t="shared" si="3"/>
        <v>20594.774760671437</v>
      </c>
      <c r="AU19" s="1">
        <f t="shared" si="3"/>
        <v>0</v>
      </c>
      <c r="AV19" s="1">
        <f t="shared" si="3"/>
        <v>0</v>
      </c>
      <c r="AW19" s="1">
        <f t="shared" si="3"/>
        <v>0</v>
      </c>
      <c r="AX19" s="1">
        <f t="shared" si="8"/>
        <v>84663.705636060389</v>
      </c>
      <c r="AY19" s="1">
        <f t="shared" si="9"/>
        <v>97549.705636062965</v>
      </c>
      <c r="AZ19" s="1">
        <f t="shared" si="10"/>
        <v>-12886.000000002576</v>
      </c>
    </row>
    <row r="20" spans="1:52" x14ac:dyDescent="0.25">
      <c r="A20" s="4">
        <v>46072</v>
      </c>
      <c r="B20">
        <f t="shared" ref="B20:N20" si="38">(B570-B569)*100</f>
        <v>-1.0000000000000231</v>
      </c>
      <c r="C20">
        <f t="shared" si="38"/>
        <v>-2.0000000000000018</v>
      </c>
      <c r="D20">
        <f t="shared" si="38"/>
        <v>1.0000000000000231</v>
      </c>
      <c r="E20">
        <f t="shared" si="38"/>
        <v>0</v>
      </c>
      <c r="F20">
        <f t="shared" si="38"/>
        <v>0</v>
      </c>
      <c r="G20">
        <f t="shared" si="38"/>
        <v>-0.99999999999997868</v>
      </c>
      <c r="H20">
        <f t="shared" si="38"/>
        <v>0</v>
      </c>
      <c r="I20">
        <f t="shared" si="38"/>
        <v>0</v>
      </c>
      <c r="J20">
        <f t="shared" si="38"/>
        <v>1.0000000000000231</v>
      </c>
      <c r="K20">
        <f t="shared" si="38"/>
        <v>0.99999999999997868</v>
      </c>
      <c r="L20">
        <f t="shared" si="38"/>
        <v>0.99999999999997868</v>
      </c>
      <c r="M20">
        <f t="shared" si="38"/>
        <v>1.0000000000000675</v>
      </c>
      <c r="N20">
        <f t="shared" si="38"/>
        <v>0.99999999999997868</v>
      </c>
      <c r="O20" s="5">
        <f t="shared" si="28"/>
        <v>-1.7686513628202469E-3</v>
      </c>
      <c r="P20" s="5">
        <f t="shared" si="28"/>
        <v>4.7266547242861444E-3</v>
      </c>
      <c r="Q20" s="5">
        <f t="shared" si="28"/>
        <v>-5.7175024221921391E-3</v>
      </c>
      <c r="R20" s="5">
        <f t="shared" si="28"/>
        <v>2.0867499001757492E-3</v>
      </c>
      <c r="S20" s="5">
        <f t="shared" si="28"/>
        <v>2.6022438015539818E-3</v>
      </c>
      <c r="T20" s="5">
        <f t="shared" ref="T20:X20" si="39">LN(T569/T570)</f>
        <v>5.3308921874436243E-3</v>
      </c>
      <c r="U20" s="5">
        <f t="shared" si="39"/>
        <v>5.0737953872304845E-3</v>
      </c>
      <c r="V20" s="5">
        <f t="shared" si="39"/>
        <v>1.0031146234688891E-2</v>
      </c>
      <c r="W20" s="5">
        <f t="shared" si="39"/>
        <v>5.5794036015559285E-3</v>
      </c>
      <c r="X20" s="5">
        <f t="shared" si="39"/>
        <v>2.5933290566090921E-3</v>
      </c>
      <c r="Z20" s="4">
        <v>46072</v>
      </c>
      <c r="AA20">
        <f>B20*B$3</f>
        <v>983.00000000002274</v>
      </c>
      <c r="AB20">
        <f>C20*C$3</f>
        <v>5168.0000000000045</v>
      </c>
      <c r="AC20">
        <f>D20*D$3</f>
        <v>16143.000000000373</v>
      </c>
      <c r="AD20">
        <f>E20*E$3</f>
        <v>0</v>
      </c>
      <c r="AE20">
        <f>F20*F$3</f>
        <v>0</v>
      </c>
      <c r="AF20">
        <f>G20*G$3</f>
        <v>15627.999999999667</v>
      </c>
      <c r="AG20">
        <f>H20*H$3</f>
        <v>0</v>
      </c>
      <c r="AH20">
        <f>I20*I$3</f>
        <v>0</v>
      </c>
      <c r="AI20">
        <f>J20*J$3</f>
        <v>-51051.500000001179</v>
      </c>
      <c r="AJ20">
        <f>K20*K$3</f>
        <v>-78394.999999998327</v>
      </c>
      <c r="AK20">
        <f>L20*L$3</f>
        <v>31003.999999999338</v>
      </c>
      <c r="AL20">
        <f>M20*M$3</f>
        <v>32073.000000002165</v>
      </c>
      <c r="AM20">
        <f>N20*N$3</f>
        <v>0</v>
      </c>
      <c r="AN20">
        <f>O20*O$3</f>
        <v>0</v>
      </c>
      <c r="AO20">
        <f>P20*P$3</f>
        <v>-23633.273621430722</v>
      </c>
      <c r="AP20">
        <f>Q20*Q$3</f>
        <v>-68610.029066305666</v>
      </c>
      <c r="AQ20">
        <f>R20*R$3</f>
        <v>-31301.248502636237</v>
      </c>
      <c r="AR20" s="1">
        <f>S20*S$3</f>
        <v>-18215.706610877871</v>
      </c>
      <c r="AS20" s="1">
        <f t="shared" si="3"/>
        <v>21323.568749774498</v>
      </c>
      <c r="AT20" s="1">
        <f t="shared" si="3"/>
        <v>40590.363097843874</v>
      </c>
      <c r="AU20" s="1">
        <f t="shared" si="3"/>
        <v>0</v>
      </c>
      <c r="AV20" s="1">
        <f t="shared" si="3"/>
        <v>0</v>
      </c>
      <c r="AW20" s="1">
        <f t="shared" si="3"/>
        <v>0</v>
      </c>
      <c r="AX20" s="1">
        <f t="shared" si="8"/>
        <v>-108293.82595363008</v>
      </c>
      <c r="AY20" s="1">
        <f t="shared" si="9"/>
        <v>-79846.325953632127</v>
      </c>
      <c r="AZ20" s="1">
        <f t="shared" si="10"/>
        <v>-28447.499999997948</v>
      </c>
    </row>
    <row r="21" spans="1:52" x14ac:dyDescent="0.25">
      <c r="A21" s="4">
        <v>46071</v>
      </c>
      <c r="B21">
        <f t="shared" ref="B21:N21" si="40">(B571-B570)*100</f>
        <v>1.0000000000000231</v>
      </c>
      <c r="C21">
        <f t="shared" si="40"/>
        <v>0</v>
      </c>
      <c r="D21">
        <f t="shared" si="40"/>
        <v>-1.0000000000000231</v>
      </c>
      <c r="E21">
        <f t="shared" si="40"/>
        <v>0</v>
      </c>
      <c r="F21">
        <f t="shared" si="40"/>
        <v>-1.0000000000000231</v>
      </c>
      <c r="G21">
        <f t="shared" si="40"/>
        <v>-1.0000000000000231</v>
      </c>
      <c r="H21">
        <f t="shared" si="40"/>
        <v>-4.0000000000000036</v>
      </c>
      <c r="I21">
        <f t="shared" si="40"/>
        <v>-2.9999999999999805</v>
      </c>
      <c r="J21">
        <f t="shared" si="40"/>
        <v>-3.0000000000000249</v>
      </c>
      <c r="K21">
        <f t="shared" si="40"/>
        <v>-4.0000000000000036</v>
      </c>
      <c r="L21">
        <f t="shared" si="40"/>
        <v>-4.0000000000000036</v>
      </c>
      <c r="M21">
        <f t="shared" si="40"/>
        <v>-2.0000000000000462</v>
      </c>
      <c r="N21">
        <f t="shared" si="40"/>
        <v>-3.0000000000000249</v>
      </c>
      <c r="O21" s="5">
        <f t="shared" si="28"/>
        <v>1.1660025596832544E-3</v>
      </c>
      <c r="P21" s="5">
        <f t="shared" si="28"/>
        <v>8.7312969425735552E-3</v>
      </c>
      <c r="Q21" s="5">
        <f t="shared" si="28"/>
        <v>6.1577758622782053E-3</v>
      </c>
      <c r="R21" s="5">
        <f t="shared" si="28"/>
        <v>1.7921151749815361E-3</v>
      </c>
      <c r="S21" s="5">
        <f t="shared" si="28"/>
        <v>6.0010598974468005E-3</v>
      </c>
      <c r="T21" s="5">
        <f t="shared" ref="T21:X21" si="41">LN(T570/T571)</f>
        <v>-1.6597545472435058E-4</v>
      </c>
      <c r="U21" s="5">
        <f t="shared" si="41"/>
        <v>4.6498090829606396E-3</v>
      </c>
      <c r="V21" s="5">
        <f t="shared" si="41"/>
        <v>-2.9990533674335469E-3</v>
      </c>
      <c r="W21" s="5">
        <f t="shared" si="41"/>
        <v>-1.4432758925604537E-3</v>
      </c>
      <c r="X21" s="5">
        <f t="shared" si="41"/>
        <v>7.7937393674158012E-4</v>
      </c>
      <c r="Z21" s="4">
        <v>46071</v>
      </c>
      <c r="AA21">
        <f>B21*B$3</f>
        <v>-983.00000000002274</v>
      </c>
      <c r="AB21">
        <f>C21*C$3</f>
        <v>0</v>
      </c>
      <c r="AC21">
        <f>D21*D$3</f>
        <v>-16143.000000000373</v>
      </c>
      <c r="AD21">
        <f>E21*E$3</f>
        <v>0</v>
      </c>
      <c r="AE21">
        <f>F21*F$3</f>
        <v>12428.000000000287</v>
      </c>
      <c r="AF21">
        <f>G21*G$3</f>
        <v>15628.00000000036</v>
      </c>
      <c r="AG21">
        <f>H21*H$3</f>
        <v>112864.0000000001</v>
      </c>
      <c r="AH21">
        <f>I21*I$3</f>
        <v>55367.999999999636</v>
      </c>
      <c r="AI21">
        <f>J21*J$3</f>
        <v>153154.50000000128</v>
      </c>
      <c r="AJ21">
        <f>K21*K$3</f>
        <v>313580.00000000029</v>
      </c>
      <c r="AK21">
        <f>L21*L$3</f>
        <v>-124016.00000000012</v>
      </c>
      <c r="AL21">
        <f>M21*M$3</f>
        <v>-64146.000000001484</v>
      </c>
      <c r="AM21">
        <f>N21*N$3</f>
        <v>0</v>
      </c>
      <c r="AN21">
        <f>O21*O$3</f>
        <v>0</v>
      </c>
      <c r="AO21">
        <f>P21*P$3</f>
        <v>-43656.484712867779</v>
      </c>
      <c r="AP21">
        <f>Q21*Q$3</f>
        <v>73893.310347338469</v>
      </c>
      <c r="AQ21">
        <f>R21*R$3</f>
        <v>-26881.727624723044</v>
      </c>
      <c r="AR21" s="1">
        <f>S21*S$3</f>
        <v>-42007.419282127601</v>
      </c>
      <c r="AS21" s="1">
        <f t="shared" ref="AS21:AW36" si="42">T21*T$3</f>
        <v>-663.90181889740234</v>
      </c>
      <c r="AT21" s="1">
        <f t="shared" si="42"/>
        <v>37198.472663685119</v>
      </c>
      <c r="AU21" s="1">
        <f t="shared" si="42"/>
        <v>0</v>
      </c>
      <c r="AV21" s="1">
        <f t="shared" si="42"/>
        <v>0</v>
      </c>
      <c r="AW21" s="1">
        <f t="shared" si="42"/>
        <v>0</v>
      </c>
      <c r="AX21" s="1">
        <f t="shared" si="8"/>
        <v>455616.74957240775</v>
      </c>
      <c r="AY21" s="1">
        <f t="shared" si="9"/>
        <v>-2117.7504275922329</v>
      </c>
      <c r="AZ21" s="1">
        <f t="shared" si="10"/>
        <v>457734.5</v>
      </c>
    </row>
    <row r="22" spans="1:52" x14ac:dyDescent="0.25">
      <c r="A22" s="4">
        <v>46070</v>
      </c>
      <c r="B22">
        <f t="shared" ref="B22:N22" si="43">(B572-B571)*100</f>
        <v>0</v>
      </c>
      <c r="C22">
        <f t="shared" si="43"/>
        <v>0</v>
      </c>
      <c r="D22">
        <f t="shared" si="43"/>
        <v>-0.99999999999997868</v>
      </c>
      <c r="E22">
        <f t="shared" si="43"/>
        <v>0</v>
      </c>
      <c r="F22">
        <f t="shared" si="43"/>
        <v>0</v>
      </c>
      <c r="G22">
        <f t="shared" si="43"/>
        <v>-6.0000000000000053</v>
      </c>
      <c r="H22">
        <f t="shared" si="43"/>
        <v>-3.0000000000000249</v>
      </c>
      <c r="I22">
        <f t="shared" si="43"/>
        <v>-4.0000000000000036</v>
      </c>
      <c r="J22">
        <f t="shared" si="43"/>
        <v>-2.0000000000000018</v>
      </c>
      <c r="K22">
        <f t="shared" si="43"/>
        <v>-0.99999999999997868</v>
      </c>
      <c r="L22">
        <f t="shared" si="43"/>
        <v>-0.99999999999997868</v>
      </c>
      <c r="M22">
        <f t="shared" si="43"/>
        <v>0.99999999999997868</v>
      </c>
      <c r="N22">
        <f t="shared" si="43"/>
        <v>1.0000000000000675</v>
      </c>
      <c r="O22" s="5">
        <f t="shared" si="28"/>
        <v>0</v>
      </c>
      <c r="P22" s="5">
        <f t="shared" si="28"/>
        <v>-1.9164961375929563E-3</v>
      </c>
      <c r="Q22" s="5">
        <f t="shared" si="28"/>
        <v>9.8992260181934525E-3</v>
      </c>
      <c r="R22" s="5">
        <f t="shared" si="28"/>
        <v>-1.7921151749814655E-3</v>
      </c>
      <c r="S22" s="5">
        <f t="shared" si="28"/>
        <v>-9.0449950875407241E-4</v>
      </c>
      <c r="T22" s="5">
        <f t="shared" ref="T22:X22" si="44">LN(T571/T572)</f>
        <v>1.5654106322306939E-3</v>
      </c>
      <c r="U22" s="5">
        <f t="shared" si="44"/>
        <v>-5.4494760209360094E-4</v>
      </c>
      <c r="V22" s="5">
        <f t="shared" si="44"/>
        <v>5.1430743762063006E-3</v>
      </c>
      <c r="W22" s="5">
        <f t="shared" si="44"/>
        <v>1.9937973539229472E-3</v>
      </c>
      <c r="X22" s="5">
        <f t="shared" si="44"/>
        <v>6.4904255403200678E-5</v>
      </c>
      <c r="Z22" s="4">
        <v>46070</v>
      </c>
      <c r="AA22">
        <f>B22*B$3</f>
        <v>0</v>
      </c>
      <c r="AB22">
        <f>C22*C$3</f>
        <v>0</v>
      </c>
      <c r="AC22">
        <f>D22*D$3</f>
        <v>-16142.999999999656</v>
      </c>
      <c r="AD22">
        <f>E22*E$3</f>
        <v>0</v>
      </c>
      <c r="AE22">
        <f>F22*F$3</f>
        <v>0</v>
      </c>
      <c r="AF22">
        <f>G22*G$3</f>
        <v>93768.000000000087</v>
      </c>
      <c r="AG22">
        <f>H22*H$3</f>
        <v>84648.000000000698</v>
      </c>
      <c r="AH22">
        <f>I22*I$3</f>
        <v>73824.000000000073</v>
      </c>
      <c r="AI22">
        <f>J22*J$3</f>
        <v>102103.00000000009</v>
      </c>
      <c r="AJ22">
        <f>K22*K$3</f>
        <v>78394.999999998327</v>
      </c>
      <c r="AK22">
        <f>L22*L$3</f>
        <v>-31003.999999999338</v>
      </c>
      <c r="AL22">
        <f>M22*M$3</f>
        <v>32072.999999999316</v>
      </c>
      <c r="AM22">
        <f>N22*N$3</f>
        <v>0</v>
      </c>
      <c r="AN22">
        <f>O22*O$3</f>
        <v>0</v>
      </c>
      <c r="AO22">
        <f>P22*P$3</f>
        <v>9582.4806879647822</v>
      </c>
      <c r="AP22">
        <f>Q22*Q$3</f>
        <v>118790.71221832142</v>
      </c>
      <c r="AQ22">
        <f>R22*R$3</f>
        <v>26881.727624721982</v>
      </c>
      <c r="AR22" s="1">
        <f>S22*S$3</f>
        <v>6331.4965612785072</v>
      </c>
      <c r="AS22" s="1">
        <f t="shared" si="42"/>
        <v>6261.6425289227755</v>
      </c>
      <c r="AT22" s="1">
        <f t="shared" si="42"/>
        <v>-4359.5808167488076</v>
      </c>
      <c r="AU22" s="1">
        <f t="shared" si="42"/>
        <v>0</v>
      </c>
      <c r="AV22" s="1">
        <f t="shared" si="42"/>
        <v>0</v>
      </c>
      <c r="AW22" s="1">
        <f t="shared" si="42"/>
        <v>0</v>
      </c>
      <c r="AX22" s="1">
        <f t="shared" si="8"/>
        <v>581152.47880446014</v>
      </c>
      <c r="AY22" s="1">
        <f t="shared" si="9"/>
        <v>163488.47880446064</v>
      </c>
      <c r="AZ22" s="1">
        <f t="shared" si="10"/>
        <v>417663.99999999953</v>
      </c>
    </row>
    <row r="23" spans="1:52" x14ac:dyDescent="0.25">
      <c r="A23" s="4">
        <v>46066</v>
      </c>
      <c r="B23">
        <f t="shared" ref="B23:N23" si="45">(B573-B572)*100</f>
        <v>0</v>
      </c>
      <c r="C23">
        <f t="shared" si="45"/>
        <v>1.0000000000000231</v>
      </c>
      <c r="D23">
        <f t="shared" si="45"/>
        <v>2.0000000000000018</v>
      </c>
      <c r="E23">
        <f t="shared" si="45"/>
        <v>0</v>
      </c>
      <c r="F23">
        <f t="shared" si="45"/>
        <v>-0.99999999999997868</v>
      </c>
      <c r="G23">
        <f t="shared" si="45"/>
        <v>3.0000000000000249</v>
      </c>
      <c r="H23">
        <f t="shared" si="45"/>
        <v>7.0000000000000284</v>
      </c>
      <c r="I23">
        <f t="shared" si="45"/>
        <v>6.0000000000000053</v>
      </c>
      <c r="J23">
        <f t="shared" si="45"/>
        <v>6.0000000000000053</v>
      </c>
      <c r="K23">
        <f t="shared" si="45"/>
        <v>6.0000000000000053</v>
      </c>
      <c r="L23">
        <f t="shared" si="45"/>
        <v>4.9999999999999822</v>
      </c>
      <c r="M23">
        <f t="shared" si="45"/>
        <v>4.0000000000000036</v>
      </c>
      <c r="N23">
        <f t="shared" si="45"/>
        <v>2.9999999999999361</v>
      </c>
      <c r="O23" s="5">
        <f t="shared" si="28"/>
        <v>1.1812827348646244E-2</v>
      </c>
      <c r="P23" s="5">
        <f t="shared" si="28"/>
        <v>-1.9128302047737411E-3</v>
      </c>
      <c r="Q23" s="5">
        <f t="shared" si="28"/>
        <v>-2.3030306124442431E-3</v>
      </c>
      <c r="R23" s="5">
        <f t="shared" si="28"/>
        <v>-5.9665872891826247E-4</v>
      </c>
      <c r="S23" s="5">
        <f t="shared" si="28"/>
        <v>-3.7318798460083563E-3</v>
      </c>
      <c r="T23" s="5">
        <f t="shared" ref="T23:X23" si="46">LN(T572/T573)</f>
        <v>6.412181154453083E-4</v>
      </c>
      <c r="U23" s="5">
        <f t="shared" si="46"/>
        <v>2.7382341536304222E-4</v>
      </c>
      <c r="V23" s="5">
        <f t="shared" si="46"/>
        <v>-2.9272329846211911E-3</v>
      </c>
      <c r="W23" s="5">
        <f t="shared" si="46"/>
        <v>5.3751000003149918E-3</v>
      </c>
      <c r="X23" s="5">
        <f t="shared" si="46"/>
        <v>-2.0639511632095731E-3</v>
      </c>
      <c r="Z23" s="4">
        <v>46066</v>
      </c>
      <c r="AA23">
        <f>B23*B$3</f>
        <v>0</v>
      </c>
      <c r="AB23">
        <f>C23*C$3</f>
        <v>-2584.0000000000596</v>
      </c>
      <c r="AC23">
        <f>D23*D$3</f>
        <v>32286.000000000029</v>
      </c>
      <c r="AD23">
        <f>E23*E$3</f>
        <v>0</v>
      </c>
      <c r="AE23">
        <f>F23*F$3</f>
        <v>12427.999999999734</v>
      </c>
      <c r="AF23">
        <f>G23*G$3</f>
        <v>-46884.000000000386</v>
      </c>
      <c r="AG23">
        <f>H23*H$3</f>
        <v>-197512.00000000081</v>
      </c>
      <c r="AH23">
        <f>I23*I$3</f>
        <v>-110736.0000000001</v>
      </c>
      <c r="AI23">
        <f>J23*J$3</f>
        <v>-306309.00000000029</v>
      </c>
      <c r="AJ23">
        <f>K23*K$3</f>
        <v>-470370.00000000041</v>
      </c>
      <c r="AK23">
        <f>L23*L$3</f>
        <v>155019.99999999945</v>
      </c>
      <c r="AL23">
        <f>M23*M$3</f>
        <v>128292.00000000012</v>
      </c>
      <c r="AM23">
        <f>N23*N$3</f>
        <v>0</v>
      </c>
      <c r="AN23">
        <f>O23*O$3</f>
        <v>0</v>
      </c>
      <c r="AO23">
        <f>P23*P$3</f>
        <v>9564.151023868706</v>
      </c>
      <c r="AP23">
        <f>Q23*Q$3</f>
        <v>-27636.367349330918</v>
      </c>
      <c r="AQ23">
        <f>R23*R$3</f>
        <v>8949.8809337739367</v>
      </c>
      <c r="AR23" s="1">
        <f>S23*S$3</f>
        <v>26123.158922058494</v>
      </c>
      <c r="AS23" s="1">
        <f t="shared" si="42"/>
        <v>2564.8724617812331</v>
      </c>
      <c r="AT23" s="1">
        <f t="shared" si="42"/>
        <v>2190.5873229043377</v>
      </c>
      <c r="AU23" s="1">
        <f t="shared" si="42"/>
        <v>0</v>
      </c>
      <c r="AV23" s="1">
        <f t="shared" si="42"/>
        <v>0</v>
      </c>
      <c r="AW23" s="1">
        <f t="shared" si="42"/>
        <v>0</v>
      </c>
      <c r="AX23" s="1">
        <f t="shared" si="8"/>
        <v>-784612.71668494691</v>
      </c>
      <c r="AY23" s="1">
        <f t="shared" si="9"/>
        <v>21756.283315055789</v>
      </c>
      <c r="AZ23" s="1">
        <f t="shared" si="10"/>
        <v>-806369.00000000268</v>
      </c>
    </row>
    <row r="24" spans="1:52" x14ac:dyDescent="0.25">
      <c r="A24" s="4">
        <v>46065</v>
      </c>
      <c r="B24">
        <f t="shared" ref="B24:N24" si="47">(B574-B573)*100</f>
        <v>-1.0000000000000231</v>
      </c>
      <c r="C24">
        <f t="shared" si="47"/>
        <v>-1.0000000000000231</v>
      </c>
      <c r="D24">
        <f t="shared" si="47"/>
        <v>0</v>
      </c>
      <c r="E24">
        <f t="shared" si="47"/>
        <v>0</v>
      </c>
      <c r="F24">
        <f t="shared" si="47"/>
        <v>2.0000000000000018</v>
      </c>
      <c r="G24">
        <f t="shared" si="47"/>
        <v>2.0000000000000018</v>
      </c>
      <c r="H24">
        <f t="shared" si="47"/>
        <v>4.9999999999999822</v>
      </c>
      <c r="I24">
        <f t="shared" si="47"/>
        <v>5.9999999999999609</v>
      </c>
      <c r="J24">
        <f t="shared" si="47"/>
        <v>8.0000000000000071</v>
      </c>
      <c r="K24">
        <f t="shared" si="47"/>
        <v>8.9999999999999858</v>
      </c>
      <c r="L24">
        <f t="shared" si="47"/>
        <v>8.9999999999999858</v>
      </c>
      <c r="M24">
        <f t="shared" si="47"/>
        <v>8.0000000000000071</v>
      </c>
      <c r="N24">
        <f t="shared" si="47"/>
        <v>10.000000000000053</v>
      </c>
      <c r="O24" s="5">
        <f t="shared" si="28"/>
        <v>-3.1303163604280062E-3</v>
      </c>
      <c r="P24" s="5">
        <f t="shared" si="28"/>
        <v>-2.7296301520650856E-4</v>
      </c>
      <c r="Q24" s="5">
        <f t="shared" si="28"/>
        <v>3.7373572647770393E-4</v>
      </c>
      <c r="R24" s="5">
        <f t="shared" si="28"/>
        <v>-2.9819591692560355E-4</v>
      </c>
      <c r="S24" s="5">
        <f t="shared" si="28"/>
        <v>1.3258128359469993E-3</v>
      </c>
      <c r="T24" s="5">
        <f t="shared" ref="T24:X24" si="48">LN(T573/T574)</f>
        <v>1.1407449746153289E-3</v>
      </c>
      <c r="U24" s="5">
        <f t="shared" si="48"/>
        <v>7.7546979457821983E-4</v>
      </c>
      <c r="V24" s="5">
        <f t="shared" si="48"/>
        <v>-7.883020690511099E-3</v>
      </c>
      <c r="W24" s="5">
        <f t="shared" si="48"/>
        <v>-7.1127468118175859E-3</v>
      </c>
      <c r="X24" s="5">
        <f t="shared" si="48"/>
        <v>3.3382596463395402E-3</v>
      </c>
      <c r="Z24" s="4">
        <v>46065</v>
      </c>
      <c r="AA24">
        <f>B24*B$3</f>
        <v>983.00000000002274</v>
      </c>
      <c r="AB24">
        <f>C24*C$3</f>
        <v>2584.0000000000596</v>
      </c>
      <c r="AC24">
        <f>D24*D$3</f>
        <v>0</v>
      </c>
      <c r="AD24">
        <f>E24*E$3</f>
        <v>0</v>
      </c>
      <c r="AE24">
        <f>F24*F$3</f>
        <v>-24856.000000000022</v>
      </c>
      <c r="AF24">
        <f>G24*G$3</f>
        <v>-31256.000000000029</v>
      </c>
      <c r="AG24">
        <f>H24*H$3</f>
        <v>-141079.99999999951</v>
      </c>
      <c r="AH24">
        <f>I24*I$3</f>
        <v>-110735.99999999927</v>
      </c>
      <c r="AI24">
        <f>J24*J$3</f>
        <v>-408412.00000000035</v>
      </c>
      <c r="AJ24">
        <f>K24*K$3</f>
        <v>-705554.99999999884</v>
      </c>
      <c r="AK24">
        <f>L24*L$3</f>
        <v>279035.99999999953</v>
      </c>
      <c r="AL24">
        <f>M24*M$3</f>
        <v>256584.00000000023</v>
      </c>
      <c r="AM24">
        <f>N24*N$3</f>
        <v>0</v>
      </c>
      <c r="AN24">
        <f>O24*O$3</f>
        <v>0</v>
      </c>
      <c r="AO24">
        <f>P24*P$3</f>
        <v>1364.8150760325427</v>
      </c>
      <c r="AP24">
        <f>Q24*Q$3</f>
        <v>4484.8287177324473</v>
      </c>
      <c r="AQ24">
        <f>R24*R$3</f>
        <v>4472.9387538840529</v>
      </c>
      <c r="AR24" s="1">
        <f>S24*S$3</f>
        <v>-9280.6898516289948</v>
      </c>
      <c r="AS24" s="1">
        <f t="shared" si="42"/>
        <v>4562.9798984613153</v>
      </c>
      <c r="AT24" s="1">
        <f t="shared" si="42"/>
        <v>6203.758356625759</v>
      </c>
      <c r="AU24" s="1">
        <f t="shared" si="42"/>
        <v>0</v>
      </c>
      <c r="AV24" s="1">
        <f t="shared" si="42"/>
        <v>0</v>
      </c>
      <c r="AW24" s="1">
        <f t="shared" si="42"/>
        <v>0</v>
      </c>
      <c r="AX24" s="1">
        <f t="shared" si="8"/>
        <v>-870899.36904889101</v>
      </c>
      <c r="AY24" s="1">
        <f t="shared" si="9"/>
        <v>11808.630951107123</v>
      </c>
      <c r="AZ24" s="1">
        <f t="shared" si="10"/>
        <v>-882707.99999999814</v>
      </c>
    </row>
    <row r="25" spans="1:52" x14ac:dyDescent="0.25">
      <c r="A25" s="4">
        <v>46064</v>
      </c>
      <c r="B25">
        <f t="shared" ref="B25:N25" si="49">(B575-B574)*100</f>
        <v>1.0000000000000231</v>
      </c>
      <c r="C25">
        <f t="shared" si="49"/>
        <v>1.0000000000000231</v>
      </c>
      <c r="D25">
        <f t="shared" si="49"/>
        <v>-1.0000000000000231</v>
      </c>
      <c r="E25">
        <f t="shared" si="49"/>
        <v>-1.0000000000000231</v>
      </c>
      <c r="F25">
        <f t="shared" si="49"/>
        <v>-2.0000000000000018</v>
      </c>
      <c r="G25">
        <f t="shared" si="49"/>
        <v>-7.0000000000000284</v>
      </c>
      <c r="H25">
        <f t="shared" si="49"/>
        <v>-6.999999999999984</v>
      </c>
      <c r="I25">
        <f t="shared" si="49"/>
        <v>-4.9999999999999822</v>
      </c>
      <c r="J25">
        <f t="shared" si="49"/>
        <v>-4.9999999999999822</v>
      </c>
      <c r="K25">
        <f t="shared" si="49"/>
        <v>-4.0000000000000036</v>
      </c>
      <c r="L25">
        <f t="shared" si="49"/>
        <v>-1.9999999999999574</v>
      </c>
      <c r="M25">
        <f t="shared" si="49"/>
        <v>-2.9999999999999361</v>
      </c>
      <c r="N25">
        <f t="shared" si="49"/>
        <v>-4.0000000000000036</v>
      </c>
      <c r="O25" s="5">
        <f t="shared" ref="O25:S34" si="50">LN(O574/O575)</f>
        <v>-3.5628004678269526E-3</v>
      </c>
      <c r="P25" s="5">
        <f t="shared" si="50"/>
        <v>-1.9358978657112638E-3</v>
      </c>
      <c r="Q25" s="5">
        <f t="shared" si="50"/>
        <v>2.1165761478531852E-3</v>
      </c>
      <c r="R25" s="5">
        <f t="shared" si="50"/>
        <v>-8.9405459688080143E-4</v>
      </c>
      <c r="S25" s="5">
        <f t="shared" si="50"/>
        <v>3.0262468950050122E-4</v>
      </c>
      <c r="T25" s="5">
        <f t="shared" ref="T25:X25" si="51">LN(T574/T575)</f>
        <v>1.2134526577631173E-3</v>
      </c>
      <c r="U25" s="5">
        <f t="shared" si="51"/>
        <v>3.5787243917364208E-3</v>
      </c>
      <c r="V25" s="5">
        <f t="shared" si="51"/>
        <v>-1.0624277618588676E-2</v>
      </c>
      <c r="W25" s="5">
        <f t="shared" si="51"/>
        <v>1.2430830696834253E-3</v>
      </c>
      <c r="X25" s="5">
        <f t="shared" si="51"/>
        <v>1.8884053621417113E-3</v>
      </c>
      <c r="Z25" s="4">
        <v>46064</v>
      </c>
      <c r="AA25">
        <f>B25*B$3</f>
        <v>-983.00000000002274</v>
      </c>
      <c r="AB25">
        <f>C25*C$3</f>
        <v>-2584.0000000000596</v>
      </c>
      <c r="AC25">
        <f>D25*D$3</f>
        <v>-16143.000000000373</v>
      </c>
      <c r="AD25">
        <f>E25*E$3</f>
        <v>-2428.0000000000559</v>
      </c>
      <c r="AE25">
        <f>F25*F$3</f>
        <v>24856.000000000022</v>
      </c>
      <c r="AF25">
        <f>G25*G$3</f>
        <v>109396.00000000045</v>
      </c>
      <c r="AG25">
        <f>H25*H$3</f>
        <v>197511.99999999956</v>
      </c>
      <c r="AH25">
        <f>I25*I$3</f>
        <v>92279.999999999665</v>
      </c>
      <c r="AI25">
        <f>J25*J$3</f>
        <v>255257.4999999991</v>
      </c>
      <c r="AJ25">
        <f>K25*K$3</f>
        <v>313580.00000000029</v>
      </c>
      <c r="AK25">
        <f>L25*L$3</f>
        <v>-62007.999999998676</v>
      </c>
      <c r="AL25">
        <f>M25*M$3</f>
        <v>-96218.999999997948</v>
      </c>
      <c r="AM25">
        <f>N25*N$3</f>
        <v>0</v>
      </c>
      <c r="AN25">
        <f>O25*O$3</f>
        <v>0</v>
      </c>
      <c r="AO25">
        <f>P25*P$3</f>
        <v>9679.4893285563194</v>
      </c>
      <c r="AP25">
        <f>Q25*Q$3</f>
        <v>25398.913774238223</v>
      </c>
      <c r="AQ25">
        <f>R25*R$3</f>
        <v>13410.818953212021</v>
      </c>
      <c r="AR25" s="1">
        <f>S25*S$3</f>
        <v>-2118.3728265035083</v>
      </c>
      <c r="AS25" s="1">
        <f t="shared" si="42"/>
        <v>4853.810631052469</v>
      </c>
      <c r="AT25" s="1">
        <f t="shared" si="42"/>
        <v>28629.795133891366</v>
      </c>
      <c r="AU25" s="1">
        <f t="shared" si="42"/>
        <v>0</v>
      </c>
      <c r="AV25" s="1">
        <f t="shared" si="42"/>
        <v>0</v>
      </c>
      <c r="AW25" s="1">
        <f t="shared" si="42"/>
        <v>0</v>
      </c>
      <c r="AX25" s="1">
        <f t="shared" si="8"/>
        <v>892370.95499444893</v>
      </c>
      <c r="AY25" s="1">
        <f t="shared" si="9"/>
        <v>79854.454994446889</v>
      </c>
      <c r="AZ25" s="1">
        <f t="shared" si="10"/>
        <v>812516.5000000021</v>
      </c>
    </row>
    <row r="26" spans="1:52" x14ac:dyDescent="0.25">
      <c r="A26" s="4">
        <v>46063</v>
      </c>
      <c r="B26">
        <f t="shared" ref="B26:N26" si="52">(B576-B575)*100</f>
        <v>0</v>
      </c>
      <c r="C26">
        <f t="shared" si="52"/>
        <v>-1.0000000000000231</v>
      </c>
      <c r="D26">
        <f t="shared" si="52"/>
        <v>0</v>
      </c>
      <c r="E26">
        <f t="shared" si="52"/>
        <v>1.0000000000000231</v>
      </c>
      <c r="F26">
        <f t="shared" si="52"/>
        <v>0.99999999999997868</v>
      </c>
      <c r="G26">
        <f t="shared" si="52"/>
        <v>3.0000000000000249</v>
      </c>
      <c r="H26">
        <f t="shared" si="52"/>
        <v>2.9999999999999805</v>
      </c>
      <c r="I26">
        <f t="shared" si="52"/>
        <v>6.0000000000000053</v>
      </c>
      <c r="J26">
        <f t="shared" si="52"/>
        <v>4.9999999999999822</v>
      </c>
      <c r="K26">
        <f t="shared" si="52"/>
        <v>5.0000000000000266</v>
      </c>
      <c r="L26">
        <f t="shared" si="52"/>
        <v>5.9999999999999609</v>
      </c>
      <c r="M26">
        <f t="shared" si="52"/>
        <v>5.9999999999999609</v>
      </c>
      <c r="N26">
        <f t="shared" si="52"/>
        <v>6.9999999999999396</v>
      </c>
      <c r="O26" s="5">
        <f t="shared" si="50"/>
        <v>1.5006062955582877E-3</v>
      </c>
      <c r="P26" s="5">
        <f t="shared" si="50"/>
        <v>3.5747947089211588E-3</v>
      </c>
      <c r="Q26" s="5">
        <f t="shared" si="50"/>
        <v>-6.3130712439874153E-3</v>
      </c>
      <c r="R26" s="5">
        <f t="shared" si="50"/>
        <v>5.9594757425278963E-4</v>
      </c>
      <c r="S26" s="5">
        <f t="shared" si="50"/>
        <v>-1.1692539921867649E-3</v>
      </c>
      <c r="T26" s="5">
        <f t="shared" ref="T26:X26" si="53">LN(T575/T576)</f>
        <v>-6.5969197693406144E-3</v>
      </c>
      <c r="U26" s="5">
        <f t="shared" si="53"/>
        <v>-5.4585223997297436E-3</v>
      </c>
      <c r="V26" s="5">
        <f t="shared" si="53"/>
        <v>-7.096932463754097E-3</v>
      </c>
      <c r="W26" s="5">
        <f t="shared" si="53"/>
        <v>-7.0691765502403575E-3</v>
      </c>
      <c r="X26" s="5">
        <f t="shared" si="53"/>
        <v>-1.129013875957756E-2</v>
      </c>
      <c r="Z26" s="4">
        <v>46063</v>
      </c>
      <c r="AA26">
        <f>B26*B$3</f>
        <v>0</v>
      </c>
      <c r="AB26">
        <f>C26*C$3</f>
        <v>2584.0000000000596</v>
      </c>
      <c r="AC26">
        <f>D26*D$3</f>
        <v>0</v>
      </c>
      <c r="AD26">
        <f>E26*E$3</f>
        <v>2428.0000000000559</v>
      </c>
      <c r="AE26">
        <f>F26*F$3</f>
        <v>-12427.999999999734</v>
      </c>
      <c r="AF26">
        <f>G26*G$3</f>
        <v>-46884.000000000386</v>
      </c>
      <c r="AG26">
        <f>H26*H$3</f>
        <v>-84647.999999999447</v>
      </c>
      <c r="AH26">
        <f>I26*I$3</f>
        <v>-110736.0000000001</v>
      </c>
      <c r="AI26">
        <f>J26*J$3</f>
        <v>-255257.4999999991</v>
      </c>
      <c r="AJ26">
        <f>K26*K$3</f>
        <v>-391975.0000000021</v>
      </c>
      <c r="AK26">
        <f>L26*L$3</f>
        <v>186023.99999999878</v>
      </c>
      <c r="AL26">
        <f>M26*M$3</f>
        <v>192437.99999999875</v>
      </c>
      <c r="AM26">
        <f>N26*N$3</f>
        <v>0</v>
      </c>
      <c r="AN26">
        <f>O26*O$3</f>
        <v>0</v>
      </c>
      <c r="AO26">
        <f>P26*P$3</f>
        <v>-17873.973544605793</v>
      </c>
      <c r="AP26">
        <f>Q26*Q$3</f>
        <v>-75756.854927848981</v>
      </c>
      <c r="AQ26">
        <f>R26*R$3</f>
        <v>-8939.2136137918442</v>
      </c>
      <c r="AR26" s="1">
        <f>S26*S$3</f>
        <v>8184.7779453073545</v>
      </c>
      <c r="AS26" s="1">
        <f t="shared" si="42"/>
        <v>-26387.679077362456</v>
      </c>
      <c r="AT26" s="1">
        <f t="shared" si="42"/>
        <v>-43668.179197837948</v>
      </c>
      <c r="AU26" s="1">
        <f t="shared" si="42"/>
        <v>0</v>
      </c>
      <c r="AV26" s="1">
        <f t="shared" si="42"/>
        <v>0</v>
      </c>
      <c r="AW26" s="1">
        <f t="shared" si="42"/>
        <v>0</v>
      </c>
      <c r="AX26" s="1">
        <f t="shared" si="8"/>
        <v>-682895.62241614284</v>
      </c>
      <c r="AY26" s="1">
        <f t="shared" si="9"/>
        <v>-164441.12241613964</v>
      </c>
      <c r="AZ26" s="1">
        <f t="shared" si="10"/>
        <v>-518454.5000000032</v>
      </c>
    </row>
    <row r="27" spans="1:52" x14ac:dyDescent="0.25">
      <c r="A27" s="4">
        <v>46062</v>
      </c>
      <c r="B27">
        <f t="shared" ref="B27:N27" si="54">(B577-B576)*100</f>
        <v>0</v>
      </c>
      <c r="C27">
        <f t="shared" si="54"/>
        <v>1.0000000000000231</v>
      </c>
      <c r="D27">
        <f t="shared" si="54"/>
        <v>-0.99999999999997868</v>
      </c>
      <c r="E27">
        <f t="shared" si="54"/>
        <v>0</v>
      </c>
      <c r="F27">
        <f t="shared" si="54"/>
        <v>0</v>
      </c>
      <c r="G27">
        <f t="shared" si="54"/>
        <v>2.0000000000000018</v>
      </c>
      <c r="H27">
        <f t="shared" si="54"/>
        <v>2.0000000000000018</v>
      </c>
      <c r="I27">
        <f t="shared" si="54"/>
        <v>0.99999999999997868</v>
      </c>
      <c r="J27">
        <f t="shared" si="54"/>
        <v>0.99999999999997868</v>
      </c>
      <c r="K27">
        <f t="shared" si="54"/>
        <v>0.99999999999997868</v>
      </c>
      <c r="L27">
        <f t="shared" si="54"/>
        <v>0</v>
      </c>
      <c r="M27">
        <f t="shared" si="54"/>
        <v>0.99999999999997868</v>
      </c>
      <c r="N27">
        <f t="shared" si="54"/>
        <v>0</v>
      </c>
      <c r="O27" s="5">
        <f t="shared" si="50"/>
        <v>-7.633478444533979E-3</v>
      </c>
      <c r="P27" s="5">
        <f t="shared" si="50"/>
        <v>4.7851797064446034E-4</v>
      </c>
      <c r="Q27" s="5">
        <f t="shared" si="50"/>
        <v>-6.966811344679082E-3</v>
      </c>
      <c r="R27" s="5">
        <f t="shared" si="50"/>
        <v>-8.9378823170402832E-4</v>
      </c>
      <c r="S27" s="5">
        <f t="shared" si="50"/>
        <v>-3.4068814746957086E-3</v>
      </c>
      <c r="T27" s="5">
        <f t="shared" ref="T27:X27" si="55">LN(T576/T577)</f>
        <v>-4.0597670589350666E-3</v>
      </c>
      <c r="U27" s="5">
        <f t="shared" si="55"/>
        <v>-6.4974865542539268E-3</v>
      </c>
      <c r="V27" s="5">
        <f t="shared" si="55"/>
        <v>2.9297199171761938E-3</v>
      </c>
      <c r="W27" s="5">
        <f t="shared" si="55"/>
        <v>-1.6817504235121798E-2</v>
      </c>
      <c r="X27" s="5">
        <f t="shared" si="55"/>
        <v>-2.4074682241347774E-3</v>
      </c>
      <c r="Z27" s="4">
        <v>46062</v>
      </c>
      <c r="AA27">
        <f>B27*B$3</f>
        <v>0</v>
      </c>
      <c r="AB27">
        <f>C27*C$3</f>
        <v>-2584.0000000000596</v>
      </c>
      <c r="AC27">
        <f>D27*D$3</f>
        <v>-16142.999999999656</v>
      </c>
      <c r="AD27">
        <f>E27*E$3</f>
        <v>0</v>
      </c>
      <c r="AE27">
        <f>F27*F$3</f>
        <v>0</v>
      </c>
      <c r="AF27">
        <f>G27*G$3</f>
        <v>-31256.000000000029</v>
      </c>
      <c r="AG27">
        <f>H27*H$3</f>
        <v>-56432.000000000051</v>
      </c>
      <c r="AH27">
        <f>I27*I$3</f>
        <v>-18455.999999999607</v>
      </c>
      <c r="AI27">
        <f>J27*J$3</f>
        <v>-51051.499999998909</v>
      </c>
      <c r="AJ27">
        <f>K27*K$3</f>
        <v>-78394.999999998327</v>
      </c>
      <c r="AK27">
        <f>L27*L$3</f>
        <v>0</v>
      </c>
      <c r="AL27">
        <f>M27*M$3</f>
        <v>32072.999999999316</v>
      </c>
      <c r="AM27">
        <f>N27*N$3</f>
        <v>0</v>
      </c>
      <c r="AN27">
        <f>O27*O$3</f>
        <v>0</v>
      </c>
      <c r="AO27">
        <f>P27*P$3</f>
        <v>-2392.5898532223018</v>
      </c>
      <c r="AP27">
        <f>Q27*Q$3</f>
        <v>-83601.736136148989</v>
      </c>
      <c r="AQ27">
        <f>R27*R$3</f>
        <v>13406.823475560424</v>
      </c>
      <c r="AR27" s="1">
        <f>S27*S$3</f>
        <v>23848.170322869959</v>
      </c>
      <c r="AS27" s="1">
        <f t="shared" si="42"/>
        <v>-16239.068235740266</v>
      </c>
      <c r="AT27" s="1">
        <f t="shared" si="42"/>
        <v>-51979.892434031412</v>
      </c>
      <c r="AU27" s="1">
        <f t="shared" si="42"/>
        <v>0</v>
      </c>
      <c r="AV27" s="1">
        <f t="shared" si="42"/>
        <v>0</v>
      </c>
      <c r="AW27" s="1">
        <f t="shared" si="42"/>
        <v>0</v>
      </c>
      <c r="AX27" s="1">
        <f t="shared" si="8"/>
        <v>-339202.79286070989</v>
      </c>
      <c r="AY27" s="1">
        <f t="shared" si="9"/>
        <v>-116958.29286071259</v>
      </c>
      <c r="AZ27" s="1">
        <f t="shared" si="10"/>
        <v>-222244.49999999729</v>
      </c>
    </row>
    <row r="28" spans="1:52" x14ac:dyDescent="0.25">
      <c r="A28" s="4">
        <v>46059</v>
      </c>
      <c r="B28">
        <f t="shared" ref="B28:N28" si="56">(B578-B577)*100</f>
        <v>0</v>
      </c>
      <c r="C28">
        <f t="shared" si="56"/>
        <v>0</v>
      </c>
      <c r="D28">
        <f t="shared" si="56"/>
        <v>-1.0000000000000231</v>
      </c>
      <c r="E28">
        <f t="shared" si="56"/>
        <v>-2.0000000000000018</v>
      </c>
      <c r="F28">
        <f t="shared" si="56"/>
        <v>-0.99999999999997868</v>
      </c>
      <c r="G28">
        <f t="shared" si="56"/>
        <v>-1.0000000000000231</v>
      </c>
      <c r="H28">
        <f t="shared" si="56"/>
        <v>-2.9999999999999805</v>
      </c>
      <c r="I28">
        <f t="shared" si="56"/>
        <v>-2.0000000000000018</v>
      </c>
      <c r="J28">
        <f t="shared" si="56"/>
        <v>-1.9999999999999574</v>
      </c>
      <c r="K28">
        <f t="shared" si="56"/>
        <v>-0.99999999999997868</v>
      </c>
      <c r="L28">
        <f t="shared" si="56"/>
        <v>-0.99999999999997868</v>
      </c>
      <c r="M28">
        <f t="shared" si="56"/>
        <v>-0.99999999999997868</v>
      </c>
      <c r="N28">
        <f t="shared" si="56"/>
        <v>0</v>
      </c>
      <c r="O28" s="5">
        <f t="shared" si="50"/>
        <v>-4.5560770800516168E-3</v>
      </c>
      <c r="P28" s="5">
        <f t="shared" si="50"/>
        <v>-1.459384462131416E-2</v>
      </c>
      <c r="Q28" s="5">
        <f t="shared" si="50"/>
        <v>9.3776437832748059E-3</v>
      </c>
      <c r="R28" s="5">
        <f t="shared" si="50"/>
        <v>-2.379537113265209E-3</v>
      </c>
      <c r="S28" s="5">
        <f t="shared" si="50"/>
        <v>-8.5787915327108829E-3</v>
      </c>
      <c r="T28" s="5">
        <f t="shared" ref="T28:X28" si="57">LN(T577/T578)</f>
        <v>2.0160851725851575E-3</v>
      </c>
      <c r="U28" s="5">
        <f t="shared" si="57"/>
        <v>9.1137999601726104E-3</v>
      </c>
      <c r="V28" s="5">
        <f t="shared" si="57"/>
        <v>-8.4801049739015961E-4</v>
      </c>
      <c r="W28" s="5">
        <f t="shared" si="57"/>
        <v>1.1214658828084966E-2</v>
      </c>
      <c r="X28" s="5">
        <f t="shared" si="57"/>
        <v>5.01595737316139E-4</v>
      </c>
      <c r="Z28" s="4">
        <v>46059</v>
      </c>
      <c r="AA28">
        <f>B28*B$3</f>
        <v>0</v>
      </c>
      <c r="AB28">
        <f>C28*C$3</f>
        <v>0</v>
      </c>
      <c r="AC28">
        <f>D28*D$3</f>
        <v>-16143.000000000373</v>
      </c>
      <c r="AD28">
        <f>E28*E$3</f>
        <v>-4856.0000000000045</v>
      </c>
      <c r="AE28">
        <f>F28*F$3</f>
        <v>12427.999999999734</v>
      </c>
      <c r="AF28">
        <f>G28*G$3</f>
        <v>15628.00000000036</v>
      </c>
      <c r="AG28">
        <f>H28*H$3</f>
        <v>84647.999999999447</v>
      </c>
      <c r="AH28">
        <f>I28*I$3</f>
        <v>36912.000000000036</v>
      </c>
      <c r="AI28">
        <f>J28*J$3</f>
        <v>102102.99999999782</v>
      </c>
      <c r="AJ28">
        <f>K28*K$3</f>
        <v>78394.999999998327</v>
      </c>
      <c r="AK28">
        <f>L28*L$3</f>
        <v>-31003.999999999338</v>
      </c>
      <c r="AL28">
        <f>M28*M$3</f>
        <v>-32072.999999999316</v>
      </c>
      <c r="AM28">
        <f>N28*N$3</f>
        <v>0</v>
      </c>
      <c r="AN28">
        <f>O28*O$3</f>
        <v>0</v>
      </c>
      <c r="AO28">
        <f>P28*P$3</f>
        <v>72969.223106570804</v>
      </c>
      <c r="AP28">
        <f>Q28*Q$3</f>
        <v>112531.72539929768</v>
      </c>
      <c r="AQ28">
        <f>R28*R$3</f>
        <v>35693.056698978136</v>
      </c>
      <c r="AR28" s="1">
        <f>S28*S$3</f>
        <v>60051.540728976179</v>
      </c>
      <c r="AS28" s="1">
        <f t="shared" si="42"/>
        <v>8064.3406903406294</v>
      </c>
      <c r="AT28" s="1">
        <f t="shared" si="42"/>
        <v>72910.399681380877</v>
      </c>
      <c r="AU28" s="1">
        <f t="shared" si="42"/>
        <v>0</v>
      </c>
      <c r="AV28" s="1">
        <f t="shared" si="42"/>
        <v>0</v>
      </c>
      <c r="AW28" s="1">
        <f t="shared" si="42"/>
        <v>0</v>
      </c>
      <c r="AX28" s="1">
        <f t="shared" si="8"/>
        <v>608258.28630554094</v>
      </c>
      <c r="AY28" s="1">
        <f t="shared" si="9"/>
        <v>362220.28630554432</v>
      </c>
      <c r="AZ28" s="1">
        <f t="shared" si="10"/>
        <v>246037.99999999662</v>
      </c>
    </row>
    <row r="29" spans="1:52" x14ac:dyDescent="0.25">
      <c r="A29" s="4">
        <v>46058</v>
      </c>
      <c r="B29">
        <f t="shared" ref="B29:N29" si="58">(B579-B578)*100</f>
        <v>0</v>
      </c>
      <c r="C29">
        <f t="shared" si="58"/>
        <v>0</v>
      </c>
      <c r="D29">
        <f t="shared" si="58"/>
        <v>2.0000000000000018</v>
      </c>
      <c r="E29">
        <f t="shared" si="58"/>
        <v>2.0000000000000018</v>
      </c>
      <c r="F29">
        <f t="shared" si="58"/>
        <v>4.0000000000000036</v>
      </c>
      <c r="G29">
        <f t="shared" si="58"/>
        <v>5.0000000000000266</v>
      </c>
      <c r="H29">
        <f t="shared" si="58"/>
        <v>9.9999999999999645</v>
      </c>
      <c r="I29">
        <f t="shared" si="58"/>
        <v>9.0000000000000302</v>
      </c>
      <c r="J29">
        <f t="shared" si="58"/>
        <v>8.9999999999999858</v>
      </c>
      <c r="K29">
        <f t="shared" si="58"/>
        <v>7.9999999999999627</v>
      </c>
      <c r="L29">
        <f t="shared" si="58"/>
        <v>8.0000000000000071</v>
      </c>
      <c r="M29">
        <f t="shared" si="58"/>
        <v>7.0000000000000284</v>
      </c>
      <c r="N29">
        <f t="shared" si="58"/>
        <v>6.0000000000000497</v>
      </c>
      <c r="O29" s="5">
        <f t="shared" si="50"/>
        <v>4.2122178297150786E-3</v>
      </c>
      <c r="P29" s="5">
        <f t="shared" si="50"/>
        <v>1.6167732105340404E-2</v>
      </c>
      <c r="Q29" s="5">
        <f t="shared" si="50"/>
        <v>-2.2595984269417643E-3</v>
      </c>
      <c r="R29" s="5">
        <f t="shared" si="50"/>
        <v>1.4865470256456587E-3</v>
      </c>
      <c r="S29" s="5">
        <f t="shared" si="50"/>
        <v>4.6754618115019426E-3</v>
      </c>
      <c r="T29" s="5">
        <f t="shared" ref="T29:X29" si="59">LN(T578/T579)</f>
        <v>1.228041966708256E-3</v>
      </c>
      <c r="U29" s="5">
        <f t="shared" si="59"/>
        <v>3.8689928857752118E-3</v>
      </c>
      <c r="V29" s="5">
        <f t="shared" si="59"/>
        <v>7.1503615154297102E-3</v>
      </c>
      <c r="W29" s="5">
        <f t="shared" si="59"/>
        <v>4.012338514826708E-3</v>
      </c>
      <c r="X29" s="5">
        <f t="shared" si="59"/>
        <v>1.9960713854385321E-3</v>
      </c>
      <c r="Z29" s="4">
        <v>46058</v>
      </c>
      <c r="AA29">
        <f>B29*B$3</f>
        <v>0</v>
      </c>
      <c r="AB29">
        <f>C29*C$3</f>
        <v>0</v>
      </c>
      <c r="AC29">
        <f>D29*D$3</f>
        <v>32286.000000000029</v>
      </c>
      <c r="AD29">
        <f>E29*E$3</f>
        <v>4856.0000000000045</v>
      </c>
      <c r="AE29">
        <f>F29*F$3</f>
        <v>-49712.000000000044</v>
      </c>
      <c r="AF29">
        <f>G29*G$3</f>
        <v>-78140.000000000422</v>
      </c>
      <c r="AG29">
        <f>H29*H$3</f>
        <v>-282159.99999999901</v>
      </c>
      <c r="AH29">
        <f>I29*I$3</f>
        <v>-166104.00000000055</v>
      </c>
      <c r="AI29">
        <f>J29*J$3</f>
        <v>-459463.4999999993</v>
      </c>
      <c r="AJ29">
        <f>K29*K$3</f>
        <v>-627159.99999999709</v>
      </c>
      <c r="AK29">
        <f>L29*L$3</f>
        <v>248032.00000000023</v>
      </c>
      <c r="AL29">
        <f>M29*M$3</f>
        <v>224511.0000000009</v>
      </c>
      <c r="AM29">
        <f>N29*N$3</f>
        <v>0</v>
      </c>
      <c r="AN29">
        <f>O29*O$3</f>
        <v>0</v>
      </c>
      <c r="AO29">
        <f>P29*P$3</f>
        <v>-80838.66052670202</v>
      </c>
      <c r="AP29">
        <f>Q29*Q$3</f>
        <v>-27115.181123301172</v>
      </c>
      <c r="AQ29">
        <f>R29*R$3</f>
        <v>-22298.205384684879</v>
      </c>
      <c r="AR29" s="1">
        <f>S29*S$3</f>
        <v>-32728.232680513596</v>
      </c>
      <c r="AS29" s="1">
        <f t="shared" si="42"/>
        <v>4912.1678668330242</v>
      </c>
      <c r="AT29" s="1">
        <f t="shared" si="42"/>
        <v>30951.943086201692</v>
      </c>
      <c r="AU29" s="1">
        <f t="shared" si="42"/>
        <v>0</v>
      </c>
      <c r="AV29" s="1">
        <f t="shared" si="42"/>
        <v>0</v>
      </c>
      <c r="AW29" s="1">
        <f t="shared" si="42"/>
        <v>0</v>
      </c>
      <c r="AX29" s="1">
        <f t="shared" si="8"/>
        <v>-1280170.6687621619</v>
      </c>
      <c r="AY29" s="1">
        <f t="shared" si="9"/>
        <v>-127116.16876216694</v>
      </c>
      <c r="AZ29" s="1">
        <f t="shared" si="10"/>
        <v>-1153054.4999999949</v>
      </c>
    </row>
    <row r="30" spans="1:52" x14ac:dyDescent="0.25">
      <c r="A30" s="4">
        <v>46057</v>
      </c>
      <c r="B30">
        <f t="shared" ref="B30:N30" si="60">(B580-B579)*100</f>
        <v>0</v>
      </c>
      <c r="C30">
        <f t="shared" si="60"/>
        <v>0</v>
      </c>
      <c r="D30">
        <f t="shared" si="60"/>
        <v>0</v>
      </c>
      <c r="E30">
        <f t="shared" si="60"/>
        <v>0</v>
      </c>
      <c r="F30">
        <f t="shared" si="60"/>
        <v>0</v>
      </c>
      <c r="G30">
        <f t="shared" si="60"/>
        <v>0</v>
      </c>
      <c r="H30">
        <f t="shared" si="60"/>
        <v>0</v>
      </c>
      <c r="I30">
        <f t="shared" si="60"/>
        <v>0</v>
      </c>
      <c r="J30">
        <f t="shared" si="60"/>
        <v>0</v>
      </c>
      <c r="K30">
        <f t="shared" si="60"/>
        <v>-0.99999999999997868</v>
      </c>
      <c r="L30">
        <f t="shared" si="60"/>
        <v>-0.99999999999997868</v>
      </c>
      <c r="M30">
        <f t="shared" si="60"/>
        <v>-1.0000000000000675</v>
      </c>
      <c r="N30">
        <f t="shared" si="60"/>
        <v>-0.99999999999997868</v>
      </c>
      <c r="O30" s="5">
        <f t="shared" si="50"/>
        <v>2.3520648769017956E-3</v>
      </c>
      <c r="P30" s="5">
        <f t="shared" si="50"/>
        <v>6.8507230191845335E-4</v>
      </c>
      <c r="Q30" s="5">
        <f t="shared" si="50"/>
        <v>-1.0404885397836575E-2</v>
      </c>
      <c r="R30" s="5">
        <f t="shared" si="50"/>
        <v>0</v>
      </c>
      <c r="S30" s="5">
        <f t="shared" si="50"/>
        <v>3.8627724644962765E-3</v>
      </c>
      <c r="T30" s="5">
        <f t="shared" ref="T30:X30" si="61">LN(T579/T580)</f>
        <v>-1.4758521488128431E-3</v>
      </c>
      <c r="U30" s="5">
        <f t="shared" si="61"/>
        <v>-1.7791680932602689E-3</v>
      </c>
      <c r="V30" s="5">
        <f t="shared" si="61"/>
        <v>2.287628117656264E-3</v>
      </c>
      <c r="W30" s="5">
        <f t="shared" si="61"/>
        <v>-9.5894216583236169E-3</v>
      </c>
      <c r="X30" s="5">
        <f t="shared" si="61"/>
        <v>-4.1806924621562783E-3</v>
      </c>
      <c r="Z30" s="4">
        <v>46057</v>
      </c>
      <c r="AA30">
        <f>B30*B$3</f>
        <v>0</v>
      </c>
      <c r="AB30">
        <f>C30*C$3</f>
        <v>0</v>
      </c>
      <c r="AC30">
        <f>D30*D$3</f>
        <v>0</v>
      </c>
      <c r="AD30">
        <f>E30*E$3</f>
        <v>0</v>
      </c>
      <c r="AE30">
        <f>F30*F$3</f>
        <v>0</v>
      </c>
      <c r="AF30">
        <f>G30*G$3</f>
        <v>0</v>
      </c>
      <c r="AG30">
        <f>H30*H$3</f>
        <v>0</v>
      </c>
      <c r="AH30">
        <f>I30*I$3</f>
        <v>0</v>
      </c>
      <c r="AI30">
        <f>J30*J$3</f>
        <v>0</v>
      </c>
      <c r="AJ30">
        <f>K30*K$3</f>
        <v>78394.999999998327</v>
      </c>
      <c r="AK30">
        <f>L30*L$3</f>
        <v>-31003.999999999338</v>
      </c>
      <c r="AL30">
        <f>M30*M$3</f>
        <v>-32073.000000002165</v>
      </c>
      <c r="AM30">
        <f>N30*N$3</f>
        <v>0</v>
      </c>
      <c r="AN30">
        <f>O30*O$3</f>
        <v>0</v>
      </c>
      <c r="AO30">
        <f>P30*P$3</f>
        <v>-3425.3615095922669</v>
      </c>
      <c r="AP30">
        <f>Q30*Q$3</f>
        <v>-124858.62477403891</v>
      </c>
      <c r="AQ30">
        <f>R30*R$3</f>
        <v>0</v>
      </c>
      <c r="AR30" s="1">
        <f>S30*S$3</f>
        <v>-27039.407251473935</v>
      </c>
      <c r="AS30" s="1">
        <f t="shared" si="42"/>
        <v>-5903.4085952513724</v>
      </c>
      <c r="AT30" s="1">
        <f t="shared" si="42"/>
        <v>-14233.344746082152</v>
      </c>
      <c r="AU30" s="1">
        <f t="shared" si="42"/>
        <v>0</v>
      </c>
      <c r="AV30" s="1">
        <f t="shared" si="42"/>
        <v>0</v>
      </c>
      <c r="AW30" s="1">
        <f t="shared" si="42"/>
        <v>0</v>
      </c>
      <c r="AX30" s="1">
        <f t="shared" si="8"/>
        <v>-160142.14687644181</v>
      </c>
      <c r="AY30" s="1">
        <f t="shared" si="9"/>
        <v>-175460.14687643864</v>
      </c>
      <c r="AZ30" s="1">
        <f t="shared" si="10"/>
        <v>15317.999999996828</v>
      </c>
    </row>
    <row r="31" spans="1:52" x14ac:dyDescent="0.25">
      <c r="A31" s="4">
        <v>46056</v>
      </c>
      <c r="B31">
        <f t="shared" ref="B31:N31" si="62">(B581-B580)*100</f>
        <v>0</v>
      </c>
      <c r="C31">
        <f t="shared" si="62"/>
        <v>0</v>
      </c>
      <c r="D31">
        <f t="shared" si="62"/>
        <v>0</v>
      </c>
      <c r="E31">
        <f t="shared" si="62"/>
        <v>0</v>
      </c>
      <c r="F31">
        <f t="shared" si="62"/>
        <v>0</v>
      </c>
      <c r="G31">
        <f t="shared" si="62"/>
        <v>0</v>
      </c>
      <c r="H31">
        <f t="shared" si="62"/>
        <v>0</v>
      </c>
      <c r="I31">
        <f t="shared" si="62"/>
        <v>0</v>
      </c>
      <c r="J31">
        <f t="shared" si="62"/>
        <v>0</v>
      </c>
      <c r="K31">
        <f t="shared" si="62"/>
        <v>0.99999999999997868</v>
      </c>
      <c r="L31">
        <f t="shared" si="62"/>
        <v>0.99999999999997868</v>
      </c>
      <c r="M31">
        <f t="shared" si="62"/>
        <v>0</v>
      </c>
      <c r="N31">
        <f t="shared" si="62"/>
        <v>0</v>
      </c>
      <c r="O31" s="5">
        <f t="shared" si="50"/>
        <v>-6.6974119087039406E-3</v>
      </c>
      <c r="P31" s="5">
        <f t="shared" si="50"/>
        <v>9.4801015160333232E-3</v>
      </c>
      <c r="Q31" s="5">
        <f t="shared" si="50"/>
        <v>3.9455064392425751E-3</v>
      </c>
      <c r="R31" s="5">
        <f t="shared" si="50"/>
        <v>-1.1894143537225126E-3</v>
      </c>
      <c r="S31" s="5">
        <f t="shared" si="50"/>
        <v>-9.2388200402684865E-3</v>
      </c>
      <c r="T31" s="5">
        <f t="shared" ref="T31:X31" si="63">LN(T580/T581)</f>
        <v>4.2683305772821751E-3</v>
      </c>
      <c r="U31" s="5">
        <f t="shared" si="63"/>
        <v>4.376596375833543E-4</v>
      </c>
      <c r="V31" s="5">
        <f t="shared" si="63"/>
        <v>1.5515934351112085E-3</v>
      </c>
      <c r="W31" s="5">
        <f t="shared" si="63"/>
        <v>-1.3269128281215117E-3</v>
      </c>
      <c r="X31" s="5">
        <f t="shared" si="63"/>
        <v>7.0206595988779614E-3</v>
      </c>
      <c r="Z31" s="4">
        <v>46056</v>
      </c>
      <c r="AA31">
        <f>B31*B$3</f>
        <v>0</v>
      </c>
      <c r="AB31">
        <f>C31*C$3</f>
        <v>0</v>
      </c>
      <c r="AC31">
        <f>D31*D$3</f>
        <v>0</v>
      </c>
      <c r="AD31">
        <f>E31*E$3</f>
        <v>0</v>
      </c>
      <c r="AE31">
        <f>F31*F$3</f>
        <v>0</v>
      </c>
      <c r="AF31">
        <f>G31*G$3</f>
        <v>0</v>
      </c>
      <c r="AG31">
        <f>H31*H$3</f>
        <v>0</v>
      </c>
      <c r="AH31">
        <f>I31*I$3</f>
        <v>0</v>
      </c>
      <c r="AI31">
        <f>J31*J$3</f>
        <v>0</v>
      </c>
      <c r="AJ31">
        <f>K31*K$3</f>
        <v>-78394.999999998327</v>
      </c>
      <c r="AK31">
        <f>L31*L$3</f>
        <v>31003.999999999338</v>
      </c>
      <c r="AL31">
        <f>M31*M$3</f>
        <v>0</v>
      </c>
      <c r="AM31">
        <f>N31*N$3</f>
        <v>0</v>
      </c>
      <c r="AN31">
        <f>O31*O$3</f>
        <v>0</v>
      </c>
      <c r="AO31">
        <f>P31*P$3</f>
        <v>-47400.507580166617</v>
      </c>
      <c r="AP31">
        <f>Q31*Q$3</f>
        <v>47346.077270910901</v>
      </c>
      <c r="AQ31">
        <f>R31*R$3</f>
        <v>17841.21530583769</v>
      </c>
      <c r="AR31" s="1">
        <f>S31*S$3</f>
        <v>64671.740281879407</v>
      </c>
      <c r="AS31" s="1">
        <f t="shared" si="42"/>
        <v>17073.3223091287</v>
      </c>
      <c r="AT31" s="1">
        <f t="shared" si="42"/>
        <v>3501.2771006668345</v>
      </c>
      <c r="AU31" s="1">
        <f t="shared" si="42"/>
        <v>0</v>
      </c>
      <c r="AV31" s="1">
        <f t="shared" si="42"/>
        <v>0</v>
      </c>
      <c r="AW31" s="1">
        <f t="shared" si="42"/>
        <v>0</v>
      </c>
      <c r="AX31" s="1">
        <f t="shared" si="8"/>
        <v>55642.124688257922</v>
      </c>
      <c r="AY31" s="1">
        <f t="shared" si="9"/>
        <v>103033.12468825691</v>
      </c>
      <c r="AZ31" s="1">
        <f t="shared" si="10"/>
        <v>-47390.999999998989</v>
      </c>
    </row>
    <row r="32" spans="1:52" x14ac:dyDescent="0.25">
      <c r="A32" s="4">
        <v>46055</v>
      </c>
      <c r="B32">
        <f t="shared" ref="B32:N32" si="64">(B582-B581)*100</f>
        <v>0</v>
      </c>
      <c r="C32">
        <f t="shared" si="64"/>
        <v>0.99999999999997868</v>
      </c>
      <c r="D32">
        <f t="shared" si="64"/>
        <v>-2.0000000000000018</v>
      </c>
      <c r="E32">
        <f t="shared" si="64"/>
        <v>-1.0000000000000231</v>
      </c>
      <c r="F32">
        <f t="shared" si="64"/>
        <v>-1.0000000000000231</v>
      </c>
      <c r="G32">
        <f t="shared" si="64"/>
        <v>-1.0000000000000231</v>
      </c>
      <c r="H32">
        <f t="shared" si="64"/>
        <v>-4.9999999999999822</v>
      </c>
      <c r="I32">
        <f t="shared" si="64"/>
        <v>-4.0000000000000036</v>
      </c>
      <c r="J32">
        <f t="shared" si="64"/>
        <v>-4.0000000000000036</v>
      </c>
      <c r="K32">
        <f t="shared" si="64"/>
        <v>-4.0000000000000036</v>
      </c>
      <c r="L32">
        <f t="shared" si="64"/>
        <v>-3.0000000000000249</v>
      </c>
      <c r="M32">
        <f t="shared" si="64"/>
        <v>-2.9999999999999361</v>
      </c>
      <c r="N32">
        <f t="shared" si="64"/>
        <v>-3.0000000000000249</v>
      </c>
      <c r="O32" s="5">
        <f t="shared" si="50"/>
        <v>5.4537615393824403E-3</v>
      </c>
      <c r="P32" s="5">
        <f t="shared" si="50"/>
        <v>-2.092748735638424E-2</v>
      </c>
      <c r="Q32" s="5">
        <f t="shared" si="50"/>
        <v>7.7166696631075617E-3</v>
      </c>
      <c r="R32" s="5">
        <f t="shared" si="50"/>
        <v>-8.9113328338903078E-4</v>
      </c>
      <c r="S32" s="5">
        <f t="shared" si="50"/>
        <v>0</v>
      </c>
      <c r="T32" s="5">
        <f t="shared" ref="T32:X32" si="65">LN(T581/T582)</f>
        <v>9.787839779128461E-3</v>
      </c>
      <c r="U32" s="5">
        <f t="shared" si="65"/>
        <v>9.2625012444945334E-3</v>
      </c>
      <c r="V32" s="5">
        <f t="shared" si="65"/>
        <v>1.3231266021551008E-2</v>
      </c>
      <c r="W32" s="5">
        <f t="shared" si="65"/>
        <v>1.4438775769928821E-2</v>
      </c>
      <c r="X32" s="5">
        <f t="shared" si="65"/>
        <v>1.1898901204453824E-2</v>
      </c>
      <c r="Z32" s="4">
        <v>46055</v>
      </c>
      <c r="AA32">
        <f>B32*B$3</f>
        <v>0</v>
      </c>
      <c r="AB32">
        <f>C32*C$3</f>
        <v>-2583.999999999945</v>
      </c>
      <c r="AC32">
        <f>D32*D$3</f>
        <v>-32286.000000000029</v>
      </c>
      <c r="AD32">
        <f>E32*E$3</f>
        <v>-2428.0000000000559</v>
      </c>
      <c r="AE32">
        <f>F32*F$3</f>
        <v>12428.000000000287</v>
      </c>
      <c r="AF32">
        <f>G32*G$3</f>
        <v>15628.00000000036</v>
      </c>
      <c r="AG32">
        <f>H32*H$3</f>
        <v>141079.99999999951</v>
      </c>
      <c r="AH32">
        <f>I32*I$3</f>
        <v>73824.000000000073</v>
      </c>
      <c r="AI32">
        <f>J32*J$3</f>
        <v>204206.00000000017</v>
      </c>
      <c r="AJ32">
        <f>K32*K$3</f>
        <v>313580.00000000029</v>
      </c>
      <c r="AK32">
        <f>L32*L$3</f>
        <v>-93012.000000000771</v>
      </c>
      <c r="AL32">
        <f>M32*M$3</f>
        <v>-96218.999999997948</v>
      </c>
      <c r="AM32">
        <f>N32*N$3</f>
        <v>0</v>
      </c>
      <c r="AN32">
        <f>O32*O$3</f>
        <v>0</v>
      </c>
      <c r="AO32">
        <f>P32*P$3</f>
        <v>104637.43678192119</v>
      </c>
      <c r="AP32">
        <f>Q32*Q$3</f>
        <v>92600.035957290747</v>
      </c>
      <c r="AQ32">
        <f>R32*R$3</f>
        <v>13366.999250835463</v>
      </c>
      <c r="AR32" s="1">
        <f>S32*S$3</f>
        <v>0</v>
      </c>
      <c r="AS32" s="1">
        <f t="shared" si="42"/>
        <v>39151.359116513842</v>
      </c>
      <c r="AT32" s="1">
        <f t="shared" si="42"/>
        <v>74100.009955956266</v>
      </c>
      <c r="AU32" s="1">
        <f t="shared" si="42"/>
        <v>0</v>
      </c>
      <c r="AV32" s="1">
        <f t="shared" si="42"/>
        <v>0</v>
      </c>
      <c r="AW32" s="1">
        <f t="shared" si="42"/>
        <v>0</v>
      </c>
      <c r="AX32" s="1">
        <f t="shared" si="8"/>
        <v>858072.84106251958</v>
      </c>
      <c r="AY32" s="1">
        <f t="shared" si="9"/>
        <v>323855.84106251749</v>
      </c>
      <c r="AZ32" s="1">
        <f t="shared" si="10"/>
        <v>534217.0000000021</v>
      </c>
    </row>
    <row r="33" spans="1:52" x14ac:dyDescent="0.25">
      <c r="A33" s="4">
        <v>46052</v>
      </c>
      <c r="B33">
        <f t="shared" ref="B33:N33" si="66">(B583-B582)*100</f>
        <v>0</v>
      </c>
      <c r="C33">
        <f t="shared" si="66"/>
        <v>0</v>
      </c>
      <c r="D33">
        <f t="shared" si="66"/>
        <v>0</v>
      </c>
      <c r="E33">
        <f t="shared" si="66"/>
        <v>0</v>
      </c>
      <c r="F33">
        <f t="shared" si="66"/>
        <v>1.0000000000000231</v>
      </c>
      <c r="G33">
        <f t="shared" si="66"/>
        <v>2.0000000000000018</v>
      </c>
      <c r="H33">
        <f t="shared" si="66"/>
        <v>0.99999999999997868</v>
      </c>
      <c r="I33">
        <f t="shared" si="66"/>
        <v>2.9999999999999805</v>
      </c>
      <c r="J33">
        <f t="shared" si="66"/>
        <v>0.99999999999997868</v>
      </c>
      <c r="K33">
        <f t="shared" si="66"/>
        <v>0</v>
      </c>
      <c r="L33">
        <f t="shared" si="66"/>
        <v>-1.9999999999999574</v>
      </c>
      <c r="M33">
        <f t="shared" si="66"/>
        <v>-2.0000000000000462</v>
      </c>
      <c r="N33">
        <f t="shared" si="66"/>
        <v>-2.0000000000000462</v>
      </c>
      <c r="O33" s="5">
        <f t="shared" si="50"/>
        <v>6.6186657095421812E-3</v>
      </c>
      <c r="P33" s="5">
        <f t="shared" si="50"/>
        <v>1.3368088859139366E-2</v>
      </c>
      <c r="Q33" s="5">
        <f t="shared" si="50"/>
        <v>5.8261479159089729E-4</v>
      </c>
      <c r="R33" s="5">
        <f t="shared" si="50"/>
        <v>6.8524027998884823E-3</v>
      </c>
      <c r="S33" s="5">
        <f t="shared" si="50"/>
        <v>1.0781153327582229E-2</v>
      </c>
      <c r="T33" s="5">
        <f t="shared" ref="T33:X33" si="67">LN(T582/T583)</f>
        <v>1.0056130060194992E-3</v>
      </c>
      <c r="U33" s="5">
        <f t="shared" si="67"/>
        <v>1.3677779850711964E-3</v>
      </c>
      <c r="V33" s="5">
        <f t="shared" si="67"/>
        <v>4.3107134150526574E-4</v>
      </c>
      <c r="W33" s="5">
        <f t="shared" si="67"/>
        <v>-1.0650653839531345E-3</v>
      </c>
      <c r="X33" s="5">
        <f t="shared" si="67"/>
        <v>-1.7383377799736915E-3</v>
      </c>
      <c r="Z33" s="4">
        <v>46052</v>
      </c>
      <c r="AA33">
        <f>B33*B$3</f>
        <v>0</v>
      </c>
      <c r="AB33">
        <f>C33*C$3</f>
        <v>0</v>
      </c>
      <c r="AC33">
        <f>D33*D$3</f>
        <v>0</v>
      </c>
      <c r="AD33">
        <f>E33*E$3</f>
        <v>0</v>
      </c>
      <c r="AE33">
        <f>F33*F$3</f>
        <v>-12428.000000000287</v>
      </c>
      <c r="AF33">
        <f>G33*G$3</f>
        <v>-31256.000000000029</v>
      </c>
      <c r="AG33">
        <f>H33*H$3</f>
        <v>-28215.9999999994</v>
      </c>
      <c r="AH33">
        <f>I33*I$3</f>
        <v>-55367.999999999636</v>
      </c>
      <c r="AI33">
        <f>J33*J$3</f>
        <v>-51051.499999998909</v>
      </c>
      <c r="AJ33">
        <f>K33*K$3</f>
        <v>0</v>
      </c>
      <c r="AK33">
        <f>L33*L$3</f>
        <v>-62007.999999998676</v>
      </c>
      <c r="AL33">
        <f>M33*M$3</f>
        <v>-64146.000000001484</v>
      </c>
      <c r="AM33">
        <f>N33*N$3</f>
        <v>0</v>
      </c>
      <c r="AN33">
        <f>O33*O$3</f>
        <v>0</v>
      </c>
      <c r="AO33">
        <f>P33*P$3</f>
        <v>-66840.444295696827</v>
      </c>
      <c r="AP33">
        <f>Q33*Q$3</f>
        <v>6991.3774990907677</v>
      </c>
      <c r="AQ33">
        <f>R33*R$3</f>
        <v>-102786.04199832723</v>
      </c>
      <c r="AR33" s="1">
        <f>S33*S$3</f>
        <v>-75468.073293075606</v>
      </c>
      <c r="AS33" s="1">
        <f t="shared" si="42"/>
        <v>4022.4520240779966</v>
      </c>
      <c r="AT33" s="1">
        <f t="shared" si="42"/>
        <v>10942.223880569571</v>
      </c>
      <c r="AU33" s="1">
        <f t="shared" si="42"/>
        <v>0</v>
      </c>
      <c r="AV33" s="1">
        <f t="shared" si="42"/>
        <v>0</v>
      </c>
      <c r="AW33" s="1">
        <f t="shared" si="42"/>
        <v>0</v>
      </c>
      <c r="AX33" s="1">
        <f t="shared" si="8"/>
        <v>-527612.00618335966</v>
      </c>
      <c r="AY33" s="1">
        <f t="shared" si="9"/>
        <v>-223138.50618336134</v>
      </c>
      <c r="AZ33" s="1">
        <f t="shared" si="10"/>
        <v>-304473.49999999831</v>
      </c>
    </row>
    <row r="34" spans="1:52" x14ac:dyDescent="0.25">
      <c r="A34" s="4">
        <v>46051</v>
      </c>
      <c r="B34">
        <f t="shared" ref="B34:N34" si="68">(B584-B583)*100</f>
        <v>3.9999999999999591</v>
      </c>
      <c r="C34">
        <f t="shared" si="68"/>
        <v>-4.0000000000000036</v>
      </c>
      <c r="D34">
        <f t="shared" si="68"/>
        <v>1.0000000000000231</v>
      </c>
      <c r="E34">
        <f t="shared" si="68"/>
        <v>1.0000000000000231</v>
      </c>
      <c r="F34">
        <f t="shared" si="68"/>
        <v>0.99999999999997868</v>
      </c>
      <c r="G34">
        <f t="shared" si="68"/>
        <v>2.0000000000000018</v>
      </c>
      <c r="H34">
        <f t="shared" si="68"/>
        <v>3.0000000000000249</v>
      </c>
      <c r="I34">
        <f t="shared" si="68"/>
        <v>3.0000000000000249</v>
      </c>
      <c r="J34">
        <f t="shared" si="68"/>
        <v>3.0000000000000249</v>
      </c>
      <c r="K34">
        <f t="shared" si="68"/>
        <v>4.0000000000000036</v>
      </c>
      <c r="L34">
        <f t="shared" si="68"/>
        <v>1.9999999999999574</v>
      </c>
      <c r="M34">
        <f t="shared" si="68"/>
        <v>0.99999999999997868</v>
      </c>
      <c r="N34">
        <f t="shared" si="68"/>
        <v>0</v>
      </c>
      <c r="O34" s="5">
        <f t="shared" si="50"/>
        <v>2.2738669372749333E-3</v>
      </c>
      <c r="P34" s="5">
        <f t="shared" si="50"/>
        <v>-8.5325683126531385E-3</v>
      </c>
      <c r="Q34" s="5">
        <f t="shared" si="50"/>
        <v>-4.9066442648501444E-3</v>
      </c>
      <c r="R34" s="5">
        <f t="shared" si="50"/>
        <v>0</v>
      </c>
      <c r="S34" s="5">
        <f t="shared" si="50"/>
        <v>8.998261910850041E-4</v>
      </c>
      <c r="T34" s="5">
        <f t="shared" ref="T34:X34" si="69">LN(T583/T584)</f>
        <v>3.323398729089122E-3</v>
      </c>
      <c r="U34" s="5">
        <f t="shared" si="69"/>
        <v>-6.9155058861536845E-5</v>
      </c>
      <c r="V34" s="5">
        <f t="shared" si="69"/>
        <v>4.208759118333516E-3</v>
      </c>
      <c r="W34" s="5">
        <f t="shared" si="69"/>
        <v>-6.2696433663185459E-3</v>
      </c>
      <c r="X34" s="5">
        <f t="shared" si="69"/>
        <v>3.3225564529740562E-3</v>
      </c>
      <c r="Z34" s="4">
        <v>46051</v>
      </c>
      <c r="AA34">
        <f>B34*B$3</f>
        <v>-3931.99999999996</v>
      </c>
      <c r="AB34">
        <f>C34*C$3</f>
        <v>10336.000000000009</v>
      </c>
      <c r="AC34">
        <f>D34*D$3</f>
        <v>16143.000000000373</v>
      </c>
      <c r="AD34">
        <f>E34*E$3</f>
        <v>2428.0000000000559</v>
      </c>
      <c r="AE34">
        <f>F34*F$3</f>
        <v>-12427.999999999734</v>
      </c>
      <c r="AF34">
        <f>G34*G$3</f>
        <v>-31256.000000000029</v>
      </c>
      <c r="AG34">
        <f>H34*H$3</f>
        <v>-84648.000000000698</v>
      </c>
      <c r="AH34">
        <f>I34*I$3</f>
        <v>-55368.000000000458</v>
      </c>
      <c r="AI34">
        <f>J34*J$3</f>
        <v>-153154.50000000128</v>
      </c>
      <c r="AJ34">
        <f>K34*K$3</f>
        <v>-313580.00000000029</v>
      </c>
      <c r="AK34">
        <f>L34*L$3</f>
        <v>62007.999999998676</v>
      </c>
      <c r="AL34">
        <f>M34*M$3</f>
        <v>32072.999999999316</v>
      </c>
      <c r="AM34">
        <f>N34*N$3</f>
        <v>0</v>
      </c>
      <c r="AN34">
        <f>O34*O$3</f>
        <v>0</v>
      </c>
      <c r="AO34">
        <f>P34*P$3</f>
        <v>42662.841563265691</v>
      </c>
      <c r="AP34">
        <f>Q34*Q$3</f>
        <v>-58879.731178201735</v>
      </c>
      <c r="AQ34">
        <f>R34*R$3</f>
        <v>0</v>
      </c>
      <c r="AR34" s="1">
        <f>S34*S$3</f>
        <v>-6298.7833375950286</v>
      </c>
      <c r="AS34" s="1">
        <f t="shared" si="42"/>
        <v>13293.594916356487</v>
      </c>
      <c r="AT34" s="1">
        <f t="shared" si="42"/>
        <v>-553.24047089229475</v>
      </c>
      <c r="AU34" s="1">
        <f t="shared" si="42"/>
        <v>0</v>
      </c>
      <c r="AV34" s="1">
        <f t="shared" si="42"/>
        <v>0</v>
      </c>
      <c r="AW34" s="1">
        <f t="shared" si="42"/>
        <v>0</v>
      </c>
      <c r="AX34" s="1">
        <f t="shared" si="8"/>
        <v>-541153.818507071</v>
      </c>
      <c r="AY34" s="1">
        <f t="shared" si="9"/>
        <v>-9775.3185070668806</v>
      </c>
      <c r="AZ34" s="1">
        <f t="shared" si="10"/>
        <v>-531378.50000000407</v>
      </c>
    </row>
    <row r="35" spans="1:52" x14ac:dyDescent="0.25">
      <c r="A35" s="4">
        <v>46050</v>
      </c>
      <c r="B35">
        <f t="shared" ref="B35:N35" si="70">(B585-B584)*100</f>
        <v>1.0000000000000231</v>
      </c>
      <c r="C35">
        <f t="shared" si="70"/>
        <v>-0.99999999999997868</v>
      </c>
      <c r="D35">
        <f t="shared" si="70"/>
        <v>-1.0000000000000231</v>
      </c>
      <c r="E35">
        <f t="shared" si="70"/>
        <v>-4.0000000000000036</v>
      </c>
      <c r="F35">
        <f t="shared" si="70"/>
        <v>-2.0000000000000018</v>
      </c>
      <c r="G35">
        <f t="shared" si="70"/>
        <v>-2.0000000000000018</v>
      </c>
      <c r="H35">
        <f t="shared" si="70"/>
        <v>-3.0000000000000249</v>
      </c>
      <c r="I35">
        <f t="shared" si="70"/>
        <v>-1.0000000000000231</v>
      </c>
      <c r="J35">
        <f t="shared" si="70"/>
        <v>-2.0000000000000018</v>
      </c>
      <c r="K35">
        <f t="shared" si="70"/>
        <v>-1.9999999999999574</v>
      </c>
      <c r="L35">
        <f t="shared" si="70"/>
        <v>-1.9999999999999574</v>
      </c>
      <c r="M35">
        <f t="shared" si="70"/>
        <v>-1.9999999999999574</v>
      </c>
      <c r="N35">
        <f t="shared" si="70"/>
        <v>-1.9999999999999574</v>
      </c>
      <c r="O35" s="5">
        <f t="shared" ref="O35:S44" si="71">LN(O584/O585)</f>
        <v>-1.0631048850742361E-2</v>
      </c>
      <c r="P35" s="5">
        <f t="shared" si="71"/>
        <v>1.3488525593009363E-2</v>
      </c>
      <c r="Q35" s="5">
        <f t="shared" si="71"/>
        <v>-9.3904884737255857E-4</v>
      </c>
      <c r="R35" s="5">
        <f t="shared" si="71"/>
        <v>0</v>
      </c>
      <c r="S35" s="5">
        <f t="shared" si="71"/>
        <v>-1.404535370392026E-3</v>
      </c>
      <c r="T35" s="5">
        <f t="shared" ref="T35:X35" si="72">LN(T584/T585)</f>
        <v>-1.18154347790797E-2</v>
      </c>
      <c r="U35" s="5">
        <f t="shared" si="72"/>
        <v>-1.068427012378435E-2</v>
      </c>
      <c r="V35" s="5">
        <f t="shared" si="72"/>
        <v>-1.227566335452576E-2</v>
      </c>
      <c r="W35" s="5">
        <f t="shared" si="72"/>
        <v>-1.1657438617173454E-2</v>
      </c>
      <c r="X35" s="5">
        <f t="shared" si="72"/>
        <v>-1.8229054565045134E-2</v>
      </c>
      <c r="Z35" s="4">
        <v>46050</v>
      </c>
      <c r="AA35">
        <f>B35*B$3</f>
        <v>-983.00000000002274</v>
      </c>
      <c r="AB35">
        <f>C35*C$3</f>
        <v>2583.999999999945</v>
      </c>
      <c r="AC35">
        <f>D35*D$3</f>
        <v>-16143.000000000373</v>
      </c>
      <c r="AD35">
        <f>E35*E$3</f>
        <v>-9712.0000000000091</v>
      </c>
      <c r="AE35">
        <f>F35*F$3</f>
        <v>24856.000000000022</v>
      </c>
      <c r="AF35">
        <f>G35*G$3</f>
        <v>31256.000000000029</v>
      </c>
      <c r="AG35">
        <f>H35*H$3</f>
        <v>84648.000000000698</v>
      </c>
      <c r="AH35">
        <f>I35*I$3</f>
        <v>18456.000000000426</v>
      </c>
      <c r="AI35">
        <f>J35*J$3</f>
        <v>102103.00000000009</v>
      </c>
      <c r="AJ35">
        <f>K35*K$3</f>
        <v>156789.99999999665</v>
      </c>
      <c r="AK35">
        <f>L35*L$3</f>
        <v>-62007.999999998676</v>
      </c>
      <c r="AL35">
        <f>M35*M$3</f>
        <v>-64145.999999998632</v>
      </c>
      <c r="AM35">
        <f>N35*N$3</f>
        <v>0</v>
      </c>
      <c r="AN35">
        <f>O35*O$3</f>
        <v>0</v>
      </c>
      <c r="AO35">
        <f>P35*P$3</f>
        <v>-67442.62796504682</v>
      </c>
      <c r="AP35">
        <f>Q35*Q$3</f>
        <v>-11268.586168470703</v>
      </c>
      <c r="AQ35">
        <f>R35*R$3</f>
        <v>0</v>
      </c>
      <c r="AR35" s="1">
        <f>S35*S$3</f>
        <v>9831.7475927441828</v>
      </c>
      <c r="AS35" s="1">
        <f t="shared" si="42"/>
        <v>-47261.7391163188</v>
      </c>
      <c r="AT35" s="1">
        <f t="shared" si="42"/>
        <v>-85474.160990274802</v>
      </c>
      <c r="AU35" s="1">
        <f t="shared" si="42"/>
        <v>0</v>
      </c>
      <c r="AV35" s="1">
        <f t="shared" si="42"/>
        <v>0</v>
      </c>
      <c r="AW35" s="1">
        <f t="shared" si="42"/>
        <v>0</v>
      </c>
      <c r="AX35" s="1">
        <f t="shared" si="8"/>
        <v>66085.633352633158</v>
      </c>
      <c r="AY35" s="1">
        <f t="shared" si="9"/>
        <v>-201615.36664736696</v>
      </c>
      <c r="AZ35" s="1">
        <f t="shared" si="10"/>
        <v>267701.00000000012</v>
      </c>
    </row>
    <row r="36" spans="1:52" x14ac:dyDescent="0.25">
      <c r="A36" s="4">
        <v>46049</v>
      </c>
      <c r="B36">
        <f t="shared" ref="B36:N36" si="73">(B586-B585)*100</f>
        <v>0</v>
      </c>
      <c r="C36">
        <f t="shared" si="73"/>
        <v>0</v>
      </c>
      <c r="D36">
        <f t="shared" si="73"/>
        <v>0</v>
      </c>
      <c r="E36">
        <f t="shared" si="73"/>
        <v>0.99999999999997868</v>
      </c>
      <c r="F36">
        <f t="shared" si="73"/>
        <v>1.0000000000000231</v>
      </c>
      <c r="G36">
        <f t="shared" si="73"/>
        <v>2.0000000000000018</v>
      </c>
      <c r="H36">
        <f t="shared" si="73"/>
        <v>3.0000000000000249</v>
      </c>
      <c r="I36">
        <f t="shared" si="73"/>
        <v>1.0000000000000231</v>
      </c>
      <c r="J36">
        <f t="shared" si="73"/>
        <v>0.99999999999997868</v>
      </c>
      <c r="K36">
        <f t="shared" si="73"/>
        <v>-1.0000000000000675</v>
      </c>
      <c r="L36">
        <f t="shared" si="73"/>
        <v>-2.0000000000000462</v>
      </c>
      <c r="M36">
        <f t="shared" si="73"/>
        <v>-4.0000000000000036</v>
      </c>
      <c r="N36">
        <f t="shared" si="73"/>
        <v>-3.0000000000000249</v>
      </c>
      <c r="O36" s="5">
        <f t="shared" si="71"/>
        <v>-6.9998193481040378E-3</v>
      </c>
      <c r="P36" s="5">
        <f t="shared" si="71"/>
        <v>-1.6968113728359758E-2</v>
      </c>
      <c r="Q36" s="5">
        <f t="shared" si="71"/>
        <v>-8.9174549368240853E-3</v>
      </c>
      <c r="R36" s="5">
        <f t="shared" si="71"/>
        <v>-1.4936522567832536E-3</v>
      </c>
      <c r="S36" s="5">
        <f t="shared" si="71"/>
        <v>-7.3847982942141519E-3</v>
      </c>
      <c r="T36" s="5">
        <f t="shared" ref="T36:X36" si="74">LN(T585/T586)</f>
        <v>-1.5190121488513166E-3</v>
      </c>
      <c r="U36" s="5">
        <f t="shared" si="74"/>
        <v>-1.0935526574478965E-3</v>
      </c>
      <c r="V36" s="5">
        <f t="shared" si="74"/>
        <v>-5.3634795491800513E-3</v>
      </c>
      <c r="W36" s="5">
        <f t="shared" si="74"/>
        <v>-1.0439321753742566E-4</v>
      </c>
      <c r="X36" s="5">
        <f t="shared" si="74"/>
        <v>-8.1025925981941503E-4</v>
      </c>
      <c r="Z36" s="4">
        <v>46049</v>
      </c>
      <c r="AA36">
        <f>B36*B$3</f>
        <v>0</v>
      </c>
      <c r="AB36">
        <f>C36*C$3</f>
        <v>0</v>
      </c>
      <c r="AC36">
        <f>D36*D$3</f>
        <v>0</v>
      </c>
      <c r="AD36">
        <f>E36*E$3</f>
        <v>2427.9999999999482</v>
      </c>
      <c r="AE36">
        <f>F36*F$3</f>
        <v>-12428.000000000287</v>
      </c>
      <c r="AF36">
        <f>G36*G$3</f>
        <v>-31256.000000000029</v>
      </c>
      <c r="AG36">
        <f>H36*H$3</f>
        <v>-84648.000000000698</v>
      </c>
      <c r="AH36">
        <f>I36*I$3</f>
        <v>-18456.000000000426</v>
      </c>
      <c r="AI36">
        <f>J36*J$3</f>
        <v>-51051.499999998909</v>
      </c>
      <c r="AJ36">
        <f>K36*K$3</f>
        <v>78395.000000005297</v>
      </c>
      <c r="AK36">
        <f>L36*L$3</f>
        <v>-62008.000000001433</v>
      </c>
      <c r="AL36">
        <f>M36*M$3</f>
        <v>-128292.00000000012</v>
      </c>
      <c r="AM36">
        <f>N36*N$3</f>
        <v>0</v>
      </c>
      <c r="AN36">
        <f>O36*O$3</f>
        <v>0</v>
      </c>
      <c r="AO36">
        <f>P36*P$3</f>
        <v>84840.568641798789</v>
      </c>
      <c r="AP36">
        <f>Q36*Q$3</f>
        <v>-107009.45924188902</v>
      </c>
      <c r="AQ36">
        <f>R36*R$3</f>
        <v>22404.783851748802</v>
      </c>
      <c r="AR36" s="1">
        <f>S36*S$3</f>
        <v>51693.588059499067</v>
      </c>
      <c r="AS36" s="1">
        <f t="shared" si="42"/>
        <v>-6076.0485954052665</v>
      </c>
      <c r="AT36" s="1">
        <f t="shared" si="42"/>
        <v>-8748.4212595831723</v>
      </c>
      <c r="AU36" s="1">
        <f t="shared" si="42"/>
        <v>0</v>
      </c>
      <c r="AV36" s="1">
        <f t="shared" si="42"/>
        <v>0</v>
      </c>
      <c r="AW36" s="1">
        <f t="shared" si="42"/>
        <v>0</v>
      </c>
      <c r="AX36" s="1">
        <f t="shared" si="8"/>
        <v>-270211.48854382738</v>
      </c>
      <c r="AY36" s="1">
        <f t="shared" si="9"/>
        <v>37105.011456169203</v>
      </c>
      <c r="AZ36" s="1">
        <f t="shared" si="10"/>
        <v>-307316.49999999657</v>
      </c>
    </row>
    <row r="37" spans="1:52" x14ac:dyDescent="0.25">
      <c r="A37" s="4">
        <v>46048</v>
      </c>
      <c r="B37">
        <f t="shared" ref="B37:N37" si="75">(B587-B586)*100</f>
        <v>0.99999999999997868</v>
      </c>
      <c r="C37">
        <f t="shared" si="75"/>
        <v>2.0000000000000018</v>
      </c>
      <c r="D37">
        <f t="shared" si="75"/>
        <v>3.0000000000000249</v>
      </c>
      <c r="E37">
        <f t="shared" si="75"/>
        <v>0</v>
      </c>
      <c r="F37">
        <f t="shared" si="75"/>
        <v>-1.0000000000000231</v>
      </c>
      <c r="G37">
        <f t="shared" si="75"/>
        <v>0.99999999999997868</v>
      </c>
      <c r="H37">
        <f t="shared" si="75"/>
        <v>4.0000000000000036</v>
      </c>
      <c r="I37">
        <f t="shared" si="75"/>
        <v>0.99999999999997868</v>
      </c>
      <c r="J37">
        <f t="shared" si="75"/>
        <v>2.0000000000000018</v>
      </c>
      <c r="K37">
        <f t="shared" si="75"/>
        <v>1.0000000000000675</v>
      </c>
      <c r="L37">
        <f t="shared" si="75"/>
        <v>2.0000000000000462</v>
      </c>
      <c r="M37">
        <f t="shared" si="75"/>
        <v>3.0000000000000249</v>
      </c>
      <c r="N37">
        <f t="shared" si="75"/>
        <v>2.0000000000000462</v>
      </c>
      <c r="O37" s="5">
        <f t="shared" si="71"/>
        <v>-2.2436286125853805E-3</v>
      </c>
      <c r="P37" s="5">
        <f t="shared" si="71"/>
        <v>9.543358046899696E-3</v>
      </c>
      <c r="Q37" s="5">
        <f t="shared" si="71"/>
        <v>-1.7327148856116378E-3</v>
      </c>
      <c r="R37" s="5">
        <f t="shared" si="71"/>
        <v>-5.9683678286152561E-4</v>
      </c>
      <c r="S37" s="5">
        <f t="shared" si="71"/>
        <v>1.2090680115495847E-4</v>
      </c>
      <c r="T37" s="5">
        <f t="shared" ref="T37:X37" si="76">LN(T586/T587)</f>
        <v>-8.7957616104894359E-3</v>
      </c>
      <c r="U37" s="5">
        <f t="shared" si="76"/>
        <v>-1.1870337911218012E-2</v>
      </c>
      <c r="V37" s="5">
        <f t="shared" si="76"/>
        <v>-2.126543317020128E-2</v>
      </c>
      <c r="W37" s="5">
        <f t="shared" si="76"/>
        <v>-1.0686335508625812E-2</v>
      </c>
      <c r="X37" s="5">
        <f t="shared" si="76"/>
        <v>-1.4206874474345972E-2</v>
      </c>
      <c r="Z37" s="4">
        <v>46048</v>
      </c>
      <c r="AA37">
        <f>B37*B$3</f>
        <v>-982.99999999997908</v>
      </c>
      <c r="AB37">
        <f>C37*C$3</f>
        <v>-5168.0000000000045</v>
      </c>
      <c r="AC37">
        <f>D37*D$3</f>
        <v>48429.0000000004</v>
      </c>
      <c r="AD37">
        <f>E37*E$3</f>
        <v>0</v>
      </c>
      <c r="AE37">
        <f>F37*F$3</f>
        <v>12428.000000000287</v>
      </c>
      <c r="AF37">
        <f>G37*G$3</f>
        <v>-15627.999999999667</v>
      </c>
      <c r="AG37">
        <f>H37*H$3</f>
        <v>-112864.0000000001</v>
      </c>
      <c r="AH37">
        <f>I37*I$3</f>
        <v>-18455.999999999607</v>
      </c>
      <c r="AI37">
        <f>J37*J$3</f>
        <v>-102103.00000000009</v>
      </c>
      <c r="AJ37">
        <f>K37*K$3</f>
        <v>-78395.000000005297</v>
      </c>
      <c r="AK37">
        <f>L37*L$3</f>
        <v>62008.000000001433</v>
      </c>
      <c r="AL37">
        <f>M37*M$3</f>
        <v>96219.0000000008</v>
      </c>
      <c r="AM37">
        <f>N37*N$3</f>
        <v>0</v>
      </c>
      <c r="AN37">
        <f>O37*O$3</f>
        <v>0</v>
      </c>
      <c r="AO37">
        <f>P37*P$3</f>
        <v>-47716.790234498483</v>
      </c>
      <c r="AP37">
        <f>Q37*Q$3</f>
        <v>-20792.578627339655</v>
      </c>
      <c r="AQ37">
        <f>R37*R$3</f>
        <v>8952.5517429228839</v>
      </c>
      <c r="AR37" s="1">
        <f>S37*S$3</f>
        <v>-846.34760808470924</v>
      </c>
      <c r="AS37" s="1">
        <f t="shared" ref="AS37:AW52" si="77">T37*T$3</f>
        <v>-35183.04644195774</v>
      </c>
      <c r="AT37" s="1">
        <f t="shared" si="77"/>
        <v>-94962.703289744095</v>
      </c>
      <c r="AU37" s="1">
        <f t="shared" si="77"/>
        <v>0</v>
      </c>
      <c r="AV37" s="1">
        <f t="shared" si="77"/>
        <v>0</v>
      </c>
      <c r="AW37" s="1">
        <f t="shared" si="77"/>
        <v>0</v>
      </c>
      <c r="AX37" s="1">
        <f t="shared" si="8"/>
        <v>-305061.9144587036</v>
      </c>
      <c r="AY37" s="1">
        <f t="shared" si="9"/>
        <v>-190548.91445870179</v>
      </c>
      <c r="AZ37" s="1">
        <f t="shared" si="10"/>
        <v>-114513.0000000018</v>
      </c>
    </row>
    <row r="38" spans="1:52" x14ac:dyDescent="0.25">
      <c r="A38" s="4">
        <v>46045</v>
      </c>
      <c r="B38">
        <f t="shared" ref="B38:N38" si="78">(B588-B587)*100</f>
        <v>1.0000000000000231</v>
      </c>
      <c r="C38">
        <f t="shared" si="78"/>
        <v>0</v>
      </c>
      <c r="D38">
        <f t="shared" si="78"/>
        <v>0.99999999999997868</v>
      </c>
      <c r="E38">
        <f t="shared" si="78"/>
        <v>0</v>
      </c>
      <c r="F38">
        <f t="shared" si="78"/>
        <v>0</v>
      </c>
      <c r="G38">
        <f t="shared" si="78"/>
        <v>0</v>
      </c>
      <c r="H38">
        <f t="shared" si="78"/>
        <v>0.99999999999997868</v>
      </c>
      <c r="I38">
        <f t="shared" si="78"/>
        <v>1.0000000000000231</v>
      </c>
      <c r="J38">
        <f t="shared" si="78"/>
        <v>1.0000000000000231</v>
      </c>
      <c r="K38">
        <f t="shared" si="78"/>
        <v>1.9999999999999574</v>
      </c>
      <c r="L38">
        <f t="shared" si="78"/>
        <v>1.9999999999999574</v>
      </c>
      <c r="M38">
        <f t="shared" si="78"/>
        <v>0.99999999999997868</v>
      </c>
      <c r="N38">
        <f t="shared" si="78"/>
        <v>1.9999999999999574</v>
      </c>
      <c r="O38" s="5">
        <f t="shared" si="71"/>
        <v>-4.5192806454693634E-3</v>
      </c>
      <c r="P38" s="5">
        <f t="shared" si="71"/>
        <v>1.3237920840635789E-2</v>
      </c>
      <c r="Q38" s="5">
        <f t="shared" si="71"/>
        <v>-6.8440593243048785E-3</v>
      </c>
      <c r="R38" s="5">
        <f t="shared" si="71"/>
        <v>-2.9828486425494203E-4</v>
      </c>
      <c r="S38" s="5">
        <f t="shared" si="71"/>
        <v>-6.4566525287389669E-3</v>
      </c>
      <c r="T38" s="5">
        <f t="shared" ref="T38:X38" si="79">LN(T587/T588)</f>
        <v>-6.9696324037063599E-3</v>
      </c>
      <c r="U38" s="5">
        <f t="shared" si="79"/>
        <v>-6.0840546623237473E-3</v>
      </c>
      <c r="V38" s="5">
        <f t="shared" si="79"/>
        <v>2.8403491914421225E-4</v>
      </c>
      <c r="W38" s="5">
        <f t="shared" si="79"/>
        <v>-1.260932839731423E-2</v>
      </c>
      <c r="X38" s="5">
        <f t="shared" si="79"/>
        <v>-9.3227230318118099E-3</v>
      </c>
      <c r="Z38" s="4">
        <v>46045</v>
      </c>
      <c r="AA38">
        <f>B38*B$3</f>
        <v>-983.00000000002274</v>
      </c>
      <c r="AB38">
        <f>C38*C$3</f>
        <v>0</v>
      </c>
      <c r="AC38">
        <f>D38*D$3</f>
        <v>16142.999999999656</v>
      </c>
      <c r="AD38">
        <f>E38*E$3</f>
        <v>0</v>
      </c>
      <c r="AE38">
        <f>F38*F$3</f>
        <v>0</v>
      </c>
      <c r="AF38">
        <f>G38*G$3</f>
        <v>0</v>
      </c>
      <c r="AG38">
        <f>H38*H$3</f>
        <v>-28215.9999999994</v>
      </c>
      <c r="AH38">
        <f>I38*I$3</f>
        <v>-18456.000000000426</v>
      </c>
      <c r="AI38">
        <f>J38*J$3</f>
        <v>-51051.500000001179</v>
      </c>
      <c r="AJ38">
        <f>K38*K$3</f>
        <v>-156789.99999999665</v>
      </c>
      <c r="AK38">
        <f>L38*L$3</f>
        <v>62007.999999998676</v>
      </c>
      <c r="AL38">
        <f>M38*M$3</f>
        <v>32072.999999999316</v>
      </c>
      <c r="AM38">
        <f>N38*N$3</f>
        <v>0</v>
      </c>
      <c r="AN38">
        <f>O38*O$3</f>
        <v>0</v>
      </c>
      <c r="AO38">
        <f>P38*P$3</f>
        <v>-66189.60420317894</v>
      </c>
      <c r="AP38">
        <f>Q38*Q$3</f>
        <v>-82128.711891658546</v>
      </c>
      <c r="AQ38">
        <f>R38*R$3</f>
        <v>4474.2729638241308</v>
      </c>
      <c r="AR38" s="1">
        <f>S38*S$3</f>
        <v>45196.567701172768</v>
      </c>
      <c r="AS38" s="1">
        <f t="shared" si="77"/>
        <v>-27878.529614825438</v>
      </c>
      <c r="AT38" s="1">
        <f t="shared" si="77"/>
        <v>-48672.437298589975</v>
      </c>
      <c r="AU38" s="1">
        <f t="shared" si="77"/>
        <v>0</v>
      </c>
      <c r="AV38" s="1">
        <f t="shared" si="77"/>
        <v>0</v>
      </c>
      <c r="AW38" s="1">
        <f t="shared" si="77"/>
        <v>0</v>
      </c>
      <c r="AX38" s="1">
        <f t="shared" si="8"/>
        <v>-320470.94234325603</v>
      </c>
      <c r="AY38" s="1">
        <f t="shared" si="9"/>
        <v>-175198.44234325603</v>
      </c>
      <c r="AZ38" s="1">
        <f t="shared" si="10"/>
        <v>-145272.5</v>
      </c>
    </row>
    <row r="39" spans="1:52" x14ac:dyDescent="0.25">
      <c r="A39" s="4">
        <v>46044</v>
      </c>
      <c r="B39">
        <f t="shared" ref="B39:N39" si="80">(B589-B588)*100</f>
        <v>-4.0000000000000036</v>
      </c>
      <c r="C39">
        <f t="shared" si="80"/>
        <v>-2.0000000000000018</v>
      </c>
      <c r="D39">
        <f t="shared" si="80"/>
        <v>-0.99999999999997868</v>
      </c>
      <c r="E39">
        <f t="shared" si="80"/>
        <v>0</v>
      </c>
      <c r="F39">
        <f t="shared" si="80"/>
        <v>1.0000000000000231</v>
      </c>
      <c r="G39">
        <f t="shared" si="80"/>
        <v>0</v>
      </c>
      <c r="H39">
        <f t="shared" si="80"/>
        <v>-0.99999999999997868</v>
      </c>
      <c r="I39">
        <f t="shared" si="80"/>
        <v>-2.0000000000000018</v>
      </c>
      <c r="J39">
        <f t="shared" si="80"/>
        <v>-2.0000000000000018</v>
      </c>
      <c r="K39">
        <f t="shared" si="80"/>
        <v>-0.99999999999997868</v>
      </c>
      <c r="L39">
        <f t="shared" si="80"/>
        <v>0</v>
      </c>
      <c r="M39">
        <f t="shared" si="80"/>
        <v>3.0000000000000249</v>
      </c>
      <c r="N39">
        <f t="shared" si="80"/>
        <v>3.0000000000000249</v>
      </c>
      <c r="O39" s="5">
        <f t="shared" si="71"/>
        <v>-4.6957261339516162E-3</v>
      </c>
      <c r="P39" s="5">
        <f t="shared" si="71"/>
        <v>-1.9219992518183276E-2</v>
      </c>
      <c r="Q39" s="5">
        <f t="shared" si="71"/>
        <v>-1.2818730187972372E-2</v>
      </c>
      <c r="R39" s="5">
        <f t="shared" si="71"/>
        <v>-8.9432112086811619E-4</v>
      </c>
      <c r="S39" s="5">
        <f t="shared" si="71"/>
        <v>-2.3452358928587619E-4</v>
      </c>
      <c r="T39" s="5">
        <f t="shared" ref="T39:X39" si="81">LN(T588/T589)</f>
        <v>4.6917963581412578E-3</v>
      </c>
      <c r="U39" s="5">
        <f t="shared" si="81"/>
        <v>1.5981707656681659E-3</v>
      </c>
      <c r="V39" s="5">
        <f t="shared" si="81"/>
        <v>1.8570717828532452E-3</v>
      </c>
      <c r="W39" s="5">
        <f t="shared" si="81"/>
        <v>-3.4249131917226472E-3</v>
      </c>
      <c r="X39" s="5">
        <f t="shared" si="81"/>
        <v>8.6891805669963764E-3</v>
      </c>
      <c r="Z39" s="4">
        <v>46044</v>
      </c>
      <c r="AA39">
        <f>B39*B$3</f>
        <v>3932.0000000000036</v>
      </c>
      <c r="AB39">
        <f>C39*C$3</f>
        <v>5168.0000000000045</v>
      </c>
      <c r="AC39">
        <f>D39*D$3</f>
        <v>-16142.999999999656</v>
      </c>
      <c r="AD39">
        <f>E39*E$3</f>
        <v>0</v>
      </c>
      <c r="AE39">
        <f>F39*F$3</f>
        <v>-12428.000000000287</v>
      </c>
      <c r="AF39">
        <f>G39*G$3</f>
        <v>0</v>
      </c>
      <c r="AG39">
        <f>H39*H$3</f>
        <v>28215.9999999994</v>
      </c>
      <c r="AH39">
        <f>I39*I$3</f>
        <v>36912.000000000036</v>
      </c>
      <c r="AI39">
        <f>J39*J$3</f>
        <v>102103.00000000009</v>
      </c>
      <c r="AJ39">
        <f>K39*K$3</f>
        <v>78394.999999998327</v>
      </c>
      <c r="AK39">
        <f>L39*L$3</f>
        <v>0</v>
      </c>
      <c r="AL39">
        <f>M39*M$3</f>
        <v>96219.0000000008</v>
      </c>
      <c r="AM39">
        <f>N39*N$3</f>
        <v>0</v>
      </c>
      <c r="AN39">
        <f>O39*O$3</f>
        <v>0</v>
      </c>
      <c r="AO39">
        <f>P39*P$3</f>
        <v>96099.962590916373</v>
      </c>
      <c r="AP39">
        <f>Q39*Q$3</f>
        <v>-153824.76225566847</v>
      </c>
      <c r="AQ39">
        <f>R39*R$3</f>
        <v>13414.816813021744</v>
      </c>
      <c r="AR39" s="1">
        <f>S39*S$3</f>
        <v>1641.6651250011332</v>
      </c>
      <c r="AS39" s="1">
        <f t="shared" si="77"/>
        <v>18767.185432565031</v>
      </c>
      <c r="AT39" s="1">
        <f t="shared" si="77"/>
        <v>12785.366125345327</v>
      </c>
      <c r="AU39" s="1">
        <f t="shared" si="77"/>
        <v>0</v>
      </c>
      <c r="AV39" s="1">
        <f t="shared" si="77"/>
        <v>0</v>
      </c>
      <c r="AW39" s="1">
        <f t="shared" si="77"/>
        <v>0</v>
      </c>
      <c r="AX39" s="1">
        <f t="shared" si="8"/>
        <v>311258.23383117985</v>
      </c>
      <c r="AY39" s="1">
        <f t="shared" si="9"/>
        <v>-11115.766168818855</v>
      </c>
      <c r="AZ39" s="1">
        <f t="shared" si="10"/>
        <v>322373.99999999872</v>
      </c>
    </row>
    <row r="40" spans="1:52" x14ac:dyDescent="0.25">
      <c r="A40" s="4">
        <v>46043</v>
      </c>
      <c r="B40">
        <f t="shared" ref="B40:N40" si="82">(B590-B589)*100</f>
        <v>0</v>
      </c>
      <c r="C40">
        <f t="shared" si="82"/>
        <v>-1.0000000000000231</v>
      </c>
      <c r="D40">
        <f t="shared" si="82"/>
        <v>0</v>
      </c>
      <c r="E40">
        <f t="shared" si="82"/>
        <v>-2.0000000000000018</v>
      </c>
      <c r="F40">
        <f t="shared" si="82"/>
        <v>-1.0000000000000231</v>
      </c>
      <c r="G40">
        <f t="shared" si="82"/>
        <v>0</v>
      </c>
      <c r="H40">
        <f t="shared" si="82"/>
        <v>0</v>
      </c>
      <c r="I40">
        <f t="shared" si="82"/>
        <v>2.0000000000000018</v>
      </c>
      <c r="J40">
        <f t="shared" si="82"/>
        <v>2.9999999999999805</v>
      </c>
      <c r="K40">
        <f t="shared" si="82"/>
        <v>4.0000000000000036</v>
      </c>
      <c r="L40">
        <f t="shared" si="82"/>
        <v>4.0000000000000036</v>
      </c>
      <c r="M40">
        <f t="shared" si="82"/>
        <v>4.9999999999999822</v>
      </c>
      <c r="N40">
        <f t="shared" si="82"/>
        <v>4.0000000000000036</v>
      </c>
      <c r="O40" s="5">
        <f t="shared" si="71"/>
        <v>-7.8767019154716515E-3</v>
      </c>
      <c r="P40" s="5">
        <f t="shared" si="71"/>
        <v>-2.995275655826216E-4</v>
      </c>
      <c r="Q40" s="5">
        <f t="shared" si="71"/>
        <v>9.8976501162969946E-4</v>
      </c>
      <c r="R40" s="5">
        <f t="shared" si="71"/>
        <v>-2.9792939293817766E-4</v>
      </c>
      <c r="S40" s="5">
        <f t="shared" si="71"/>
        <v>-6.9136978543707494E-3</v>
      </c>
      <c r="T40" s="5">
        <f t="shared" ref="T40:X40" si="83">LN(T589/T590)</f>
        <v>-7.5941873002567505E-3</v>
      </c>
      <c r="U40" s="5">
        <f t="shared" si="83"/>
        <v>-1.6786572237308178E-3</v>
      </c>
      <c r="V40" s="5">
        <f t="shared" si="83"/>
        <v>-9.4831111219825396E-5</v>
      </c>
      <c r="W40" s="5">
        <f t="shared" si="83"/>
        <v>-3.2467444370815816E-3</v>
      </c>
      <c r="X40" s="5">
        <f t="shared" si="83"/>
        <v>-1.057092145166473E-2</v>
      </c>
      <c r="Z40" s="4">
        <v>46043</v>
      </c>
      <c r="AA40">
        <f>B40*B$3</f>
        <v>0</v>
      </c>
      <c r="AB40">
        <f>C40*C$3</f>
        <v>2584.0000000000596</v>
      </c>
      <c r="AC40">
        <f>D40*D$3</f>
        <v>0</v>
      </c>
      <c r="AD40">
        <f>E40*E$3</f>
        <v>-4856.0000000000045</v>
      </c>
      <c r="AE40">
        <f>F40*F$3</f>
        <v>12428.000000000287</v>
      </c>
      <c r="AF40">
        <f>G40*G$3</f>
        <v>0</v>
      </c>
      <c r="AG40">
        <f>H40*H$3</f>
        <v>0</v>
      </c>
      <c r="AH40">
        <f>I40*I$3</f>
        <v>-36912.000000000036</v>
      </c>
      <c r="AI40">
        <f>J40*J$3</f>
        <v>-153154.49999999901</v>
      </c>
      <c r="AJ40">
        <f>K40*K$3</f>
        <v>-313580.00000000029</v>
      </c>
      <c r="AK40">
        <f>L40*L$3</f>
        <v>124016.00000000012</v>
      </c>
      <c r="AL40">
        <f>M40*M$3</f>
        <v>160364.99999999942</v>
      </c>
      <c r="AM40">
        <f>N40*N$3</f>
        <v>0</v>
      </c>
      <c r="AN40">
        <f>O40*O$3</f>
        <v>0</v>
      </c>
      <c r="AO40">
        <f>P40*P$3</f>
        <v>1497.6378279131079</v>
      </c>
      <c r="AP40">
        <f>Q40*Q$3</f>
        <v>11877.180139556394</v>
      </c>
      <c r="AQ40">
        <f>R40*R$3</f>
        <v>4468.9408940726644</v>
      </c>
      <c r="AR40" s="1">
        <f>S40*S$3</f>
        <v>48395.884980595249</v>
      </c>
      <c r="AS40" s="1">
        <f t="shared" si="77"/>
        <v>-30376.749201027003</v>
      </c>
      <c r="AT40" s="1">
        <f t="shared" si="77"/>
        <v>-13429.257789846542</v>
      </c>
      <c r="AU40" s="1">
        <f t="shared" si="77"/>
        <v>0</v>
      </c>
      <c r="AV40" s="1">
        <f t="shared" si="77"/>
        <v>0</v>
      </c>
      <c r="AW40" s="1">
        <f t="shared" si="77"/>
        <v>0</v>
      </c>
      <c r="AX40" s="1">
        <f t="shared" si="8"/>
        <v>-186675.8631487356</v>
      </c>
      <c r="AY40" s="1">
        <f t="shared" si="9"/>
        <v>22433.636851263869</v>
      </c>
      <c r="AZ40" s="1">
        <f t="shared" si="10"/>
        <v>-209109.49999999948</v>
      </c>
    </row>
    <row r="41" spans="1:52" x14ac:dyDescent="0.25">
      <c r="A41" s="4">
        <v>46042</v>
      </c>
      <c r="B41">
        <f t="shared" ref="B41:N41" si="84">(B591-B590)*100</f>
        <v>0</v>
      </c>
      <c r="C41">
        <f t="shared" si="84"/>
        <v>-0.99999999999997868</v>
      </c>
      <c r="D41">
        <f t="shared" si="84"/>
        <v>-3.0000000000000249</v>
      </c>
      <c r="E41">
        <f t="shared" si="84"/>
        <v>1.0000000000000231</v>
      </c>
      <c r="F41">
        <f t="shared" si="84"/>
        <v>-0.99999999999997868</v>
      </c>
      <c r="G41">
        <f t="shared" si="84"/>
        <v>2.0000000000000018</v>
      </c>
      <c r="H41">
        <f t="shared" si="84"/>
        <v>-1.0000000000000231</v>
      </c>
      <c r="I41">
        <f t="shared" si="84"/>
        <v>-1.0000000000000231</v>
      </c>
      <c r="J41">
        <f t="shared" si="84"/>
        <v>-4.0000000000000036</v>
      </c>
      <c r="K41">
        <f t="shared" si="84"/>
        <v>-6.0000000000000497</v>
      </c>
      <c r="L41">
        <f t="shared" si="84"/>
        <v>-5.9999999999999609</v>
      </c>
      <c r="M41">
        <f t="shared" si="84"/>
        <v>-8.0000000000000071</v>
      </c>
      <c r="N41">
        <f t="shared" si="84"/>
        <v>-8.0000000000000071</v>
      </c>
      <c r="O41" s="5">
        <f t="shared" si="71"/>
        <v>-1.487237644725782E-4</v>
      </c>
      <c r="P41" s="5">
        <f t="shared" si="71"/>
        <v>-3.2617588037696307E-3</v>
      </c>
      <c r="Q41" s="5">
        <f t="shared" si="71"/>
        <v>4.6130589410705563E-3</v>
      </c>
      <c r="R41" s="5">
        <f t="shared" si="71"/>
        <v>-2.9784065745115326E-4</v>
      </c>
      <c r="S41" s="5">
        <f t="shared" si="71"/>
        <v>-2.32043017873069E-3</v>
      </c>
      <c r="T41" s="5">
        <f t="shared" ref="T41:X41" si="85">LN(T590/T591)</f>
        <v>-2.5921511635731147E-3</v>
      </c>
      <c r="U41" s="5">
        <f t="shared" si="85"/>
        <v>-2.7602672209344498E-3</v>
      </c>
      <c r="V41" s="5">
        <f t="shared" si="85"/>
        <v>-2.6453728053110574E-3</v>
      </c>
      <c r="W41" s="5">
        <f t="shared" si="85"/>
        <v>-8.4514159284894246E-4</v>
      </c>
      <c r="X41" s="5">
        <f t="shared" si="85"/>
        <v>-6.9068720811102154E-3</v>
      </c>
      <c r="Z41" s="4">
        <v>46042</v>
      </c>
      <c r="AA41">
        <f>B41*B$3</f>
        <v>0</v>
      </c>
      <c r="AB41">
        <f>C41*C$3</f>
        <v>2583.999999999945</v>
      </c>
      <c r="AC41">
        <f>D41*D$3</f>
        <v>-48429.0000000004</v>
      </c>
      <c r="AD41">
        <f>E41*E$3</f>
        <v>2428.0000000000559</v>
      </c>
      <c r="AE41">
        <f>F41*F$3</f>
        <v>12427.999999999734</v>
      </c>
      <c r="AF41">
        <f>G41*G$3</f>
        <v>-31256.000000000029</v>
      </c>
      <c r="AG41">
        <f>H41*H$3</f>
        <v>28216.000000000651</v>
      </c>
      <c r="AH41">
        <f>I41*I$3</f>
        <v>18456.000000000426</v>
      </c>
      <c r="AI41">
        <f>J41*J$3</f>
        <v>204206.00000000017</v>
      </c>
      <c r="AJ41">
        <f>K41*K$3</f>
        <v>470370.0000000039</v>
      </c>
      <c r="AK41">
        <f>L41*L$3</f>
        <v>-186023.99999999878</v>
      </c>
      <c r="AL41">
        <f>M41*M$3</f>
        <v>-256584.00000000023</v>
      </c>
      <c r="AM41">
        <f>N41*N$3</f>
        <v>0</v>
      </c>
      <c r="AN41">
        <f>O41*O$3</f>
        <v>0</v>
      </c>
      <c r="AO41">
        <f>P41*P$3</f>
        <v>16308.794018848153</v>
      </c>
      <c r="AP41">
        <f>Q41*Q$3</f>
        <v>55356.707292846673</v>
      </c>
      <c r="AQ41">
        <f>R41*R$3</f>
        <v>4467.6098617672988</v>
      </c>
      <c r="AR41" s="1">
        <f>S41*S$3</f>
        <v>16243.011251114831</v>
      </c>
      <c r="AS41" s="1">
        <f t="shared" si="77"/>
        <v>-10368.60465429246</v>
      </c>
      <c r="AT41" s="1">
        <f t="shared" si="77"/>
        <v>-22082.1377674756</v>
      </c>
      <c r="AU41" s="1">
        <f t="shared" si="77"/>
        <v>0</v>
      </c>
      <c r="AV41" s="1">
        <f t="shared" si="77"/>
        <v>0</v>
      </c>
      <c r="AW41" s="1">
        <f t="shared" si="77"/>
        <v>0</v>
      </c>
      <c r="AX41" s="1">
        <f t="shared" si="8"/>
        <v>276320.38000281435</v>
      </c>
      <c r="AY41" s="1">
        <f t="shared" si="9"/>
        <v>59925.380002808895</v>
      </c>
      <c r="AZ41" s="1">
        <f t="shared" si="10"/>
        <v>216395.00000000544</v>
      </c>
    </row>
    <row r="42" spans="1:52" x14ac:dyDescent="0.25">
      <c r="A42" s="4">
        <v>46038</v>
      </c>
      <c r="B42">
        <f t="shared" ref="B42:N42" si="86">(B592-B591)*100</f>
        <v>0</v>
      </c>
      <c r="C42">
        <f t="shared" si="86"/>
        <v>0.99999999999997868</v>
      </c>
      <c r="D42">
        <f t="shared" si="86"/>
        <v>1.0000000000000231</v>
      </c>
      <c r="E42">
        <f t="shared" si="86"/>
        <v>0</v>
      </c>
      <c r="F42">
        <f t="shared" si="86"/>
        <v>0</v>
      </c>
      <c r="G42">
        <f t="shared" si="86"/>
        <v>-0.99999999999997868</v>
      </c>
      <c r="H42">
        <f t="shared" si="86"/>
        <v>-2.9999999999999805</v>
      </c>
      <c r="I42">
        <f t="shared" si="86"/>
        <v>-4.9999999999999822</v>
      </c>
      <c r="J42">
        <f t="shared" si="86"/>
        <v>-4.9999999999999822</v>
      </c>
      <c r="K42">
        <f t="shared" si="86"/>
        <v>-5.9999999999999609</v>
      </c>
      <c r="L42">
        <f t="shared" si="86"/>
        <v>-7.0000000000000284</v>
      </c>
      <c r="M42">
        <f t="shared" si="86"/>
        <v>-4.9999999999999822</v>
      </c>
      <c r="N42">
        <f t="shared" si="86"/>
        <v>-4.0000000000000036</v>
      </c>
      <c r="O42" s="5">
        <f t="shared" si="71"/>
        <v>-8.9187839205085654E-4</v>
      </c>
      <c r="P42" s="5">
        <f t="shared" si="71"/>
        <v>-8.1378005304745386E-4</v>
      </c>
      <c r="Q42" s="5">
        <f t="shared" si="71"/>
        <v>2.0709447171620449E-3</v>
      </c>
      <c r="R42" s="5">
        <f t="shared" si="71"/>
        <v>-5.9541531976367568E-4</v>
      </c>
      <c r="S42" s="5">
        <f t="shared" si="71"/>
        <v>-1.9265420895705804E-4</v>
      </c>
      <c r="T42" s="5">
        <f t="shared" ref="T42:X42" si="87">LN(T591/T592)</f>
        <v>3.2092523812508366E-3</v>
      </c>
      <c r="U42" s="5">
        <f t="shared" si="87"/>
        <v>4.573372049678043E-3</v>
      </c>
      <c r="V42" s="5">
        <f t="shared" si="87"/>
        <v>1.2239842335082867E-3</v>
      </c>
      <c r="W42" s="5">
        <f t="shared" si="87"/>
        <v>-3.1988024964656526E-3</v>
      </c>
      <c r="X42" s="5">
        <f t="shared" si="87"/>
        <v>4.6159717889106026E-3</v>
      </c>
      <c r="Z42" s="4">
        <v>46038</v>
      </c>
      <c r="AA42">
        <f>B42*B$3</f>
        <v>0</v>
      </c>
      <c r="AB42">
        <f>C42*C$3</f>
        <v>-2583.999999999945</v>
      </c>
      <c r="AC42">
        <f>D42*D$3</f>
        <v>16143.000000000373</v>
      </c>
      <c r="AD42">
        <f>E42*E$3</f>
        <v>0</v>
      </c>
      <c r="AE42">
        <f>F42*F$3</f>
        <v>0</v>
      </c>
      <c r="AF42">
        <f>G42*G$3</f>
        <v>15627.999999999667</v>
      </c>
      <c r="AG42">
        <f>H42*H$3</f>
        <v>84647.999999999447</v>
      </c>
      <c r="AH42">
        <f>I42*I$3</f>
        <v>92279.999999999665</v>
      </c>
      <c r="AI42">
        <f>J42*J$3</f>
        <v>255257.4999999991</v>
      </c>
      <c r="AJ42">
        <f>K42*K$3</f>
        <v>470369.99999999691</v>
      </c>
      <c r="AK42">
        <f>L42*L$3</f>
        <v>-217028.00000000087</v>
      </c>
      <c r="AL42">
        <f>M42*M$3</f>
        <v>-160364.99999999942</v>
      </c>
      <c r="AM42">
        <f>N42*N$3</f>
        <v>0</v>
      </c>
      <c r="AN42">
        <f>O42*O$3</f>
        <v>0</v>
      </c>
      <c r="AO42">
        <f>P42*P$3</f>
        <v>4068.9002652372692</v>
      </c>
      <c r="AP42">
        <f>Q42*Q$3</f>
        <v>24851.33660594454</v>
      </c>
      <c r="AQ42">
        <f>R42*R$3</f>
        <v>8931.2297964551344</v>
      </c>
      <c r="AR42" s="1">
        <f>S42*S$3</f>
        <v>1348.5794626994063</v>
      </c>
      <c r="AS42" s="1">
        <f t="shared" si="77"/>
        <v>12837.009525003346</v>
      </c>
      <c r="AT42" s="1">
        <f t="shared" si="77"/>
        <v>36586.976397424347</v>
      </c>
      <c r="AU42" s="1">
        <f t="shared" si="77"/>
        <v>0</v>
      </c>
      <c r="AV42" s="1">
        <f t="shared" si="77"/>
        <v>0</v>
      </c>
      <c r="AW42" s="1">
        <f t="shared" si="77"/>
        <v>0</v>
      </c>
      <c r="AX42" s="1">
        <f t="shared" si="8"/>
        <v>642973.53205275885</v>
      </c>
      <c r="AY42" s="1">
        <f t="shared" si="9"/>
        <v>88624.032052764043</v>
      </c>
      <c r="AZ42" s="1">
        <f t="shared" si="10"/>
        <v>554349.49999999476</v>
      </c>
    </row>
    <row r="43" spans="1:52" x14ac:dyDescent="0.25">
      <c r="A43" s="4">
        <v>46037</v>
      </c>
      <c r="B43">
        <f t="shared" ref="B43:N43" si="88">(B593-B592)*100</f>
        <v>-2.9999999999999805</v>
      </c>
      <c r="C43">
        <f t="shared" si="88"/>
        <v>-2.9999999999999805</v>
      </c>
      <c r="D43">
        <f t="shared" si="88"/>
        <v>-1.0000000000000231</v>
      </c>
      <c r="E43">
        <f t="shared" si="88"/>
        <v>-1.0000000000000231</v>
      </c>
      <c r="F43">
        <f t="shared" si="88"/>
        <v>-2.0000000000000018</v>
      </c>
      <c r="G43">
        <f t="shared" si="88"/>
        <v>-4.0000000000000036</v>
      </c>
      <c r="H43">
        <f t="shared" si="88"/>
        <v>-5.0000000000000266</v>
      </c>
      <c r="I43">
        <f t="shared" si="88"/>
        <v>-6.0000000000000053</v>
      </c>
      <c r="J43">
        <f t="shared" si="88"/>
        <v>-4.9999999999999822</v>
      </c>
      <c r="K43">
        <f t="shared" si="88"/>
        <v>-4.0000000000000036</v>
      </c>
      <c r="L43">
        <f t="shared" si="88"/>
        <v>-1.9999999999999574</v>
      </c>
      <c r="M43">
        <f t="shared" si="88"/>
        <v>-0.99999999999997868</v>
      </c>
      <c r="N43">
        <f t="shared" si="88"/>
        <v>0</v>
      </c>
      <c r="O43" s="5">
        <f t="shared" si="71"/>
        <v>9.4764721171831674E-4</v>
      </c>
      <c r="P43" s="5">
        <f t="shared" si="71"/>
        <v>1.8591023314626185E-3</v>
      </c>
      <c r="Q43" s="5">
        <f t="shared" si="71"/>
        <v>-1.3811062364007022E-3</v>
      </c>
      <c r="R43" s="5">
        <f t="shared" si="71"/>
        <v>0</v>
      </c>
      <c r="S43" s="5">
        <f t="shared" si="71"/>
        <v>-9.2320928672348142E-3</v>
      </c>
      <c r="T43" s="5">
        <f t="shared" ref="T43:X43" si="89">LN(T592/T593)</f>
        <v>-3.2606295146539574E-4</v>
      </c>
      <c r="U43" s="5">
        <f t="shared" si="89"/>
        <v>-1.1822681757270945E-3</v>
      </c>
      <c r="V43" s="5">
        <f t="shared" si="89"/>
        <v>-4.8933004341326879E-3</v>
      </c>
      <c r="W43" s="5">
        <f t="shared" si="89"/>
        <v>1.1968734682574039E-4</v>
      </c>
      <c r="X43" s="5">
        <f t="shared" si="89"/>
        <v>-1.6117941246789557E-3</v>
      </c>
      <c r="Z43" s="4">
        <v>46037</v>
      </c>
      <c r="AA43">
        <f>B43*B$3</f>
        <v>2948.9999999999809</v>
      </c>
      <c r="AB43">
        <f>C43*C$3</f>
        <v>7751.9999999999491</v>
      </c>
      <c r="AC43">
        <f>D43*D$3</f>
        <v>-16143.000000000373</v>
      </c>
      <c r="AD43">
        <f>E43*E$3</f>
        <v>-2428.0000000000559</v>
      </c>
      <c r="AE43">
        <f>F43*F$3</f>
        <v>24856.000000000022</v>
      </c>
      <c r="AF43">
        <f>G43*G$3</f>
        <v>62512.000000000058</v>
      </c>
      <c r="AG43">
        <f>H43*H$3</f>
        <v>141080.00000000076</v>
      </c>
      <c r="AH43">
        <f>I43*I$3</f>
        <v>110736.0000000001</v>
      </c>
      <c r="AI43">
        <f>J43*J$3</f>
        <v>255257.4999999991</v>
      </c>
      <c r="AJ43">
        <f>K43*K$3</f>
        <v>313580.00000000029</v>
      </c>
      <c r="AK43">
        <f>L43*L$3</f>
        <v>-62007.999999998676</v>
      </c>
      <c r="AL43">
        <f>M43*M$3</f>
        <v>-32072.999999999316</v>
      </c>
      <c r="AM43">
        <f>N43*N$3</f>
        <v>0</v>
      </c>
      <c r="AN43">
        <f>O43*O$3</f>
        <v>0</v>
      </c>
      <c r="AO43">
        <f>P43*P$3</f>
        <v>-9295.5116573130927</v>
      </c>
      <c r="AP43">
        <f>Q43*Q$3</f>
        <v>-16573.274836808425</v>
      </c>
      <c r="AQ43">
        <f>R43*R$3</f>
        <v>0</v>
      </c>
      <c r="AR43" s="1">
        <f>S43*S$3</f>
        <v>64624.6500706437</v>
      </c>
      <c r="AS43" s="1">
        <f t="shared" si="77"/>
        <v>-1304.2518058615829</v>
      </c>
      <c r="AT43" s="1">
        <f t="shared" si="77"/>
        <v>-9458.1454058167565</v>
      </c>
      <c r="AU43" s="1">
        <f t="shared" si="77"/>
        <v>0</v>
      </c>
      <c r="AV43" s="1">
        <f t="shared" si="77"/>
        <v>0</v>
      </c>
      <c r="AW43" s="1">
        <f t="shared" si="77"/>
        <v>0</v>
      </c>
      <c r="AX43" s="1">
        <f t="shared" si="8"/>
        <v>834063.96636484563</v>
      </c>
      <c r="AY43" s="1">
        <f t="shared" si="9"/>
        <v>27993.466364843844</v>
      </c>
      <c r="AZ43" s="1">
        <f t="shared" si="10"/>
        <v>806070.50000000175</v>
      </c>
    </row>
    <row r="44" spans="1:52" x14ac:dyDescent="0.25">
      <c r="A44" s="4">
        <v>46036</v>
      </c>
      <c r="B44">
        <f t="shared" ref="B44:N44" si="90">(B594-B593)*100</f>
        <v>0</v>
      </c>
      <c r="C44">
        <f t="shared" si="90"/>
        <v>0</v>
      </c>
      <c r="D44">
        <f t="shared" si="90"/>
        <v>0</v>
      </c>
      <c r="E44">
        <f t="shared" si="90"/>
        <v>-2.0000000000000018</v>
      </c>
      <c r="F44">
        <f t="shared" si="90"/>
        <v>0.99999999999997868</v>
      </c>
      <c r="G44">
        <f t="shared" si="90"/>
        <v>0.99999999999997868</v>
      </c>
      <c r="H44">
        <f t="shared" si="90"/>
        <v>2.0000000000000018</v>
      </c>
      <c r="I44">
        <f t="shared" si="90"/>
        <v>0.99999999999997868</v>
      </c>
      <c r="J44">
        <f t="shared" si="90"/>
        <v>2.9999999999999805</v>
      </c>
      <c r="K44">
        <f t="shared" si="90"/>
        <v>3.0000000000000249</v>
      </c>
      <c r="L44">
        <f t="shared" si="90"/>
        <v>2.9999999999999361</v>
      </c>
      <c r="M44">
        <f t="shared" si="90"/>
        <v>3.9999999999999147</v>
      </c>
      <c r="N44">
        <f t="shared" si="90"/>
        <v>4.0000000000000036</v>
      </c>
      <c r="O44" s="5">
        <f t="shared" si="71"/>
        <v>5.7645999383476446E-4</v>
      </c>
      <c r="P44" s="5">
        <f t="shared" si="71"/>
        <v>1.4020103674950499E-2</v>
      </c>
      <c r="Q44" s="5">
        <f t="shared" si="71"/>
        <v>-1.977770511381345E-3</v>
      </c>
      <c r="R44" s="5">
        <f t="shared" si="71"/>
        <v>2.9766334495714942E-4</v>
      </c>
      <c r="S44" s="5">
        <f t="shared" si="71"/>
        <v>-1.6938984458234048E-3</v>
      </c>
      <c r="T44" s="5">
        <f t="shared" ref="T44:X44" si="91">LN(T593/T594)</f>
        <v>2.0979446034868022E-3</v>
      </c>
      <c r="U44" s="5">
        <f t="shared" si="91"/>
        <v>2.8909972889148987E-3</v>
      </c>
      <c r="V44" s="5">
        <f t="shared" si="91"/>
        <v>7.5229869289477848E-3</v>
      </c>
      <c r="W44" s="5">
        <f t="shared" si="91"/>
        <v>3.6156095821142722E-3</v>
      </c>
      <c r="X44" s="5">
        <f t="shared" si="91"/>
        <v>4.5671727335797711E-3</v>
      </c>
      <c r="Z44" s="4">
        <v>46036</v>
      </c>
      <c r="AA44">
        <f>B44*B$3</f>
        <v>0</v>
      </c>
      <c r="AB44">
        <f>C44*C$3</f>
        <v>0</v>
      </c>
      <c r="AC44">
        <f>D44*D$3</f>
        <v>0</v>
      </c>
      <c r="AD44">
        <f>E44*E$3</f>
        <v>-4856.0000000000045</v>
      </c>
      <c r="AE44">
        <f>F44*F$3</f>
        <v>-12427.999999999734</v>
      </c>
      <c r="AF44">
        <f>G44*G$3</f>
        <v>-15627.999999999667</v>
      </c>
      <c r="AG44">
        <f>H44*H$3</f>
        <v>-56432.000000000051</v>
      </c>
      <c r="AH44">
        <f>I44*I$3</f>
        <v>-18455.999999999607</v>
      </c>
      <c r="AI44">
        <f>J44*J$3</f>
        <v>-153154.49999999901</v>
      </c>
      <c r="AJ44">
        <f>K44*K$3</f>
        <v>-235185.00000000195</v>
      </c>
      <c r="AK44">
        <f>L44*L$3</f>
        <v>93011.999999998021</v>
      </c>
      <c r="AL44">
        <f>M44*M$3</f>
        <v>128291.99999999726</v>
      </c>
      <c r="AM44">
        <f>N44*N$3</f>
        <v>0</v>
      </c>
      <c r="AN44">
        <f>O44*O$3</f>
        <v>0</v>
      </c>
      <c r="AO44">
        <f>P44*P$3</f>
        <v>-70100.518374752501</v>
      </c>
      <c r="AP44">
        <f>Q44*Q$3</f>
        <v>-23733.246136576141</v>
      </c>
      <c r="AQ44">
        <f>R44*R$3</f>
        <v>-4464.9501743572409</v>
      </c>
      <c r="AR44" s="1">
        <f>S44*S$3</f>
        <v>11857.289120763833</v>
      </c>
      <c r="AS44" s="1">
        <f t="shared" si="77"/>
        <v>8391.7784139472096</v>
      </c>
      <c r="AT44" s="1">
        <f t="shared" si="77"/>
        <v>23127.978311319188</v>
      </c>
      <c r="AU44" s="1">
        <f t="shared" si="77"/>
        <v>0</v>
      </c>
      <c r="AV44" s="1">
        <f t="shared" si="77"/>
        <v>0</v>
      </c>
      <c r="AW44" s="1">
        <f t="shared" si="77"/>
        <v>0</v>
      </c>
      <c r="AX44" s="1">
        <f t="shared" si="8"/>
        <v>-329757.1688396603</v>
      </c>
      <c r="AY44" s="1">
        <f t="shared" si="9"/>
        <v>-54921.668839655664</v>
      </c>
      <c r="AZ44" s="1">
        <f t="shared" si="10"/>
        <v>-274835.50000000466</v>
      </c>
    </row>
    <row r="45" spans="1:52" x14ac:dyDescent="0.25">
      <c r="A45" s="4">
        <v>46035</v>
      </c>
      <c r="B45">
        <f t="shared" ref="B45:N45" si="92">(B595-B594)*100</f>
        <v>-1.0000000000000231</v>
      </c>
      <c r="C45">
        <f t="shared" si="92"/>
        <v>-2.0000000000000018</v>
      </c>
      <c r="D45">
        <f t="shared" si="92"/>
        <v>0</v>
      </c>
      <c r="E45">
        <f t="shared" si="92"/>
        <v>0</v>
      </c>
      <c r="F45">
        <f t="shared" si="92"/>
        <v>-0.99999999999997868</v>
      </c>
      <c r="G45">
        <f t="shared" si="92"/>
        <v>2.0000000000000018</v>
      </c>
      <c r="H45">
        <f t="shared" si="92"/>
        <v>1.0000000000000231</v>
      </c>
      <c r="I45">
        <f t="shared" si="92"/>
        <v>2.0000000000000018</v>
      </c>
      <c r="J45">
        <f t="shared" si="92"/>
        <v>2.0000000000000018</v>
      </c>
      <c r="K45">
        <f t="shared" si="92"/>
        <v>2.0000000000000018</v>
      </c>
      <c r="L45">
        <f t="shared" si="92"/>
        <v>1.0000000000000675</v>
      </c>
      <c r="M45">
        <f t="shared" si="92"/>
        <v>1.0000000000000675</v>
      </c>
      <c r="N45">
        <f t="shared" si="92"/>
        <v>0</v>
      </c>
      <c r="O45" s="5">
        <f t="shared" ref="O45:S54" si="93">LN(O594/O595)</f>
        <v>7.4406145982036645E-5</v>
      </c>
      <c r="P45" s="5">
        <f t="shared" si="93"/>
        <v>-2.4088368547466175E-2</v>
      </c>
      <c r="Q45" s="5">
        <f t="shared" si="93"/>
        <v>-1.1037305030066325E-2</v>
      </c>
      <c r="R45" s="5">
        <f t="shared" si="93"/>
        <v>0</v>
      </c>
      <c r="S45" s="5">
        <f t="shared" si="93"/>
        <v>-4.1943320649282618E-3</v>
      </c>
      <c r="T45" s="5">
        <f t="shared" ref="T45:X45" si="94">LN(T594/T595)</f>
        <v>-3.7149851574287671E-3</v>
      </c>
      <c r="U45" s="5">
        <f t="shared" si="94"/>
        <v>-5.3182957883248956E-3</v>
      </c>
      <c r="V45" s="5">
        <f t="shared" si="94"/>
        <v>-1.0312661415808348E-3</v>
      </c>
      <c r="W45" s="5">
        <f t="shared" si="94"/>
        <v>-3.2861420428069096E-3</v>
      </c>
      <c r="X45" s="5">
        <f t="shared" si="94"/>
        <v>-5.2111488069472699E-3</v>
      </c>
      <c r="Z45" s="4">
        <v>46035</v>
      </c>
      <c r="AA45">
        <f>B45*B$3</f>
        <v>983.00000000002274</v>
      </c>
      <c r="AB45">
        <f>C45*C$3</f>
        <v>5168.0000000000045</v>
      </c>
      <c r="AC45">
        <f>D45*D$3</f>
        <v>0</v>
      </c>
      <c r="AD45">
        <f>E45*E$3</f>
        <v>0</v>
      </c>
      <c r="AE45">
        <f>F45*F$3</f>
        <v>12427.999999999734</v>
      </c>
      <c r="AF45">
        <f>G45*G$3</f>
        <v>-31256.000000000029</v>
      </c>
      <c r="AG45">
        <f>H45*H$3</f>
        <v>-28216.000000000651</v>
      </c>
      <c r="AH45">
        <f>I45*I$3</f>
        <v>-36912.000000000036</v>
      </c>
      <c r="AI45">
        <f>J45*J$3</f>
        <v>-102103.00000000009</v>
      </c>
      <c r="AJ45">
        <f>K45*K$3</f>
        <v>-156790.00000000015</v>
      </c>
      <c r="AK45">
        <f>L45*L$3</f>
        <v>31004.000000002092</v>
      </c>
      <c r="AL45">
        <f>M45*M$3</f>
        <v>32073.000000002165</v>
      </c>
      <c r="AM45">
        <f>N45*N$3</f>
        <v>0</v>
      </c>
      <c r="AN45">
        <f>O45*O$3</f>
        <v>0</v>
      </c>
      <c r="AO45">
        <f>P45*P$3</f>
        <v>120441.84273733088</v>
      </c>
      <c r="AP45">
        <f>Q45*Q$3</f>
        <v>-132447.66036079591</v>
      </c>
      <c r="AQ45">
        <f>R45*R$3</f>
        <v>0</v>
      </c>
      <c r="AR45" s="1">
        <f>S45*S$3</f>
        <v>29360.324454497833</v>
      </c>
      <c r="AS45" s="1">
        <f t="shared" si="77"/>
        <v>-14859.940629715069</v>
      </c>
      <c r="AT45" s="1">
        <f t="shared" si="77"/>
        <v>-42546.366306599164</v>
      </c>
      <c r="AU45" s="1">
        <f t="shared" si="77"/>
        <v>0</v>
      </c>
      <c r="AV45" s="1">
        <f t="shared" si="77"/>
        <v>0</v>
      </c>
      <c r="AW45" s="1">
        <f t="shared" si="77"/>
        <v>0</v>
      </c>
      <c r="AX45" s="1">
        <f t="shared" si="8"/>
        <v>-313672.80010527832</v>
      </c>
      <c r="AY45" s="1">
        <f t="shared" si="9"/>
        <v>-40051.800105281429</v>
      </c>
      <c r="AZ45" s="1">
        <f t="shared" si="10"/>
        <v>-273620.99999999691</v>
      </c>
    </row>
    <row r="46" spans="1:52" x14ac:dyDescent="0.25">
      <c r="A46" s="4">
        <v>46034</v>
      </c>
      <c r="B46">
        <f t="shared" ref="B46:N46" si="95">(B596-B595)*100</f>
        <v>-0.99999999999997868</v>
      </c>
      <c r="C46">
        <f t="shared" si="95"/>
        <v>-1.0000000000000231</v>
      </c>
      <c r="D46">
        <f t="shared" si="95"/>
        <v>-4.9999999999999822</v>
      </c>
      <c r="E46">
        <f t="shared" si="95"/>
        <v>-0.99999999999997868</v>
      </c>
      <c r="F46">
        <f t="shared" si="95"/>
        <v>-1.0000000000000231</v>
      </c>
      <c r="G46">
        <f t="shared" si="95"/>
        <v>-0.99999999999997868</v>
      </c>
      <c r="H46">
        <f t="shared" si="95"/>
        <v>0</v>
      </c>
      <c r="I46">
        <f t="shared" si="95"/>
        <v>0</v>
      </c>
      <c r="J46">
        <f t="shared" si="95"/>
        <v>-2.0000000000000018</v>
      </c>
      <c r="K46">
        <f t="shared" si="95"/>
        <v>-2.0000000000000018</v>
      </c>
      <c r="L46">
        <f t="shared" si="95"/>
        <v>-1.0000000000000675</v>
      </c>
      <c r="M46">
        <f t="shared" si="95"/>
        <v>-2.0000000000000462</v>
      </c>
      <c r="N46">
        <f t="shared" si="95"/>
        <v>-0.99999999999997868</v>
      </c>
      <c r="O46" s="5">
        <f t="shared" si="93"/>
        <v>9.8640444993783284E-4</v>
      </c>
      <c r="P46" s="5">
        <f t="shared" si="93"/>
        <v>0</v>
      </c>
      <c r="Q46" s="5">
        <f t="shared" si="93"/>
        <v>-1.5063352602529903E-3</v>
      </c>
      <c r="R46" s="5">
        <f t="shared" si="93"/>
        <v>-5.9523811281300785E-4</v>
      </c>
      <c r="S46" s="5">
        <f t="shared" si="93"/>
        <v>-3.609790452178868E-3</v>
      </c>
      <c r="T46" s="5">
        <f t="shared" ref="T46:X46" si="96">LN(T595/T596)</f>
        <v>2.9335393489502764E-3</v>
      </c>
      <c r="U46" s="5">
        <f t="shared" si="96"/>
        <v>3.2627685540213042E-3</v>
      </c>
      <c r="V46" s="5">
        <f t="shared" si="96"/>
        <v>8.0564267298744024E-3</v>
      </c>
      <c r="W46" s="5">
        <f t="shared" si="96"/>
        <v>2.2804679724462307E-3</v>
      </c>
      <c r="X46" s="5">
        <f t="shared" si="96"/>
        <v>3.1439884580704066E-3</v>
      </c>
      <c r="Z46" s="4">
        <v>46034</v>
      </c>
      <c r="AA46">
        <f>B46*B$3</f>
        <v>982.99999999997908</v>
      </c>
      <c r="AB46">
        <f>C46*C$3</f>
        <v>2584.0000000000596</v>
      </c>
      <c r="AC46">
        <f>D46*D$3</f>
        <v>-80714.999999999709</v>
      </c>
      <c r="AD46">
        <f>E46*E$3</f>
        <v>-2427.9999999999482</v>
      </c>
      <c r="AE46">
        <f>F46*F$3</f>
        <v>12428.000000000287</v>
      </c>
      <c r="AF46">
        <f>G46*G$3</f>
        <v>15627.999999999667</v>
      </c>
      <c r="AG46">
        <f>H46*H$3</f>
        <v>0</v>
      </c>
      <c r="AH46">
        <f>I46*I$3</f>
        <v>0</v>
      </c>
      <c r="AI46">
        <f>J46*J$3</f>
        <v>102103.00000000009</v>
      </c>
      <c r="AJ46">
        <f>K46*K$3</f>
        <v>156790.00000000015</v>
      </c>
      <c r="AK46">
        <f>L46*L$3</f>
        <v>-31004.000000002092</v>
      </c>
      <c r="AL46">
        <f>M46*M$3</f>
        <v>-64146.000000001484</v>
      </c>
      <c r="AM46">
        <f>N46*N$3</f>
        <v>0</v>
      </c>
      <c r="AN46">
        <f>O46*O$3</f>
        <v>0</v>
      </c>
      <c r="AO46">
        <f>P46*P$3</f>
        <v>0</v>
      </c>
      <c r="AP46">
        <f>Q46*Q$3</f>
        <v>-18076.023123035884</v>
      </c>
      <c r="AQ46">
        <f>R46*R$3</f>
        <v>8928.5716921951171</v>
      </c>
      <c r="AR46" s="1">
        <f>S46*S$3</f>
        <v>25268.533165252076</v>
      </c>
      <c r="AS46" s="1">
        <f t="shared" si="77"/>
        <v>11734.157395801105</v>
      </c>
      <c r="AT46" s="1">
        <f t="shared" si="77"/>
        <v>26102.148432170434</v>
      </c>
      <c r="AU46" s="1">
        <f t="shared" si="77"/>
        <v>0</v>
      </c>
      <c r="AV46" s="1">
        <f t="shared" si="77"/>
        <v>0</v>
      </c>
      <c r="AW46" s="1">
        <f t="shared" si="77"/>
        <v>0</v>
      </c>
      <c r="AX46" s="1">
        <f t="shared" si="8"/>
        <v>166180.38756237982</v>
      </c>
      <c r="AY46" s="1">
        <f t="shared" si="9"/>
        <v>53957.38756238285</v>
      </c>
      <c r="AZ46" s="1">
        <f t="shared" si="10"/>
        <v>112222.99999999697</v>
      </c>
    </row>
    <row r="47" spans="1:52" x14ac:dyDescent="0.25">
      <c r="A47" s="4">
        <v>46031</v>
      </c>
      <c r="B47">
        <f t="shared" ref="B47:N47" si="97">(B597-B596)*100</f>
        <v>0</v>
      </c>
      <c r="C47">
        <f t="shared" si="97"/>
        <v>0</v>
      </c>
      <c r="D47">
        <f t="shared" si="97"/>
        <v>0</v>
      </c>
      <c r="E47">
        <f t="shared" si="97"/>
        <v>-2.0000000000000018</v>
      </c>
      <c r="F47">
        <f t="shared" si="97"/>
        <v>-0.99999999999997868</v>
      </c>
      <c r="G47">
        <f t="shared" si="97"/>
        <v>-4.0000000000000036</v>
      </c>
      <c r="H47">
        <f t="shared" si="97"/>
        <v>-4.9999999999999822</v>
      </c>
      <c r="I47">
        <f t="shared" si="97"/>
        <v>-2.9999999999999805</v>
      </c>
      <c r="J47">
        <f t="shared" si="97"/>
        <v>-0.99999999999997868</v>
      </c>
      <c r="K47">
        <f t="shared" si="97"/>
        <v>0</v>
      </c>
      <c r="L47">
        <f t="shared" si="97"/>
        <v>1.0000000000000675</v>
      </c>
      <c r="M47">
        <f t="shared" si="97"/>
        <v>3.0000000000000249</v>
      </c>
      <c r="N47">
        <f t="shared" si="97"/>
        <v>2.9999999999999361</v>
      </c>
      <c r="O47" s="5">
        <f t="shared" si="93"/>
        <v>-2.8448992328351948E-3</v>
      </c>
      <c r="P47" s="5">
        <f t="shared" si="93"/>
        <v>1.7415112478766524E-3</v>
      </c>
      <c r="Q47" s="5">
        <f t="shared" si="93"/>
        <v>1.7408581468528078E-3</v>
      </c>
      <c r="R47" s="5">
        <f t="shared" si="93"/>
        <v>-2.9748624345523331E-4</v>
      </c>
      <c r="S47" s="5">
        <f t="shared" si="93"/>
        <v>-5.5604673031118885E-5</v>
      </c>
      <c r="T47" s="5">
        <f t="shared" ref="T47:X47" si="98">LN(T596/T597)</f>
        <v>1.6217000708170582E-3</v>
      </c>
      <c r="U47" s="5">
        <f t="shared" si="98"/>
        <v>1.584356669592878E-3</v>
      </c>
      <c r="V47" s="5">
        <f t="shared" si="98"/>
        <v>9.5023505395471289E-4</v>
      </c>
      <c r="W47" s="5">
        <f t="shared" si="98"/>
        <v>3.134325111845279E-3</v>
      </c>
      <c r="X47" s="5">
        <f t="shared" si="98"/>
        <v>1.703555602583509E-3</v>
      </c>
      <c r="Z47" s="4">
        <v>46031</v>
      </c>
      <c r="AA47">
        <f>B47*B$3</f>
        <v>0</v>
      </c>
      <c r="AB47">
        <f>C47*C$3</f>
        <v>0</v>
      </c>
      <c r="AC47">
        <f>D47*D$3</f>
        <v>0</v>
      </c>
      <c r="AD47">
        <f>E47*E$3</f>
        <v>-4856.0000000000045</v>
      </c>
      <c r="AE47">
        <f>F47*F$3</f>
        <v>12427.999999999734</v>
      </c>
      <c r="AF47">
        <f>G47*G$3</f>
        <v>62512.000000000058</v>
      </c>
      <c r="AG47">
        <f>H47*H$3</f>
        <v>141079.99999999951</v>
      </c>
      <c r="AH47">
        <f>I47*I$3</f>
        <v>55367.999999999636</v>
      </c>
      <c r="AI47">
        <f>J47*J$3</f>
        <v>51051.499999998909</v>
      </c>
      <c r="AJ47">
        <f>K47*K$3</f>
        <v>0</v>
      </c>
      <c r="AK47">
        <f>L47*L$3</f>
        <v>31004.000000002092</v>
      </c>
      <c r="AL47">
        <f>M47*M$3</f>
        <v>96219.0000000008</v>
      </c>
      <c r="AM47">
        <f>N47*N$3</f>
        <v>0</v>
      </c>
      <c r="AN47">
        <f>O47*O$3</f>
        <v>0</v>
      </c>
      <c r="AO47">
        <f>P47*P$3</f>
        <v>-8707.5562393832624</v>
      </c>
      <c r="AP47">
        <f>Q47*Q$3</f>
        <v>20890.297762233695</v>
      </c>
      <c r="AQ47">
        <f>R47*R$3</f>
        <v>4462.2936518284996</v>
      </c>
      <c r="AR47" s="1">
        <f>S47*S$3</f>
        <v>389.23271121783222</v>
      </c>
      <c r="AS47" s="1">
        <f t="shared" si="77"/>
        <v>6486.8002832682323</v>
      </c>
      <c r="AT47" s="1">
        <f t="shared" si="77"/>
        <v>12674.853356743024</v>
      </c>
      <c r="AU47" s="1">
        <f t="shared" si="77"/>
        <v>0</v>
      </c>
      <c r="AV47" s="1">
        <f t="shared" si="77"/>
        <v>0</v>
      </c>
      <c r="AW47" s="1">
        <f t="shared" si="77"/>
        <v>0</v>
      </c>
      <c r="AX47" s="1">
        <f t="shared" si="8"/>
        <v>481002.42152590875</v>
      </c>
      <c r="AY47" s="1">
        <f t="shared" si="9"/>
        <v>36195.921525908023</v>
      </c>
      <c r="AZ47" s="1">
        <f t="shared" si="10"/>
        <v>444806.5000000007</v>
      </c>
    </row>
    <row r="48" spans="1:52" x14ac:dyDescent="0.25">
      <c r="A48" s="4">
        <v>46030</v>
      </c>
      <c r="B48">
        <f t="shared" ref="B48:N48" si="99">(B598-B597)*100</f>
        <v>0</v>
      </c>
      <c r="C48">
        <f t="shared" si="99"/>
        <v>-2.9999999999999805</v>
      </c>
      <c r="D48">
        <f t="shared" si="99"/>
        <v>0</v>
      </c>
      <c r="E48">
        <f t="shared" si="99"/>
        <v>0</v>
      </c>
      <c r="F48">
        <f t="shared" si="99"/>
        <v>0</v>
      </c>
      <c r="G48">
        <f t="shared" si="99"/>
        <v>0</v>
      </c>
      <c r="H48">
        <f t="shared" si="99"/>
        <v>-2.0000000000000018</v>
      </c>
      <c r="I48">
        <f t="shared" si="99"/>
        <v>-3.0000000000000249</v>
      </c>
      <c r="J48">
        <f t="shared" si="99"/>
        <v>-4.0000000000000036</v>
      </c>
      <c r="K48">
        <f t="shared" si="99"/>
        <v>-4.0000000000000036</v>
      </c>
      <c r="L48">
        <f t="shared" si="99"/>
        <v>-4.0000000000000036</v>
      </c>
      <c r="M48">
        <f t="shared" si="99"/>
        <v>-3.0000000000000249</v>
      </c>
      <c r="N48">
        <f t="shared" si="99"/>
        <v>-2.9999999999999361</v>
      </c>
      <c r="O48" s="5">
        <f t="shared" si="93"/>
        <v>-3.7128483542335662E-4</v>
      </c>
      <c r="P48" s="5">
        <f t="shared" si="93"/>
        <v>-8.068270864374269E-3</v>
      </c>
      <c r="Q48" s="5">
        <f t="shared" si="93"/>
        <v>-1.6628076258260161E-3</v>
      </c>
      <c r="R48" s="5">
        <f t="shared" si="93"/>
        <v>0</v>
      </c>
      <c r="S48" s="5">
        <f t="shared" si="93"/>
        <v>1.0013574792538237E-3</v>
      </c>
      <c r="T48" s="5">
        <f t="shared" ref="T48:X48" si="100">LN(T597/T598)</f>
        <v>9.8142794918417353E-4</v>
      </c>
      <c r="U48" s="5">
        <f t="shared" si="100"/>
        <v>3.0598398975885425E-3</v>
      </c>
      <c r="V48" s="5">
        <f t="shared" si="100"/>
        <v>3.2551590736464242E-4</v>
      </c>
      <c r="W48" s="5">
        <f t="shared" si="100"/>
        <v>2.2140226851122304E-3</v>
      </c>
      <c r="X48" s="5">
        <f t="shared" si="100"/>
        <v>2.6990559593634503E-3</v>
      </c>
      <c r="Z48" s="4">
        <v>46030</v>
      </c>
      <c r="AA48">
        <f>B48*B$3</f>
        <v>0</v>
      </c>
      <c r="AB48">
        <f>C48*C$3</f>
        <v>7751.9999999999491</v>
      </c>
      <c r="AC48">
        <f>D48*D$3</f>
        <v>0</v>
      </c>
      <c r="AD48">
        <f>E48*E$3</f>
        <v>0</v>
      </c>
      <c r="AE48">
        <f>F48*F$3</f>
        <v>0</v>
      </c>
      <c r="AF48">
        <f>G48*G$3</f>
        <v>0</v>
      </c>
      <c r="AG48">
        <f>H48*H$3</f>
        <v>56432.000000000051</v>
      </c>
      <c r="AH48">
        <f>I48*I$3</f>
        <v>55368.000000000458</v>
      </c>
      <c r="AI48">
        <f>J48*J$3</f>
        <v>204206.00000000017</v>
      </c>
      <c r="AJ48">
        <f>K48*K$3</f>
        <v>313580.00000000029</v>
      </c>
      <c r="AK48">
        <f>L48*L$3</f>
        <v>-124016.00000000012</v>
      </c>
      <c r="AL48">
        <f>M48*M$3</f>
        <v>-96219.0000000008</v>
      </c>
      <c r="AM48">
        <f>N48*N$3</f>
        <v>0</v>
      </c>
      <c r="AN48">
        <f>O48*O$3</f>
        <v>0</v>
      </c>
      <c r="AO48">
        <f>P48*P$3</f>
        <v>40341.354321871346</v>
      </c>
      <c r="AP48">
        <f>Q48*Q$3</f>
        <v>-19953.691509912194</v>
      </c>
      <c r="AQ48">
        <f>R48*R$3</f>
        <v>0</v>
      </c>
      <c r="AR48" s="1">
        <f>S48*S$3</f>
        <v>-7009.502354776766</v>
      </c>
      <c r="AS48" s="1">
        <f t="shared" si="77"/>
        <v>3925.7117967366939</v>
      </c>
      <c r="AT48" s="1">
        <f t="shared" si="77"/>
        <v>24478.71918070834</v>
      </c>
      <c r="AU48" s="1">
        <f t="shared" si="77"/>
        <v>0</v>
      </c>
      <c r="AV48" s="1">
        <f t="shared" si="77"/>
        <v>0</v>
      </c>
      <c r="AW48" s="1">
        <f t="shared" si="77"/>
        <v>0</v>
      </c>
      <c r="AX48" s="1">
        <f t="shared" si="8"/>
        <v>458885.59143462742</v>
      </c>
      <c r="AY48" s="1">
        <f t="shared" si="9"/>
        <v>41782.591434627422</v>
      </c>
      <c r="AZ48" s="1">
        <f t="shared" si="10"/>
        <v>417103</v>
      </c>
    </row>
    <row r="49" spans="1:52" x14ac:dyDescent="0.25">
      <c r="A49" s="4">
        <v>46029</v>
      </c>
      <c r="B49">
        <f t="shared" ref="B49:N49" si="101">(B599-B598)*100</f>
        <v>0</v>
      </c>
      <c r="C49">
        <f t="shared" si="101"/>
        <v>0.99999999999997868</v>
      </c>
      <c r="D49">
        <f t="shared" si="101"/>
        <v>0.99999999999997868</v>
      </c>
      <c r="E49">
        <f t="shared" si="101"/>
        <v>-2.0000000000000018</v>
      </c>
      <c r="F49">
        <f t="shared" si="101"/>
        <v>0</v>
      </c>
      <c r="G49">
        <f t="shared" si="101"/>
        <v>0</v>
      </c>
      <c r="H49">
        <f t="shared" si="101"/>
        <v>0</v>
      </c>
      <c r="I49">
        <f t="shared" si="101"/>
        <v>1.0000000000000231</v>
      </c>
      <c r="J49">
        <f t="shared" si="101"/>
        <v>2.0000000000000018</v>
      </c>
      <c r="K49">
        <f t="shared" si="101"/>
        <v>2.0000000000000018</v>
      </c>
      <c r="L49">
        <f t="shared" si="101"/>
        <v>2.9999999999999361</v>
      </c>
      <c r="M49">
        <f t="shared" si="101"/>
        <v>4.0000000000000036</v>
      </c>
      <c r="N49">
        <f t="shared" si="101"/>
        <v>4.0000000000000036</v>
      </c>
      <c r="O49" s="5">
        <f t="shared" si="93"/>
        <v>1.5417339198208885E-3</v>
      </c>
      <c r="P49" s="5">
        <f t="shared" si="93"/>
        <v>6.7060268820752925E-3</v>
      </c>
      <c r="Q49" s="5">
        <f t="shared" si="93"/>
        <v>-9.2344548425317384E-3</v>
      </c>
      <c r="R49" s="5">
        <f t="shared" si="93"/>
        <v>0</v>
      </c>
      <c r="S49" s="5">
        <f t="shared" si="93"/>
        <v>-3.1720503675928202E-4</v>
      </c>
      <c r="T49" s="5">
        <f t="shared" ref="T49:X49" si="102">LN(T598/T599)</f>
        <v>2.2817823442596312E-3</v>
      </c>
      <c r="U49" s="5">
        <f t="shared" si="102"/>
        <v>2.473739291299409E-3</v>
      </c>
      <c r="V49" s="5">
        <f t="shared" si="102"/>
        <v>3.4461897492763009E-4</v>
      </c>
      <c r="W49" s="5">
        <f t="shared" si="102"/>
        <v>-3.5091720281303566E-3</v>
      </c>
      <c r="X49" s="5">
        <f t="shared" si="102"/>
        <v>4.2831612000918205E-3</v>
      </c>
      <c r="Z49" s="4">
        <v>46029</v>
      </c>
      <c r="AA49">
        <f>B49*B$3</f>
        <v>0</v>
      </c>
      <c r="AB49">
        <f>C49*C$3</f>
        <v>-2583.999999999945</v>
      </c>
      <c r="AC49">
        <f>D49*D$3</f>
        <v>16142.999999999656</v>
      </c>
      <c r="AD49">
        <f>E49*E$3</f>
        <v>-4856.0000000000045</v>
      </c>
      <c r="AE49">
        <f>F49*F$3</f>
        <v>0</v>
      </c>
      <c r="AF49">
        <f>G49*G$3</f>
        <v>0</v>
      </c>
      <c r="AG49">
        <f>H49*H$3</f>
        <v>0</v>
      </c>
      <c r="AH49">
        <f>I49*I$3</f>
        <v>-18456.000000000426</v>
      </c>
      <c r="AI49">
        <f>J49*J$3</f>
        <v>-102103.00000000009</v>
      </c>
      <c r="AJ49">
        <f>K49*K$3</f>
        <v>-156790.00000000015</v>
      </c>
      <c r="AK49">
        <f>L49*L$3</f>
        <v>93011.999999998021</v>
      </c>
      <c r="AL49">
        <f>M49*M$3</f>
        <v>128292.00000000012</v>
      </c>
      <c r="AM49">
        <f>N49*N$3</f>
        <v>0</v>
      </c>
      <c r="AN49">
        <f>O49*O$3</f>
        <v>0</v>
      </c>
      <c r="AO49">
        <f>P49*P$3</f>
        <v>-33530.134410376464</v>
      </c>
      <c r="AP49">
        <f>Q49*Q$3</f>
        <v>-110813.45811038086</v>
      </c>
      <c r="AQ49">
        <f>R49*R$3</f>
        <v>0</v>
      </c>
      <c r="AR49" s="1">
        <f>S49*S$3</f>
        <v>2220.435257314974</v>
      </c>
      <c r="AS49" s="1">
        <f t="shared" si="77"/>
        <v>9127.1293770385255</v>
      </c>
      <c r="AT49" s="1">
        <f t="shared" si="77"/>
        <v>19789.914330395273</v>
      </c>
      <c r="AU49" s="1">
        <f t="shared" si="77"/>
        <v>0</v>
      </c>
      <c r="AV49" s="1">
        <f t="shared" si="77"/>
        <v>0</v>
      </c>
      <c r="AW49" s="1">
        <f t="shared" si="77"/>
        <v>0</v>
      </c>
      <c r="AX49" s="1">
        <f t="shared" si="8"/>
        <v>-160548.11355601135</v>
      </c>
      <c r="AY49" s="1">
        <f t="shared" si="9"/>
        <v>-113206.11355600854</v>
      </c>
      <c r="AZ49" s="1">
        <f t="shared" si="10"/>
        <v>-47342.000000002809</v>
      </c>
    </row>
    <row r="50" spans="1:52" x14ac:dyDescent="0.25">
      <c r="A50" s="4">
        <v>46028</v>
      </c>
      <c r="B50">
        <f t="shared" ref="B50:N50" si="103">(B600-B599)*100</f>
        <v>0.99999999999997868</v>
      </c>
      <c r="C50">
        <f t="shared" si="103"/>
        <v>3.0000000000000249</v>
      </c>
      <c r="D50">
        <f t="shared" si="103"/>
        <v>1.0000000000000231</v>
      </c>
      <c r="E50">
        <f t="shared" si="103"/>
        <v>2.9999999999999805</v>
      </c>
      <c r="F50">
        <f t="shared" si="103"/>
        <v>0.99999999999997868</v>
      </c>
      <c r="G50">
        <f t="shared" si="103"/>
        <v>-0.99999999999997868</v>
      </c>
      <c r="H50">
        <f t="shared" si="103"/>
        <v>-1.0000000000000231</v>
      </c>
      <c r="I50">
        <f t="shared" si="103"/>
        <v>-1.0000000000000231</v>
      </c>
      <c r="J50">
        <f t="shared" si="103"/>
        <v>-1.0000000000000231</v>
      </c>
      <c r="K50">
        <f t="shared" si="103"/>
        <v>-1.0000000000000231</v>
      </c>
      <c r="L50">
        <f t="shared" si="103"/>
        <v>-0.99999999999997868</v>
      </c>
      <c r="M50">
        <f t="shared" si="103"/>
        <v>-0.99999999999997868</v>
      </c>
      <c r="N50">
        <f t="shared" si="103"/>
        <v>-1.0000000000000675</v>
      </c>
      <c r="O50" s="5">
        <f t="shared" si="93"/>
        <v>-1.0245877577189021E-2</v>
      </c>
      <c r="P50" s="5">
        <f t="shared" si="93"/>
        <v>-5.368949533524142E-3</v>
      </c>
      <c r="Q50" s="5">
        <f t="shared" si="93"/>
        <v>3.9741236459326246E-3</v>
      </c>
      <c r="R50" s="5">
        <f t="shared" si="93"/>
        <v>0</v>
      </c>
      <c r="S50" s="5">
        <f t="shared" si="93"/>
        <v>3.6790774693461208E-3</v>
      </c>
      <c r="T50" s="5">
        <f t="shared" ref="T50:X50" si="104">LN(T599/T600)</f>
        <v>-8.7825388789359833E-4</v>
      </c>
      <c r="U50" s="5">
        <f t="shared" si="104"/>
        <v>-7.1205084678288167E-3</v>
      </c>
      <c r="V50" s="5">
        <f t="shared" si="104"/>
        <v>-2.3148860146719207E-3</v>
      </c>
      <c r="W50" s="5">
        <f t="shared" si="104"/>
        <v>-4.4037194539073435E-3</v>
      </c>
      <c r="X50" s="5">
        <f t="shared" si="104"/>
        <v>-1.6398329767227748E-3</v>
      </c>
      <c r="Z50" s="4">
        <v>46028</v>
      </c>
      <c r="AA50">
        <f>B50*B$3</f>
        <v>-982.99999999997908</v>
      </c>
      <c r="AB50">
        <f>C50*C$3</f>
        <v>-7752.0000000000646</v>
      </c>
      <c r="AC50">
        <f>D50*D$3</f>
        <v>16143.000000000373</v>
      </c>
      <c r="AD50">
        <f>E50*E$3</f>
        <v>7283.9999999999527</v>
      </c>
      <c r="AE50">
        <f>F50*F$3</f>
        <v>-12427.999999999734</v>
      </c>
      <c r="AF50">
        <f>G50*G$3</f>
        <v>15627.999999999667</v>
      </c>
      <c r="AG50">
        <f>H50*H$3</f>
        <v>28216.000000000651</v>
      </c>
      <c r="AH50">
        <f>I50*I$3</f>
        <v>18456.000000000426</v>
      </c>
      <c r="AI50">
        <f>J50*J$3</f>
        <v>51051.500000001179</v>
      </c>
      <c r="AJ50">
        <f>K50*K$3</f>
        <v>78395.000000001804</v>
      </c>
      <c r="AK50">
        <f>L50*L$3</f>
        <v>-31003.999999999338</v>
      </c>
      <c r="AL50">
        <f>M50*M$3</f>
        <v>-32072.999999999316</v>
      </c>
      <c r="AM50">
        <f>N50*N$3</f>
        <v>0</v>
      </c>
      <c r="AN50">
        <f>O50*O$3</f>
        <v>0</v>
      </c>
      <c r="AO50">
        <f>P50*P$3</f>
        <v>26844.747667620712</v>
      </c>
      <c r="AP50">
        <f>Q50*Q$3</f>
        <v>47689.483751191496</v>
      </c>
      <c r="AQ50">
        <f>R50*R$3</f>
        <v>0</v>
      </c>
      <c r="AR50" s="1">
        <f>S50*S$3</f>
        <v>-25753.542285422845</v>
      </c>
      <c r="AS50" s="1">
        <f t="shared" si="77"/>
        <v>-3513.0155515743932</v>
      </c>
      <c r="AT50" s="1">
        <f t="shared" si="77"/>
        <v>-56964.067742630534</v>
      </c>
      <c r="AU50" s="1">
        <f t="shared" si="77"/>
        <v>0</v>
      </c>
      <c r="AV50" s="1">
        <f t="shared" si="77"/>
        <v>0</v>
      </c>
      <c r="AW50" s="1">
        <f t="shared" si="77"/>
        <v>0</v>
      </c>
      <c r="AX50" s="1">
        <f t="shared" si="8"/>
        <v>119237.10583919006</v>
      </c>
      <c r="AY50" s="1">
        <f t="shared" si="9"/>
        <v>-11696.394160815558</v>
      </c>
      <c r="AZ50" s="1">
        <f t="shared" si="10"/>
        <v>130933.50000000562</v>
      </c>
    </row>
    <row r="51" spans="1:52" x14ac:dyDescent="0.25">
      <c r="A51" s="4">
        <v>46027</v>
      </c>
      <c r="B51">
        <f t="shared" ref="B51:N51" si="105">(B601-B600)*100</f>
        <v>1.0000000000000231</v>
      </c>
      <c r="C51">
        <f t="shared" si="105"/>
        <v>2.0000000000000018</v>
      </c>
      <c r="D51">
        <f t="shared" si="105"/>
        <v>0.99999999999997868</v>
      </c>
      <c r="E51">
        <f t="shared" si="105"/>
        <v>1.0000000000000231</v>
      </c>
      <c r="F51">
        <f t="shared" si="105"/>
        <v>1.0000000000000231</v>
      </c>
      <c r="G51">
        <f t="shared" si="105"/>
        <v>0</v>
      </c>
      <c r="H51">
        <f t="shared" si="105"/>
        <v>1.0000000000000231</v>
      </c>
      <c r="I51">
        <f t="shared" si="105"/>
        <v>2.0000000000000018</v>
      </c>
      <c r="J51">
        <f t="shared" si="105"/>
        <v>3.0000000000000249</v>
      </c>
      <c r="K51">
        <f t="shared" si="105"/>
        <v>3.0000000000000249</v>
      </c>
      <c r="L51">
        <f t="shared" si="105"/>
        <v>2.0000000000000462</v>
      </c>
      <c r="M51">
        <f t="shared" si="105"/>
        <v>1.9999999999999574</v>
      </c>
      <c r="N51">
        <f t="shared" si="105"/>
        <v>1.0000000000000675</v>
      </c>
      <c r="O51" s="5">
        <f t="shared" si="93"/>
        <v>-3.8632413074636958E-4</v>
      </c>
      <c r="P51" s="5">
        <f t="shared" si="93"/>
        <v>-9.3222142678641776E-3</v>
      </c>
      <c r="Q51" s="5">
        <f t="shared" si="93"/>
        <v>-6.1702652802590853E-3</v>
      </c>
      <c r="R51" s="5">
        <f t="shared" si="93"/>
        <v>-2.9739777170862368E-4</v>
      </c>
      <c r="S51" s="5">
        <f t="shared" si="93"/>
        <v>-4.410882108336477E-4</v>
      </c>
      <c r="T51" s="5">
        <f t="shared" ref="T51:X51" si="106">LN(T600/T601)</f>
        <v>3.9052493947447507E-3</v>
      </c>
      <c r="U51" s="5">
        <f t="shared" si="106"/>
        <v>2.6507103375791549E-3</v>
      </c>
      <c r="V51" s="5">
        <f t="shared" si="106"/>
        <v>1.6447511323797225E-3</v>
      </c>
      <c r="W51" s="5">
        <f t="shared" si="106"/>
        <v>-8.3852060767402269E-4</v>
      </c>
      <c r="X51" s="5">
        <f t="shared" si="106"/>
        <v>1.7282543286780507E-3</v>
      </c>
      <c r="Z51" s="4">
        <v>46027</v>
      </c>
      <c r="AA51">
        <f>B51*B$3</f>
        <v>-983.00000000002274</v>
      </c>
      <c r="AB51">
        <f>C51*C$3</f>
        <v>-5168.0000000000045</v>
      </c>
      <c r="AC51">
        <f>D51*D$3</f>
        <v>16142.999999999656</v>
      </c>
      <c r="AD51">
        <f>E51*E$3</f>
        <v>2428.0000000000559</v>
      </c>
      <c r="AE51">
        <f>F51*F$3</f>
        <v>-12428.000000000287</v>
      </c>
      <c r="AF51">
        <f>G51*G$3</f>
        <v>0</v>
      </c>
      <c r="AG51">
        <f>H51*H$3</f>
        <v>-28216.000000000651</v>
      </c>
      <c r="AH51">
        <f>I51*I$3</f>
        <v>-36912.000000000036</v>
      </c>
      <c r="AI51">
        <f>J51*J$3</f>
        <v>-153154.50000000128</v>
      </c>
      <c r="AJ51">
        <f>K51*K$3</f>
        <v>-235185.00000000195</v>
      </c>
      <c r="AK51">
        <f>L51*L$3</f>
        <v>62008.000000001433</v>
      </c>
      <c r="AL51">
        <f>M51*M$3</f>
        <v>64145.999999998632</v>
      </c>
      <c r="AM51">
        <f>N51*N$3</f>
        <v>0</v>
      </c>
      <c r="AN51">
        <f>O51*O$3</f>
        <v>0</v>
      </c>
      <c r="AO51">
        <f>P51*P$3</f>
        <v>46611.071339320886</v>
      </c>
      <c r="AP51">
        <f>Q51*Q$3</f>
        <v>-74043.183363109027</v>
      </c>
      <c r="AQ51">
        <f>R51*R$3</f>
        <v>4460.9665756293552</v>
      </c>
      <c r="AR51" s="1">
        <f>S51*S$3</f>
        <v>3087.6174758355337</v>
      </c>
      <c r="AS51" s="1">
        <f t="shared" si="77"/>
        <v>15620.997578979002</v>
      </c>
      <c r="AT51" s="1">
        <f t="shared" si="77"/>
        <v>21205.682700633239</v>
      </c>
      <c r="AU51" s="1">
        <f t="shared" si="77"/>
        <v>0</v>
      </c>
      <c r="AV51" s="1">
        <f t="shared" si="77"/>
        <v>0</v>
      </c>
      <c r="AW51" s="1">
        <f t="shared" si="77"/>
        <v>0</v>
      </c>
      <c r="AX51" s="1">
        <f t="shared" si="8"/>
        <v>-310378.34769271541</v>
      </c>
      <c r="AY51" s="1">
        <f t="shared" si="9"/>
        <v>16943.15230728899</v>
      </c>
      <c r="AZ51" s="1">
        <f t="shared" si="10"/>
        <v>-327321.50000000442</v>
      </c>
    </row>
    <row r="52" spans="1:52" x14ac:dyDescent="0.25">
      <c r="A52" s="4">
        <v>46024</v>
      </c>
      <c r="B52">
        <f t="shared" ref="B52:N52" si="107">(B602-B601)*100</f>
        <v>2.0000000000000018</v>
      </c>
      <c r="C52">
        <f t="shared" si="107"/>
        <v>0.99999999999997868</v>
      </c>
      <c r="D52">
        <f t="shared" si="107"/>
        <v>2.0000000000000018</v>
      </c>
      <c r="E52">
        <f t="shared" si="107"/>
        <v>0.99999999999997868</v>
      </c>
      <c r="F52">
        <f t="shared" si="107"/>
        <v>0.99999999999997868</v>
      </c>
      <c r="G52">
        <f t="shared" si="107"/>
        <v>0.99999999999997868</v>
      </c>
      <c r="H52">
        <f t="shared" si="107"/>
        <v>0</v>
      </c>
      <c r="I52">
        <f t="shared" si="107"/>
        <v>0</v>
      </c>
      <c r="J52">
        <f t="shared" si="107"/>
        <v>-1.0000000000000231</v>
      </c>
      <c r="K52">
        <f t="shared" si="107"/>
        <v>-1.0000000000000231</v>
      </c>
      <c r="L52">
        <f t="shared" si="107"/>
        <v>-1.0000000000000675</v>
      </c>
      <c r="M52">
        <f t="shared" si="107"/>
        <v>-1.9999999999999574</v>
      </c>
      <c r="N52">
        <f t="shared" si="107"/>
        <v>-2.0000000000000462</v>
      </c>
      <c r="O52" s="5">
        <f t="shared" si="93"/>
        <v>-1.1920792047452859E-2</v>
      </c>
      <c r="P52" s="5">
        <f t="shared" si="93"/>
        <v>-2.1186448602852144E-3</v>
      </c>
      <c r="Q52" s="5">
        <f t="shared" si="93"/>
        <v>-4.4546933113126415E-3</v>
      </c>
      <c r="R52" s="5">
        <f t="shared" si="93"/>
        <v>0</v>
      </c>
      <c r="S52" s="5">
        <f t="shared" si="93"/>
        <v>-5.2224091613658902E-3</v>
      </c>
      <c r="T52" s="5">
        <f t="shared" ref="T52:X52" si="108">LN(T601/T602)</f>
        <v>-2.7019967189473244E-4</v>
      </c>
      <c r="U52" s="5">
        <f t="shared" si="108"/>
        <v>-4.7814983213080494E-4</v>
      </c>
      <c r="V52" s="5">
        <f t="shared" si="108"/>
        <v>2.0310689971706243E-3</v>
      </c>
      <c r="W52" s="5">
        <f t="shared" si="108"/>
        <v>2.9454999921136528E-3</v>
      </c>
      <c r="X52" s="5">
        <f t="shared" si="108"/>
        <v>4.1670148563525917E-4</v>
      </c>
      <c r="Z52" s="4">
        <v>46024</v>
      </c>
      <c r="AA52">
        <f>B52*B$3</f>
        <v>-1966.0000000000018</v>
      </c>
      <c r="AB52">
        <f>C52*C$3</f>
        <v>-2583.999999999945</v>
      </c>
      <c r="AC52">
        <f>D52*D$3</f>
        <v>32286.000000000029</v>
      </c>
      <c r="AD52">
        <f>E52*E$3</f>
        <v>2427.9999999999482</v>
      </c>
      <c r="AE52">
        <f>F52*F$3</f>
        <v>-12427.999999999734</v>
      </c>
      <c r="AF52">
        <f>G52*G$3</f>
        <v>-15627.999999999667</v>
      </c>
      <c r="AG52">
        <f>H52*H$3</f>
        <v>0</v>
      </c>
      <c r="AH52">
        <f>I52*I$3</f>
        <v>0</v>
      </c>
      <c r="AI52">
        <f>J52*J$3</f>
        <v>51051.500000001179</v>
      </c>
      <c r="AJ52">
        <f>K52*K$3</f>
        <v>78395.000000001804</v>
      </c>
      <c r="AK52">
        <f>L52*L$3</f>
        <v>-31004.000000002092</v>
      </c>
      <c r="AL52">
        <f>M52*M$3</f>
        <v>-64145.999999998632</v>
      </c>
      <c r="AM52">
        <f>N52*N$3</f>
        <v>0</v>
      </c>
      <c r="AN52">
        <f>O52*O$3</f>
        <v>0</v>
      </c>
      <c r="AO52">
        <f>P52*P$3</f>
        <v>10593.224301426071</v>
      </c>
      <c r="AP52">
        <f>Q52*Q$3</f>
        <v>-53456.319735751698</v>
      </c>
      <c r="AQ52">
        <f>R52*R$3</f>
        <v>0</v>
      </c>
      <c r="AR52" s="1">
        <f>S52*S$3</f>
        <v>36556.864129561232</v>
      </c>
      <c r="AS52" s="1">
        <f t="shared" si="77"/>
        <v>-1080.7986875789297</v>
      </c>
      <c r="AT52" s="1">
        <f t="shared" si="77"/>
        <v>-3825.1986570464396</v>
      </c>
      <c r="AU52" s="1">
        <f t="shared" si="77"/>
        <v>0</v>
      </c>
      <c r="AV52" s="1">
        <f t="shared" si="77"/>
        <v>0</v>
      </c>
      <c r="AW52" s="1">
        <f t="shared" si="77"/>
        <v>0</v>
      </c>
      <c r="AX52" s="1">
        <f t="shared" si="8"/>
        <v>25192.271350613122</v>
      </c>
      <c r="AY52" s="1">
        <f t="shared" si="9"/>
        <v>-11212.228649389768</v>
      </c>
      <c r="AZ52" s="1">
        <f t="shared" si="10"/>
        <v>36404.500000002889</v>
      </c>
    </row>
    <row r="53" spans="1:52" x14ac:dyDescent="0.25">
      <c r="A53" s="4">
        <v>46022</v>
      </c>
      <c r="B53">
        <f t="shared" ref="B53:N53" si="109">(B603-B602)*100</f>
        <v>-9.0000000000000302</v>
      </c>
      <c r="C53">
        <f t="shared" si="109"/>
        <v>-2.0000000000000018</v>
      </c>
      <c r="D53">
        <f t="shared" si="109"/>
        <v>-2.0000000000000018</v>
      </c>
      <c r="E53">
        <f t="shared" si="109"/>
        <v>0</v>
      </c>
      <c r="F53">
        <f t="shared" si="109"/>
        <v>0</v>
      </c>
      <c r="G53">
        <f t="shared" si="109"/>
        <v>-0.99999999999997868</v>
      </c>
      <c r="H53">
        <f t="shared" si="109"/>
        <v>-2.0000000000000018</v>
      </c>
      <c r="I53">
        <f t="shared" si="109"/>
        <v>-4.9999999999999822</v>
      </c>
      <c r="J53">
        <f t="shared" si="109"/>
        <v>-4.9999999999999822</v>
      </c>
      <c r="K53">
        <f t="shared" si="109"/>
        <v>-4.9999999999999822</v>
      </c>
      <c r="L53">
        <f t="shared" si="109"/>
        <v>-4.0000000000000036</v>
      </c>
      <c r="M53">
        <f t="shared" si="109"/>
        <v>-3.0000000000000249</v>
      </c>
      <c r="N53">
        <f t="shared" si="109"/>
        <v>-3.0000000000000249</v>
      </c>
      <c r="O53" s="5">
        <f t="shared" si="93"/>
        <v>0</v>
      </c>
      <c r="P53" s="5">
        <f t="shared" si="93"/>
        <v>0</v>
      </c>
      <c r="Q53" s="5">
        <f t="shared" si="93"/>
        <v>0</v>
      </c>
      <c r="R53" s="5">
        <f t="shared" si="93"/>
        <v>0</v>
      </c>
      <c r="S53" s="5">
        <f t="shared" si="93"/>
        <v>6.7214943134222152E-4</v>
      </c>
      <c r="T53" s="5">
        <f t="shared" ref="T53:X53" si="110">LN(T602/T603)</f>
        <v>2.1756559939025656E-3</v>
      </c>
      <c r="U53" s="5">
        <f t="shared" si="110"/>
        <v>3.2467958388344756E-3</v>
      </c>
      <c r="V53" s="5">
        <f t="shared" si="110"/>
        <v>2.560568720881078E-3</v>
      </c>
      <c r="W53" s="5">
        <f t="shared" si="110"/>
        <v>-3.7302129924436206E-4</v>
      </c>
      <c r="X53" s="5">
        <f t="shared" si="110"/>
        <v>3.7965383486620648E-3</v>
      </c>
      <c r="Z53" s="4">
        <v>46022</v>
      </c>
      <c r="AA53">
        <f>B53*B$3</f>
        <v>8847.0000000000291</v>
      </c>
      <c r="AB53">
        <f>C53*C$3</f>
        <v>5168.0000000000045</v>
      </c>
      <c r="AC53">
        <f>D53*D$3</f>
        <v>-32286.000000000029</v>
      </c>
      <c r="AD53">
        <f>E53*E$3</f>
        <v>0</v>
      </c>
      <c r="AE53">
        <f>F53*F$3</f>
        <v>0</v>
      </c>
      <c r="AF53">
        <f>G53*G$3</f>
        <v>15627.999999999667</v>
      </c>
      <c r="AG53">
        <f>H53*H$3</f>
        <v>56432.000000000051</v>
      </c>
      <c r="AH53">
        <f>I53*I$3</f>
        <v>92279.999999999665</v>
      </c>
      <c r="AI53">
        <f>J53*J$3</f>
        <v>255257.4999999991</v>
      </c>
      <c r="AJ53">
        <f>K53*K$3</f>
        <v>391974.9999999986</v>
      </c>
      <c r="AK53">
        <f>L53*L$3</f>
        <v>-124016.00000000012</v>
      </c>
      <c r="AL53">
        <f>M53*M$3</f>
        <v>-96219.0000000008</v>
      </c>
      <c r="AM53">
        <f>N53*N$3</f>
        <v>0</v>
      </c>
      <c r="AN53">
        <f>O53*O$3</f>
        <v>0</v>
      </c>
      <c r="AO53">
        <f>P53*P$3</f>
        <v>0</v>
      </c>
      <c r="AP53">
        <f>Q53*Q$3</f>
        <v>0</v>
      </c>
      <c r="AQ53">
        <f>R53*R$3</f>
        <v>0</v>
      </c>
      <c r="AR53" s="1">
        <f>S53*S$3</f>
        <v>-4705.0460193955505</v>
      </c>
      <c r="AS53" s="1">
        <f t="shared" ref="AS53:AW68" si="111">T53*T$3</f>
        <v>8702.6239756102623</v>
      </c>
      <c r="AT53" s="1">
        <f t="shared" si="111"/>
        <v>25974.366710675804</v>
      </c>
      <c r="AU53" s="1">
        <f t="shared" si="111"/>
        <v>0</v>
      </c>
      <c r="AV53" s="1">
        <f t="shared" si="111"/>
        <v>0</v>
      </c>
      <c r="AW53" s="1">
        <f t="shared" si="111"/>
        <v>0</v>
      </c>
      <c r="AX53" s="1">
        <f t="shared" si="8"/>
        <v>603038.44466688659</v>
      </c>
      <c r="AY53" s="1">
        <f t="shared" si="9"/>
        <v>29971.944666890515</v>
      </c>
      <c r="AZ53" s="1">
        <f t="shared" si="10"/>
        <v>573066.49999999604</v>
      </c>
    </row>
    <row r="54" spans="1:52" x14ac:dyDescent="0.25">
      <c r="A54" s="4">
        <v>46021</v>
      </c>
      <c r="B54">
        <f t="shared" ref="B54:N54" si="112">(B604-B603)*100</f>
        <v>4.0000000000000036</v>
      </c>
      <c r="C54">
        <f t="shared" si="112"/>
        <v>5.0000000000000266</v>
      </c>
      <c r="D54">
        <f t="shared" si="112"/>
        <v>3.0000000000000249</v>
      </c>
      <c r="E54">
        <f t="shared" si="112"/>
        <v>3.0000000000000249</v>
      </c>
      <c r="F54">
        <f t="shared" si="112"/>
        <v>0</v>
      </c>
      <c r="G54">
        <f t="shared" si="112"/>
        <v>0.99999999999997868</v>
      </c>
      <c r="H54">
        <f t="shared" si="112"/>
        <v>0</v>
      </c>
      <c r="I54">
        <f t="shared" si="112"/>
        <v>0.99999999999997868</v>
      </c>
      <c r="J54">
        <f t="shared" si="112"/>
        <v>-1.0000000000000231</v>
      </c>
      <c r="K54">
        <f t="shared" si="112"/>
        <v>-1.0000000000000231</v>
      </c>
      <c r="L54">
        <f t="shared" si="112"/>
        <v>-1.9999999999999574</v>
      </c>
      <c r="M54">
        <f t="shared" si="112"/>
        <v>-0.99999999999997868</v>
      </c>
      <c r="N54">
        <f t="shared" si="112"/>
        <v>-0.99999999999997868</v>
      </c>
      <c r="O54" s="5">
        <f t="shared" si="93"/>
        <v>-1.2911327187541361E-2</v>
      </c>
      <c r="P54" s="5">
        <f t="shared" si="93"/>
        <v>6.6969779558055612E-3</v>
      </c>
      <c r="Q54" s="5">
        <f t="shared" si="93"/>
        <v>7.3139356286164641E-3</v>
      </c>
      <c r="R54" s="5">
        <f t="shared" si="93"/>
        <v>-8.916630104817922E-4</v>
      </c>
      <c r="S54" s="5">
        <f t="shared" si="93"/>
        <v>1.5404253395728258E-3</v>
      </c>
      <c r="T54" s="5">
        <f t="shared" ref="T54:X54" si="113">LN(T603/T604)</f>
        <v>-1.1847204478318746E-5</v>
      </c>
      <c r="U54" s="5">
        <f t="shared" si="113"/>
        <v>-1.0155286525045516E-3</v>
      </c>
      <c r="V54" s="5">
        <f t="shared" si="113"/>
        <v>-2.8802036784415456E-3</v>
      </c>
      <c r="W54" s="5">
        <f t="shared" si="113"/>
        <v>2.7738114747946829E-3</v>
      </c>
      <c r="X54" s="5">
        <f t="shared" si="113"/>
        <v>-6.8445962094127052E-4</v>
      </c>
      <c r="Z54" s="4">
        <v>46021</v>
      </c>
      <c r="AA54">
        <f>B54*B$3</f>
        <v>-3932.0000000000036</v>
      </c>
      <c r="AB54">
        <f>C54*C$3</f>
        <v>-12920.000000000069</v>
      </c>
      <c r="AC54">
        <f>D54*D$3</f>
        <v>48429.0000000004</v>
      </c>
      <c r="AD54">
        <f>E54*E$3</f>
        <v>7284.00000000006</v>
      </c>
      <c r="AE54">
        <f>F54*F$3</f>
        <v>0</v>
      </c>
      <c r="AF54">
        <f>G54*G$3</f>
        <v>-15627.999999999667</v>
      </c>
      <c r="AG54">
        <f>H54*H$3</f>
        <v>0</v>
      </c>
      <c r="AH54">
        <f>I54*I$3</f>
        <v>-18455.999999999607</v>
      </c>
      <c r="AI54">
        <f>J54*J$3</f>
        <v>51051.500000001179</v>
      </c>
      <c r="AJ54">
        <f>K54*K$3</f>
        <v>78395.000000001804</v>
      </c>
      <c r="AK54">
        <f>L54*L$3</f>
        <v>-62007.999999998676</v>
      </c>
      <c r="AL54">
        <f>M54*M$3</f>
        <v>-32072.999999999316</v>
      </c>
      <c r="AM54">
        <f>N54*N$3</f>
        <v>0</v>
      </c>
      <c r="AN54">
        <f>O54*O$3</f>
        <v>0</v>
      </c>
      <c r="AO54">
        <f>P54*P$3</f>
        <v>-33484.889779027806</v>
      </c>
      <c r="AP54">
        <f>Q54*Q$3</f>
        <v>87767.227543397574</v>
      </c>
      <c r="AQ54">
        <f>R54*R$3</f>
        <v>13374.945157226883</v>
      </c>
      <c r="AR54" s="1">
        <f>S54*S$3</f>
        <v>-10782.97737700978</v>
      </c>
      <c r="AS54" s="1">
        <f t="shared" si="111"/>
        <v>-47.388817913274984</v>
      </c>
      <c r="AT54" s="1">
        <f t="shared" si="111"/>
        <v>-8124.2292200364127</v>
      </c>
      <c r="AU54" s="1">
        <f t="shared" si="111"/>
        <v>0</v>
      </c>
      <c r="AV54" s="1">
        <f t="shared" si="111"/>
        <v>0</v>
      </c>
      <c r="AW54" s="1">
        <f t="shared" si="111"/>
        <v>0</v>
      </c>
      <c r="AX54" s="1">
        <f t="shared" si="8"/>
        <v>88845.187506643284</v>
      </c>
      <c r="AY54" s="1">
        <f t="shared" si="9"/>
        <v>48702.687506637179</v>
      </c>
      <c r="AZ54" s="1">
        <f t="shared" si="10"/>
        <v>40142.500000006105</v>
      </c>
    </row>
    <row r="55" spans="1:52" x14ac:dyDescent="0.25">
      <c r="A55" s="4">
        <v>46020</v>
      </c>
      <c r="B55">
        <f t="shared" ref="B55:N55" si="114">(B605-B604)*100</f>
        <v>1.0000000000000231</v>
      </c>
      <c r="C55">
        <f t="shared" si="114"/>
        <v>2.0000000000000018</v>
      </c>
      <c r="D55">
        <f t="shared" si="114"/>
        <v>-4.0000000000000036</v>
      </c>
      <c r="E55">
        <f t="shared" si="114"/>
        <v>0</v>
      </c>
      <c r="F55">
        <f t="shared" si="114"/>
        <v>-0.99999999999997868</v>
      </c>
      <c r="G55">
        <f t="shared" si="114"/>
        <v>1.0000000000000231</v>
      </c>
      <c r="H55">
        <f t="shared" si="114"/>
        <v>0.99999999999997868</v>
      </c>
      <c r="I55">
        <f t="shared" si="114"/>
        <v>3.0000000000000249</v>
      </c>
      <c r="J55">
        <f t="shared" si="114"/>
        <v>1.0000000000000231</v>
      </c>
      <c r="K55">
        <f t="shared" si="114"/>
        <v>1.0000000000000231</v>
      </c>
      <c r="L55">
        <f t="shared" si="114"/>
        <v>1.9999999999999574</v>
      </c>
      <c r="M55">
        <f t="shared" si="114"/>
        <v>0.99999999999997868</v>
      </c>
      <c r="N55">
        <f t="shared" si="114"/>
        <v>0.99999999999997868</v>
      </c>
      <c r="O55" s="5">
        <f t="shared" ref="O55:S64" si="115">LN(O604/O605)</f>
        <v>5.8661748485593201E-3</v>
      </c>
      <c r="P55" s="5">
        <f t="shared" si="115"/>
        <v>1.8729369360531406E-2</v>
      </c>
      <c r="Q55" s="5">
        <f t="shared" si="115"/>
        <v>-5.5261443287863397E-4</v>
      </c>
      <c r="R55" s="5">
        <f t="shared" si="115"/>
        <v>5.9435365791266363E-4</v>
      </c>
      <c r="S55" s="5">
        <f t="shared" si="115"/>
        <v>4.193953923791246E-3</v>
      </c>
      <c r="T55" s="5">
        <f t="shared" ref="T55:X55" si="116">LN(T604/T605)</f>
        <v>1.0718568594034685E-3</v>
      </c>
      <c r="U55" s="5">
        <f t="shared" si="116"/>
        <v>8.6420047836394955E-4</v>
      </c>
      <c r="V55" s="5">
        <f t="shared" si="116"/>
        <v>2.3868034102352774E-3</v>
      </c>
      <c r="W55" s="5">
        <f t="shared" si="116"/>
        <v>-1.2661160417956139E-3</v>
      </c>
      <c r="X55" s="5">
        <f t="shared" si="116"/>
        <v>1.5089260184730565E-3</v>
      </c>
      <c r="Z55" s="4">
        <v>46020</v>
      </c>
      <c r="AA55">
        <f>B55*B$3</f>
        <v>-983.00000000002274</v>
      </c>
      <c r="AB55">
        <f>C55*C$3</f>
        <v>-5168.0000000000045</v>
      </c>
      <c r="AC55">
        <f>D55*D$3</f>
        <v>-64572.000000000058</v>
      </c>
      <c r="AD55">
        <f>E55*E$3</f>
        <v>0</v>
      </c>
      <c r="AE55">
        <f>F55*F$3</f>
        <v>12427.999999999734</v>
      </c>
      <c r="AF55">
        <f>G55*G$3</f>
        <v>-15628.00000000036</v>
      </c>
      <c r="AG55">
        <f>H55*H$3</f>
        <v>-28215.9999999994</v>
      </c>
      <c r="AH55">
        <f>I55*I$3</f>
        <v>-55368.000000000458</v>
      </c>
      <c r="AI55">
        <f>J55*J$3</f>
        <v>-51051.500000001179</v>
      </c>
      <c r="AJ55">
        <f>K55*K$3</f>
        <v>-78395.000000001804</v>
      </c>
      <c r="AK55">
        <f>L55*L$3</f>
        <v>62007.999999998676</v>
      </c>
      <c r="AL55">
        <f>M55*M$3</f>
        <v>32072.999999999316</v>
      </c>
      <c r="AM55">
        <f>N55*N$3</f>
        <v>0</v>
      </c>
      <c r="AN55">
        <f>O55*O$3</f>
        <v>0</v>
      </c>
      <c r="AO55">
        <f>P55*P$3</f>
        <v>-93646.846802657034</v>
      </c>
      <c r="AP55">
        <f>Q55*Q$3</f>
        <v>-6631.3731945436075</v>
      </c>
      <c r="AQ55">
        <f>R55*R$3</f>
        <v>-8915.3048686899547</v>
      </c>
      <c r="AR55" s="1">
        <f>S55*S$3</f>
        <v>-29357.677466538724</v>
      </c>
      <c r="AS55" s="1">
        <f t="shared" si="111"/>
        <v>4287.4274376138737</v>
      </c>
      <c r="AT55" s="1">
        <f t="shared" si="111"/>
        <v>6913.6038269115961</v>
      </c>
      <c r="AU55" s="1">
        <f t="shared" si="111"/>
        <v>0</v>
      </c>
      <c r="AV55" s="1">
        <f t="shared" si="111"/>
        <v>0</v>
      </c>
      <c r="AW55" s="1">
        <f t="shared" si="111"/>
        <v>0</v>
      </c>
      <c r="AX55" s="1">
        <f t="shared" si="8"/>
        <v>-320222.6710679094</v>
      </c>
      <c r="AY55" s="1">
        <f t="shared" si="9"/>
        <v>-127350.17106790387</v>
      </c>
      <c r="AZ55" s="1">
        <f t="shared" si="10"/>
        <v>-192872.50000000553</v>
      </c>
    </row>
    <row r="56" spans="1:52" x14ac:dyDescent="0.25">
      <c r="A56" s="4">
        <v>46017</v>
      </c>
      <c r="B56">
        <f t="shared" ref="B56:N56" si="117">(B606-B605)*100</f>
        <v>2.0000000000000018</v>
      </c>
      <c r="C56">
        <f t="shared" si="117"/>
        <v>2.0000000000000018</v>
      </c>
      <c r="D56">
        <f t="shared" si="117"/>
        <v>4.9999999999999822</v>
      </c>
      <c r="E56">
        <f t="shared" si="117"/>
        <v>0.99999999999997868</v>
      </c>
      <c r="F56">
        <f t="shared" si="117"/>
        <v>0.99999999999997868</v>
      </c>
      <c r="G56">
        <f t="shared" si="117"/>
        <v>0.99999999999997868</v>
      </c>
      <c r="H56">
        <f t="shared" si="117"/>
        <v>1.0000000000000231</v>
      </c>
      <c r="I56">
        <f t="shared" si="117"/>
        <v>2.0000000000000018</v>
      </c>
      <c r="J56">
        <f t="shared" si="117"/>
        <v>2.0000000000000018</v>
      </c>
      <c r="K56">
        <f t="shared" si="117"/>
        <v>2.0000000000000018</v>
      </c>
      <c r="L56">
        <f t="shared" si="117"/>
        <v>1.0000000000000675</v>
      </c>
      <c r="M56">
        <f t="shared" si="117"/>
        <v>-0.99999999999997868</v>
      </c>
      <c r="N56">
        <f t="shared" si="117"/>
        <v>-1.9999999999999574</v>
      </c>
      <c r="O56" s="5">
        <f t="shared" si="115"/>
        <v>1.1556937253666166E-3</v>
      </c>
      <c r="P56" s="5">
        <f t="shared" si="115"/>
        <v>-1.4253046718211667E-2</v>
      </c>
      <c r="Q56" s="5">
        <f t="shared" si="115"/>
        <v>-1.5456977485127539E-3</v>
      </c>
      <c r="R56" s="5">
        <f t="shared" si="115"/>
        <v>0</v>
      </c>
      <c r="S56" s="5">
        <f t="shared" si="115"/>
        <v>-2.7236111359217764E-3</v>
      </c>
      <c r="T56" s="5">
        <f t="shared" ref="T56:X56" si="118">LN(T605/T606)</f>
        <v>8.6082287804472722E-4</v>
      </c>
      <c r="U56" s="5">
        <f t="shared" si="118"/>
        <v>3.445361128878951E-4</v>
      </c>
      <c r="V56" s="5">
        <f t="shared" si="118"/>
        <v>-5.5080309576278777E-4</v>
      </c>
      <c r="W56" s="5">
        <f t="shared" si="118"/>
        <v>-5.5241249305444727E-4</v>
      </c>
      <c r="X56" s="5">
        <f t="shared" si="118"/>
        <v>7.616380564322865E-4</v>
      </c>
      <c r="Z56" s="4">
        <v>46017</v>
      </c>
      <c r="AA56">
        <f>B56*B$3</f>
        <v>-1966.0000000000018</v>
      </c>
      <c r="AB56">
        <f>C56*C$3</f>
        <v>-5168.0000000000045</v>
      </c>
      <c r="AC56">
        <f>D56*D$3</f>
        <v>80714.999999999709</v>
      </c>
      <c r="AD56">
        <f>E56*E$3</f>
        <v>2427.9999999999482</v>
      </c>
      <c r="AE56">
        <f>F56*F$3</f>
        <v>-12427.999999999734</v>
      </c>
      <c r="AF56">
        <f>G56*G$3</f>
        <v>-15627.999999999667</v>
      </c>
      <c r="AG56">
        <f>H56*H$3</f>
        <v>-28216.000000000651</v>
      </c>
      <c r="AH56">
        <f>I56*I$3</f>
        <v>-36912.000000000036</v>
      </c>
      <c r="AI56">
        <f>J56*J$3</f>
        <v>-102103.00000000009</v>
      </c>
      <c r="AJ56">
        <f>K56*K$3</f>
        <v>-156790.00000000015</v>
      </c>
      <c r="AK56">
        <f>L56*L$3</f>
        <v>31004.000000002092</v>
      </c>
      <c r="AL56">
        <f>M56*M$3</f>
        <v>-32072.999999999316</v>
      </c>
      <c r="AM56">
        <f>N56*N$3</f>
        <v>0</v>
      </c>
      <c r="AN56">
        <f>O56*O$3</f>
        <v>0</v>
      </c>
      <c r="AO56">
        <f>P56*P$3</f>
        <v>71265.233591058335</v>
      </c>
      <c r="AP56">
        <f>Q56*Q$3</f>
        <v>-18548.372982153047</v>
      </c>
      <c r="AQ56">
        <f>R56*R$3</f>
        <v>0</v>
      </c>
      <c r="AR56" s="1">
        <f>S56*S$3</f>
        <v>19065.277951452434</v>
      </c>
      <c r="AS56" s="1">
        <f t="shared" si="111"/>
        <v>3443.2915121789088</v>
      </c>
      <c r="AT56" s="1">
        <f t="shared" si="111"/>
        <v>2756.2889031031609</v>
      </c>
      <c r="AU56" s="1">
        <f t="shared" si="111"/>
        <v>0</v>
      </c>
      <c r="AV56" s="1">
        <f t="shared" si="111"/>
        <v>0</v>
      </c>
      <c r="AW56" s="1">
        <f t="shared" si="111"/>
        <v>0</v>
      </c>
      <c r="AX56" s="1">
        <f t="shared" si="8"/>
        <v>-199155.28102435812</v>
      </c>
      <c r="AY56" s="1">
        <f t="shared" si="9"/>
        <v>77981.7189756398</v>
      </c>
      <c r="AZ56" s="1">
        <f t="shared" si="10"/>
        <v>-277136.9999999979</v>
      </c>
    </row>
    <row r="57" spans="1:52" x14ac:dyDescent="0.25">
      <c r="A57" s="4">
        <v>46015</v>
      </c>
      <c r="B57">
        <f t="shared" ref="B57:N57" si="119">(B607-B606)*100</f>
        <v>-1.0000000000000231</v>
      </c>
      <c r="C57">
        <f t="shared" si="119"/>
        <v>-4.0000000000000036</v>
      </c>
      <c r="D57">
        <f t="shared" si="119"/>
        <v>-4.0000000000000036</v>
      </c>
      <c r="E57">
        <f t="shared" si="119"/>
        <v>-0.99999999999997868</v>
      </c>
      <c r="F57">
        <f t="shared" si="119"/>
        <v>0</v>
      </c>
      <c r="G57">
        <f t="shared" si="119"/>
        <v>2.0000000000000018</v>
      </c>
      <c r="H57">
        <f t="shared" si="119"/>
        <v>0.99999999999997868</v>
      </c>
      <c r="I57">
        <f t="shared" si="119"/>
        <v>2.0000000000000018</v>
      </c>
      <c r="J57">
        <f t="shared" si="119"/>
        <v>2.0000000000000018</v>
      </c>
      <c r="K57">
        <f t="shared" si="119"/>
        <v>2.9999999999999805</v>
      </c>
      <c r="L57">
        <f t="shared" si="119"/>
        <v>2.9999999999999361</v>
      </c>
      <c r="M57">
        <f t="shared" si="119"/>
        <v>3.0000000000000249</v>
      </c>
      <c r="N57">
        <f t="shared" si="119"/>
        <v>4.0000000000000036</v>
      </c>
      <c r="O57" s="5">
        <f t="shared" si="115"/>
        <v>-5.2979779013504515E-3</v>
      </c>
      <c r="P57" s="5">
        <f t="shared" si="115"/>
        <v>-4.5375761827270216E-3</v>
      </c>
      <c r="Q57" s="5">
        <f t="shared" si="115"/>
        <v>-2.15997086467937E-3</v>
      </c>
      <c r="R57" s="5">
        <f t="shared" si="115"/>
        <v>-2.9722098598961597E-4</v>
      </c>
      <c r="S57" s="5">
        <f t="shared" si="115"/>
        <v>1.4613443619764515E-3</v>
      </c>
      <c r="T57" s="5">
        <f t="shared" ref="T57:X57" si="120">LN(T606/T607)</f>
        <v>-2.5094133829193957E-3</v>
      </c>
      <c r="U57" s="5">
        <f t="shared" si="120"/>
        <v>-3.2393530116890017E-3</v>
      </c>
      <c r="V57" s="5">
        <f t="shared" si="120"/>
        <v>-4.4785082010597053E-3</v>
      </c>
      <c r="W57" s="5">
        <f t="shared" si="120"/>
        <v>-6.5118617828444289E-3</v>
      </c>
      <c r="X57" s="5">
        <f t="shared" si="120"/>
        <v>-5.041534942745572E-3</v>
      </c>
      <c r="Z57" s="4">
        <v>46015</v>
      </c>
      <c r="AA57">
        <f>B57*B$3</f>
        <v>983.00000000002274</v>
      </c>
      <c r="AB57">
        <f>C57*C$3</f>
        <v>10336.000000000009</v>
      </c>
      <c r="AC57">
        <f>D57*D$3</f>
        <v>-64572.000000000058</v>
      </c>
      <c r="AD57">
        <f>E57*E$3</f>
        <v>-2427.9999999999482</v>
      </c>
      <c r="AE57">
        <f>F57*F$3</f>
        <v>0</v>
      </c>
      <c r="AF57">
        <f>G57*G$3</f>
        <v>-31256.000000000029</v>
      </c>
      <c r="AG57">
        <f>H57*H$3</f>
        <v>-28215.9999999994</v>
      </c>
      <c r="AH57">
        <f>I57*I$3</f>
        <v>-36912.000000000036</v>
      </c>
      <c r="AI57">
        <f>J57*J$3</f>
        <v>-102103.00000000009</v>
      </c>
      <c r="AJ57">
        <f>K57*K$3</f>
        <v>-235184.99999999846</v>
      </c>
      <c r="AK57">
        <f>L57*L$3</f>
        <v>93011.999999998021</v>
      </c>
      <c r="AL57">
        <f>M57*M$3</f>
        <v>96219.0000000008</v>
      </c>
      <c r="AM57">
        <f>N57*N$3</f>
        <v>0</v>
      </c>
      <c r="AN57">
        <f>O57*O$3</f>
        <v>0</v>
      </c>
      <c r="AO57">
        <f>P57*P$3</f>
        <v>22687.880913635108</v>
      </c>
      <c r="AP57">
        <f>Q57*Q$3</f>
        <v>-25919.65037615244</v>
      </c>
      <c r="AQ57">
        <f>R57*R$3</f>
        <v>4458.3147898442394</v>
      </c>
      <c r="AR57" s="1">
        <f>S57*S$3</f>
        <v>-10229.41053383516</v>
      </c>
      <c r="AS57" s="1">
        <f t="shared" si="111"/>
        <v>-10037.653531677583</v>
      </c>
      <c r="AT57" s="1">
        <f t="shared" si="111"/>
        <v>-25914.824093512012</v>
      </c>
      <c r="AU57" s="1">
        <f t="shared" si="111"/>
        <v>0</v>
      </c>
      <c r="AV57" s="1">
        <f t="shared" si="111"/>
        <v>0</v>
      </c>
      <c r="AW57" s="1">
        <f t="shared" si="111"/>
        <v>0</v>
      </c>
      <c r="AX57" s="1">
        <f t="shared" si="8"/>
        <v>-345077.34283169702</v>
      </c>
      <c r="AY57" s="1">
        <f t="shared" si="9"/>
        <v>-44955.342831697846</v>
      </c>
      <c r="AZ57" s="1">
        <f t="shared" si="10"/>
        <v>-300121.99999999919</v>
      </c>
    </row>
    <row r="58" spans="1:52" x14ac:dyDescent="0.25">
      <c r="A58" s="4">
        <v>46014</v>
      </c>
      <c r="B58">
        <f t="shared" ref="B58:N58" si="121">(B608-B607)*100</f>
        <v>1.0000000000000231</v>
      </c>
      <c r="C58">
        <f t="shared" si="121"/>
        <v>0.99999999999997868</v>
      </c>
      <c r="D58">
        <f t="shared" si="121"/>
        <v>-0.99999999999997868</v>
      </c>
      <c r="E58">
        <f t="shared" si="121"/>
        <v>-1.0000000000000231</v>
      </c>
      <c r="F58">
        <f t="shared" si="121"/>
        <v>1.0000000000000231</v>
      </c>
      <c r="G58">
        <f t="shared" si="121"/>
        <v>0.99999999999997868</v>
      </c>
      <c r="H58">
        <f t="shared" si="121"/>
        <v>-4.0000000000000036</v>
      </c>
      <c r="I58">
        <f t="shared" si="121"/>
        <v>-2.0000000000000018</v>
      </c>
      <c r="J58">
        <f t="shared" si="121"/>
        <v>-1.0000000000000231</v>
      </c>
      <c r="K58">
        <f t="shared" si="121"/>
        <v>-0.99999999999997868</v>
      </c>
      <c r="L58">
        <f t="shared" si="121"/>
        <v>-0.99999999999997868</v>
      </c>
      <c r="M58">
        <f t="shared" si="121"/>
        <v>0</v>
      </c>
      <c r="N58">
        <f t="shared" si="121"/>
        <v>0.99999999999997868</v>
      </c>
      <c r="O58" s="5">
        <f t="shared" si="115"/>
        <v>4.5755128191727265E-3</v>
      </c>
      <c r="P58" s="5">
        <f t="shared" si="115"/>
        <v>-7.9576016733140884E-3</v>
      </c>
      <c r="Q58" s="5">
        <f t="shared" si="115"/>
        <v>-1.6498931312416702E-3</v>
      </c>
      <c r="R58" s="5">
        <f t="shared" si="115"/>
        <v>-5.9417708224621113E-4</v>
      </c>
      <c r="S58" s="5">
        <f t="shared" si="115"/>
        <v>-3.6771711648103675E-3</v>
      </c>
      <c r="T58" s="5">
        <f t="shared" ref="T58:X58" si="122">LN(T607/T608)</f>
        <v>-4.9294575555510547E-3</v>
      </c>
      <c r="U58" s="5">
        <f t="shared" si="122"/>
        <v>-6.9184202414084416E-3</v>
      </c>
      <c r="V58" s="5">
        <f t="shared" si="122"/>
        <v>-5.0802103677389946E-3</v>
      </c>
      <c r="W58" s="5">
        <f t="shared" si="122"/>
        <v>-7.2657384015205198E-3</v>
      </c>
      <c r="X58" s="5">
        <f t="shared" si="122"/>
        <v>-5.5441781763984396E-3</v>
      </c>
      <c r="Z58" s="4">
        <v>46014</v>
      </c>
      <c r="AA58">
        <f>B58*B$3</f>
        <v>-983.00000000002274</v>
      </c>
      <c r="AB58">
        <f>C58*C$3</f>
        <v>-2583.999999999945</v>
      </c>
      <c r="AC58">
        <f>D58*D$3</f>
        <v>-16142.999999999656</v>
      </c>
      <c r="AD58">
        <f>E58*E$3</f>
        <v>-2428.0000000000559</v>
      </c>
      <c r="AE58">
        <f>F58*F$3</f>
        <v>-12428.000000000287</v>
      </c>
      <c r="AF58">
        <f>G58*G$3</f>
        <v>-15627.999999999667</v>
      </c>
      <c r="AG58">
        <f>H58*H$3</f>
        <v>112864.0000000001</v>
      </c>
      <c r="AH58">
        <f>I58*I$3</f>
        <v>36912.000000000036</v>
      </c>
      <c r="AI58">
        <f>J58*J$3</f>
        <v>51051.500000001179</v>
      </c>
      <c r="AJ58">
        <f>K58*K$3</f>
        <v>78394.999999998327</v>
      </c>
      <c r="AK58">
        <f>L58*L$3</f>
        <v>-31003.999999999338</v>
      </c>
      <c r="AL58">
        <f>M58*M$3</f>
        <v>0</v>
      </c>
      <c r="AM58">
        <f>N58*N$3</f>
        <v>0</v>
      </c>
      <c r="AN58">
        <f>O58*O$3</f>
        <v>0</v>
      </c>
      <c r="AO58">
        <f>P58*P$3</f>
        <v>39788.008366570444</v>
      </c>
      <c r="AP58">
        <f>Q58*Q$3</f>
        <v>-19798.717574900042</v>
      </c>
      <c r="AQ58">
        <f>R58*R$3</f>
        <v>8912.6562336931675</v>
      </c>
      <c r="AR58" s="1">
        <f>S58*S$3</f>
        <v>25740.198153672573</v>
      </c>
      <c r="AS58" s="1">
        <f t="shared" si="111"/>
        <v>-19717.830222204218</v>
      </c>
      <c r="AT58" s="1">
        <f t="shared" si="111"/>
        <v>-55347.361931267536</v>
      </c>
      <c r="AU58" s="1">
        <f t="shared" si="111"/>
        <v>0</v>
      </c>
      <c r="AV58" s="1">
        <f t="shared" si="111"/>
        <v>0</v>
      </c>
      <c r="AW58" s="1">
        <f t="shared" si="111"/>
        <v>0</v>
      </c>
      <c r="AX58" s="1">
        <f t="shared" si="8"/>
        <v>177601.45302556502</v>
      </c>
      <c r="AY58" s="1">
        <f t="shared" si="9"/>
        <v>-20423.046974435609</v>
      </c>
      <c r="AZ58" s="1">
        <f t="shared" si="10"/>
        <v>198024.50000000064</v>
      </c>
    </row>
    <row r="59" spans="1:52" x14ac:dyDescent="0.25">
      <c r="A59" s="4">
        <v>46013</v>
      </c>
      <c r="B59">
        <f t="shared" ref="B59:N59" si="123">(B609-B608)*100</f>
        <v>-1.0000000000000231</v>
      </c>
      <c r="C59">
        <f t="shared" si="123"/>
        <v>1.0000000000000231</v>
      </c>
      <c r="D59">
        <f t="shared" si="123"/>
        <v>-2.0000000000000018</v>
      </c>
      <c r="E59">
        <f t="shared" si="123"/>
        <v>-0.99999999999997868</v>
      </c>
      <c r="F59">
        <f t="shared" si="123"/>
        <v>0</v>
      </c>
      <c r="G59">
        <f t="shared" si="123"/>
        <v>-2.0000000000000018</v>
      </c>
      <c r="H59">
        <f t="shared" si="123"/>
        <v>4.0000000000000036</v>
      </c>
      <c r="I59">
        <f t="shared" si="123"/>
        <v>-3.0000000000000249</v>
      </c>
      <c r="J59">
        <f t="shared" si="123"/>
        <v>-0.99999999999997868</v>
      </c>
      <c r="K59">
        <f t="shared" si="123"/>
        <v>-2.0000000000000018</v>
      </c>
      <c r="L59">
        <f t="shared" si="123"/>
        <v>-0.99999999999997868</v>
      </c>
      <c r="M59">
        <f t="shared" si="123"/>
        <v>-1.0000000000000675</v>
      </c>
      <c r="N59">
        <f t="shared" si="123"/>
        <v>-1.9999999999999574</v>
      </c>
      <c r="O59" s="5">
        <f t="shared" si="115"/>
        <v>4.1431900271361099E-3</v>
      </c>
      <c r="P59" s="5">
        <f t="shared" si="115"/>
        <v>-9.8064487838957493E-3</v>
      </c>
      <c r="Q59" s="5">
        <f t="shared" si="115"/>
        <v>-5.5784328914060986E-3</v>
      </c>
      <c r="R59" s="5">
        <f t="shared" si="115"/>
        <v>0</v>
      </c>
      <c r="S59" s="5">
        <f t="shared" si="115"/>
        <v>-9.8941115878311572E-4</v>
      </c>
      <c r="T59" s="5">
        <f t="shared" ref="T59:X59" si="124">LN(T608/T609)</f>
        <v>1.499771642548867E-3</v>
      </c>
      <c r="U59" s="5">
        <f t="shared" si="124"/>
        <v>6.2494576075082997E-4</v>
      </c>
      <c r="V59" s="5">
        <f t="shared" si="124"/>
        <v>1.3343638185063629E-2</v>
      </c>
      <c r="W59" s="5">
        <f t="shared" si="124"/>
        <v>5.4484349898874772E-4</v>
      </c>
      <c r="X59" s="5">
        <f t="shared" si="124"/>
        <v>2.2895745850119941E-3</v>
      </c>
      <c r="Z59" s="4">
        <v>46013</v>
      </c>
      <c r="AA59">
        <f>B59*B$3</f>
        <v>983.00000000002274</v>
      </c>
      <c r="AB59">
        <f>C59*C$3</f>
        <v>-2584.0000000000596</v>
      </c>
      <c r="AC59">
        <f>D59*D$3</f>
        <v>-32286.000000000029</v>
      </c>
      <c r="AD59">
        <f>E59*E$3</f>
        <v>-2427.9999999999482</v>
      </c>
      <c r="AE59">
        <f>F59*F$3</f>
        <v>0</v>
      </c>
      <c r="AF59">
        <f>G59*G$3</f>
        <v>31256.000000000029</v>
      </c>
      <c r="AG59">
        <f>H59*H$3</f>
        <v>-112864.0000000001</v>
      </c>
      <c r="AH59">
        <f>I59*I$3</f>
        <v>55368.000000000458</v>
      </c>
      <c r="AI59">
        <f>J59*J$3</f>
        <v>51051.499999998909</v>
      </c>
      <c r="AJ59">
        <f>K59*K$3</f>
        <v>156790.00000000015</v>
      </c>
      <c r="AK59">
        <f>L59*L$3</f>
        <v>-31003.999999999338</v>
      </c>
      <c r="AL59">
        <f>M59*M$3</f>
        <v>-32073.000000002165</v>
      </c>
      <c r="AM59">
        <f>N59*N$3</f>
        <v>0</v>
      </c>
      <c r="AN59">
        <f>O59*O$3</f>
        <v>0</v>
      </c>
      <c r="AO59">
        <f>P59*P$3</f>
        <v>49032.243919478744</v>
      </c>
      <c r="AP59">
        <f>Q59*Q$3</f>
        <v>-66941.194696873179</v>
      </c>
      <c r="AQ59">
        <f>R59*R$3</f>
        <v>0</v>
      </c>
      <c r="AR59" s="1">
        <f>S59*S$3</f>
        <v>6925.8781114818103</v>
      </c>
      <c r="AS59" s="1">
        <f t="shared" si="111"/>
        <v>5999.0865701954681</v>
      </c>
      <c r="AT59" s="1">
        <f t="shared" si="111"/>
        <v>4999.56608600664</v>
      </c>
      <c r="AU59" s="1">
        <f t="shared" si="111"/>
        <v>0</v>
      </c>
      <c r="AV59" s="1">
        <f t="shared" si="111"/>
        <v>0</v>
      </c>
      <c r="AW59" s="1">
        <f t="shared" si="111"/>
        <v>0</v>
      </c>
      <c r="AX59" s="1">
        <f t="shared" si="8"/>
        <v>82225.079990287399</v>
      </c>
      <c r="AY59" s="1">
        <f t="shared" si="9"/>
        <v>15.579990289483248</v>
      </c>
      <c r="AZ59" s="1">
        <f t="shared" si="10"/>
        <v>82209.499999997919</v>
      </c>
    </row>
    <row r="60" spans="1:52" x14ac:dyDescent="0.25">
      <c r="A60" s="4">
        <v>46010</v>
      </c>
      <c r="B60">
        <f t="shared" ref="B60:N60" si="125">(B610-B609)*100</f>
        <v>0</v>
      </c>
      <c r="C60">
        <f t="shared" si="125"/>
        <v>0</v>
      </c>
      <c r="D60">
        <f t="shared" si="125"/>
        <v>0</v>
      </c>
      <c r="E60">
        <f t="shared" si="125"/>
        <v>-1.0000000000000231</v>
      </c>
      <c r="F60">
        <f t="shared" si="125"/>
        <v>-2.0000000000000018</v>
      </c>
      <c r="G60">
        <f t="shared" si="125"/>
        <v>-1.9999999999999574</v>
      </c>
      <c r="H60">
        <f t="shared" si="125"/>
        <v>-2.0000000000000018</v>
      </c>
      <c r="I60">
        <f t="shared" si="125"/>
        <v>-2.9999999999999805</v>
      </c>
      <c r="J60">
        <f t="shared" si="125"/>
        <v>-4.0000000000000036</v>
      </c>
      <c r="K60">
        <f t="shared" si="125"/>
        <v>-4.0000000000000036</v>
      </c>
      <c r="L60">
        <f t="shared" si="125"/>
        <v>-4.0000000000000036</v>
      </c>
      <c r="M60">
        <f t="shared" si="125"/>
        <v>-2.9999999999999361</v>
      </c>
      <c r="N60">
        <f t="shared" si="125"/>
        <v>-2.0000000000000462</v>
      </c>
      <c r="O60" s="5">
        <f t="shared" si="115"/>
        <v>-2.2275152504811083E-3</v>
      </c>
      <c r="P60" s="5">
        <f t="shared" si="115"/>
        <v>-9.2965788102294389E-3</v>
      </c>
      <c r="Q60" s="5">
        <f t="shared" si="115"/>
        <v>-2.684946276911509E-3</v>
      </c>
      <c r="R60" s="5">
        <f t="shared" si="115"/>
        <v>0</v>
      </c>
      <c r="S60" s="5">
        <f t="shared" si="115"/>
        <v>-2.110958660823738E-4</v>
      </c>
      <c r="T60" s="5">
        <f t="shared" ref="T60:X60" si="126">LN(T609/T610)</f>
        <v>1.4197636190469564E-3</v>
      </c>
      <c r="U60" s="5">
        <f t="shared" si="126"/>
        <v>-8.0684583091590459E-4</v>
      </c>
      <c r="V60" s="5">
        <f t="shared" si="126"/>
        <v>5.8507862853701058E-4</v>
      </c>
      <c r="W60" s="5">
        <f t="shared" si="126"/>
        <v>-1.8613910362916563E-3</v>
      </c>
      <c r="X60" s="5">
        <f t="shared" si="126"/>
        <v>-1.4976082141011768E-3</v>
      </c>
      <c r="Z60" s="4">
        <v>46010</v>
      </c>
      <c r="AA60">
        <f>B60*B$3</f>
        <v>0</v>
      </c>
      <c r="AB60">
        <f>C60*C$3</f>
        <v>0</v>
      </c>
      <c r="AC60">
        <f>D60*D$3</f>
        <v>0</v>
      </c>
      <c r="AD60">
        <f>E60*E$3</f>
        <v>-2428.0000000000559</v>
      </c>
      <c r="AE60">
        <f>F60*F$3</f>
        <v>24856.000000000022</v>
      </c>
      <c r="AF60">
        <f>G60*G$3</f>
        <v>31255.999999999334</v>
      </c>
      <c r="AG60">
        <f>H60*H$3</f>
        <v>56432.000000000051</v>
      </c>
      <c r="AH60">
        <f>I60*I$3</f>
        <v>55367.999999999636</v>
      </c>
      <c r="AI60">
        <f>J60*J$3</f>
        <v>204206.00000000017</v>
      </c>
      <c r="AJ60">
        <f>K60*K$3</f>
        <v>313580.00000000029</v>
      </c>
      <c r="AK60">
        <f>L60*L$3</f>
        <v>-124016.00000000012</v>
      </c>
      <c r="AL60">
        <f>M60*M$3</f>
        <v>-96218.999999997948</v>
      </c>
      <c r="AM60">
        <f>N60*N$3</f>
        <v>0</v>
      </c>
      <c r="AN60">
        <f>O60*O$3</f>
        <v>0</v>
      </c>
      <c r="AO60">
        <f>P60*P$3</f>
        <v>46482.894051147196</v>
      </c>
      <c r="AP60">
        <f>Q60*Q$3</f>
        <v>-32219.355322938107</v>
      </c>
      <c r="AQ60">
        <f>R60*R$3</f>
        <v>0</v>
      </c>
      <c r="AR60" s="1">
        <f>S60*S$3</f>
        <v>1477.6710625766166</v>
      </c>
      <c r="AS60" s="1">
        <f t="shared" si="111"/>
        <v>5679.0544761878255</v>
      </c>
      <c r="AT60" s="1">
        <f t="shared" si="111"/>
        <v>-6454.7666473272366</v>
      </c>
      <c r="AU60" s="1">
        <f t="shared" si="111"/>
        <v>0</v>
      </c>
      <c r="AV60" s="1">
        <f t="shared" si="111"/>
        <v>0</v>
      </c>
      <c r="AW60" s="1">
        <f t="shared" si="111"/>
        <v>0</v>
      </c>
      <c r="AX60" s="1">
        <f t="shared" si="8"/>
        <v>478000.49761964777</v>
      </c>
      <c r="AY60" s="1">
        <f t="shared" si="9"/>
        <v>14965.497619646296</v>
      </c>
      <c r="AZ60" s="1">
        <f t="shared" si="10"/>
        <v>463035.00000000146</v>
      </c>
    </row>
    <row r="61" spans="1:52" x14ac:dyDescent="0.25">
      <c r="A61" s="4">
        <v>46009</v>
      </c>
      <c r="B61">
        <f t="shared" ref="B61:N61" si="127">(B611-B610)*100</f>
        <v>2.0000000000000018</v>
      </c>
      <c r="C61">
        <f t="shared" si="127"/>
        <v>0.99999999999997868</v>
      </c>
      <c r="D61">
        <f t="shared" si="127"/>
        <v>2.0000000000000018</v>
      </c>
      <c r="E61">
        <f t="shared" si="127"/>
        <v>2.0000000000000018</v>
      </c>
      <c r="F61">
        <f t="shared" si="127"/>
        <v>0.99999999999997868</v>
      </c>
      <c r="G61">
        <f t="shared" si="127"/>
        <v>1.9999999999999574</v>
      </c>
      <c r="H61">
        <f t="shared" si="127"/>
        <v>3.0000000000000249</v>
      </c>
      <c r="I61">
        <f t="shared" si="127"/>
        <v>2.9999999999999805</v>
      </c>
      <c r="J61">
        <f t="shared" si="127"/>
        <v>4.0000000000000036</v>
      </c>
      <c r="K61">
        <f t="shared" si="127"/>
        <v>4.0000000000000036</v>
      </c>
      <c r="L61">
        <f t="shared" si="127"/>
        <v>4.0000000000000036</v>
      </c>
      <c r="M61">
        <f t="shared" si="127"/>
        <v>4.0000000000000036</v>
      </c>
      <c r="N61">
        <f t="shared" si="127"/>
        <v>3.0000000000000249</v>
      </c>
      <c r="O61" s="5">
        <f t="shared" si="115"/>
        <v>3.442967974789081E-3</v>
      </c>
      <c r="P61" s="5">
        <f t="shared" si="115"/>
        <v>-2.3300981416227323E-3</v>
      </c>
      <c r="Q61" s="5">
        <f t="shared" si="115"/>
        <v>4.0520154393080335E-3</v>
      </c>
      <c r="R61" s="5">
        <f t="shared" si="115"/>
        <v>-2.9695620114277802E-4</v>
      </c>
      <c r="S61" s="5">
        <f t="shared" si="115"/>
        <v>-6.7742779933457886E-4</v>
      </c>
      <c r="T61" s="5">
        <f t="shared" ref="T61:X61" si="128">LN(T610/T611)</f>
        <v>6.1076693234831444E-4</v>
      </c>
      <c r="U61" s="5">
        <f t="shared" si="128"/>
        <v>3.7612920670705009E-3</v>
      </c>
      <c r="V61" s="5">
        <f t="shared" si="128"/>
        <v>4.6217139557032756E-3</v>
      </c>
      <c r="W61" s="5">
        <f t="shared" si="128"/>
        <v>4.9110480787383556E-3</v>
      </c>
      <c r="X61" s="5">
        <f t="shared" si="128"/>
        <v>0</v>
      </c>
      <c r="Z61" s="4">
        <v>46009</v>
      </c>
      <c r="AA61">
        <f>B61*B$3</f>
        <v>-1966.0000000000018</v>
      </c>
      <c r="AB61">
        <f>C61*C$3</f>
        <v>-2583.999999999945</v>
      </c>
      <c r="AC61">
        <f>D61*D$3</f>
        <v>32286.000000000029</v>
      </c>
      <c r="AD61">
        <f>E61*E$3</f>
        <v>4856.0000000000045</v>
      </c>
      <c r="AE61">
        <f>F61*F$3</f>
        <v>-12427.999999999734</v>
      </c>
      <c r="AF61">
        <f>G61*G$3</f>
        <v>-31255.999999999334</v>
      </c>
      <c r="AG61">
        <f>H61*H$3</f>
        <v>-84648.000000000698</v>
      </c>
      <c r="AH61">
        <f>I61*I$3</f>
        <v>-55367.999999999636</v>
      </c>
      <c r="AI61">
        <f>J61*J$3</f>
        <v>-204206.00000000017</v>
      </c>
      <c r="AJ61">
        <f>K61*K$3</f>
        <v>-313580.00000000029</v>
      </c>
      <c r="AK61">
        <f>L61*L$3</f>
        <v>124016.00000000012</v>
      </c>
      <c r="AL61">
        <f>M61*M$3</f>
        <v>128292.00000000012</v>
      </c>
      <c r="AM61">
        <f>N61*N$3</f>
        <v>0</v>
      </c>
      <c r="AN61">
        <f>O61*O$3</f>
        <v>0</v>
      </c>
      <c r="AO61">
        <f>P61*P$3</f>
        <v>11650.490708113661</v>
      </c>
      <c r="AP61">
        <f>Q61*Q$3</f>
        <v>48624.185271696399</v>
      </c>
      <c r="AQ61">
        <f>R61*R$3</f>
        <v>4454.3430171416703</v>
      </c>
      <c r="AR61" s="1">
        <f>S61*S$3</f>
        <v>4741.994595342052</v>
      </c>
      <c r="AS61" s="1">
        <f t="shared" si="111"/>
        <v>2443.0677293932577</v>
      </c>
      <c r="AT61" s="1">
        <f t="shared" si="111"/>
        <v>30090.336536564006</v>
      </c>
      <c r="AU61" s="1">
        <f t="shared" si="111"/>
        <v>0</v>
      </c>
      <c r="AV61" s="1">
        <f t="shared" si="111"/>
        <v>0</v>
      </c>
      <c r="AW61" s="1">
        <f t="shared" si="111"/>
        <v>0</v>
      </c>
      <c r="AX61" s="1">
        <f t="shared" si="8"/>
        <v>-314581.58214174851</v>
      </c>
      <c r="AY61" s="1">
        <f t="shared" si="9"/>
        <v>102004.41785825104</v>
      </c>
      <c r="AZ61" s="1">
        <f t="shared" si="10"/>
        <v>-416585.99999999953</v>
      </c>
    </row>
    <row r="62" spans="1:52" x14ac:dyDescent="0.25">
      <c r="A62" s="4">
        <v>46008</v>
      </c>
      <c r="B62">
        <f t="shared" ref="B62:N62" si="129">(B612-B611)*100</f>
        <v>2.9999999999999805</v>
      </c>
      <c r="C62">
        <f t="shared" si="129"/>
        <v>0</v>
      </c>
      <c r="D62">
        <f t="shared" si="129"/>
        <v>0</v>
      </c>
      <c r="E62">
        <f t="shared" si="129"/>
        <v>-0.99999999999997868</v>
      </c>
      <c r="F62">
        <f t="shared" si="129"/>
        <v>1.0000000000000231</v>
      </c>
      <c r="G62">
        <f t="shared" si="129"/>
        <v>0</v>
      </c>
      <c r="H62">
        <f t="shared" si="129"/>
        <v>-1.0000000000000231</v>
      </c>
      <c r="I62">
        <f t="shared" si="129"/>
        <v>-0.99999999999997868</v>
      </c>
      <c r="J62">
        <f t="shared" si="129"/>
        <v>-1.0000000000000231</v>
      </c>
      <c r="K62">
        <f t="shared" si="129"/>
        <v>-1.0000000000000231</v>
      </c>
      <c r="L62">
        <f t="shared" si="129"/>
        <v>-0.99999999999997868</v>
      </c>
      <c r="M62">
        <f t="shared" si="129"/>
        <v>-1.0000000000000675</v>
      </c>
      <c r="N62">
        <f t="shared" si="129"/>
        <v>-0.99999999999997868</v>
      </c>
      <c r="O62" s="5">
        <f t="shared" si="115"/>
        <v>1.0730813241047885E-2</v>
      </c>
      <c r="P62" s="5">
        <f t="shared" si="115"/>
        <v>6.3558161945460904E-3</v>
      </c>
      <c r="Q62" s="5">
        <f t="shared" si="115"/>
        <v>1.8731828215010097E-3</v>
      </c>
      <c r="R62" s="5">
        <f t="shared" si="115"/>
        <v>-2.9686804433560544E-4</v>
      </c>
      <c r="S62" s="5">
        <f t="shared" si="115"/>
        <v>3.5866947195580946E-3</v>
      </c>
      <c r="T62" s="5">
        <f t="shared" ref="T62:X62" si="130">LN(T611/T612)</f>
        <v>4.34860303037657E-4</v>
      </c>
      <c r="U62" s="5">
        <f t="shared" si="130"/>
        <v>-3.3117266386629429E-3</v>
      </c>
      <c r="V62" s="5">
        <f t="shared" si="130"/>
        <v>-1.5300510890503634E-3</v>
      </c>
      <c r="W62" s="5">
        <f t="shared" si="130"/>
        <v>1.17487037546697E-3</v>
      </c>
      <c r="X62" s="5">
        <f t="shared" si="130"/>
        <v>-1.0181273226858127E-3</v>
      </c>
      <c r="Z62" s="4">
        <v>46008</v>
      </c>
      <c r="AA62">
        <f>B62*B$3</f>
        <v>-2948.9999999999809</v>
      </c>
      <c r="AB62">
        <f>C62*C$3</f>
        <v>0</v>
      </c>
      <c r="AC62">
        <f>D62*D$3</f>
        <v>0</v>
      </c>
      <c r="AD62">
        <f>E62*E$3</f>
        <v>-2427.9999999999482</v>
      </c>
      <c r="AE62">
        <f>F62*F$3</f>
        <v>-12428.000000000287</v>
      </c>
      <c r="AF62">
        <f>G62*G$3</f>
        <v>0</v>
      </c>
      <c r="AG62">
        <f>H62*H$3</f>
        <v>28216.000000000651</v>
      </c>
      <c r="AH62">
        <f>I62*I$3</f>
        <v>18455.999999999607</v>
      </c>
      <c r="AI62">
        <f>J62*J$3</f>
        <v>51051.500000001179</v>
      </c>
      <c r="AJ62">
        <f>K62*K$3</f>
        <v>78395.000000001804</v>
      </c>
      <c r="AK62">
        <f>L62*L$3</f>
        <v>-31003.999999999338</v>
      </c>
      <c r="AL62">
        <f>M62*M$3</f>
        <v>-32073.000000002165</v>
      </c>
      <c r="AM62">
        <f>N62*N$3</f>
        <v>0</v>
      </c>
      <c r="AN62">
        <f>O62*O$3</f>
        <v>0</v>
      </c>
      <c r="AO62">
        <f>P62*P$3</f>
        <v>-31779.080972730451</v>
      </c>
      <c r="AP62">
        <f>Q62*Q$3</f>
        <v>22478.193858012117</v>
      </c>
      <c r="AQ62">
        <f>R62*R$3</f>
        <v>4453.0206650340815</v>
      </c>
      <c r="AR62" s="1">
        <f>S62*S$3</f>
        <v>-25106.863036906663</v>
      </c>
      <c r="AS62" s="1">
        <f t="shared" si="111"/>
        <v>1739.441212150628</v>
      </c>
      <c r="AT62" s="1">
        <f t="shared" si="111"/>
        <v>-26493.813109303544</v>
      </c>
      <c r="AU62" s="1">
        <f t="shared" si="111"/>
        <v>0</v>
      </c>
      <c r="AV62" s="1">
        <f t="shared" si="111"/>
        <v>0</v>
      </c>
      <c r="AW62" s="1">
        <f t="shared" si="111"/>
        <v>0</v>
      </c>
      <c r="AX62" s="1">
        <f t="shared" si="8"/>
        <v>40527.398616257691</v>
      </c>
      <c r="AY62" s="1">
        <f t="shared" si="9"/>
        <v>-54709.101383743837</v>
      </c>
      <c r="AZ62" s="1">
        <f t="shared" si="10"/>
        <v>95236.500000001528</v>
      </c>
    </row>
    <row r="63" spans="1:52" x14ac:dyDescent="0.25">
      <c r="A63" s="4">
        <v>46007</v>
      </c>
      <c r="B63">
        <f t="shared" ref="B63:N63" si="131">(B613-B612)*100</f>
        <v>1.0000000000000231</v>
      </c>
      <c r="C63">
        <f t="shared" si="131"/>
        <v>2.0000000000000018</v>
      </c>
      <c r="D63">
        <f t="shared" si="131"/>
        <v>0.99999999999997868</v>
      </c>
      <c r="E63">
        <f t="shared" si="131"/>
        <v>0.99999999999997868</v>
      </c>
      <c r="F63">
        <f t="shared" si="131"/>
        <v>0</v>
      </c>
      <c r="G63">
        <f t="shared" si="131"/>
        <v>1.0000000000000231</v>
      </c>
      <c r="H63">
        <f t="shared" si="131"/>
        <v>2.9999999999999805</v>
      </c>
      <c r="I63">
        <f t="shared" si="131"/>
        <v>4.0000000000000036</v>
      </c>
      <c r="J63">
        <f t="shared" si="131"/>
        <v>4.0000000000000036</v>
      </c>
      <c r="K63">
        <f t="shared" si="131"/>
        <v>4.0000000000000036</v>
      </c>
      <c r="L63">
        <f t="shared" si="131"/>
        <v>2.9999999999999361</v>
      </c>
      <c r="M63">
        <f t="shared" si="131"/>
        <v>3.0000000000000249</v>
      </c>
      <c r="N63">
        <f t="shared" si="131"/>
        <v>1.9999999999999574</v>
      </c>
      <c r="O63" s="5">
        <f t="shared" si="115"/>
        <v>1.0624661865844851E-2</v>
      </c>
      <c r="P63" s="5">
        <f t="shared" si="115"/>
        <v>3.1931212168879231E-3</v>
      </c>
      <c r="Q63" s="5">
        <f t="shared" si="115"/>
        <v>-6.9052828155304849E-4</v>
      </c>
      <c r="R63" s="5">
        <f t="shared" si="115"/>
        <v>-2.9677993985455795E-4</v>
      </c>
      <c r="S63" s="5">
        <f t="shared" si="115"/>
        <v>-1.6865146864189784E-3</v>
      </c>
      <c r="T63" s="5">
        <f t="shared" ref="T63:X63" si="132">LN(T612/T613)</f>
        <v>-1.444786011797963E-3</v>
      </c>
      <c r="U63" s="5">
        <f t="shared" si="132"/>
        <v>-9.6300333253538186E-4</v>
      </c>
      <c r="V63" s="5">
        <f t="shared" si="132"/>
        <v>-5.6159213221395592E-3</v>
      </c>
      <c r="W63" s="5">
        <f t="shared" si="132"/>
        <v>8.278834175457359E-4</v>
      </c>
      <c r="X63" s="5">
        <f t="shared" si="132"/>
        <v>-1.6329834235294361E-4</v>
      </c>
      <c r="Z63" s="4">
        <v>46007</v>
      </c>
      <c r="AA63">
        <f>B63*B$3</f>
        <v>-983.00000000002274</v>
      </c>
      <c r="AB63">
        <f>C63*C$3</f>
        <v>-5168.0000000000045</v>
      </c>
      <c r="AC63">
        <f>D63*D$3</f>
        <v>16142.999999999656</v>
      </c>
      <c r="AD63">
        <f>E63*E$3</f>
        <v>2427.9999999999482</v>
      </c>
      <c r="AE63">
        <f>F63*F$3</f>
        <v>0</v>
      </c>
      <c r="AF63">
        <f>G63*G$3</f>
        <v>-15628.00000000036</v>
      </c>
      <c r="AG63">
        <f>H63*H$3</f>
        <v>-84647.999999999447</v>
      </c>
      <c r="AH63">
        <f>I63*I$3</f>
        <v>-73824.000000000073</v>
      </c>
      <c r="AI63">
        <f>J63*J$3</f>
        <v>-204206.00000000017</v>
      </c>
      <c r="AJ63">
        <f>K63*K$3</f>
        <v>-313580.00000000029</v>
      </c>
      <c r="AK63">
        <f>L63*L$3</f>
        <v>93011.999999998021</v>
      </c>
      <c r="AL63">
        <f>M63*M$3</f>
        <v>96219.0000000008</v>
      </c>
      <c r="AM63">
        <f>N63*N$3</f>
        <v>0</v>
      </c>
      <c r="AN63">
        <f>O63*O$3</f>
        <v>0</v>
      </c>
      <c r="AO63">
        <f>P63*P$3</f>
        <v>-15965.606084439616</v>
      </c>
      <c r="AP63">
        <f>Q63*Q$3</f>
        <v>-8286.3393786365814</v>
      </c>
      <c r="AQ63">
        <f>R63*R$3</f>
        <v>4451.6990978183694</v>
      </c>
      <c r="AR63" s="1">
        <f>S63*S$3</f>
        <v>11805.602804932849</v>
      </c>
      <c r="AS63" s="1">
        <f t="shared" si="111"/>
        <v>-5779.1440471918522</v>
      </c>
      <c r="AT63" s="1">
        <f t="shared" si="111"/>
        <v>-7704.0266602830552</v>
      </c>
      <c r="AU63" s="1">
        <f t="shared" si="111"/>
        <v>0</v>
      </c>
      <c r="AV63" s="1">
        <f t="shared" si="111"/>
        <v>0</v>
      </c>
      <c r="AW63" s="1">
        <f t="shared" si="111"/>
        <v>0</v>
      </c>
      <c r="AX63" s="1">
        <f t="shared" si="8"/>
        <v>-511712.8142678017</v>
      </c>
      <c r="AY63" s="1">
        <f t="shared" si="9"/>
        <v>-21477.814267799888</v>
      </c>
      <c r="AZ63" s="1">
        <f t="shared" si="10"/>
        <v>-490235.0000000018</v>
      </c>
    </row>
    <row r="64" spans="1:52" x14ac:dyDescent="0.25">
      <c r="A64" s="4">
        <v>46006</v>
      </c>
      <c r="B64">
        <f t="shared" ref="B64:N64" si="133">(B614-B613)*100</f>
        <v>-1.0000000000000231</v>
      </c>
      <c r="C64">
        <f t="shared" si="133"/>
        <v>0</v>
      </c>
      <c r="D64">
        <f t="shared" si="133"/>
        <v>-2.0000000000000018</v>
      </c>
      <c r="E64">
        <f t="shared" si="133"/>
        <v>-0.99999999999997868</v>
      </c>
      <c r="F64">
        <f t="shared" si="133"/>
        <v>-2.0000000000000018</v>
      </c>
      <c r="G64">
        <f t="shared" si="133"/>
        <v>2.0000000000000018</v>
      </c>
      <c r="H64">
        <f t="shared" si="133"/>
        <v>1.0000000000000231</v>
      </c>
      <c r="I64">
        <f t="shared" si="133"/>
        <v>2.0000000000000018</v>
      </c>
      <c r="J64">
        <f t="shared" si="133"/>
        <v>2.0000000000000018</v>
      </c>
      <c r="K64">
        <f t="shared" si="133"/>
        <v>1.0000000000000231</v>
      </c>
      <c r="L64">
        <f t="shared" si="133"/>
        <v>1.0000000000000675</v>
      </c>
      <c r="M64">
        <f t="shared" si="133"/>
        <v>2.0000000000000462</v>
      </c>
      <c r="N64">
        <f t="shared" si="133"/>
        <v>0.99999999999997868</v>
      </c>
      <c r="O64" s="5">
        <f t="shared" si="115"/>
        <v>-1.5194473618369846E-3</v>
      </c>
      <c r="P64" s="5">
        <f t="shared" si="115"/>
        <v>7.316038491144778E-3</v>
      </c>
      <c r="Q64" s="5">
        <f t="shared" si="115"/>
        <v>-4.635002504148519E-3</v>
      </c>
      <c r="R64" s="5">
        <f t="shared" si="115"/>
        <v>5.9364798419012012E-4</v>
      </c>
      <c r="S64" s="5">
        <f t="shared" si="115"/>
        <v>-3.0097255662101816E-3</v>
      </c>
      <c r="T64" s="5">
        <f t="shared" ref="T64:X64" si="134">LN(T613/T614)</f>
        <v>1.5263535944994629E-4</v>
      </c>
      <c r="U64" s="5">
        <f t="shared" si="134"/>
        <v>1.6991589911814027E-3</v>
      </c>
      <c r="V64" s="5">
        <f t="shared" si="134"/>
        <v>2.0612881943061663E-3</v>
      </c>
      <c r="W64" s="5">
        <f t="shared" si="134"/>
        <v>2.6591360340693709E-3</v>
      </c>
      <c r="X64" s="5">
        <f t="shared" si="134"/>
        <v>1.6971028086007949E-3</v>
      </c>
      <c r="Z64" s="4">
        <v>46006</v>
      </c>
      <c r="AA64">
        <f>B64*B$3</f>
        <v>983.00000000002274</v>
      </c>
      <c r="AB64">
        <f>C64*C$3</f>
        <v>0</v>
      </c>
      <c r="AC64">
        <f>D64*D$3</f>
        <v>-32286.000000000029</v>
      </c>
      <c r="AD64">
        <f>E64*E$3</f>
        <v>-2427.9999999999482</v>
      </c>
      <c r="AE64">
        <f>F64*F$3</f>
        <v>24856.000000000022</v>
      </c>
      <c r="AF64">
        <f>G64*G$3</f>
        <v>-31256.000000000029</v>
      </c>
      <c r="AG64">
        <f>H64*H$3</f>
        <v>-28216.000000000651</v>
      </c>
      <c r="AH64">
        <f>I64*I$3</f>
        <v>-36912.000000000036</v>
      </c>
      <c r="AI64">
        <f>J64*J$3</f>
        <v>-102103.00000000009</v>
      </c>
      <c r="AJ64">
        <f>K64*K$3</f>
        <v>-78395.000000001804</v>
      </c>
      <c r="AK64">
        <f>L64*L$3</f>
        <v>31004.000000002092</v>
      </c>
      <c r="AL64">
        <f>M64*M$3</f>
        <v>64146.000000001484</v>
      </c>
      <c r="AM64">
        <f>N64*N$3</f>
        <v>0</v>
      </c>
      <c r="AN64">
        <f>O64*O$3</f>
        <v>0</v>
      </c>
      <c r="AO64">
        <f>P64*P$3</f>
        <v>-36580.192455723889</v>
      </c>
      <c r="AP64">
        <f>Q64*Q$3</f>
        <v>-55620.030049782225</v>
      </c>
      <c r="AQ64">
        <f>R64*R$3</f>
        <v>-8904.7197628518024</v>
      </c>
      <c r="AR64" s="1">
        <f>S64*S$3</f>
        <v>21068.078963471271</v>
      </c>
      <c r="AS64" s="1">
        <f t="shared" si="111"/>
        <v>610.54143779978517</v>
      </c>
      <c r="AT64" s="1">
        <f t="shared" si="111"/>
        <v>13593.271929451221</v>
      </c>
      <c r="AU64" s="1">
        <f t="shared" si="111"/>
        <v>0</v>
      </c>
      <c r="AV64" s="1">
        <f t="shared" si="111"/>
        <v>0</v>
      </c>
      <c r="AW64" s="1">
        <f t="shared" si="111"/>
        <v>0</v>
      </c>
      <c r="AX64" s="1">
        <f t="shared" si="8"/>
        <v>-256440.04993763455</v>
      </c>
      <c r="AY64" s="1">
        <f t="shared" si="9"/>
        <v>-65833.049937635646</v>
      </c>
      <c r="AZ64" s="1">
        <f t="shared" si="10"/>
        <v>-190606.99999999889</v>
      </c>
    </row>
    <row r="65" spans="1:52" x14ac:dyDescent="0.25">
      <c r="A65" s="4">
        <v>46003</v>
      </c>
      <c r="B65">
        <f t="shared" ref="B65:N65" si="135">(B615-B614)*100</f>
        <v>1.0000000000000231</v>
      </c>
      <c r="C65">
        <f t="shared" si="135"/>
        <v>0.99999999999997868</v>
      </c>
      <c r="D65">
        <f t="shared" si="135"/>
        <v>3.0000000000000249</v>
      </c>
      <c r="E65">
        <f t="shared" si="135"/>
        <v>2.9999999999999805</v>
      </c>
      <c r="F65">
        <f t="shared" si="135"/>
        <v>4.0000000000000036</v>
      </c>
      <c r="G65">
        <f t="shared" si="135"/>
        <v>2.0000000000000018</v>
      </c>
      <c r="H65">
        <f t="shared" si="135"/>
        <v>0</v>
      </c>
      <c r="I65">
        <f t="shared" si="135"/>
        <v>-3.0000000000000249</v>
      </c>
      <c r="J65">
        <f t="shared" si="135"/>
        <v>-2.9999999999999805</v>
      </c>
      <c r="K65">
        <f t="shared" si="135"/>
        <v>-4.0000000000000036</v>
      </c>
      <c r="L65">
        <f t="shared" si="135"/>
        <v>-5.0000000000000711</v>
      </c>
      <c r="M65">
        <f t="shared" si="135"/>
        <v>-7.0000000000000284</v>
      </c>
      <c r="N65">
        <f t="shared" si="135"/>
        <v>-5.9999999999999609</v>
      </c>
      <c r="O65" s="5">
        <f t="shared" ref="O65:S74" si="136">LN(O614/O615)</f>
        <v>-4.1758343047595091E-3</v>
      </c>
      <c r="P65" s="5">
        <f t="shared" si="136"/>
        <v>4.550877174610191E-4</v>
      </c>
      <c r="Q65" s="5">
        <f t="shared" si="136"/>
        <v>-7.7028340164428067E-3</v>
      </c>
      <c r="R65" s="5">
        <f t="shared" si="136"/>
        <v>-2.9686804433560544E-4</v>
      </c>
      <c r="S65" s="5">
        <f t="shared" si="136"/>
        <v>0</v>
      </c>
      <c r="T65" s="5">
        <f t="shared" ref="T65:X65" si="137">LN(T614/T615)</f>
        <v>-3.2583302689057183E-3</v>
      </c>
      <c r="U65" s="5">
        <f t="shared" si="137"/>
        <v>-1.6061489541808896E-4</v>
      </c>
      <c r="V65" s="5">
        <f t="shared" si="137"/>
        <v>-1.4323878077731505E-3</v>
      </c>
      <c r="W65" s="5">
        <f t="shared" si="137"/>
        <v>1.4240417885309766E-3</v>
      </c>
      <c r="X65" s="5">
        <f t="shared" si="137"/>
        <v>-5.758466745857802E-3</v>
      </c>
      <c r="Z65" s="4">
        <v>46003</v>
      </c>
      <c r="AA65">
        <f>B65*B$3</f>
        <v>-983.00000000002274</v>
      </c>
      <c r="AB65">
        <f>C65*C$3</f>
        <v>-2583.999999999945</v>
      </c>
      <c r="AC65">
        <f>D65*D$3</f>
        <v>48429.0000000004</v>
      </c>
      <c r="AD65">
        <f>E65*E$3</f>
        <v>7283.9999999999527</v>
      </c>
      <c r="AE65">
        <f>F65*F$3</f>
        <v>-49712.000000000044</v>
      </c>
      <c r="AF65">
        <f>G65*G$3</f>
        <v>-31256.000000000029</v>
      </c>
      <c r="AG65">
        <f>H65*H$3</f>
        <v>0</v>
      </c>
      <c r="AH65">
        <f>I65*I$3</f>
        <v>55368.000000000458</v>
      </c>
      <c r="AI65">
        <f>J65*J$3</f>
        <v>153154.49999999901</v>
      </c>
      <c r="AJ65">
        <f>K65*K$3</f>
        <v>313580.00000000029</v>
      </c>
      <c r="AK65">
        <f>L65*L$3</f>
        <v>-155020.00000000221</v>
      </c>
      <c r="AL65">
        <f>M65*M$3</f>
        <v>-224511.0000000009</v>
      </c>
      <c r="AM65">
        <f>N65*N$3</f>
        <v>0</v>
      </c>
      <c r="AN65">
        <f>O65*O$3</f>
        <v>0</v>
      </c>
      <c r="AO65">
        <f>P65*P$3</f>
        <v>-2275.4385873050956</v>
      </c>
      <c r="AP65">
        <f>Q65*Q$3</f>
        <v>-92434.008197313684</v>
      </c>
      <c r="AQ65">
        <f>R65*R$3</f>
        <v>4453.0206650340815</v>
      </c>
      <c r="AR65" s="1">
        <f>S65*S$3</f>
        <v>0</v>
      </c>
      <c r="AS65" s="1">
        <f t="shared" si="111"/>
        <v>-13033.321075622873</v>
      </c>
      <c r="AT65" s="1">
        <f t="shared" si="111"/>
        <v>-1284.9191633447117</v>
      </c>
      <c r="AU65" s="1">
        <f t="shared" si="111"/>
        <v>0</v>
      </c>
      <c r="AV65" s="1">
        <f t="shared" si="111"/>
        <v>0</v>
      </c>
      <c r="AW65" s="1">
        <f t="shared" si="111"/>
        <v>0</v>
      </c>
      <c r="AX65" s="1">
        <f t="shared" si="8"/>
        <v>9174.833641444664</v>
      </c>
      <c r="AY65" s="1">
        <f t="shared" si="9"/>
        <v>-104574.66635855229</v>
      </c>
      <c r="AZ65" s="1">
        <f t="shared" si="10"/>
        <v>113749.49999999696</v>
      </c>
    </row>
    <row r="66" spans="1:52" x14ac:dyDescent="0.25">
      <c r="A66" s="4">
        <v>46002</v>
      </c>
      <c r="B66">
        <f t="shared" ref="B66:N66" si="138">(B616-B615)*100</f>
        <v>2.0000000000000018</v>
      </c>
      <c r="C66">
        <f t="shared" si="138"/>
        <v>-0.99999999999997868</v>
      </c>
      <c r="D66">
        <f t="shared" si="138"/>
        <v>2.9999999999999805</v>
      </c>
      <c r="E66">
        <f t="shared" si="138"/>
        <v>2.0000000000000018</v>
      </c>
      <c r="F66">
        <f t="shared" si="138"/>
        <v>4.0000000000000036</v>
      </c>
      <c r="G66">
        <f t="shared" si="138"/>
        <v>2.0000000000000018</v>
      </c>
      <c r="H66">
        <f t="shared" si="138"/>
        <v>2.0000000000000018</v>
      </c>
      <c r="I66">
        <f t="shared" si="138"/>
        <v>1.0000000000000231</v>
      </c>
      <c r="J66">
        <f t="shared" si="138"/>
        <v>0</v>
      </c>
      <c r="K66">
        <f t="shared" si="138"/>
        <v>0.99999999999997868</v>
      </c>
      <c r="L66">
        <f t="shared" si="138"/>
        <v>-0.99999999999997868</v>
      </c>
      <c r="M66">
        <f t="shared" si="138"/>
        <v>-0.99999999999997868</v>
      </c>
      <c r="N66">
        <f t="shared" si="138"/>
        <v>-0.99999999999997868</v>
      </c>
      <c r="O66" s="5">
        <f t="shared" si="136"/>
        <v>-7.6960898565505134E-3</v>
      </c>
      <c r="P66" s="5">
        <f t="shared" si="136"/>
        <v>-1.0131109310703343E-2</v>
      </c>
      <c r="Q66" s="5">
        <f t="shared" si="136"/>
        <v>-3.1336471009513079E-3</v>
      </c>
      <c r="R66" s="5">
        <f t="shared" si="136"/>
        <v>-8.9007571519311723E-4</v>
      </c>
      <c r="S66" s="5">
        <f t="shared" si="136"/>
        <v>-8.1176000319255048E-3</v>
      </c>
      <c r="T66" s="5">
        <f t="shared" ref="T66:X66" si="139">LN(T615/T616)</f>
        <v>-6.2521632871205962E-3</v>
      </c>
      <c r="U66" s="5">
        <f t="shared" si="139"/>
        <v>-6.3527353991250828E-3</v>
      </c>
      <c r="V66" s="5">
        <f t="shared" si="139"/>
        <v>-6.7045057203553703E-3</v>
      </c>
      <c r="W66" s="5">
        <f t="shared" si="139"/>
        <v>-5.0332969146289633E-3</v>
      </c>
      <c r="X66" s="5">
        <f t="shared" si="139"/>
        <v>-8.1232049277948533E-3</v>
      </c>
      <c r="Z66" s="4">
        <v>46002</v>
      </c>
      <c r="AA66">
        <f>B66*B$3</f>
        <v>-1966.0000000000018</v>
      </c>
      <c r="AB66">
        <f>C66*C$3</f>
        <v>2583.999999999945</v>
      </c>
      <c r="AC66">
        <f>D66*D$3</f>
        <v>48428.999999999687</v>
      </c>
      <c r="AD66">
        <f>E66*E$3</f>
        <v>4856.0000000000045</v>
      </c>
      <c r="AE66">
        <f>F66*F$3</f>
        <v>-49712.000000000044</v>
      </c>
      <c r="AF66">
        <f>G66*G$3</f>
        <v>-31256.000000000029</v>
      </c>
      <c r="AG66">
        <f>H66*H$3</f>
        <v>-56432.000000000051</v>
      </c>
      <c r="AH66">
        <f>I66*I$3</f>
        <v>-18456.000000000426</v>
      </c>
      <c r="AI66">
        <f>J66*J$3</f>
        <v>0</v>
      </c>
      <c r="AJ66">
        <f>K66*K$3</f>
        <v>-78394.999999998327</v>
      </c>
      <c r="AK66">
        <f>L66*L$3</f>
        <v>-31003.999999999338</v>
      </c>
      <c r="AL66">
        <f>M66*M$3</f>
        <v>-32072.999999999316</v>
      </c>
      <c r="AM66">
        <f>N66*N$3</f>
        <v>0</v>
      </c>
      <c r="AN66">
        <f>O66*O$3</f>
        <v>0</v>
      </c>
      <c r="AO66">
        <f>P66*P$3</f>
        <v>50655.54655351671</v>
      </c>
      <c r="AP66">
        <f>Q66*Q$3</f>
        <v>-37603.765211415695</v>
      </c>
      <c r="AQ66">
        <f>R66*R$3</f>
        <v>13351.135727896759</v>
      </c>
      <c r="AR66" s="1">
        <f>S66*S$3</f>
        <v>56823.200223478532</v>
      </c>
      <c r="AS66" s="1">
        <f t="shared" si="111"/>
        <v>-25008.653148482386</v>
      </c>
      <c r="AT66" s="1">
        <f t="shared" si="111"/>
        <v>-50821.883193000664</v>
      </c>
      <c r="AU66" s="1">
        <f t="shared" si="111"/>
        <v>0</v>
      </c>
      <c r="AV66" s="1">
        <f t="shared" si="111"/>
        <v>0</v>
      </c>
      <c r="AW66" s="1">
        <f t="shared" si="111"/>
        <v>0</v>
      </c>
      <c r="AX66" s="1">
        <f t="shared" si="8"/>
        <v>-236029.41904800464</v>
      </c>
      <c r="AY66" s="1">
        <f t="shared" si="9"/>
        <v>7395.5809519932518</v>
      </c>
      <c r="AZ66" s="1">
        <f t="shared" si="10"/>
        <v>-243424.9999999979</v>
      </c>
    </row>
    <row r="67" spans="1:52" x14ac:dyDescent="0.25">
      <c r="A67" s="4">
        <v>46001</v>
      </c>
      <c r="B67">
        <f t="shared" ref="B67:N67" si="140">(B617-B616)*100</f>
        <v>2.0000000000000018</v>
      </c>
      <c r="C67">
        <f t="shared" si="140"/>
        <v>2.9999999999999805</v>
      </c>
      <c r="D67">
        <f t="shared" si="140"/>
        <v>4.0000000000000036</v>
      </c>
      <c r="E67">
        <f t="shared" si="140"/>
        <v>4.0000000000000036</v>
      </c>
      <c r="F67">
        <f t="shared" si="140"/>
        <v>4.0000000000000036</v>
      </c>
      <c r="G67">
        <f t="shared" si="140"/>
        <v>4.9999999999999822</v>
      </c>
      <c r="H67">
        <f t="shared" si="140"/>
        <v>6.999999999999984</v>
      </c>
      <c r="I67">
        <f t="shared" si="140"/>
        <v>6.0000000000000053</v>
      </c>
      <c r="J67">
        <f t="shared" si="140"/>
        <v>5.9999999999999609</v>
      </c>
      <c r="K67">
        <f t="shared" si="140"/>
        <v>4.0000000000000036</v>
      </c>
      <c r="L67">
        <f t="shared" si="140"/>
        <v>4.9999999999999822</v>
      </c>
      <c r="M67">
        <f t="shared" si="140"/>
        <v>2.9999999999999361</v>
      </c>
      <c r="N67">
        <f t="shared" si="140"/>
        <v>1.9999999999999574</v>
      </c>
      <c r="O67" s="5">
        <f t="shared" si="136"/>
        <v>1.574803475066391E-3</v>
      </c>
      <c r="P67" s="5">
        <f t="shared" si="136"/>
        <v>-6.671623723561765E-3</v>
      </c>
      <c r="Q67" s="5">
        <f t="shared" si="136"/>
        <v>7.4394872360198589E-3</v>
      </c>
      <c r="R67" s="5">
        <f t="shared" si="136"/>
        <v>2.672607381476478E-3</v>
      </c>
      <c r="S67" s="5">
        <f t="shared" si="136"/>
        <v>-5.2234683367113964E-4</v>
      </c>
      <c r="T67" s="5">
        <f t="shared" ref="T67:X67" si="141">LN(T616/T617)</f>
        <v>1.1284787545325272E-3</v>
      </c>
      <c r="U67" s="5">
        <f t="shared" si="141"/>
        <v>1.7469793002928007E-3</v>
      </c>
      <c r="V67" s="5">
        <f t="shared" si="141"/>
        <v>6.3579398308040149E-3</v>
      </c>
      <c r="W67" s="5">
        <f t="shared" si="141"/>
        <v>-2.0631174774004102E-3</v>
      </c>
      <c r="X67" s="5">
        <f t="shared" si="141"/>
        <v>-9.1535799126163755E-4</v>
      </c>
      <c r="Z67" s="4">
        <v>46001</v>
      </c>
      <c r="AA67">
        <f>B67*B$3</f>
        <v>-1966.0000000000018</v>
      </c>
      <c r="AB67">
        <f>C67*C$3</f>
        <v>-7751.9999999999491</v>
      </c>
      <c r="AC67">
        <f>D67*D$3</f>
        <v>64572.000000000058</v>
      </c>
      <c r="AD67">
        <f>E67*E$3</f>
        <v>9712.0000000000091</v>
      </c>
      <c r="AE67">
        <f>F67*F$3</f>
        <v>-49712.000000000044</v>
      </c>
      <c r="AF67">
        <f>G67*G$3</f>
        <v>-78139.999999999724</v>
      </c>
      <c r="AG67">
        <f>H67*H$3</f>
        <v>-197511.99999999956</v>
      </c>
      <c r="AH67">
        <f>I67*I$3</f>
        <v>-110736.0000000001</v>
      </c>
      <c r="AI67">
        <f>J67*J$3</f>
        <v>-306308.99999999802</v>
      </c>
      <c r="AJ67">
        <f>K67*K$3</f>
        <v>-313580.00000000029</v>
      </c>
      <c r="AK67">
        <f>L67*L$3</f>
        <v>155019.99999999945</v>
      </c>
      <c r="AL67">
        <f>M67*M$3</f>
        <v>96218.999999997948</v>
      </c>
      <c r="AM67">
        <f>N67*N$3</f>
        <v>0</v>
      </c>
      <c r="AN67">
        <f>O67*O$3</f>
        <v>0</v>
      </c>
      <c r="AO67">
        <f>P67*P$3</f>
        <v>33358.118617808825</v>
      </c>
      <c r="AP67">
        <f>Q67*Q$3</f>
        <v>89273.846832238312</v>
      </c>
      <c r="AQ67">
        <f>R67*R$3</f>
        <v>-40089.110722147168</v>
      </c>
      <c r="AR67" s="1">
        <f>S67*S$3</f>
        <v>3656.4278356979776</v>
      </c>
      <c r="AS67" s="1">
        <f t="shared" si="111"/>
        <v>4513.9150181301084</v>
      </c>
      <c r="AT67" s="1">
        <f t="shared" si="111"/>
        <v>13975.834402342405</v>
      </c>
      <c r="AU67" s="1">
        <f t="shared" si="111"/>
        <v>0</v>
      </c>
      <c r="AV67" s="1">
        <f t="shared" si="111"/>
        <v>0</v>
      </c>
      <c r="AW67" s="1">
        <f t="shared" si="111"/>
        <v>0</v>
      </c>
      <c r="AX67" s="1">
        <f t="shared" si="8"/>
        <v>-635494.9680159298</v>
      </c>
      <c r="AY67" s="1">
        <f t="shared" si="9"/>
        <v>104689.03198407046</v>
      </c>
      <c r="AZ67" s="1">
        <f t="shared" si="10"/>
        <v>-740184.00000000023</v>
      </c>
    </row>
    <row r="68" spans="1:52" x14ac:dyDescent="0.25">
      <c r="A68" s="4">
        <v>46000</v>
      </c>
      <c r="B68">
        <f t="shared" ref="B68:N68" si="142">(B618-B617)*100</f>
        <v>0.99999999999997868</v>
      </c>
      <c r="C68">
        <f t="shared" si="142"/>
        <v>0</v>
      </c>
      <c r="D68">
        <f t="shared" si="142"/>
        <v>0</v>
      </c>
      <c r="E68">
        <f t="shared" si="142"/>
        <v>0</v>
      </c>
      <c r="F68">
        <f t="shared" si="142"/>
        <v>-1.0000000000000231</v>
      </c>
      <c r="G68">
        <f t="shared" si="142"/>
        <v>-2.0000000000000018</v>
      </c>
      <c r="H68">
        <f t="shared" si="142"/>
        <v>-4.0000000000000036</v>
      </c>
      <c r="I68">
        <f t="shared" si="142"/>
        <v>-3.0000000000000249</v>
      </c>
      <c r="J68">
        <f t="shared" si="142"/>
        <v>-2.9999999999999805</v>
      </c>
      <c r="K68">
        <f t="shared" si="142"/>
        <v>-2.0000000000000018</v>
      </c>
      <c r="L68">
        <f t="shared" si="142"/>
        <v>-0.99999999999997868</v>
      </c>
      <c r="M68">
        <f t="shared" si="142"/>
        <v>1.0000000000000675</v>
      </c>
      <c r="N68">
        <f t="shared" si="142"/>
        <v>0.99999999999997868</v>
      </c>
      <c r="O68" s="5">
        <f t="shared" si="136"/>
        <v>5.9000474425286364E-3</v>
      </c>
      <c r="P68" s="5">
        <f t="shared" si="136"/>
        <v>6.3591155827857201E-3</v>
      </c>
      <c r="Q68" s="5">
        <f t="shared" si="136"/>
        <v>2.0346329720407901E-3</v>
      </c>
      <c r="R68" s="5">
        <f t="shared" si="136"/>
        <v>0</v>
      </c>
      <c r="S68" s="5">
        <f t="shared" si="136"/>
        <v>-3.5118753821860053E-3</v>
      </c>
      <c r="T68" s="5">
        <f t="shared" ref="T68:X68" si="143">LN(T617/T618)</f>
        <v>-1.0465908031083208E-4</v>
      </c>
      <c r="U68" s="5">
        <f t="shared" si="143"/>
        <v>-1.6513988351792889E-4</v>
      </c>
      <c r="V68" s="5">
        <f t="shared" si="143"/>
        <v>3.2392299015615313E-3</v>
      </c>
      <c r="W68" s="5">
        <f t="shared" si="143"/>
        <v>1.2214217602267274E-3</v>
      </c>
      <c r="X68" s="5">
        <f t="shared" si="143"/>
        <v>2.219093018049542E-3</v>
      </c>
      <c r="Z68" s="4">
        <v>46000</v>
      </c>
      <c r="AA68">
        <f>B68*B$3</f>
        <v>-982.99999999997908</v>
      </c>
      <c r="AB68">
        <f>C68*C$3</f>
        <v>0</v>
      </c>
      <c r="AC68">
        <f>D68*D$3</f>
        <v>0</v>
      </c>
      <c r="AD68">
        <f>E68*E$3</f>
        <v>0</v>
      </c>
      <c r="AE68">
        <f>F68*F$3</f>
        <v>12428.000000000287</v>
      </c>
      <c r="AF68">
        <f>G68*G$3</f>
        <v>31256.000000000029</v>
      </c>
      <c r="AG68">
        <f>H68*H$3</f>
        <v>112864.0000000001</v>
      </c>
      <c r="AH68">
        <f>I68*I$3</f>
        <v>55368.000000000458</v>
      </c>
      <c r="AI68">
        <f>J68*J$3</f>
        <v>153154.49999999901</v>
      </c>
      <c r="AJ68">
        <f>K68*K$3</f>
        <v>156790.00000000015</v>
      </c>
      <c r="AK68">
        <f>L68*L$3</f>
        <v>-31003.999999999338</v>
      </c>
      <c r="AL68">
        <f>M68*M$3</f>
        <v>32073.000000002165</v>
      </c>
      <c r="AM68">
        <f>N68*N$3</f>
        <v>0</v>
      </c>
      <c r="AN68">
        <f>O68*O$3</f>
        <v>0</v>
      </c>
      <c r="AO68">
        <f>P68*P$3</f>
        <v>-31795.577913928602</v>
      </c>
      <c r="AP68">
        <f>Q68*Q$3</f>
        <v>24415.59566448948</v>
      </c>
      <c r="AQ68">
        <f>R68*R$3</f>
        <v>0</v>
      </c>
      <c r="AR68" s="1">
        <f>S68*S$3</f>
        <v>24583.127675302036</v>
      </c>
      <c r="AS68" s="1">
        <f t="shared" si="111"/>
        <v>-418.63632124332833</v>
      </c>
      <c r="AT68" s="1">
        <f t="shared" si="111"/>
        <v>-1321.1190681434312</v>
      </c>
      <c r="AU68" s="1">
        <f t="shared" si="111"/>
        <v>0</v>
      </c>
      <c r="AV68" s="1">
        <f t="shared" si="111"/>
        <v>0</v>
      </c>
      <c r="AW68" s="1">
        <f t="shared" si="111"/>
        <v>0</v>
      </c>
      <c r="AX68" s="1">
        <f t="shared" si="8"/>
        <v>537409.89003647887</v>
      </c>
      <c r="AY68" s="1">
        <f t="shared" si="9"/>
        <v>15463.390036476154</v>
      </c>
      <c r="AZ68" s="1">
        <f t="shared" si="10"/>
        <v>521946.50000000274</v>
      </c>
    </row>
    <row r="69" spans="1:52" x14ac:dyDescent="0.25">
      <c r="A69" s="4">
        <v>45999</v>
      </c>
      <c r="B69">
        <f t="shared" ref="B69:N69" si="144">(B619-B618)*100</f>
        <v>0</v>
      </c>
      <c r="C69">
        <f t="shared" si="144"/>
        <v>-0.99999999999997868</v>
      </c>
      <c r="D69">
        <f t="shared" si="144"/>
        <v>-2.0000000000000018</v>
      </c>
      <c r="E69">
        <f t="shared" si="144"/>
        <v>0</v>
      </c>
      <c r="F69">
        <f t="shared" si="144"/>
        <v>-0.99999999999997868</v>
      </c>
      <c r="G69">
        <f t="shared" si="144"/>
        <v>0</v>
      </c>
      <c r="H69">
        <f t="shared" si="144"/>
        <v>-0.99999999999997868</v>
      </c>
      <c r="I69">
        <f t="shared" si="144"/>
        <v>0</v>
      </c>
      <c r="J69">
        <f t="shared" si="144"/>
        <v>-2.9999999999999805</v>
      </c>
      <c r="K69">
        <f t="shared" si="144"/>
        <v>-4.0000000000000036</v>
      </c>
      <c r="L69">
        <f t="shared" si="144"/>
        <v>-3.0000000000000249</v>
      </c>
      <c r="M69">
        <f t="shared" si="144"/>
        <v>-3.0000000000000249</v>
      </c>
      <c r="N69">
        <f t="shared" si="144"/>
        <v>-1.9999999999999574</v>
      </c>
      <c r="O69" s="5">
        <f t="shared" si="136"/>
        <v>1.5681058534967617E-2</v>
      </c>
      <c r="P69" s="5">
        <f t="shared" si="136"/>
        <v>0</v>
      </c>
      <c r="Q69" s="5">
        <f t="shared" si="136"/>
        <v>0</v>
      </c>
      <c r="R69" s="5">
        <f t="shared" si="136"/>
        <v>0</v>
      </c>
      <c r="S69" s="5">
        <f t="shared" si="136"/>
        <v>4.0342222158570827E-3</v>
      </c>
      <c r="T69" s="5">
        <f t="shared" ref="T69:X69" si="145">LN(T618/T619)</f>
        <v>2.2118438593957175E-4</v>
      </c>
      <c r="U69" s="5">
        <f t="shared" si="145"/>
        <v>-2.1053474605753762E-4</v>
      </c>
      <c r="V69" s="5">
        <f t="shared" si="145"/>
        <v>1.2754238708884203E-3</v>
      </c>
      <c r="W69" s="5">
        <f t="shared" si="145"/>
        <v>-4.3777366019157257E-3</v>
      </c>
      <c r="X69" s="5">
        <f t="shared" si="145"/>
        <v>1.3302787280144103E-3</v>
      </c>
      <c r="Z69" s="4">
        <v>45999</v>
      </c>
      <c r="AA69">
        <f>B69*B$3</f>
        <v>0</v>
      </c>
      <c r="AB69">
        <f>C69*C$3</f>
        <v>2583.999999999945</v>
      </c>
      <c r="AC69">
        <f>D69*D$3</f>
        <v>-32286.000000000029</v>
      </c>
      <c r="AD69">
        <f>E69*E$3</f>
        <v>0</v>
      </c>
      <c r="AE69">
        <f>F69*F$3</f>
        <v>12427.999999999734</v>
      </c>
      <c r="AF69">
        <f>G69*G$3</f>
        <v>0</v>
      </c>
      <c r="AG69">
        <f>H69*H$3</f>
        <v>28215.9999999994</v>
      </c>
      <c r="AH69">
        <f>I69*I$3</f>
        <v>0</v>
      </c>
      <c r="AI69">
        <f>J69*J$3</f>
        <v>153154.49999999901</v>
      </c>
      <c r="AJ69">
        <f>K69*K$3</f>
        <v>313580.00000000029</v>
      </c>
      <c r="AK69">
        <f>L69*L$3</f>
        <v>-93012.000000000771</v>
      </c>
      <c r="AL69">
        <f>M69*M$3</f>
        <v>-96219.0000000008</v>
      </c>
      <c r="AM69">
        <f>N69*N$3</f>
        <v>0</v>
      </c>
      <c r="AN69">
        <f>O69*O$3</f>
        <v>0</v>
      </c>
      <c r="AO69">
        <f>P69*P$3</f>
        <v>0</v>
      </c>
      <c r="AP69">
        <f>Q69*Q$3</f>
        <v>0</v>
      </c>
      <c r="AQ69">
        <f>R69*R$3</f>
        <v>0</v>
      </c>
      <c r="AR69" s="1">
        <f>S69*S$3</f>
        <v>-28239.55551099958</v>
      </c>
      <c r="AS69" s="1">
        <f t="shared" ref="AS69:AW84" si="146">T69*T$3</f>
        <v>884.73754375828696</v>
      </c>
      <c r="AT69" s="1">
        <f t="shared" si="146"/>
        <v>-1684.2779684603011</v>
      </c>
      <c r="AU69" s="1">
        <f t="shared" si="146"/>
        <v>0</v>
      </c>
      <c r="AV69" s="1">
        <f t="shared" si="146"/>
        <v>0</v>
      </c>
      <c r="AW69" s="1">
        <f t="shared" si="146"/>
        <v>0</v>
      </c>
      <c r="AX69" s="1">
        <f t="shared" si="8"/>
        <v>259406.40406429523</v>
      </c>
      <c r="AY69" s="1">
        <f t="shared" si="9"/>
        <v>-29039.095935701593</v>
      </c>
      <c r="AZ69" s="1">
        <f t="shared" si="10"/>
        <v>288445.4999999968</v>
      </c>
    </row>
    <row r="70" spans="1:52" x14ac:dyDescent="0.25">
      <c r="A70" s="4">
        <v>45996</v>
      </c>
      <c r="B70">
        <f t="shared" ref="B70:N70" si="147">(B620-B619)*100</f>
        <v>1.0000000000000231</v>
      </c>
      <c r="C70">
        <f t="shared" si="147"/>
        <v>0.99999999999997868</v>
      </c>
      <c r="D70">
        <f t="shared" si="147"/>
        <v>0</v>
      </c>
      <c r="E70">
        <f t="shared" si="147"/>
        <v>0</v>
      </c>
      <c r="F70">
        <f t="shared" si="147"/>
        <v>0.99999999999997868</v>
      </c>
      <c r="G70">
        <f t="shared" si="147"/>
        <v>-0.99999999999997868</v>
      </c>
      <c r="H70">
        <f t="shared" si="147"/>
        <v>-4.0000000000000036</v>
      </c>
      <c r="I70">
        <f t="shared" si="147"/>
        <v>-4.0000000000000036</v>
      </c>
      <c r="J70">
        <f t="shared" si="147"/>
        <v>-4.0000000000000036</v>
      </c>
      <c r="K70">
        <f t="shared" si="147"/>
        <v>-2.9999999999999805</v>
      </c>
      <c r="L70">
        <f t="shared" si="147"/>
        <v>-2.9999999999999361</v>
      </c>
      <c r="M70">
        <f t="shared" si="147"/>
        <v>-3.0000000000000249</v>
      </c>
      <c r="N70">
        <f t="shared" si="147"/>
        <v>-3.0000000000000249</v>
      </c>
      <c r="O70" s="5">
        <f t="shared" si="136"/>
        <v>8.519012320504598E-3</v>
      </c>
      <c r="P70" s="5">
        <f t="shared" si="136"/>
        <v>1.0654132688297045E-2</v>
      </c>
      <c r="Q70" s="5">
        <f t="shared" si="136"/>
        <v>-1.4257652297438056E-3</v>
      </c>
      <c r="R70" s="5">
        <f t="shared" si="136"/>
        <v>5.9488401516380831E-4</v>
      </c>
      <c r="S70" s="5">
        <f t="shared" si="136"/>
        <v>-3.1025825724231011E-3</v>
      </c>
      <c r="T70" s="5">
        <f t="shared" ref="T70:X70" si="148">LN(T619/T620)</f>
        <v>2.0628492872523025E-3</v>
      </c>
      <c r="U70" s="5">
        <f t="shared" si="148"/>
        <v>2.0269148311481792E-3</v>
      </c>
      <c r="V70" s="5">
        <f t="shared" si="148"/>
        <v>2.2564883726511209E-4</v>
      </c>
      <c r="W70" s="5">
        <f t="shared" si="148"/>
        <v>-2.1141333410804766E-4</v>
      </c>
      <c r="X70" s="5">
        <f t="shared" si="148"/>
        <v>5.0139612114563524E-3</v>
      </c>
      <c r="Z70" s="4">
        <v>45996</v>
      </c>
      <c r="AA70">
        <f>B70*B$3</f>
        <v>-983.00000000002274</v>
      </c>
      <c r="AB70">
        <f>C70*C$3</f>
        <v>-2583.999999999945</v>
      </c>
      <c r="AC70">
        <f>D70*D$3</f>
        <v>0</v>
      </c>
      <c r="AD70">
        <f>E70*E$3</f>
        <v>0</v>
      </c>
      <c r="AE70">
        <f>F70*F$3</f>
        <v>-12427.999999999734</v>
      </c>
      <c r="AF70">
        <f>G70*G$3</f>
        <v>15627.999999999667</v>
      </c>
      <c r="AG70">
        <f>H70*H$3</f>
        <v>112864.0000000001</v>
      </c>
      <c r="AH70">
        <f>I70*I$3</f>
        <v>73824.000000000073</v>
      </c>
      <c r="AI70">
        <f>J70*J$3</f>
        <v>204206.00000000017</v>
      </c>
      <c r="AJ70">
        <f>K70*K$3</f>
        <v>235184.99999999846</v>
      </c>
      <c r="AK70">
        <f>L70*L$3</f>
        <v>-93011.999999998021</v>
      </c>
      <c r="AL70">
        <f>M70*M$3</f>
        <v>-96219.0000000008</v>
      </c>
      <c r="AM70">
        <f>N70*N$3</f>
        <v>0</v>
      </c>
      <c r="AN70">
        <f>O70*O$3</f>
        <v>0</v>
      </c>
      <c r="AO70">
        <f>P70*P$3</f>
        <v>-53270.663441485223</v>
      </c>
      <c r="AP70">
        <f>Q70*Q$3</f>
        <v>-17109.182756925667</v>
      </c>
      <c r="AQ70">
        <f>R70*R$3</f>
        <v>-8923.2602274571254</v>
      </c>
      <c r="AR70" s="1">
        <f>S70*S$3</f>
        <v>21718.078006961707</v>
      </c>
      <c r="AS70" s="1">
        <f t="shared" si="146"/>
        <v>8251.3971490092099</v>
      </c>
      <c r="AT70" s="1">
        <f t="shared" si="146"/>
        <v>16215.318649185434</v>
      </c>
      <c r="AU70" s="1">
        <f t="shared" si="146"/>
        <v>0</v>
      </c>
      <c r="AV70" s="1">
        <f t="shared" si="146"/>
        <v>0</v>
      </c>
      <c r="AW70" s="1">
        <f t="shared" si="146"/>
        <v>0</v>
      </c>
      <c r="AX70" s="1">
        <f t="shared" ref="AX70:AX133" si="149">SUM(AA70:AW70)</f>
        <v>403362.68737928837</v>
      </c>
      <c r="AY70" s="1">
        <f t="shared" ref="AY70:AY133" si="150">SUM(AN70:AW70)</f>
        <v>-33118.312620711666</v>
      </c>
      <c r="AZ70" s="1">
        <f t="shared" ref="AZ70:AZ133" si="151">AX70-AY70</f>
        <v>436481.00000000006</v>
      </c>
    </row>
    <row r="71" spans="1:52" x14ac:dyDescent="0.25">
      <c r="A71" s="4">
        <v>45995</v>
      </c>
      <c r="B71">
        <f t="shared" ref="B71:N71" si="152">(B621-B620)*100</f>
        <v>0</v>
      </c>
      <c r="C71">
        <f t="shared" si="152"/>
        <v>0</v>
      </c>
      <c r="D71">
        <f t="shared" si="152"/>
        <v>1.0000000000000231</v>
      </c>
      <c r="E71">
        <f t="shared" si="152"/>
        <v>0</v>
      </c>
      <c r="F71">
        <f t="shared" si="152"/>
        <v>-0.99999999999997868</v>
      </c>
      <c r="G71">
        <f t="shared" si="152"/>
        <v>-3.0000000000000249</v>
      </c>
      <c r="H71">
        <f t="shared" si="152"/>
        <v>-2.9999999999999805</v>
      </c>
      <c r="I71">
        <f t="shared" si="152"/>
        <v>-4.9999999999999822</v>
      </c>
      <c r="J71">
        <f t="shared" si="152"/>
        <v>-6.0000000000000053</v>
      </c>
      <c r="K71">
        <f t="shared" si="152"/>
        <v>-5.0000000000000266</v>
      </c>
      <c r="L71">
        <f t="shared" si="152"/>
        <v>-5.0000000000000711</v>
      </c>
      <c r="M71">
        <f t="shared" si="152"/>
        <v>-4.0000000000000036</v>
      </c>
      <c r="N71">
        <f t="shared" si="152"/>
        <v>-2.9999999999999361</v>
      </c>
      <c r="O71" s="5">
        <f t="shared" si="136"/>
        <v>-3.0548769750266889E-3</v>
      </c>
      <c r="P71" s="5">
        <f t="shared" si="136"/>
        <v>1.0236965960350545E-2</v>
      </c>
      <c r="Q71" s="5">
        <f t="shared" si="136"/>
        <v>-6.4071163388198316E-3</v>
      </c>
      <c r="R71" s="5">
        <f t="shared" si="136"/>
        <v>-2.9748624345523331E-4</v>
      </c>
      <c r="S71" s="5">
        <f t="shared" si="136"/>
        <v>-2.4587460740848241E-3</v>
      </c>
      <c r="T71" s="5">
        <f t="shared" ref="T71:X71" si="153">LN(T620/T621)</f>
        <v>-3.3428120538548734E-3</v>
      </c>
      <c r="U71" s="5">
        <f t="shared" si="153"/>
        <v>-9.7371018779239156E-3</v>
      </c>
      <c r="V71" s="5">
        <f t="shared" si="153"/>
        <v>-4.5029389898598874E-3</v>
      </c>
      <c r="W71" s="5">
        <f t="shared" si="153"/>
        <v>-4.752923255346121E-3</v>
      </c>
      <c r="X71" s="5">
        <f t="shared" si="153"/>
        <v>-3.868716764340674E-3</v>
      </c>
      <c r="Z71" s="4">
        <v>45995</v>
      </c>
      <c r="AA71">
        <f>B71*B$3</f>
        <v>0</v>
      </c>
      <c r="AB71">
        <f>C71*C$3</f>
        <v>0</v>
      </c>
      <c r="AC71">
        <f>D71*D$3</f>
        <v>16143.000000000373</v>
      </c>
      <c r="AD71">
        <f>E71*E$3</f>
        <v>0</v>
      </c>
      <c r="AE71">
        <f>F71*F$3</f>
        <v>12427.999999999734</v>
      </c>
      <c r="AF71">
        <f>G71*G$3</f>
        <v>46884.000000000386</v>
      </c>
      <c r="AG71">
        <f>H71*H$3</f>
        <v>84647.999999999447</v>
      </c>
      <c r="AH71">
        <f>I71*I$3</f>
        <v>92279.999999999665</v>
      </c>
      <c r="AI71">
        <f>J71*J$3</f>
        <v>306309.00000000029</v>
      </c>
      <c r="AJ71">
        <f>K71*K$3</f>
        <v>391975.0000000021</v>
      </c>
      <c r="AK71">
        <f>L71*L$3</f>
        <v>-155020.00000000221</v>
      </c>
      <c r="AL71">
        <f>M71*M$3</f>
        <v>-128292.00000000012</v>
      </c>
      <c r="AM71">
        <f>N71*N$3</f>
        <v>0</v>
      </c>
      <c r="AN71">
        <f>O71*O$3</f>
        <v>0</v>
      </c>
      <c r="AO71">
        <f>P71*P$3</f>
        <v>-51184.82980175272</v>
      </c>
      <c r="AP71">
        <f>Q71*Q$3</f>
        <v>-76885.39606583798</v>
      </c>
      <c r="AQ71">
        <f>R71*R$3</f>
        <v>4462.2936518284996</v>
      </c>
      <c r="AR71" s="1">
        <f>S71*S$3</f>
        <v>17211.222518593768</v>
      </c>
      <c r="AS71" s="1">
        <f t="shared" si="146"/>
        <v>-13371.248215419493</v>
      </c>
      <c r="AT71" s="1">
        <f t="shared" si="146"/>
        <v>-77896.815023391318</v>
      </c>
      <c r="AU71" s="1">
        <f t="shared" si="146"/>
        <v>0</v>
      </c>
      <c r="AV71" s="1">
        <f t="shared" si="146"/>
        <v>0</v>
      </c>
      <c r="AW71" s="1">
        <f t="shared" si="146"/>
        <v>0</v>
      </c>
      <c r="AX71" s="1">
        <f t="shared" si="149"/>
        <v>469690.22706402052</v>
      </c>
      <c r="AY71" s="1">
        <f t="shared" si="150"/>
        <v>-197664.77293597924</v>
      </c>
      <c r="AZ71" s="1">
        <f t="shared" si="151"/>
        <v>667354.99999999977</v>
      </c>
    </row>
    <row r="72" spans="1:52" x14ac:dyDescent="0.25">
      <c r="A72" s="4">
        <v>45994</v>
      </c>
      <c r="B72">
        <f t="shared" ref="B72:N72" si="154">(B622-B621)*100</f>
        <v>6.999999999999984</v>
      </c>
      <c r="C72">
        <f t="shared" si="154"/>
        <v>5.0000000000000266</v>
      </c>
      <c r="D72">
        <f t="shared" si="154"/>
        <v>4.9999999999999822</v>
      </c>
      <c r="E72">
        <f t="shared" si="154"/>
        <v>4.9999999999999822</v>
      </c>
      <c r="F72">
        <f t="shared" si="154"/>
        <v>4.0000000000000036</v>
      </c>
      <c r="G72">
        <f t="shared" si="154"/>
        <v>2.0000000000000018</v>
      </c>
      <c r="H72">
        <f t="shared" si="154"/>
        <v>1.9999999999999574</v>
      </c>
      <c r="I72">
        <f t="shared" si="154"/>
        <v>4.0000000000000036</v>
      </c>
      <c r="J72">
        <f t="shared" si="154"/>
        <v>4.0000000000000036</v>
      </c>
      <c r="K72">
        <f t="shared" si="154"/>
        <v>3.0000000000000249</v>
      </c>
      <c r="L72">
        <f t="shared" si="154"/>
        <v>3.0000000000000249</v>
      </c>
      <c r="M72">
        <f t="shared" si="154"/>
        <v>2.0000000000000462</v>
      </c>
      <c r="N72">
        <f t="shared" si="154"/>
        <v>0.99999999999997868</v>
      </c>
      <c r="O72" s="5">
        <f t="shared" si="136"/>
        <v>-6.5870580566765695E-3</v>
      </c>
      <c r="P72" s="5">
        <f t="shared" si="136"/>
        <v>-1.252394302275372E-2</v>
      </c>
      <c r="Q72" s="5">
        <f t="shared" si="136"/>
        <v>-2.7841944905614402E-3</v>
      </c>
      <c r="R72" s="5">
        <f t="shared" si="136"/>
        <v>-1.486105192513497E-3</v>
      </c>
      <c r="S72" s="5">
        <f t="shared" si="136"/>
        <v>6.5634024702008724E-5</v>
      </c>
      <c r="T72" s="5">
        <f t="shared" ref="T72:X72" si="155">LN(T621/T622)</f>
        <v>-1.7426145067621537E-3</v>
      </c>
      <c r="U72" s="5">
        <f t="shared" si="155"/>
        <v>-7.6643792452057459E-4</v>
      </c>
      <c r="V72" s="5">
        <f t="shared" si="155"/>
        <v>1.6058378151991713E-3</v>
      </c>
      <c r="W72" s="5">
        <f t="shared" si="155"/>
        <v>-4.528118679921549E-3</v>
      </c>
      <c r="X72" s="5">
        <f t="shared" si="155"/>
        <v>-2.1648805520052211E-3</v>
      </c>
      <c r="Z72" s="4">
        <v>45994</v>
      </c>
      <c r="AA72">
        <f>B72*B$3</f>
        <v>-6880.9999999999845</v>
      </c>
      <c r="AB72">
        <f>C72*C$3</f>
        <v>-12920.000000000069</v>
      </c>
      <c r="AC72">
        <f>D72*D$3</f>
        <v>80714.999999999709</v>
      </c>
      <c r="AD72">
        <f>E72*E$3</f>
        <v>12139.999999999956</v>
      </c>
      <c r="AE72">
        <f>F72*F$3</f>
        <v>-49712.000000000044</v>
      </c>
      <c r="AF72">
        <f>G72*G$3</f>
        <v>-31256.000000000029</v>
      </c>
      <c r="AG72">
        <f>H72*H$3</f>
        <v>-56431.999999998799</v>
      </c>
      <c r="AH72">
        <f>I72*I$3</f>
        <v>-73824.000000000073</v>
      </c>
      <c r="AI72">
        <f>J72*J$3</f>
        <v>-204206.00000000017</v>
      </c>
      <c r="AJ72">
        <f>K72*K$3</f>
        <v>-235185.00000000195</v>
      </c>
      <c r="AK72">
        <f>L72*L$3</f>
        <v>93012.000000000771</v>
      </c>
      <c r="AL72">
        <f>M72*M$3</f>
        <v>64146.000000001484</v>
      </c>
      <c r="AM72">
        <f>N72*N$3</f>
        <v>0</v>
      </c>
      <c r="AN72">
        <f>O72*O$3</f>
        <v>0</v>
      </c>
      <c r="AO72">
        <f>P72*P$3</f>
        <v>62619.715113768601</v>
      </c>
      <c r="AP72">
        <f>Q72*Q$3</f>
        <v>-33410.33388673728</v>
      </c>
      <c r="AQ72">
        <f>R72*R$3</f>
        <v>22291.577887702457</v>
      </c>
      <c r="AR72" s="1">
        <f>S72*S$3</f>
        <v>-459.43817291406106</v>
      </c>
      <c r="AS72" s="1">
        <f t="shared" si="146"/>
        <v>-6970.4580270486149</v>
      </c>
      <c r="AT72" s="1">
        <f t="shared" si="146"/>
        <v>-6131.5033961645968</v>
      </c>
      <c r="AU72" s="1">
        <f t="shared" si="146"/>
        <v>0</v>
      </c>
      <c r="AV72" s="1">
        <f t="shared" si="146"/>
        <v>0</v>
      </c>
      <c r="AW72" s="1">
        <f t="shared" si="146"/>
        <v>0</v>
      </c>
      <c r="AX72" s="1">
        <f t="shared" si="149"/>
        <v>-382463.4404813929</v>
      </c>
      <c r="AY72" s="1">
        <f t="shared" si="150"/>
        <v>37939.559518606504</v>
      </c>
      <c r="AZ72" s="1">
        <f t="shared" si="151"/>
        <v>-420402.99999999942</v>
      </c>
    </row>
    <row r="73" spans="1:52" x14ac:dyDescent="0.25">
      <c r="A73" s="4">
        <v>45993</v>
      </c>
      <c r="B73">
        <f t="shared" ref="B73:N73" si="156">(B623-B622)*100</f>
        <v>8.0000000000000071</v>
      </c>
      <c r="C73">
        <f t="shared" si="156"/>
        <v>8.9999999999999858</v>
      </c>
      <c r="D73">
        <f t="shared" si="156"/>
        <v>4.0000000000000036</v>
      </c>
      <c r="E73">
        <f t="shared" si="156"/>
        <v>4.0000000000000036</v>
      </c>
      <c r="F73">
        <f t="shared" si="156"/>
        <v>2.9999999999999805</v>
      </c>
      <c r="G73">
        <f t="shared" si="156"/>
        <v>3.0000000000000249</v>
      </c>
      <c r="H73">
        <f t="shared" si="156"/>
        <v>3.0000000000000249</v>
      </c>
      <c r="I73">
        <f t="shared" si="156"/>
        <v>0.99999999999997868</v>
      </c>
      <c r="J73">
        <f t="shared" si="156"/>
        <v>0.99999999999997868</v>
      </c>
      <c r="K73">
        <f t="shared" si="156"/>
        <v>0.99999999999997868</v>
      </c>
      <c r="L73">
        <f t="shared" si="156"/>
        <v>0</v>
      </c>
      <c r="M73">
        <f t="shared" si="156"/>
        <v>0.99999999999997868</v>
      </c>
      <c r="N73">
        <f t="shared" si="156"/>
        <v>0</v>
      </c>
      <c r="O73" s="5">
        <f t="shared" si="136"/>
        <v>-7.481669912218012E-5</v>
      </c>
      <c r="P73" s="5">
        <f t="shared" si="136"/>
        <v>-1.2149633528635295E-3</v>
      </c>
      <c r="Q73" s="5">
        <f t="shared" si="136"/>
        <v>-2.2627969344050737E-4</v>
      </c>
      <c r="R73" s="5">
        <f t="shared" si="136"/>
        <v>-1.4838999606715572E-3</v>
      </c>
      <c r="S73" s="5">
        <f t="shared" si="136"/>
        <v>-1.5139551820622481E-3</v>
      </c>
      <c r="T73" s="5">
        <f t="shared" ref="T73:X73" si="157">LN(T622/T623)</f>
        <v>-5.3386815238589931E-4</v>
      </c>
      <c r="U73" s="5">
        <f t="shared" si="157"/>
        <v>2.3010652586638344E-3</v>
      </c>
      <c r="V73" s="5">
        <f t="shared" si="157"/>
        <v>-2.3820544371042627E-3</v>
      </c>
      <c r="W73" s="5">
        <f t="shared" si="157"/>
        <v>1.1144152876968578E-3</v>
      </c>
      <c r="X73" s="5">
        <f t="shared" si="157"/>
        <v>1.5672013004869975E-3</v>
      </c>
      <c r="Z73" s="4">
        <v>45993</v>
      </c>
      <c r="AA73">
        <f>B73*B$3</f>
        <v>-7864.0000000000073</v>
      </c>
      <c r="AB73">
        <f>C73*C$3</f>
        <v>-23255.999999999964</v>
      </c>
      <c r="AC73">
        <f>D73*D$3</f>
        <v>64572.000000000058</v>
      </c>
      <c r="AD73">
        <f>E73*E$3</f>
        <v>9712.0000000000091</v>
      </c>
      <c r="AE73">
        <f>F73*F$3</f>
        <v>-37283.99999999976</v>
      </c>
      <c r="AF73">
        <f>G73*G$3</f>
        <v>-46884.000000000386</v>
      </c>
      <c r="AG73">
        <f>H73*H$3</f>
        <v>-84648.000000000698</v>
      </c>
      <c r="AH73">
        <f>I73*I$3</f>
        <v>-18455.999999999607</v>
      </c>
      <c r="AI73">
        <f>J73*J$3</f>
        <v>-51051.499999998909</v>
      </c>
      <c r="AJ73">
        <f>K73*K$3</f>
        <v>-78394.999999998327</v>
      </c>
      <c r="AK73">
        <f>L73*L$3</f>
        <v>0</v>
      </c>
      <c r="AL73">
        <f>M73*M$3</f>
        <v>32072.999999999316</v>
      </c>
      <c r="AM73">
        <f>N73*N$3</f>
        <v>0</v>
      </c>
      <c r="AN73">
        <f>O73*O$3</f>
        <v>0</v>
      </c>
      <c r="AO73">
        <f>P73*P$3</f>
        <v>6074.8167643176475</v>
      </c>
      <c r="AP73">
        <f>Q73*Q$3</f>
        <v>-2715.3563212860886</v>
      </c>
      <c r="AQ73">
        <f>R73*R$3</f>
        <v>22258.499410073357</v>
      </c>
      <c r="AR73" s="1">
        <f>S73*S$3</f>
        <v>10597.686274435737</v>
      </c>
      <c r="AS73" s="1">
        <f t="shared" si="146"/>
        <v>-2135.4726095435972</v>
      </c>
      <c r="AT73" s="1">
        <f t="shared" si="146"/>
        <v>18408.522069310675</v>
      </c>
      <c r="AU73" s="1">
        <f t="shared" si="146"/>
        <v>0</v>
      </c>
      <c r="AV73" s="1">
        <f t="shared" si="146"/>
        <v>0</v>
      </c>
      <c r="AW73" s="1">
        <f t="shared" si="146"/>
        <v>0</v>
      </c>
      <c r="AX73" s="1">
        <f t="shared" si="149"/>
        <v>-188992.80441269049</v>
      </c>
      <c r="AY73" s="1">
        <f t="shared" si="150"/>
        <v>52488.695587307731</v>
      </c>
      <c r="AZ73" s="1">
        <f t="shared" si="151"/>
        <v>-241481.49999999822</v>
      </c>
    </row>
    <row r="74" spans="1:52" x14ac:dyDescent="0.25">
      <c r="A74" s="4">
        <v>45992</v>
      </c>
      <c r="B74">
        <f t="shared" ref="B74:N74" si="158">(B624-B623)*100</f>
        <v>6.999999999999984</v>
      </c>
      <c r="C74">
        <f t="shared" si="158"/>
        <v>7.0000000000000284</v>
      </c>
      <c r="D74">
        <f t="shared" si="158"/>
        <v>6.999999999999984</v>
      </c>
      <c r="E74">
        <f t="shared" si="158"/>
        <v>4.0000000000000036</v>
      </c>
      <c r="F74">
        <f t="shared" si="158"/>
        <v>-0.99999999999997868</v>
      </c>
      <c r="G74">
        <f t="shared" si="158"/>
        <v>-1.0000000000000231</v>
      </c>
      <c r="H74">
        <f t="shared" si="158"/>
        <v>-6.999999999999984</v>
      </c>
      <c r="I74">
        <f t="shared" si="158"/>
        <v>-5.9999999999999609</v>
      </c>
      <c r="J74">
        <f t="shared" si="158"/>
        <v>-8.0000000000000071</v>
      </c>
      <c r="K74">
        <f t="shared" si="158"/>
        <v>-8.0000000000000071</v>
      </c>
      <c r="L74">
        <f t="shared" si="158"/>
        <v>-7.0000000000000284</v>
      </c>
      <c r="M74">
        <f t="shared" si="158"/>
        <v>-8.9999999999999858</v>
      </c>
      <c r="N74">
        <f t="shared" si="158"/>
        <v>-7.0000000000000284</v>
      </c>
      <c r="O74" s="5">
        <f t="shared" si="136"/>
        <v>2.4531617811915387E-3</v>
      </c>
      <c r="P74" s="5">
        <f t="shared" si="136"/>
        <v>1.5362088967471182E-2</v>
      </c>
      <c r="Q74" s="5">
        <f t="shared" si="136"/>
        <v>-1.0552954191008254E-3</v>
      </c>
      <c r="R74" s="5">
        <f t="shared" si="136"/>
        <v>2.3752980289074833E-3</v>
      </c>
      <c r="S74" s="5">
        <f t="shared" si="136"/>
        <v>8.1954678188982848E-4</v>
      </c>
      <c r="T74" s="5">
        <f t="shared" ref="T74:X74" si="159">LN(T623/T624)</f>
        <v>-1.3913811257802009E-4</v>
      </c>
      <c r="U74" s="5">
        <f t="shared" si="159"/>
        <v>1.0597002444763339E-4</v>
      </c>
      <c r="V74" s="5">
        <f t="shared" si="159"/>
        <v>-2.2805207545130582E-3</v>
      </c>
      <c r="W74" s="5">
        <f t="shared" si="159"/>
        <v>-2.3687751907447399E-3</v>
      </c>
      <c r="X74" s="5">
        <f t="shared" si="159"/>
        <v>-1.5672013004869084E-3</v>
      </c>
      <c r="Z74" s="4">
        <v>45992</v>
      </c>
      <c r="AA74">
        <f>B74*B$3</f>
        <v>-6880.9999999999845</v>
      </c>
      <c r="AB74">
        <f>C74*C$3</f>
        <v>-18088.000000000073</v>
      </c>
      <c r="AC74">
        <f>D74*D$3</f>
        <v>113000.99999999974</v>
      </c>
      <c r="AD74">
        <f>E74*E$3</f>
        <v>9712.0000000000091</v>
      </c>
      <c r="AE74">
        <f>F74*F$3</f>
        <v>12427.999999999734</v>
      </c>
      <c r="AF74">
        <f>G74*G$3</f>
        <v>15628.00000000036</v>
      </c>
      <c r="AG74">
        <f>H74*H$3</f>
        <v>197511.99999999956</v>
      </c>
      <c r="AH74">
        <f>I74*I$3</f>
        <v>110735.99999999927</v>
      </c>
      <c r="AI74">
        <f>J74*J$3</f>
        <v>408412.00000000035</v>
      </c>
      <c r="AJ74">
        <f>K74*K$3</f>
        <v>627160.00000000058</v>
      </c>
      <c r="AK74">
        <f>L74*L$3</f>
        <v>-217028.00000000087</v>
      </c>
      <c r="AL74">
        <f>M74*M$3</f>
        <v>-288656.99999999953</v>
      </c>
      <c r="AM74">
        <f>N74*N$3</f>
        <v>0</v>
      </c>
      <c r="AN74">
        <f>O74*O$3</f>
        <v>0</v>
      </c>
      <c r="AO74">
        <f>P74*P$3</f>
        <v>-76810.444837355913</v>
      </c>
      <c r="AP74">
        <f>Q74*Q$3</f>
        <v>-12663.545029209905</v>
      </c>
      <c r="AQ74">
        <f>R74*R$3</f>
        <v>-35629.470433612252</v>
      </c>
      <c r="AR74" s="1">
        <f>S74*S$3</f>
        <v>-5736.8274732287991</v>
      </c>
      <c r="AS74" s="1">
        <f t="shared" si="146"/>
        <v>-556.5524503120804</v>
      </c>
      <c r="AT74" s="1">
        <f t="shared" si="146"/>
        <v>847.76019558106714</v>
      </c>
      <c r="AU74" s="1">
        <f t="shared" si="146"/>
        <v>0</v>
      </c>
      <c r="AV74" s="1">
        <f t="shared" si="146"/>
        <v>0</v>
      </c>
      <c r="AW74" s="1">
        <f t="shared" si="146"/>
        <v>0</v>
      </c>
      <c r="AX74" s="1">
        <f t="shared" si="149"/>
        <v>833385.91997186118</v>
      </c>
      <c r="AY74" s="1">
        <f t="shared" si="150"/>
        <v>-130549.08002813789</v>
      </c>
      <c r="AZ74" s="1">
        <f t="shared" si="151"/>
        <v>963934.99999999907</v>
      </c>
    </row>
    <row r="75" spans="1:52" x14ac:dyDescent="0.25">
      <c r="A75" s="4">
        <v>45989</v>
      </c>
      <c r="B75">
        <f t="shared" ref="B75:N75" si="160">(B625-B624)*100</f>
        <v>0.99999999999997868</v>
      </c>
      <c r="C75">
        <f t="shared" si="160"/>
        <v>0.99999999999997868</v>
      </c>
      <c r="D75">
        <f t="shared" si="160"/>
        <v>4.0000000000000036</v>
      </c>
      <c r="E75">
        <f t="shared" si="160"/>
        <v>0</v>
      </c>
      <c r="F75">
        <f t="shared" si="160"/>
        <v>1.9999999999999574</v>
      </c>
      <c r="G75">
        <f t="shared" si="160"/>
        <v>0</v>
      </c>
      <c r="H75">
        <f t="shared" si="160"/>
        <v>-2.0000000000000018</v>
      </c>
      <c r="I75">
        <f t="shared" si="160"/>
        <v>-2.0000000000000018</v>
      </c>
      <c r="J75">
        <f t="shared" si="160"/>
        <v>-2.9999999999999805</v>
      </c>
      <c r="K75">
        <f t="shared" si="160"/>
        <v>-2.9999999999999805</v>
      </c>
      <c r="L75">
        <f t="shared" si="160"/>
        <v>-1.9999999999999574</v>
      </c>
      <c r="M75">
        <f t="shared" si="160"/>
        <v>-2.0000000000000462</v>
      </c>
      <c r="N75">
        <f t="shared" si="160"/>
        <v>-3.0000000000000249</v>
      </c>
      <c r="O75" s="5">
        <f t="shared" ref="O75:S84" si="161">LN(O624/O625)</f>
        <v>-6.6526136259348941E-3</v>
      </c>
      <c r="P75" s="5">
        <f t="shared" si="161"/>
        <v>6.9481840194142519E-3</v>
      </c>
      <c r="Q75" s="5">
        <f t="shared" si="161"/>
        <v>-8.5839276681389572E-3</v>
      </c>
      <c r="R75" s="5">
        <f t="shared" si="161"/>
        <v>-1.1883542693786767E-3</v>
      </c>
      <c r="S75" s="5">
        <f t="shared" si="161"/>
        <v>-2.6310920557416676E-3</v>
      </c>
      <c r="T75" s="5">
        <f t="shared" ref="T75:X75" si="162">LN(T624/T625)</f>
        <v>-3.0230648359056349E-3</v>
      </c>
      <c r="U75" s="5">
        <f t="shared" si="162"/>
        <v>-6.247608185468473E-3</v>
      </c>
      <c r="V75" s="5">
        <f t="shared" si="162"/>
        <v>3.4558999826137372E-4</v>
      </c>
      <c r="W75" s="5">
        <f t="shared" si="162"/>
        <v>-1.0071845725373585E-2</v>
      </c>
      <c r="X75" s="5">
        <f t="shared" si="162"/>
        <v>-4.1920469536269826E-3</v>
      </c>
      <c r="Z75" s="4">
        <v>45989</v>
      </c>
      <c r="AA75">
        <f>B75*B$3</f>
        <v>-982.99999999997908</v>
      </c>
      <c r="AB75">
        <f>C75*C$3</f>
        <v>-2583.999999999945</v>
      </c>
      <c r="AC75">
        <f>D75*D$3</f>
        <v>64572.000000000058</v>
      </c>
      <c r="AD75">
        <f>E75*E$3</f>
        <v>0</v>
      </c>
      <c r="AE75">
        <f>F75*F$3</f>
        <v>-24855.999999999469</v>
      </c>
      <c r="AF75">
        <f>G75*G$3</f>
        <v>0</v>
      </c>
      <c r="AG75">
        <f>H75*H$3</f>
        <v>56432.000000000051</v>
      </c>
      <c r="AH75">
        <f>I75*I$3</f>
        <v>36912.000000000036</v>
      </c>
      <c r="AI75">
        <f>J75*J$3</f>
        <v>153154.49999999901</v>
      </c>
      <c r="AJ75">
        <f>K75*K$3</f>
        <v>235184.99999999846</v>
      </c>
      <c r="AK75">
        <f>L75*L$3</f>
        <v>-62007.999999998676</v>
      </c>
      <c r="AL75">
        <f>M75*M$3</f>
        <v>-64146.000000001484</v>
      </c>
      <c r="AM75">
        <f>N75*N$3</f>
        <v>0</v>
      </c>
      <c r="AN75">
        <f>O75*O$3</f>
        <v>0</v>
      </c>
      <c r="AO75">
        <f>P75*P$3</f>
        <v>-34740.920097071263</v>
      </c>
      <c r="AP75">
        <f>Q75*Q$3</f>
        <v>-103007.13201766749</v>
      </c>
      <c r="AQ75">
        <f>R75*R$3</f>
        <v>17825.31404068015</v>
      </c>
      <c r="AR75" s="1">
        <f>S75*S$3</f>
        <v>18417.644390191672</v>
      </c>
      <c r="AS75" s="1">
        <f t="shared" si="146"/>
        <v>-12092.25934362254</v>
      </c>
      <c r="AT75" s="1">
        <f t="shared" si="146"/>
        <v>-49980.865483747781</v>
      </c>
      <c r="AU75" s="1">
        <f t="shared" si="146"/>
        <v>0</v>
      </c>
      <c r="AV75" s="1">
        <f t="shared" si="146"/>
        <v>0</v>
      </c>
      <c r="AW75" s="1">
        <f t="shared" si="146"/>
        <v>0</v>
      </c>
      <c r="AX75" s="1">
        <f t="shared" si="149"/>
        <v>228100.28148876084</v>
      </c>
      <c r="AY75" s="1">
        <f t="shared" si="150"/>
        <v>-163578.21851123724</v>
      </c>
      <c r="AZ75" s="1">
        <f t="shared" si="151"/>
        <v>391678.49999999808</v>
      </c>
    </row>
    <row r="76" spans="1:52" x14ac:dyDescent="0.25">
      <c r="A76" s="4">
        <v>45987</v>
      </c>
      <c r="B76">
        <f t="shared" ref="B76:N76" si="163">(B626-B625)*100</f>
        <v>-1.9999999999999574</v>
      </c>
      <c r="C76">
        <f t="shared" si="163"/>
        <v>-2.9999999999999805</v>
      </c>
      <c r="D76">
        <f t="shared" si="163"/>
        <v>-2.0000000000000018</v>
      </c>
      <c r="E76">
        <f t="shared" si="163"/>
        <v>-4.0000000000000036</v>
      </c>
      <c r="F76">
        <f t="shared" si="163"/>
        <v>-0.99999999999997868</v>
      </c>
      <c r="G76">
        <f t="shared" si="163"/>
        <v>-0.99999999999997868</v>
      </c>
      <c r="H76">
        <f t="shared" si="163"/>
        <v>-2.0000000000000018</v>
      </c>
      <c r="I76">
        <f t="shared" si="163"/>
        <v>-1.0000000000000231</v>
      </c>
      <c r="J76">
        <f t="shared" si="163"/>
        <v>-1.0000000000000231</v>
      </c>
      <c r="K76">
        <f t="shared" si="163"/>
        <v>2.0000000000000018</v>
      </c>
      <c r="L76">
        <f t="shared" si="163"/>
        <v>0.99999999999997868</v>
      </c>
      <c r="M76">
        <f t="shared" si="163"/>
        <v>2.0000000000000462</v>
      </c>
      <c r="N76">
        <f t="shared" si="163"/>
        <v>3.0000000000000249</v>
      </c>
      <c r="O76" s="5">
        <f t="shared" si="161"/>
        <v>-2.7341478405945646E-3</v>
      </c>
      <c r="P76" s="5">
        <f t="shared" si="161"/>
        <v>-2.1992898016188461E-2</v>
      </c>
      <c r="Q76" s="5">
        <f t="shared" si="161"/>
        <v>-2.5789689898347021E-3</v>
      </c>
      <c r="R76" s="5">
        <f t="shared" si="161"/>
        <v>-2.9686804433560544E-4</v>
      </c>
      <c r="S76" s="5">
        <f t="shared" si="161"/>
        <v>-2.1619157431923405E-3</v>
      </c>
      <c r="T76" s="5">
        <f t="shared" ref="T76:X76" si="164">LN(T625/T626)</f>
        <v>-3.8782333808340666E-3</v>
      </c>
      <c r="U76" s="5">
        <f t="shared" si="164"/>
        <v>-4.0013546140545394E-3</v>
      </c>
      <c r="V76" s="5">
        <f t="shared" si="164"/>
        <v>-4.5279121834422851E-3</v>
      </c>
      <c r="W76" s="5">
        <f t="shared" si="164"/>
        <v>-6.9593503778355207E-4</v>
      </c>
      <c r="X76" s="5">
        <f t="shared" si="164"/>
        <v>-7.7944453224765699E-4</v>
      </c>
      <c r="Z76" s="4">
        <v>45987</v>
      </c>
      <c r="AA76">
        <f>B76*B$3</f>
        <v>1965.9999999999582</v>
      </c>
      <c r="AB76">
        <f>C76*C$3</f>
        <v>7751.9999999999491</v>
      </c>
      <c r="AC76">
        <f>D76*D$3</f>
        <v>-32286.000000000029</v>
      </c>
      <c r="AD76">
        <f>E76*E$3</f>
        <v>-9712.0000000000091</v>
      </c>
      <c r="AE76">
        <f>F76*F$3</f>
        <v>12427.999999999734</v>
      </c>
      <c r="AF76">
        <f>G76*G$3</f>
        <v>15627.999999999667</v>
      </c>
      <c r="AG76">
        <f>H76*H$3</f>
        <v>56432.000000000051</v>
      </c>
      <c r="AH76">
        <f>I76*I$3</f>
        <v>18456.000000000426</v>
      </c>
      <c r="AI76">
        <f>J76*J$3</f>
        <v>51051.500000001179</v>
      </c>
      <c r="AJ76">
        <f>K76*K$3</f>
        <v>-156790.00000000015</v>
      </c>
      <c r="AK76">
        <f>L76*L$3</f>
        <v>31003.999999999338</v>
      </c>
      <c r="AL76">
        <f>M76*M$3</f>
        <v>64146.000000001484</v>
      </c>
      <c r="AM76">
        <f>N76*N$3</f>
        <v>0</v>
      </c>
      <c r="AN76">
        <f>O76*O$3</f>
        <v>0</v>
      </c>
      <c r="AO76">
        <f>P76*P$3</f>
        <v>109964.4900809423</v>
      </c>
      <c r="AP76">
        <f>Q76*Q$3</f>
        <v>-30947.627878016425</v>
      </c>
      <c r="AQ76">
        <f>R76*R$3</f>
        <v>4453.0206650340815</v>
      </c>
      <c r="AR76" s="1">
        <f>S76*S$3</f>
        <v>15133.410202346384</v>
      </c>
      <c r="AS76" s="1">
        <f t="shared" si="146"/>
        <v>-15512.933523336267</v>
      </c>
      <c r="AT76" s="1">
        <f t="shared" si="146"/>
        <v>-32010.836912436316</v>
      </c>
      <c r="AU76" s="1">
        <f t="shared" si="146"/>
        <v>0</v>
      </c>
      <c r="AV76" s="1">
        <f t="shared" si="146"/>
        <v>0</v>
      </c>
      <c r="AW76" s="1">
        <f t="shared" si="146"/>
        <v>0</v>
      </c>
      <c r="AX76" s="1">
        <f t="shared" si="149"/>
        <v>111155.02263453536</v>
      </c>
      <c r="AY76" s="1">
        <f t="shared" si="150"/>
        <v>51079.522634533751</v>
      </c>
      <c r="AZ76" s="1">
        <f t="shared" si="151"/>
        <v>60075.500000001608</v>
      </c>
    </row>
    <row r="77" spans="1:52" x14ac:dyDescent="0.25">
      <c r="A77" s="4">
        <v>45986</v>
      </c>
      <c r="B77">
        <f t="shared" ref="B77:N77" si="165">(B627-B626)*100</f>
        <v>-0.99999999999997868</v>
      </c>
      <c r="C77">
        <f t="shared" si="165"/>
        <v>2.0000000000000018</v>
      </c>
      <c r="D77">
        <f t="shared" si="165"/>
        <v>1.0000000000000231</v>
      </c>
      <c r="E77">
        <f t="shared" si="165"/>
        <v>1.0000000000000231</v>
      </c>
      <c r="F77">
        <f t="shared" si="165"/>
        <v>0.99999999999997868</v>
      </c>
      <c r="G77">
        <f t="shared" si="165"/>
        <v>0.99999999999997868</v>
      </c>
      <c r="H77">
        <f t="shared" si="165"/>
        <v>2.9999999999999805</v>
      </c>
      <c r="I77">
        <f t="shared" si="165"/>
        <v>3.0000000000000249</v>
      </c>
      <c r="J77">
        <f t="shared" si="165"/>
        <v>6.0000000000000053</v>
      </c>
      <c r="K77">
        <f t="shared" si="165"/>
        <v>2.9999999999999805</v>
      </c>
      <c r="L77">
        <f t="shared" si="165"/>
        <v>3.0000000000000249</v>
      </c>
      <c r="M77">
        <f t="shared" si="165"/>
        <v>1.9999999999999574</v>
      </c>
      <c r="N77">
        <f t="shared" si="165"/>
        <v>0.99999999999997868</v>
      </c>
      <c r="O77" s="5">
        <f t="shared" si="161"/>
        <v>-1.9854714593277329E-3</v>
      </c>
      <c r="P77" s="5">
        <f t="shared" si="161"/>
        <v>3.0003621889141611E-3</v>
      </c>
      <c r="Q77" s="5">
        <f t="shared" si="161"/>
        <v>2.3549104349284821E-3</v>
      </c>
      <c r="R77" s="5">
        <f t="shared" si="161"/>
        <v>-4.1469253741555434E-3</v>
      </c>
      <c r="S77" s="5">
        <f t="shared" si="161"/>
        <v>-7.0521886461923245E-3</v>
      </c>
      <c r="T77" s="5">
        <f t="shared" ref="T77:X77" si="166">LN(T626/T627)</f>
        <v>-1.0822579670048246E-3</v>
      </c>
      <c r="U77" s="5">
        <f t="shared" si="166"/>
        <v>-7.468513032156146E-4</v>
      </c>
      <c r="V77" s="5">
        <f t="shared" si="166"/>
        <v>1.6005756886471746E-3</v>
      </c>
      <c r="W77" s="5">
        <f t="shared" si="166"/>
        <v>-5.2614308008470435E-4</v>
      </c>
      <c r="X77" s="5">
        <f t="shared" si="166"/>
        <v>-7.4151998953533502E-5</v>
      </c>
      <c r="Z77" s="4">
        <v>45986</v>
      </c>
      <c r="AA77">
        <f>B77*B$3</f>
        <v>982.99999999997908</v>
      </c>
      <c r="AB77">
        <f>C77*C$3</f>
        <v>-5168.0000000000045</v>
      </c>
      <c r="AC77">
        <f>D77*D$3</f>
        <v>16143.000000000373</v>
      </c>
      <c r="AD77">
        <f>E77*E$3</f>
        <v>2428.0000000000559</v>
      </c>
      <c r="AE77">
        <f>F77*F$3</f>
        <v>-12427.999999999734</v>
      </c>
      <c r="AF77">
        <f>G77*G$3</f>
        <v>-15627.999999999667</v>
      </c>
      <c r="AG77">
        <f>H77*H$3</f>
        <v>-84647.999999999447</v>
      </c>
      <c r="AH77">
        <f>I77*I$3</f>
        <v>-55368.000000000458</v>
      </c>
      <c r="AI77">
        <f>J77*J$3</f>
        <v>-306309.00000000029</v>
      </c>
      <c r="AJ77">
        <f>K77*K$3</f>
        <v>-235184.99999999846</v>
      </c>
      <c r="AK77">
        <f>L77*L$3</f>
        <v>93012.000000000771</v>
      </c>
      <c r="AL77">
        <f>M77*M$3</f>
        <v>64145.999999998632</v>
      </c>
      <c r="AM77">
        <f>N77*N$3</f>
        <v>0</v>
      </c>
      <c r="AN77">
        <f>O77*O$3</f>
        <v>0</v>
      </c>
      <c r="AO77">
        <f>P77*P$3</f>
        <v>-15001.810944570805</v>
      </c>
      <c r="AP77">
        <f>Q77*Q$3</f>
        <v>28258.925219141784</v>
      </c>
      <c r="AQ77">
        <f>R77*R$3</f>
        <v>62203.880612333152</v>
      </c>
      <c r="AR77" s="1">
        <f>S77*S$3</f>
        <v>49365.320523346272</v>
      </c>
      <c r="AS77" s="1">
        <f t="shared" si="146"/>
        <v>-4329.0318680192986</v>
      </c>
      <c r="AT77" s="1">
        <f t="shared" si="146"/>
        <v>-5974.810425724917</v>
      </c>
      <c r="AU77" s="1">
        <f t="shared" si="146"/>
        <v>0</v>
      </c>
      <c r="AV77" s="1">
        <f t="shared" si="146"/>
        <v>0</v>
      </c>
      <c r="AW77" s="1">
        <f t="shared" si="146"/>
        <v>0</v>
      </c>
      <c r="AX77" s="1">
        <f t="shared" si="149"/>
        <v>-423499.52688349213</v>
      </c>
      <c r="AY77" s="1">
        <f t="shared" si="150"/>
        <v>114522.47311650617</v>
      </c>
      <c r="AZ77" s="1">
        <f t="shared" si="151"/>
        <v>-538021.99999999825</v>
      </c>
    </row>
    <row r="78" spans="1:52" x14ac:dyDescent="0.25">
      <c r="A78" s="4">
        <v>45985</v>
      </c>
      <c r="B78">
        <f t="shared" ref="B78:N78" si="167">(B628-B627)*100</f>
        <v>0</v>
      </c>
      <c r="C78">
        <f t="shared" si="167"/>
        <v>0.99999999999997868</v>
      </c>
      <c r="D78">
        <f t="shared" si="167"/>
        <v>-1.0000000000000231</v>
      </c>
      <c r="E78">
        <f t="shared" si="167"/>
        <v>0.99999999999997868</v>
      </c>
      <c r="F78">
        <f t="shared" si="167"/>
        <v>-0.99999999999997868</v>
      </c>
      <c r="G78">
        <f t="shared" si="167"/>
        <v>1.0000000000000231</v>
      </c>
      <c r="H78">
        <f t="shared" si="167"/>
        <v>4.9999999999999822</v>
      </c>
      <c r="I78">
        <f t="shared" si="167"/>
        <v>0.99999999999997868</v>
      </c>
      <c r="J78">
        <f t="shared" si="167"/>
        <v>1.0000000000000231</v>
      </c>
      <c r="K78">
        <f t="shared" si="167"/>
        <v>2.0000000000000018</v>
      </c>
      <c r="L78">
        <f t="shared" si="167"/>
        <v>1.9999999999999574</v>
      </c>
      <c r="M78">
        <f t="shared" si="167"/>
        <v>3.0000000000000249</v>
      </c>
      <c r="N78">
        <f t="shared" si="167"/>
        <v>3.0000000000000249</v>
      </c>
      <c r="O78" s="5">
        <f t="shared" si="161"/>
        <v>8.5308413615447641E-4</v>
      </c>
      <c r="P78" s="5">
        <f t="shared" si="161"/>
        <v>-1.2753342906757529E-3</v>
      </c>
      <c r="Q78" s="5">
        <f t="shared" si="161"/>
        <v>8.9586745460615257E-3</v>
      </c>
      <c r="R78" s="5">
        <f t="shared" si="161"/>
        <v>-1.1816840370631801E-3</v>
      </c>
      <c r="S78" s="5">
        <f t="shared" si="161"/>
        <v>1.5460298230532551E-3</v>
      </c>
      <c r="T78" s="5">
        <f t="shared" ref="T78:X78" si="168">LN(T627/T628)</f>
        <v>2.3387457189907013E-3</v>
      </c>
      <c r="U78" s="5">
        <f t="shared" si="168"/>
        <v>-8.7704282209381487E-4</v>
      </c>
      <c r="V78" s="5">
        <f t="shared" si="168"/>
        <v>-4.3367975136909109E-3</v>
      </c>
      <c r="W78" s="5">
        <f t="shared" si="168"/>
        <v>-1.9981015364539867E-3</v>
      </c>
      <c r="X78" s="5">
        <f t="shared" si="168"/>
        <v>3.9525262968034382E-3</v>
      </c>
      <c r="Z78" s="4">
        <v>45985</v>
      </c>
      <c r="AA78">
        <f>B78*B$3</f>
        <v>0</v>
      </c>
      <c r="AB78">
        <f>C78*C$3</f>
        <v>-2583.999999999945</v>
      </c>
      <c r="AC78">
        <f>D78*D$3</f>
        <v>-16143.000000000373</v>
      </c>
      <c r="AD78">
        <f>E78*E$3</f>
        <v>2427.9999999999482</v>
      </c>
      <c r="AE78">
        <f>F78*F$3</f>
        <v>12427.999999999734</v>
      </c>
      <c r="AF78">
        <f>G78*G$3</f>
        <v>-15628.00000000036</v>
      </c>
      <c r="AG78">
        <f>H78*H$3</f>
        <v>-141079.99999999951</v>
      </c>
      <c r="AH78">
        <f>I78*I$3</f>
        <v>-18455.999999999607</v>
      </c>
      <c r="AI78">
        <f>J78*J$3</f>
        <v>-51051.500000001179</v>
      </c>
      <c r="AJ78">
        <f>K78*K$3</f>
        <v>-156790.00000000015</v>
      </c>
      <c r="AK78">
        <f>L78*L$3</f>
        <v>62007.999999998676</v>
      </c>
      <c r="AL78">
        <f>M78*M$3</f>
        <v>96219.0000000008</v>
      </c>
      <c r="AM78">
        <f>N78*N$3</f>
        <v>0</v>
      </c>
      <c r="AN78">
        <f>O78*O$3</f>
        <v>0</v>
      </c>
      <c r="AO78">
        <f>P78*P$3</f>
        <v>6376.6714533787645</v>
      </c>
      <c r="AP78">
        <f>Q78*Q$3</f>
        <v>107504.0945527383</v>
      </c>
      <c r="AQ78">
        <f>R78*R$3</f>
        <v>17725.260555947702</v>
      </c>
      <c r="AR78" s="1">
        <f>S78*S$3</f>
        <v>-10822.208761372785</v>
      </c>
      <c r="AS78" s="1">
        <f t="shared" si="146"/>
        <v>9354.9828759628053</v>
      </c>
      <c r="AT78" s="1">
        <f t="shared" si="146"/>
        <v>-7016.3425767505187</v>
      </c>
      <c r="AU78" s="1">
        <f t="shared" si="146"/>
        <v>0</v>
      </c>
      <c r="AV78" s="1">
        <f t="shared" si="146"/>
        <v>0</v>
      </c>
      <c r="AW78" s="1">
        <f t="shared" si="146"/>
        <v>0</v>
      </c>
      <c r="AX78" s="1">
        <f t="shared" si="149"/>
        <v>-105527.04190009765</v>
      </c>
      <c r="AY78" s="1">
        <f t="shared" si="150"/>
        <v>123122.45809990427</v>
      </c>
      <c r="AZ78" s="1">
        <f t="shared" si="151"/>
        <v>-228649.50000000192</v>
      </c>
    </row>
    <row r="79" spans="1:52" x14ac:dyDescent="0.25">
      <c r="A79" s="4">
        <v>45982</v>
      </c>
      <c r="B79">
        <f t="shared" ref="B79:N79" si="169">(B629-B628)*100</f>
        <v>0.99999999999997868</v>
      </c>
      <c r="C79">
        <f t="shared" si="169"/>
        <v>1.9999999999999574</v>
      </c>
      <c r="D79">
        <f t="shared" si="169"/>
        <v>4.0000000000000036</v>
      </c>
      <c r="E79">
        <f t="shared" si="169"/>
        <v>2.0000000000000018</v>
      </c>
      <c r="F79">
        <f t="shared" si="169"/>
        <v>4.0000000000000036</v>
      </c>
      <c r="G79">
        <f t="shared" si="169"/>
        <v>2.9999999999999805</v>
      </c>
      <c r="H79">
        <f t="shared" si="169"/>
        <v>4.0000000000000036</v>
      </c>
      <c r="I79">
        <f t="shared" si="169"/>
        <v>6.0000000000000053</v>
      </c>
      <c r="J79">
        <f t="shared" si="169"/>
        <v>6.0000000000000053</v>
      </c>
      <c r="K79">
        <f t="shared" si="169"/>
        <v>5.0000000000000266</v>
      </c>
      <c r="L79">
        <f t="shared" si="169"/>
        <v>4.0000000000000036</v>
      </c>
      <c r="M79">
        <f t="shared" si="169"/>
        <v>0.99999999999997868</v>
      </c>
      <c r="N79">
        <f t="shared" si="169"/>
        <v>2.0000000000000462</v>
      </c>
      <c r="O79" s="5">
        <f t="shared" si="161"/>
        <v>1.0369164725228468E-2</v>
      </c>
      <c r="P79" s="5">
        <f t="shared" si="161"/>
        <v>1.1074538555885137E-2</v>
      </c>
      <c r="Q79" s="5">
        <f t="shared" si="161"/>
        <v>-2.5371447095868288E-3</v>
      </c>
      <c r="R79" s="5">
        <f t="shared" si="161"/>
        <v>2.3647661034817196E-3</v>
      </c>
      <c r="S79" s="5">
        <f t="shared" si="161"/>
        <v>5.179827114942262E-3</v>
      </c>
      <c r="T79" s="5">
        <f t="shared" ref="T79:X79" si="170">LN(T628/T629)</f>
        <v>5.3076646266842723E-4</v>
      </c>
      <c r="U79" s="5">
        <f t="shared" si="170"/>
        <v>-1.7648842851189991E-3</v>
      </c>
      <c r="V79" s="5">
        <f t="shared" si="170"/>
        <v>2.3985104569531224E-3</v>
      </c>
      <c r="W79" s="5">
        <f t="shared" si="170"/>
        <v>6.2614178601029117E-3</v>
      </c>
      <c r="X79" s="5">
        <f t="shared" si="170"/>
        <v>7.4519682018418367E-5</v>
      </c>
      <c r="Z79" s="4">
        <v>45982</v>
      </c>
      <c r="AA79">
        <f>B79*B$3</f>
        <v>-982.99999999997908</v>
      </c>
      <c r="AB79">
        <f>C79*C$3</f>
        <v>-5167.99999999989</v>
      </c>
      <c r="AC79">
        <f>D79*D$3</f>
        <v>64572.000000000058</v>
      </c>
      <c r="AD79">
        <f>E79*E$3</f>
        <v>4856.0000000000045</v>
      </c>
      <c r="AE79">
        <f>F79*F$3</f>
        <v>-49712.000000000044</v>
      </c>
      <c r="AF79">
        <f>G79*G$3</f>
        <v>-46883.999999999694</v>
      </c>
      <c r="AG79">
        <f>H79*H$3</f>
        <v>-112864.0000000001</v>
      </c>
      <c r="AH79">
        <f>I79*I$3</f>
        <v>-110736.0000000001</v>
      </c>
      <c r="AI79">
        <f>J79*J$3</f>
        <v>-306309.00000000029</v>
      </c>
      <c r="AJ79">
        <f>K79*K$3</f>
        <v>-391975.0000000021</v>
      </c>
      <c r="AK79">
        <f>L79*L$3</f>
        <v>124016.00000000012</v>
      </c>
      <c r="AL79">
        <f>M79*M$3</f>
        <v>32072.999999999316</v>
      </c>
      <c r="AM79">
        <f>N79*N$3</f>
        <v>0</v>
      </c>
      <c r="AN79">
        <f>O79*O$3</f>
        <v>0</v>
      </c>
      <c r="AO79">
        <f>P79*P$3</f>
        <v>-55372.692779425684</v>
      </c>
      <c r="AP79">
        <f>Q79*Q$3</f>
        <v>-30445.736515041946</v>
      </c>
      <c r="AQ79">
        <f>R79*R$3</f>
        <v>-35471.491552225794</v>
      </c>
      <c r="AR79" s="1">
        <f>S79*S$3</f>
        <v>-36258.789804595835</v>
      </c>
      <c r="AS79" s="1">
        <f t="shared" si="146"/>
        <v>2123.0658506737091</v>
      </c>
      <c r="AT79" s="1">
        <f t="shared" si="146"/>
        <v>-14119.074280951992</v>
      </c>
      <c r="AU79" s="1">
        <f t="shared" si="146"/>
        <v>0</v>
      </c>
      <c r="AV79" s="1">
        <f t="shared" si="146"/>
        <v>0</v>
      </c>
      <c r="AW79" s="1">
        <f t="shared" si="146"/>
        <v>0</v>
      </c>
      <c r="AX79" s="1">
        <f t="shared" si="149"/>
        <v>-968658.71908157016</v>
      </c>
      <c r="AY79" s="1">
        <f t="shared" si="150"/>
        <v>-169544.71908156754</v>
      </c>
      <c r="AZ79" s="1">
        <f t="shared" si="151"/>
        <v>-799114.00000000256</v>
      </c>
    </row>
    <row r="80" spans="1:52" x14ac:dyDescent="0.25">
      <c r="A80" s="4">
        <v>45981</v>
      </c>
      <c r="B80">
        <f t="shared" ref="B80:N80" si="171">(B630-B629)*100</f>
        <v>-3.0000000000000249</v>
      </c>
      <c r="C80">
        <f t="shared" si="171"/>
        <v>-1.9999999999999574</v>
      </c>
      <c r="D80">
        <f t="shared" si="171"/>
        <v>1.0000000000000231</v>
      </c>
      <c r="E80">
        <f t="shared" si="171"/>
        <v>0</v>
      </c>
      <c r="F80">
        <f t="shared" si="171"/>
        <v>0.99999999999997868</v>
      </c>
      <c r="G80">
        <f t="shared" si="171"/>
        <v>3.0000000000000249</v>
      </c>
      <c r="H80">
        <f t="shared" si="171"/>
        <v>3.0000000000000249</v>
      </c>
      <c r="I80">
        <f t="shared" si="171"/>
        <v>2.9999999999999805</v>
      </c>
      <c r="J80">
        <f t="shared" si="171"/>
        <v>2.9999999999999805</v>
      </c>
      <c r="K80">
        <f t="shared" si="171"/>
        <v>2.9999999999999805</v>
      </c>
      <c r="L80">
        <f t="shared" si="171"/>
        <v>3.0000000000000249</v>
      </c>
      <c r="M80">
        <f t="shared" si="171"/>
        <v>3.0000000000000249</v>
      </c>
      <c r="N80">
        <f t="shared" si="171"/>
        <v>1.9999999999999574</v>
      </c>
      <c r="O80" s="5">
        <f t="shared" si="161"/>
        <v>0</v>
      </c>
      <c r="P80" s="5">
        <f t="shared" si="161"/>
        <v>1.3627928629930848E-2</v>
      </c>
      <c r="Q80" s="5">
        <f t="shared" si="161"/>
        <v>2.2573130372734512E-3</v>
      </c>
      <c r="R80" s="5">
        <f t="shared" si="161"/>
        <v>0</v>
      </c>
      <c r="S80" s="5">
        <f t="shared" si="161"/>
        <v>1.632724508521124E-3</v>
      </c>
      <c r="T80" s="5">
        <f t="shared" ref="T80:X80" si="172">LN(T629/T630)</f>
        <v>3.5028869824339729E-3</v>
      </c>
      <c r="U80" s="5">
        <f t="shared" si="172"/>
        <v>6.5391890475674118E-3</v>
      </c>
      <c r="V80" s="5">
        <f t="shared" si="172"/>
        <v>9.2404842867899063E-3</v>
      </c>
      <c r="W80" s="5">
        <f t="shared" si="172"/>
        <v>2.9247915811605172E-3</v>
      </c>
      <c r="X80" s="5">
        <f t="shared" si="172"/>
        <v>6.5021791879535254E-3</v>
      </c>
      <c r="Z80" s="4">
        <v>45981</v>
      </c>
      <c r="AA80">
        <f>B80*B$3</f>
        <v>2949.0000000000246</v>
      </c>
      <c r="AB80">
        <f>C80*C$3</f>
        <v>5167.99999999989</v>
      </c>
      <c r="AC80">
        <f>D80*D$3</f>
        <v>16143.000000000373</v>
      </c>
      <c r="AD80">
        <f>E80*E$3</f>
        <v>0</v>
      </c>
      <c r="AE80">
        <f>F80*F$3</f>
        <v>-12427.999999999734</v>
      </c>
      <c r="AF80">
        <f>G80*G$3</f>
        <v>-46884.000000000386</v>
      </c>
      <c r="AG80">
        <f>H80*H$3</f>
        <v>-84648.000000000698</v>
      </c>
      <c r="AH80">
        <f>I80*I$3</f>
        <v>-55367.999999999636</v>
      </c>
      <c r="AI80">
        <f>J80*J$3</f>
        <v>-153154.49999999901</v>
      </c>
      <c r="AJ80">
        <f>K80*K$3</f>
        <v>-235184.99999999846</v>
      </c>
      <c r="AK80">
        <f>L80*L$3</f>
        <v>93012.000000000771</v>
      </c>
      <c r="AL80">
        <f>M80*M$3</f>
        <v>96219.0000000008</v>
      </c>
      <c r="AM80">
        <f>N80*N$3</f>
        <v>0</v>
      </c>
      <c r="AN80">
        <f>O80*O$3</f>
        <v>0</v>
      </c>
      <c r="AO80">
        <f>P80*P$3</f>
        <v>-68139.643149654235</v>
      </c>
      <c r="AP80">
        <f>Q80*Q$3</f>
        <v>27087.756447281416</v>
      </c>
      <c r="AQ80">
        <f>R80*R$3</f>
        <v>0</v>
      </c>
      <c r="AR80" s="1">
        <f>S80*S$3</f>
        <v>-11429.071559647868</v>
      </c>
      <c r="AS80" s="1">
        <f t="shared" si="146"/>
        <v>14011.547929735892</v>
      </c>
      <c r="AT80" s="1">
        <f t="shared" si="146"/>
        <v>52313.512380539294</v>
      </c>
      <c r="AU80" s="1">
        <f t="shared" si="146"/>
        <v>0</v>
      </c>
      <c r="AV80" s="1">
        <f t="shared" si="146"/>
        <v>0</v>
      </c>
      <c r="AW80" s="1">
        <f t="shared" si="146"/>
        <v>0</v>
      </c>
      <c r="AX80" s="1">
        <f t="shared" si="149"/>
        <v>-360332.39795174159</v>
      </c>
      <c r="AY80" s="1">
        <f t="shared" si="150"/>
        <v>13844.102048254492</v>
      </c>
      <c r="AZ80" s="1">
        <f t="shared" si="151"/>
        <v>-374176.4999999961</v>
      </c>
    </row>
    <row r="81" spans="1:52" x14ac:dyDescent="0.25">
      <c r="A81" s="4">
        <v>45980</v>
      </c>
      <c r="B81">
        <f t="shared" ref="B81:N81" si="173">(B631-B630)*100</f>
        <v>0.99999999999997868</v>
      </c>
      <c r="C81">
        <f t="shared" si="173"/>
        <v>-0.99999999999997868</v>
      </c>
      <c r="D81">
        <f t="shared" si="173"/>
        <v>-1.0000000000000231</v>
      </c>
      <c r="E81">
        <f t="shared" si="173"/>
        <v>-0.99999999999997868</v>
      </c>
      <c r="F81">
        <f t="shared" si="173"/>
        <v>-0.99999999999997868</v>
      </c>
      <c r="G81">
        <f t="shared" si="173"/>
        <v>-1.0000000000000231</v>
      </c>
      <c r="H81">
        <f t="shared" si="173"/>
        <v>0</v>
      </c>
      <c r="I81">
        <f t="shared" si="173"/>
        <v>-0.99999999999997868</v>
      </c>
      <c r="J81">
        <f t="shared" si="173"/>
        <v>-0.99999999999997868</v>
      </c>
      <c r="K81">
        <f t="shared" si="173"/>
        <v>-0.99999999999997868</v>
      </c>
      <c r="L81">
        <f t="shared" si="173"/>
        <v>-0.99999999999997868</v>
      </c>
      <c r="M81">
        <f t="shared" si="173"/>
        <v>0.99999999999997868</v>
      </c>
      <c r="N81">
        <f t="shared" si="173"/>
        <v>-0.99999999999997868</v>
      </c>
      <c r="O81" s="5">
        <f t="shared" si="161"/>
        <v>-2.8115950363749988E-4</v>
      </c>
      <c r="P81" s="5">
        <f t="shared" si="161"/>
        <v>-2.5556540912410114E-3</v>
      </c>
      <c r="Q81" s="5">
        <f t="shared" si="161"/>
        <v>1.0210571759362415E-2</v>
      </c>
      <c r="R81" s="5">
        <f t="shared" si="161"/>
        <v>2.0737675925438918E-3</v>
      </c>
      <c r="S81" s="5">
        <f t="shared" si="161"/>
        <v>1.1008715435668933E-3</v>
      </c>
      <c r="T81" s="5">
        <f t="shared" ref="T81:X81" si="174">LN(T630/T631)</f>
        <v>8.1099408628810339E-4</v>
      </c>
      <c r="U81" s="5">
        <f t="shared" si="174"/>
        <v>6.5759883630269649E-4</v>
      </c>
      <c r="V81" s="5">
        <f t="shared" si="174"/>
        <v>1.769566585217218E-3</v>
      </c>
      <c r="W81" s="5">
        <f t="shared" si="174"/>
        <v>-2.5100335156593586E-3</v>
      </c>
      <c r="X81" s="5">
        <f t="shared" si="174"/>
        <v>4.961065391439967E-3</v>
      </c>
      <c r="Z81" s="4">
        <v>45980</v>
      </c>
      <c r="AA81">
        <f>B81*B$3</f>
        <v>-982.99999999997908</v>
      </c>
      <c r="AB81">
        <f>C81*C$3</f>
        <v>2583.999999999945</v>
      </c>
      <c r="AC81">
        <f>D81*D$3</f>
        <v>-16143.000000000373</v>
      </c>
      <c r="AD81">
        <f>E81*E$3</f>
        <v>-2427.9999999999482</v>
      </c>
      <c r="AE81">
        <f>F81*F$3</f>
        <v>12427.999999999734</v>
      </c>
      <c r="AF81">
        <f>G81*G$3</f>
        <v>15628.00000000036</v>
      </c>
      <c r="AG81">
        <f>H81*H$3</f>
        <v>0</v>
      </c>
      <c r="AH81">
        <f>I81*I$3</f>
        <v>18455.999999999607</v>
      </c>
      <c r="AI81">
        <f>J81*J$3</f>
        <v>51051.499999998909</v>
      </c>
      <c r="AJ81">
        <f>K81*K$3</f>
        <v>78394.999999998327</v>
      </c>
      <c r="AK81">
        <f>L81*L$3</f>
        <v>-31003.999999999338</v>
      </c>
      <c r="AL81">
        <f>M81*M$3</f>
        <v>32072.999999999316</v>
      </c>
      <c r="AM81">
        <f>N81*N$3</f>
        <v>0</v>
      </c>
      <c r="AN81">
        <f>O81*O$3</f>
        <v>0</v>
      </c>
      <c r="AO81">
        <f>P81*P$3</f>
        <v>12778.270456205057</v>
      </c>
      <c r="AP81">
        <f>Q81*Q$3</f>
        <v>122526.86111234898</v>
      </c>
      <c r="AQ81">
        <f>R81*R$3</f>
        <v>-31106.513888158377</v>
      </c>
      <c r="AR81" s="1">
        <f>S81*S$3</f>
        <v>-7706.1008049682532</v>
      </c>
      <c r="AS81" s="1">
        <f t="shared" si="146"/>
        <v>3243.9763451524136</v>
      </c>
      <c r="AT81" s="1">
        <f t="shared" si="146"/>
        <v>5260.7906904215715</v>
      </c>
      <c r="AU81" s="1">
        <f t="shared" si="146"/>
        <v>0</v>
      </c>
      <c r="AV81" s="1">
        <f t="shared" si="146"/>
        <v>0</v>
      </c>
      <c r="AW81" s="1">
        <f t="shared" si="146"/>
        <v>0</v>
      </c>
      <c r="AX81" s="1">
        <f t="shared" si="149"/>
        <v>265054.78391099797</v>
      </c>
      <c r="AY81" s="1">
        <f t="shared" si="150"/>
        <v>104997.2839110014</v>
      </c>
      <c r="AZ81" s="1">
        <f t="shared" si="151"/>
        <v>160057.49999999657</v>
      </c>
    </row>
    <row r="82" spans="1:52" x14ac:dyDescent="0.25">
      <c r="A82" s="4">
        <v>45979</v>
      </c>
      <c r="B82">
        <f t="shared" ref="B82:N82" si="175">(B632-B631)*100</f>
        <v>2.0000000000000462</v>
      </c>
      <c r="C82">
        <f t="shared" si="175"/>
        <v>1.9999999999999574</v>
      </c>
      <c r="D82">
        <f t="shared" si="175"/>
        <v>3.0000000000000249</v>
      </c>
      <c r="E82">
        <f t="shared" si="175"/>
        <v>2.0000000000000018</v>
      </c>
      <c r="F82">
        <f t="shared" si="175"/>
        <v>2.0000000000000018</v>
      </c>
      <c r="G82">
        <f t="shared" si="175"/>
        <v>2.0000000000000018</v>
      </c>
      <c r="H82">
        <f t="shared" si="175"/>
        <v>2.0000000000000018</v>
      </c>
      <c r="I82">
        <f t="shared" si="175"/>
        <v>2.0000000000000018</v>
      </c>
      <c r="J82">
        <f t="shared" si="175"/>
        <v>2.0000000000000018</v>
      </c>
      <c r="K82">
        <f t="shared" si="175"/>
        <v>0.99999999999997868</v>
      </c>
      <c r="L82">
        <f t="shared" si="175"/>
        <v>0.99999999999997868</v>
      </c>
      <c r="M82">
        <f t="shared" si="175"/>
        <v>-0.99999999999997868</v>
      </c>
      <c r="N82">
        <f t="shared" si="175"/>
        <v>-0.99999999999997868</v>
      </c>
      <c r="O82" s="5">
        <f t="shared" si="161"/>
        <v>4.7528338720550433E-3</v>
      </c>
      <c r="P82" s="5">
        <f t="shared" si="161"/>
        <v>-9.5725215572261997E-3</v>
      </c>
      <c r="Q82" s="5">
        <f t="shared" si="161"/>
        <v>-1.3830553262151463E-2</v>
      </c>
      <c r="R82" s="5">
        <f t="shared" si="161"/>
        <v>3.2674913966402458E-3</v>
      </c>
      <c r="S82" s="5">
        <f t="shared" si="161"/>
        <v>1.571658095034182E-3</v>
      </c>
      <c r="T82" s="5">
        <f t="shared" ref="T82:X82" si="176">LN(T631/T632)</f>
        <v>2.1349466482303695E-3</v>
      </c>
      <c r="U82" s="5">
        <f t="shared" si="176"/>
        <v>3.0268547292377086E-4</v>
      </c>
      <c r="V82" s="5">
        <f t="shared" si="176"/>
        <v>4.4406754579592892E-3</v>
      </c>
      <c r="W82" s="5">
        <f t="shared" si="176"/>
        <v>6.1878606591848203E-3</v>
      </c>
      <c r="X82" s="5">
        <f t="shared" si="176"/>
        <v>2.4645783388528779E-3</v>
      </c>
      <c r="Z82" s="4">
        <v>45979</v>
      </c>
      <c r="AA82">
        <f>B82*B$3</f>
        <v>-1966.0000000000455</v>
      </c>
      <c r="AB82">
        <f>C82*C$3</f>
        <v>-5167.99999999989</v>
      </c>
      <c r="AC82">
        <f>D82*D$3</f>
        <v>48429.0000000004</v>
      </c>
      <c r="AD82">
        <f>E82*E$3</f>
        <v>4856.0000000000045</v>
      </c>
      <c r="AE82">
        <f>F82*F$3</f>
        <v>-24856.000000000022</v>
      </c>
      <c r="AF82">
        <f>G82*G$3</f>
        <v>-31256.000000000029</v>
      </c>
      <c r="AG82">
        <f>H82*H$3</f>
        <v>-56432.000000000051</v>
      </c>
      <c r="AH82">
        <f>I82*I$3</f>
        <v>-36912.000000000036</v>
      </c>
      <c r="AI82">
        <f>J82*J$3</f>
        <v>-102103.00000000009</v>
      </c>
      <c r="AJ82">
        <f>K82*K$3</f>
        <v>-78394.999999998327</v>
      </c>
      <c r="AK82">
        <f>L82*L$3</f>
        <v>31003.999999999338</v>
      </c>
      <c r="AL82">
        <f>M82*M$3</f>
        <v>-32072.999999999316</v>
      </c>
      <c r="AM82">
        <f>N82*N$3</f>
        <v>0</v>
      </c>
      <c r="AN82">
        <f>O82*O$3</f>
        <v>0</v>
      </c>
      <c r="AO82">
        <f>P82*P$3</f>
        <v>47862.607786130997</v>
      </c>
      <c r="AP82">
        <f>Q82*Q$3</f>
        <v>-165966.63914581755</v>
      </c>
      <c r="AQ82">
        <f>R82*R$3</f>
        <v>-49012.37094960369</v>
      </c>
      <c r="AR82" s="1">
        <f>S82*S$3</f>
        <v>-11001.606665239275</v>
      </c>
      <c r="AS82" s="1">
        <f t="shared" si="146"/>
        <v>8539.7865929214786</v>
      </c>
      <c r="AT82" s="1">
        <f t="shared" si="146"/>
        <v>2421.483783390167</v>
      </c>
      <c r="AU82" s="1">
        <f t="shared" si="146"/>
        <v>0</v>
      </c>
      <c r="AV82" s="1">
        <f t="shared" si="146"/>
        <v>0</v>
      </c>
      <c r="AW82" s="1">
        <f t="shared" si="146"/>
        <v>0</v>
      </c>
      <c r="AX82" s="1">
        <f t="shared" si="149"/>
        <v>-452028.73859821598</v>
      </c>
      <c r="AY82" s="1">
        <f t="shared" si="150"/>
        <v>-167156.73859821787</v>
      </c>
      <c r="AZ82" s="1">
        <f t="shared" si="151"/>
        <v>-284871.99999999814</v>
      </c>
    </row>
    <row r="83" spans="1:52" x14ac:dyDescent="0.25">
      <c r="A83" s="4">
        <v>45978</v>
      </c>
      <c r="B83">
        <f t="shared" ref="B83:N83" si="177">(B633-B632)*100</f>
        <v>0</v>
      </c>
      <c r="C83">
        <f t="shared" si="177"/>
        <v>0</v>
      </c>
      <c r="D83">
        <f t="shared" si="177"/>
        <v>-2.0000000000000018</v>
      </c>
      <c r="E83">
        <f t="shared" si="177"/>
        <v>0.99999999999997868</v>
      </c>
      <c r="F83">
        <f t="shared" si="177"/>
        <v>-1.0000000000000231</v>
      </c>
      <c r="G83">
        <f t="shared" si="177"/>
        <v>1.0000000000000231</v>
      </c>
      <c r="H83">
        <f t="shared" si="177"/>
        <v>2.0000000000000018</v>
      </c>
      <c r="I83">
        <f t="shared" si="177"/>
        <v>0.99999999999997868</v>
      </c>
      <c r="J83">
        <f t="shared" si="177"/>
        <v>2.0000000000000018</v>
      </c>
      <c r="K83">
        <f t="shared" si="177"/>
        <v>2.0000000000000018</v>
      </c>
      <c r="L83">
        <f t="shared" si="177"/>
        <v>0.99999999999997868</v>
      </c>
      <c r="M83">
        <f t="shared" si="177"/>
        <v>2.0000000000000462</v>
      </c>
      <c r="N83">
        <f t="shared" si="177"/>
        <v>0.99999999999997868</v>
      </c>
      <c r="O83" s="5">
        <f t="shared" si="161"/>
        <v>2.9418996456907621E-3</v>
      </c>
      <c r="P83" s="5">
        <f t="shared" si="161"/>
        <v>0</v>
      </c>
      <c r="Q83" s="5">
        <f t="shared" si="161"/>
        <v>7.5339652258966461E-3</v>
      </c>
      <c r="R83" s="5">
        <f t="shared" si="161"/>
        <v>-5.9488401516392822E-4</v>
      </c>
      <c r="S83" s="5">
        <f t="shared" si="161"/>
        <v>0</v>
      </c>
      <c r="T83" s="5">
        <f t="shared" ref="T83:X83" si="178">LN(T632/T633)</f>
        <v>1.4297542332629796E-3</v>
      </c>
      <c r="U83" s="5">
        <f t="shared" si="178"/>
        <v>-6.0528131526015538E-4</v>
      </c>
      <c r="V83" s="5">
        <f t="shared" si="178"/>
        <v>-3.1038873303848786E-4</v>
      </c>
      <c r="W83" s="5">
        <f t="shared" si="178"/>
        <v>-6.1265645338338178E-4</v>
      </c>
      <c r="X83" s="5">
        <f t="shared" si="178"/>
        <v>1.2724019424586136E-3</v>
      </c>
      <c r="Z83" s="4">
        <v>45978</v>
      </c>
      <c r="AA83">
        <f>B83*B$3</f>
        <v>0</v>
      </c>
      <c r="AB83">
        <f>C83*C$3</f>
        <v>0</v>
      </c>
      <c r="AC83">
        <f>D83*D$3</f>
        <v>-32286.000000000029</v>
      </c>
      <c r="AD83">
        <f>E83*E$3</f>
        <v>2427.9999999999482</v>
      </c>
      <c r="AE83">
        <f>F83*F$3</f>
        <v>12428.000000000287</v>
      </c>
      <c r="AF83">
        <f>G83*G$3</f>
        <v>-15628.00000000036</v>
      </c>
      <c r="AG83">
        <f>H83*H$3</f>
        <v>-56432.000000000051</v>
      </c>
      <c r="AH83">
        <f>I83*I$3</f>
        <v>-18455.999999999607</v>
      </c>
      <c r="AI83">
        <f>J83*J$3</f>
        <v>-102103.00000000009</v>
      </c>
      <c r="AJ83">
        <f>K83*K$3</f>
        <v>-156790.00000000015</v>
      </c>
      <c r="AK83">
        <f>L83*L$3</f>
        <v>31003.999999999338</v>
      </c>
      <c r="AL83">
        <f>M83*M$3</f>
        <v>64146.000000001484</v>
      </c>
      <c r="AM83">
        <f>N83*N$3</f>
        <v>0</v>
      </c>
      <c r="AN83">
        <f>O83*O$3</f>
        <v>0</v>
      </c>
      <c r="AO83">
        <f>P83*P$3</f>
        <v>0</v>
      </c>
      <c r="AP83">
        <f>Q83*Q$3</f>
        <v>90407.582710759758</v>
      </c>
      <c r="AQ83">
        <f>R83*R$3</f>
        <v>8923.2602274589226</v>
      </c>
      <c r="AR83" s="1">
        <f>S83*S$3</f>
        <v>0</v>
      </c>
      <c r="AS83" s="1">
        <f t="shared" si="146"/>
        <v>5719.0169330519184</v>
      </c>
      <c r="AT83" s="1">
        <f t="shared" si="146"/>
        <v>-4842.2505220812427</v>
      </c>
      <c r="AU83" s="1">
        <f t="shared" si="146"/>
        <v>0</v>
      </c>
      <c r="AV83" s="1">
        <f t="shared" si="146"/>
        <v>0</v>
      </c>
      <c r="AW83" s="1">
        <f t="shared" si="146"/>
        <v>0</v>
      </c>
      <c r="AX83" s="1">
        <f t="shared" si="149"/>
        <v>-171481.3906508098</v>
      </c>
      <c r="AY83" s="1">
        <f t="shared" si="150"/>
        <v>100207.60934918934</v>
      </c>
      <c r="AZ83" s="1">
        <f t="shared" si="151"/>
        <v>-271688.99999999913</v>
      </c>
    </row>
    <row r="84" spans="1:52" x14ac:dyDescent="0.25">
      <c r="A84" s="4">
        <v>45975</v>
      </c>
      <c r="B84">
        <f t="shared" ref="B84:N84" si="179">(B634-B633)*100</f>
        <v>0.99999999999997868</v>
      </c>
      <c r="C84">
        <f t="shared" si="179"/>
        <v>-0.99999999999997868</v>
      </c>
      <c r="D84">
        <f t="shared" si="179"/>
        <v>0.99999999999997868</v>
      </c>
      <c r="E84">
        <f t="shared" si="179"/>
        <v>0</v>
      </c>
      <c r="F84">
        <f t="shared" si="179"/>
        <v>0</v>
      </c>
      <c r="G84">
        <f t="shared" si="179"/>
        <v>-2.0000000000000018</v>
      </c>
      <c r="H84">
        <f t="shared" si="179"/>
        <v>-4.0000000000000036</v>
      </c>
      <c r="I84">
        <f t="shared" si="179"/>
        <v>-4.0000000000000036</v>
      </c>
      <c r="J84">
        <f t="shared" si="179"/>
        <v>-3.0000000000000249</v>
      </c>
      <c r="K84">
        <f t="shared" si="179"/>
        <v>-2.9999999999999805</v>
      </c>
      <c r="L84">
        <f t="shared" si="179"/>
        <v>-2.9999999999999361</v>
      </c>
      <c r="M84">
        <f t="shared" si="179"/>
        <v>-4.0000000000000036</v>
      </c>
      <c r="N84">
        <f t="shared" si="179"/>
        <v>-4.0000000000000036</v>
      </c>
      <c r="O84" s="5">
        <f t="shared" si="161"/>
        <v>2.4960775397468108E-3</v>
      </c>
      <c r="P84" s="5">
        <f t="shared" si="161"/>
        <v>3.8661044541915737E-3</v>
      </c>
      <c r="Q84" s="5">
        <f t="shared" si="161"/>
        <v>-7.2551448487552352E-3</v>
      </c>
      <c r="R84" s="5">
        <f t="shared" si="161"/>
        <v>-2.9691233213806792E-3</v>
      </c>
      <c r="S84" s="5">
        <f t="shared" si="161"/>
        <v>-6.1695200377974229E-4</v>
      </c>
      <c r="T84" s="5">
        <f t="shared" ref="T84:X84" si="180">LN(T633/T634)</f>
        <v>-3.4255542348447733E-3</v>
      </c>
      <c r="U84" s="5">
        <f t="shared" si="180"/>
        <v>-1.8527327248057108E-3</v>
      </c>
      <c r="V84" s="5">
        <f t="shared" si="180"/>
        <v>-5.1723206143293411E-4</v>
      </c>
      <c r="W84" s="5">
        <f t="shared" si="180"/>
        <v>1.1327501695372084E-3</v>
      </c>
      <c r="X84" s="5">
        <f t="shared" si="180"/>
        <v>-5.7193404139010877E-3</v>
      </c>
      <c r="Z84" s="4">
        <v>45975</v>
      </c>
      <c r="AA84">
        <f>B84*B$3</f>
        <v>-982.99999999997908</v>
      </c>
      <c r="AB84">
        <f>C84*C$3</f>
        <v>2583.999999999945</v>
      </c>
      <c r="AC84">
        <f>D84*D$3</f>
        <v>16142.999999999656</v>
      </c>
      <c r="AD84">
        <f>E84*E$3</f>
        <v>0</v>
      </c>
      <c r="AE84">
        <f>F84*F$3</f>
        <v>0</v>
      </c>
      <c r="AF84">
        <f>G84*G$3</f>
        <v>31256.000000000029</v>
      </c>
      <c r="AG84">
        <f>H84*H$3</f>
        <v>112864.0000000001</v>
      </c>
      <c r="AH84">
        <f>I84*I$3</f>
        <v>73824.000000000073</v>
      </c>
      <c r="AI84">
        <f>J84*J$3</f>
        <v>153154.50000000128</v>
      </c>
      <c r="AJ84">
        <f>K84*K$3</f>
        <v>235184.99999999846</v>
      </c>
      <c r="AK84">
        <f>L84*L$3</f>
        <v>-93011.999999998021</v>
      </c>
      <c r="AL84">
        <f>M84*M$3</f>
        <v>-128292.00000000012</v>
      </c>
      <c r="AM84">
        <f>N84*N$3</f>
        <v>0</v>
      </c>
      <c r="AN84">
        <f>O84*O$3</f>
        <v>0</v>
      </c>
      <c r="AO84">
        <f>P84*P$3</f>
        <v>-19330.522270957867</v>
      </c>
      <c r="AP84">
        <f>Q84*Q$3</f>
        <v>-87061.738185062815</v>
      </c>
      <c r="AQ84">
        <f>R84*R$3</f>
        <v>44536.849820710187</v>
      </c>
      <c r="AR84" s="1">
        <f>S84*S$3</f>
        <v>4318.6640264581956</v>
      </c>
      <c r="AS84" s="1">
        <f t="shared" si="146"/>
        <v>-13702.216939379094</v>
      </c>
      <c r="AT84" s="1">
        <f t="shared" si="146"/>
        <v>-14821.861798445687</v>
      </c>
      <c r="AU84" s="1">
        <f t="shared" si="146"/>
        <v>0</v>
      </c>
      <c r="AV84" s="1">
        <f t="shared" si="146"/>
        <v>0</v>
      </c>
      <c r="AW84" s="1">
        <f t="shared" si="146"/>
        <v>0</v>
      </c>
      <c r="AX84" s="1">
        <f t="shared" si="149"/>
        <v>316662.6746533243</v>
      </c>
      <c r="AY84" s="1">
        <f t="shared" si="150"/>
        <v>-86060.825346677069</v>
      </c>
      <c r="AZ84" s="1">
        <f t="shared" si="151"/>
        <v>402723.5000000014</v>
      </c>
    </row>
    <row r="85" spans="1:52" x14ac:dyDescent="0.25">
      <c r="A85" s="4">
        <v>45974</v>
      </c>
      <c r="B85">
        <f t="shared" ref="B85:N85" si="181">(B635-B634)*100</f>
        <v>-1.9999999999999574</v>
      </c>
      <c r="C85">
        <f t="shared" si="181"/>
        <v>-2.0000000000000018</v>
      </c>
      <c r="D85">
        <f t="shared" si="181"/>
        <v>-0.99999999999997868</v>
      </c>
      <c r="E85">
        <f t="shared" si="181"/>
        <v>-2.0000000000000018</v>
      </c>
      <c r="F85">
        <f t="shared" si="181"/>
        <v>-2.0000000000000018</v>
      </c>
      <c r="G85">
        <f t="shared" si="181"/>
        <v>-3.0000000000000249</v>
      </c>
      <c r="H85">
        <f t="shared" si="181"/>
        <v>-2.0000000000000018</v>
      </c>
      <c r="I85">
        <f t="shared" si="181"/>
        <v>-2.0000000000000018</v>
      </c>
      <c r="J85">
        <f t="shared" si="181"/>
        <v>-2.9999999999999805</v>
      </c>
      <c r="K85">
        <f t="shared" si="181"/>
        <v>-3.0000000000000249</v>
      </c>
      <c r="L85">
        <f t="shared" si="181"/>
        <v>-3.0000000000000249</v>
      </c>
      <c r="M85">
        <f t="shared" si="181"/>
        <v>-4.0000000000000036</v>
      </c>
      <c r="N85">
        <f t="shared" si="181"/>
        <v>-3.0000000000000249</v>
      </c>
      <c r="O85" s="5">
        <f t="shared" ref="O85:S94" si="182">LN(O634/O635)</f>
        <v>-1.2299077227531396E-3</v>
      </c>
      <c r="P85" s="5">
        <f t="shared" si="182"/>
        <v>1.0014447459925468E-2</v>
      </c>
      <c r="Q85" s="5">
        <f t="shared" si="182"/>
        <v>-4.8361477906756515E-3</v>
      </c>
      <c r="R85" s="5">
        <f t="shared" si="182"/>
        <v>1.780415900575806E-3</v>
      </c>
      <c r="S85" s="5">
        <f t="shared" si="182"/>
        <v>6.2787493702435638E-4</v>
      </c>
      <c r="T85" s="5">
        <f t="shared" ref="T85:X85" si="183">LN(T634/T635)</f>
        <v>-4.0556416479618345E-4</v>
      </c>
      <c r="U85" s="5">
        <f t="shared" si="183"/>
        <v>1.9053922506648163E-3</v>
      </c>
      <c r="V85" s="5">
        <f t="shared" si="183"/>
        <v>4.1322940512559057E-3</v>
      </c>
      <c r="W85" s="5">
        <f t="shared" si="183"/>
        <v>-1.0563415638419158E-3</v>
      </c>
      <c r="X85" s="5">
        <f t="shared" si="183"/>
        <v>-3.1411486158384708E-3</v>
      </c>
      <c r="Z85" s="4">
        <v>45974</v>
      </c>
      <c r="AA85">
        <f>B85*B$3</f>
        <v>1965.9999999999582</v>
      </c>
      <c r="AB85">
        <f>C85*C$3</f>
        <v>5168.0000000000045</v>
      </c>
      <c r="AC85">
        <f>D85*D$3</f>
        <v>-16142.999999999656</v>
      </c>
      <c r="AD85">
        <f>E85*E$3</f>
        <v>-4856.0000000000045</v>
      </c>
      <c r="AE85">
        <f>F85*F$3</f>
        <v>24856.000000000022</v>
      </c>
      <c r="AF85">
        <f>G85*G$3</f>
        <v>46884.000000000386</v>
      </c>
      <c r="AG85">
        <f>H85*H$3</f>
        <v>56432.000000000051</v>
      </c>
      <c r="AH85">
        <f>I85*I$3</f>
        <v>36912.000000000036</v>
      </c>
      <c r="AI85">
        <f>J85*J$3</f>
        <v>153154.49999999901</v>
      </c>
      <c r="AJ85">
        <f>K85*K$3</f>
        <v>235185.00000000195</v>
      </c>
      <c r="AK85">
        <f>L85*L$3</f>
        <v>-93012.000000000771</v>
      </c>
      <c r="AL85">
        <f>M85*M$3</f>
        <v>-128292.00000000012</v>
      </c>
      <c r="AM85">
        <f>N85*N$3</f>
        <v>0</v>
      </c>
      <c r="AN85">
        <f>O85*O$3</f>
        <v>0</v>
      </c>
      <c r="AO85">
        <f>P85*P$3</f>
        <v>-50072.237299627341</v>
      </c>
      <c r="AP85">
        <f>Q85*Q$3</f>
        <v>-58033.773488107821</v>
      </c>
      <c r="AQ85">
        <f>R85*R$3</f>
        <v>-26706.238508637089</v>
      </c>
      <c r="AR85" s="1">
        <f>S85*S$3</f>
        <v>-4395.1245591704946</v>
      </c>
      <c r="AS85" s="1">
        <f t="shared" ref="AS85:AW100" si="184">T85*T$3</f>
        <v>-1622.2566591847337</v>
      </c>
      <c r="AT85" s="1">
        <f t="shared" si="184"/>
        <v>15243.138005318529</v>
      </c>
      <c r="AU85" s="1">
        <f t="shared" si="184"/>
        <v>0</v>
      </c>
      <c r="AV85" s="1">
        <f t="shared" si="184"/>
        <v>0</v>
      </c>
      <c r="AW85" s="1">
        <f t="shared" si="184"/>
        <v>0</v>
      </c>
      <c r="AX85" s="1">
        <f t="shared" si="149"/>
        <v>192668.0074905919</v>
      </c>
      <c r="AY85" s="1">
        <f t="shared" si="150"/>
        <v>-125586.49250940897</v>
      </c>
      <c r="AZ85" s="1">
        <f t="shared" si="151"/>
        <v>318254.50000000087</v>
      </c>
    </row>
    <row r="86" spans="1:52" x14ac:dyDescent="0.25">
      <c r="A86" s="4">
        <v>45973</v>
      </c>
      <c r="B86">
        <f t="shared" ref="B86:N86" si="185">(B636-B635)*100</f>
        <v>0.99999999999997868</v>
      </c>
      <c r="C86">
        <f t="shared" si="185"/>
        <v>2.0000000000000018</v>
      </c>
      <c r="D86">
        <f t="shared" si="185"/>
        <v>0</v>
      </c>
      <c r="E86">
        <f t="shared" si="185"/>
        <v>-0.99999999999997868</v>
      </c>
      <c r="F86">
        <f t="shared" si="185"/>
        <v>1.0000000000000231</v>
      </c>
      <c r="G86">
        <f t="shared" si="185"/>
        <v>1.0000000000000231</v>
      </c>
      <c r="H86">
        <f t="shared" si="185"/>
        <v>2.0000000000000018</v>
      </c>
      <c r="I86">
        <f t="shared" si="185"/>
        <v>1.0000000000000231</v>
      </c>
      <c r="J86">
        <f t="shared" si="185"/>
        <v>4.0000000000000036</v>
      </c>
      <c r="K86">
        <f t="shared" si="185"/>
        <v>4.0000000000000036</v>
      </c>
      <c r="L86">
        <f t="shared" si="185"/>
        <v>4.9999999999999822</v>
      </c>
      <c r="M86">
        <f t="shared" si="185"/>
        <v>4.0000000000000036</v>
      </c>
      <c r="N86">
        <f t="shared" si="185"/>
        <v>4.0000000000000036</v>
      </c>
      <c r="O86" s="5">
        <f t="shared" si="182"/>
        <v>-5.581760673497224E-3</v>
      </c>
      <c r="P86" s="5">
        <f t="shared" si="182"/>
        <v>-1.260239228971575E-2</v>
      </c>
      <c r="Q86" s="5">
        <f t="shared" si="182"/>
        <v>-9.9303572616372647E-3</v>
      </c>
      <c r="R86" s="5">
        <f t="shared" si="182"/>
        <v>2.9704441032304686E-4</v>
      </c>
      <c r="S86" s="5">
        <f t="shared" si="182"/>
        <v>-3.8538423907753675E-3</v>
      </c>
      <c r="T86" s="5">
        <f t="shared" ref="T86:X86" si="186">LN(T635/T636)</f>
        <v>-3.7704651374641861E-3</v>
      </c>
      <c r="U86" s="5">
        <f t="shared" si="186"/>
        <v>-7.7567146501861034E-4</v>
      </c>
      <c r="V86" s="5">
        <f t="shared" si="186"/>
        <v>1.6758841885115706E-3</v>
      </c>
      <c r="W86" s="5">
        <f t="shared" si="186"/>
        <v>-4.1590998659682202E-3</v>
      </c>
      <c r="X86" s="5">
        <f t="shared" si="186"/>
        <v>-8.4110452426371055E-3</v>
      </c>
      <c r="Z86" s="4">
        <v>45973</v>
      </c>
      <c r="AA86">
        <f>B86*B$3</f>
        <v>-982.99999999997908</v>
      </c>
      <c r="AB86">
        <f>C86*C$3</f>
        <v>-5168.0000000000045</v>
      </c>
      <c r="AC86">
        <f>D86*D$3</f>
        <v>0</v>
      </c>
      <c r="AD86">
        <f>E86*E$3</f>
        <v>-2427.9999999999482</v>
      </c>
      <c r="AE86">
        <f>F86*F$3</f>
        <v>-12428.000000000287</v>
      </c>
      <c r="AF86">
        <f>G86*G$3</f>
        <v>-15628.00000000036</v>
      </c>
      <c r="AG86">
        <f>H86*H$3</f>
        <v>-56432.000000000051</v>
      </c>
      <c r="AH86">
        <f>I86*I$3</f>
        <v>-18456.000000000426</v>
      </c>
      <c r="AI86">
        <f>J86*J$3</f>
        <v>-204206.00000000017</v>
      </c>
      <c r="AJ86">
        <f>K86*K$3</f>
        <v>-313580.00000000029</v>
      </c>
      <c r="AK86">
        <f>L86*L$3</f>
        <v>155019.99999999945</v>
      </c>
      <c r="AL86">
        <f>M86*M$3</f>
        <v>128292.00000000012</v>
      </c>
      <c r="AM86">
        <f>N86*N$3</f>
        <v>0</v>
      </c>
      <c r="AN86">
        <f>O86*O$3</f>
        <v>0</v>
      </c>
      <c r="AO86">
        <f>P86*P$3</f>
        <v>63011.961448578753</v>
      </c>
      <c r="AP86">
        <f>Q86*Q$3</f>
        <v>-119164.28713964717</v>
      </c>
      <c r="AQ86">
        <f>R86*R$3</f>
        <v>-4455.6661548457032</v>
      </c>
      <c r="AR86" s="1">
        <f>S86*S$3</f>
        <v>26976.896735427574</v>
      </c>
      <c r="AS86" s="1">
        <f t="shared" si="184"/>
        <v>-15081.860549856745</v>
      </c>
      <c r="AT86" s="1">
        <f t="shared" si="184"/>
        <v>-6205.3717201488826</v>
      </c>
      <c r="AU86" s="1">
        <f t="shared" si="184"/>
        <v>0</v>
      </c>
      <c r="AV86" s="1">
        <f t="shared" si="184"/>
        <v>0</v>
      </c>
      <c r="AW86" s="1">
        <f t="shared" si="184"/>
        <v>0</v>
      </c>
      <c r="AX86" s="1">
        <f t="shared" si="149"/>
        <v>-400915.32738049416</v>
      </c>
      <c r="AY86" s="1">
        <f t="shared" si="150"/>
        <v>-54918.327380492185</v>
      </c>
      <c r="AZ86" s="1">
        <f t="shared" si="151"/>
        <v>-345997.00000000198</v>
      </c>
    </row>
    <row r="87" spans="1:52" x14ac:dyDescent="0.25">
      <c r="A87" s="4">
        <v>45971</v>
      </c>
      <c r="B87">
        <f t="shared" ref="B87:N87" si="187">(B637-B636)*100</f>
        <v>-3.0000000000000249</v>
      </c>
      <c r="C87">
        <f t="shared" si="187"/>
        <v>-2.0000000000000018</v>
      </c>
      <c r="D87">
        <f t="shared" si="187"/>
        <v>-3.0000000000000249</v>
      </c>
      <c r="E87">
        <f t="shared" si="187"/>
        <v>-2.0000000000000018</v>
      </c>
      <c r="F87">
        <f t="shared" si="187"/>
        <v>-3.0000000000000249</v>
      </c>
      <c r="G87">
        <f t="shared" si="187"/>
        <v>-3.0000000000000249</v>
      </c>
      <c r="H87">
        <f t="shared" si="187"/>
        <v>-3.0000000000000249</v>
      </c>
      <c r="I87">
        <f t="shared" si="187"/>
        <v>0.99999999999997868</v>
      </c>
      <c r="J87">
        <f t="shared" si="187"/>
        <v>-5.0000000000000266</v>
      </c>
      <c r="K87">
        <f t="shared" si="187"/>
        <v>-2.9999999999999805</v>
      </c>
      <c r="L87">
        <f t="shared" si="187"/>
        <v>-1.9999999999999574</v>
      </c>
      <c r="M87">
        <f t="shared" si="187"/>
        <v>-1.0000000000000675</v>
      </c>
      <c r="N87">
        <f t="shared" si="187"/>
        <v>-0.99999999999997868</v>
      </c>
      <c r="O87" s="5">
        <f t="shared" si="182"/>
        <v>-7.2324236490038081E-3</v>
      </c>
      <c r="P87" s="5">
        <f t="shared" si="182"/>
        <v>-7.9618254980083902E-3</v>
      </c>
      <c r="Q87" s="5">
        <f t="shared" si="182"/>
        <v>5.7231434167695997E-3</v>
      </c>
      <c r="R87" s="5">
        <f t="shared" si="182"/>
        <v>-2.6702285558788097E-3</v>
      </c>
      <c r="S87" s="5">
        <f t="shared" si="182"/>
        <v>-4.1587551116388666E-3</v>
      </c>
      <c r="T87" s="5">
        <f t="shared" ref="T87:X87" si="188">LN(T636/T637)</f>
        <v>4.6190645739283763E-4</v>
      </c>
      <c r="U87" s="5">
        <f t="shared" si="188"/>
        <v>-1.3143867540778485E-4</v>
      </c>
      <c r="V87" s="5">
        <f t="shared" si="188"/>
        <v>5.6656112799577168E-3</v>
      </c>
      <c r="W87" s="5">
        <f t="shared" si="188"/>
        <v>-2.8491726771708299E-3</v>
      </c>
      <c r="X87" s="5">
        <f t="shared" si="188"/>
        <v>1.47552926776499E-3</v>
      </c>
      <c r="Z87" s="4">
        <v>45971</v>
      </c>
      <c r="AA87">
        <f>B87*B$3</f>
        <v>2949.0000000000246</v>
      </c>
      <c r="AB87">
        <f>C87*C$3</f>
        <v>5168.0000000000045</v>
      </c>
      <c r="AC87">
        <f>D87*D$3</f>
        <v>-48429.0000000004</v>
      </c>
      <c r="AD87">
        <f>E87*E$3</f>
        <v>-4856.0000000000045</v>
      </c>
      <c r="AE87">
        <f>F87*F$3</f>
        <v>37284.000000000306</v>
      </c>
      <c r="AF87">
        <f>G87*G$3</f>
        <v>46884.000000000386</v>
      </c>
      <c r="AG87">
        <f>H87*H$3</f>
        <v>84648.000000000698</v>
      </c>
      <c r="AH87">
        <f>I87*I$3</f>
        <v>-18455.999999999607</v>
      </c>
      <c r="AI87">
        <f>J87*J$3</f>
        <v>255257.50000000137</v>
      </c>
      <c r="AJ87">
        <f>K87*K$3</f>
        <v>235184.99999999846</v>
      </c>
      <c r="AK87">
        <f>L87*L$3</f>
        <v>-62007.999999998676</v>
      </c>
      <c r="AL87">
        <f>M87*M$3</f>
        <v>-32073.000000002165</v>
      </c>
      <c r="AM87">
        <f>N87*N$3</f>
        <v>0</v>
      </c>
      <c r="AN87">
        <f>O87*O$3</f>
        <v>0</v>
      </c>
      <c r="AO87">
        <f>P87*P$3</f>
        <v>39809.127490041952</v>
      </c>
      <c r="AP87">
        <f>Q87*Q$3</f>
        <v>68677.721001235201</v>
      </c>
      <c r="AQ87">
        <f>R87*R$3</f>
        <v>40053.428338182144</v>
      </c>
      <c r="AR87" s="1">
        <f>S87*S$3</f>
        <v>29111.285781472066</v>
      </c>
      <c r="AS87" s="1">
        <f t="shared" si="184"/>
        <v>1847.6258295713506</v>
      </c>
      <c r="AT87" s="1">
        <f t="shared" si="184"/>
        <v>-1051.5094032622787</v>
      </c>
      <c r="AU87" s="1">
        <f t="shared" si="184"/>
        <v>0</v>
      </c>
      <c r="AV87" s="1">
        <f t="shared" si="184"/>
        <v>0</v>
      </c>
      <c r="AW87" s="1">
        <f t="shared" si="184"/>
        <v>0</v>
      </c>
      <c r="AX87" s="1">
        <f t="shared" si="149"/>
        <v>680001.17903724092</v>
      </c>
      <c r="AY87" s="1">
        <f t="shared" si="150"/>
        <v>178447.67903724045</v>
      </c>
      <c r="AZ87" s="1">
        <f t="shared" si="151"/>
        <v>501553.50000000047</v>
      </c>
    </row>
    <row r="88" spans="1:52" x14ac:dyDescent="0.25">
      <c r="A88" s="4">
        <v>45968</v>
      </c>
      <c r="B88">
        <f t="shared" ref="B88:N88" si="189">(B638-B637)*100</f>
        <v>0.99999999999997868</v>
      </c>
      <c r="C88">
        <f t="shared" si="189"/>
        <v>0</v>
      </c>
      <c r="D88">
        <f t="shared" si="189"/>
        <v>1.0000000000000231</v>
      </c>
      <c r="E88">
        <f t="shared" si="189"/>
        <v>0.99999999999997868</v>
      </c>
      <c r="F88">
        <f t="shared" si="189"/>
        <v>0</v>
      </c>
      <c r="G88">
        <f t="shared" si="189"/>
        <v>2.0000000000000018</v>
      </c>
      <c r="H88">
        <f t="shared" si="189"/>
        <v>2.0000000000000018</v>
      </c>
      <c r="I88">
        <f t="shared" si="189"/>
        <v>1.0000000000000231</v>
      </c>
      <c r="J88">
        <f t="shared" si="189"/>
        <v>2.0000000000000018</v>
      </c>
      <c r="K88">
        <f t="shared" si="189"/>
        <v>0</v>
      </c>
      <c r="L88">
        <f t="shared" si="189"/>
        <v>0</v>
      </c>
      <c r="M88">
        <f t="shared" si="189"/>
        <v>-0.99999999999997868</v>
      </c>
      <c r="N88">
        <f t="shared" si="189"/>
        <v>-0.99999999999997868</v>
      </c>
      <c r="O88" s="5">
        <f t="shared" si="182"/>
        <v>2.1679820101433971E-3</v>
      </c>
      <c r="P88" s="5">
        <f t="shared" si="182"/>
        <v>-5.2854123851987539E-4</v>
      </c>
      <c r="Q88" s="5">
        <f t="shared" si="182"/>
        <v>-5.0465534044908935E-3</v>
      </c>
      <c r="R88" s="5">
        <f t="shared" si="182"/>
        <v>5.9276824497991713E-4</v>
      </c>
      <c r="S88" s="5">
        <f t="shared" si="182"/>
        <v>-5.8019718698386642E-3</v>
      </c>
      <c r="T88" s="5">
        <f t="shared" ref="T88:X88" si="190">LN(T637/T638)</f>
        <v>-4.5515459363668709E-3</v>
      </c>
      <c r="U88" s="5">
        <f t="shared" si="190"/>
        <v>-6.7461115644200887E-3</v>
      </c>
      <c r="V88" s="5">
        <f t="shared" si="190"/>
        <v>-7.3285218233412061E-3</v>
      </c>
      <c r="W88" s="5">
        <f t="shared" si="190"/>
        <v>4.0033099352477855E-3</v>
      </c>
      <c r="X88" s="5">
        <f t="shared" si="190"/>
        <v>-4.7412129047130196E-3</v>
      </c>
      <c r="Z88" s="4">
        <v>45968</v>
      </c>
      <c r="AA88">
        <f>B88*B$3</f>
        <v>-982.99999999997908</v>
      </c>
      <c r="AB88">
        <f>C88*C$3</f>
        <v>0</v>
      </c>
      <c r="AC88">
        <f>D88*D$3</f>
        <v>16143.000000000373</v>
      </c>
      <c r="AD88">
        <f>E88*E$3</f>
        <v>2427.9999999999482</v>
      </c>
      <c r="AE88">
        <f>F88*F$3</f>
        <v>0</v>
      </c>
      <c r="AF88">
        <f>G88*G$3</f>
        <v>-31256.000000000029</v>
      </c>
      <c r="AG88">
        <f>H88*H$3</f>
        <v>-56432.000000000051</v>
      </c>
      <c r="AH88">
        <f>I88*I$3</f>
        <v>-18456.000000000426</v>
      </c>
      <c r="AI88">
        <f>J88*J$3</f>
        <v>-102103.00000000009</v>
      </c>
      <c r="AJ88">
        <f>K88*K$3</f>
        <v>0</v>
      </c>
      <c r="AK88">
        <f>L88*L$3</f>
        <v>0</v>
      </c>
      <c r="AL88">
        <f>M88*M$3</f>
        <v>-32072.999999999316</v>
      </c>
      <c r="AM88">
        <f>N88*N$3</f>
        <v>0</v>
      </c>
      <c r="AN88">
        <f>O88*O$3</f>
        <v>0</v>
      </c>
      <c r="AO88">
        <f>P88*P$3</f>
        <v>2642.7061925993771</v>
      </c>
      <c r="AP88">
        <f>Q88*Q$3</f>
        <v>-60558.64085389072</v>
      </c>
      <c r="AQ88">
        <f>R88*R$3</f>
        <v>-8891.5236746987575</v>
      </c>
      <c r="AR88" s="1">
        <f>S88*S$3</f>
        <v>40613.803088870649</v>
      </c>
      <c r="AS88" s="1">
        <f t="shared" si="184"/>
        <v>-18206.183745467482</v>
      </c>
      <c r="AT88" s="1">
        <f t="shared" si="184"/>
        <v>-53968.892515360712</v>
      </c>
      <c r="AU88" s="1">
        <f t="shared" si="184"/>
        <v>0</v>
      </c>
      <c r="AV88" s="1">
        <f t="shared" si="184"/>
        <v>0</v>
      </c>
      <c r="AW88" s="1">
        <f t="shared" si="184"/>
        <v>0</v>
      </c>
      <c r="AX88" s="1">
        <f t="shared" si="149"/>
        <v>-321100.7315079472</v>
      </c>
      <c r="AY88" s="1">
        <f t="shared" si="150"/>
        <v>-98368.731507947639</v>
      </c>
      <c r="AZ88" s="1">
        <f t="shared" si="151"/>
        <v>-222731.99999999956</v>
      </c>
    </row>
    <row r="89" spans="1:52" x14ac:dyDescent="0.25">
      <c r="A89" s="4">
        <v>45967</v>
      </c>
      <c r="B89">
        <f t="shared" ref="B89:N89" si="191">(B639-B638)*100</f>
        <v>-1.9999999999999574</v>
      </c>
      <c r="C89">
        <f t="shared" si="191"/>
        <v>2.0000000000000018</v>
      </c>
      <c r="D89">
        <f t="shared" si="191"/>
        <v>2.9999999999999805</v>
      </c>
      <c r="E89">
        <f t="shared" si="191"/>
        <v>3.0000000000000249</v>
      </c>
      <c r="F89">
        <f t="shared" si="191"/>
        <v>3.0000000000000249</v>
      </c>
      <c r="G89">
        <f t="shared" si="191"/>
        <v>6.0000000000000053</v>
      </c>
      <c r="H89">
        <f t="shared" si="191"/>
        <v>6.0000000000000053</v>
      </c>
      <c r="I89">
        <f t="shared" si="191"/>
        <v>6.999999999999984</v>
      </c>
      <c r="J89">
        <f t="shared" si="191"/>
        <v>6.999999999999984</v>
      </c>
      <c r="K89">
        <f t="shared" si="191"/>
        <v>8.0000000000000071</v>
      </c>
      <c r="L89">
        <f t="shared" si="191"/>
        <v>5.9999999999999609</v>
      </c>
      <c r="M89">
        <f t="shared" si="191"/>
        <v>4.9999999999999822</v>
      </c>
      <c r="N89">
        <f t="shared" si="191"/>
        <v>4.9999999999999822</v>
      </c>
      <c r="O89" s="5">
        <f t="shared" si="182"/>
        <v>-6.4713074226962772E-3</v>
      </c>
      <c r="P89" s="5">
        <f t="shared" si="182"/>
        <v>-1.2627988393837974E-2</v>
      </c>
      <c r="Q89" s="5">
        <f t="shared" si="182"/>
        <v>4.971624818783315E-4</v>
      </c>
      <c r="R89" s="5">
        <f t="shared" si="182"/>
        <v>1.4834596994329307E-3</v>
      </c>
      <c r="S89" s="5">
        <f t="shared" si="182"/>
        <v>-1.3833903877882164E-3</v>
      </c>
      <c r="T89" s="5">
        <f t="shared" ref="T89:X89" si="192">LN(T638/T639)</f>
        <v>-9.7681655848186983E-4</v>
      </c>
      <c r="U89" s="5">
        <f t="shared" si="192"/>
        <v>-2.3701697741270403E-3</v>
      </c>
      <c r="V89" s="5">
        <f t="shared" si="192"/>
        <v>3.3546252747822703E-3</v>
      </c>
      <c r="W89" s="5">
        <f t="shared" si="192"/>
        <v>-3.7407085002628859E-3</v>
      </c>
      <c r="X89" s="5">
        <f t="shared" si="192"/>
        <v>-7.4068910280512292E-4</v>
      </c>
      <c r="Z89" s="4">
        <v>45967</v>
      </c>
      <c r="AA89">
        <f>B89*B$3</f>
        <v>1965.9999999999582</v>
      </c>
      <c r="AB89">
        <f>C89*C$3</f>
        <v>-5168.0000000000045</v>
      </c>
      <c r="AC89">
        <f>D89*D$3</f>
        <v>48428.999999999687</v>
      </c>
      <c r="AD89">
        <f>E89*E$3</f>
        <v>7284.00000000006</v>
      </c>
      <c r="AE89">
        <f>F89*F$3</f>
        <v>-37284.000000000306</v>
      </c>
      <c r="AF89">
        <f>G89*G$3</f>
        <v>-93768.000000000087</v>
      </c>
      <c r="AG89">
        <f>H89*H$3</f>
        <v>-169296.00000000015</v>
      </c>
      <c r="AH89">
        <f>I89*I$3</f>
        <v>-129191.99999999971</v>
      </c>
      <c r="AI89">
        <f>J89*J$3</f>
        <v>-357360.49999999919</v>
      </c>
      <c r="AJ89">
        <f>K89*K$3</f>
        <v>-627160.00000000058</v>
      </c>
      <c r="AK89">
        <f>L89*L$3</f>
        <v>186023.99999999878</v>
      </c>
      <c r="AL89">
        <f>M89*M$3</f>
        <v>160364.99999999942</v>
      </c>
      <c r="AM89">
        <f>N89*N$3</f>
        <v>0</v>
      </c>
      <c r="AN89">
        <f>O89*O$3</f>
        <v>0</v>
      </c>
      <c r="AO89">
        <f>P89*P$3</f>
        <v>63139.941969189873</v>
      </c>
      <c r="AP89">
        <f>Q89*Q$3</f>
        <v>5965.9497825399776</v>
      </c>
      <c r="AQ89">
        <f>R89*R$3</f>
        <v>-22251.89549149396</v>
      </c>
      <c r="AR89" s="1">
        <f>S89*S$3</f>
        <v>9683.732714517515</v>
      </c>
      <c r="AS89" s="1">
        <f t="shared" si="184"/>
        <v>-3907.2662339274793</v>
      </c>
      <c r="AT89" s="1">
        <f t="shared" si="184"/>
        <v>-18961.358193016324</v>
      </c>
      <c r="AU89" s="1">
        <f t="shared" si="184"/>
        <v>0</v>
      </c>
      <c r="AV89" s="1">
        <f t="shared" si="184"/>
        <v>0</v>
      </c>
      <c r="AW89" s="1">
        <f t="shared" si="184"/>
        <v>0</v>
      </c>
      <c r="AX89" s="1">
        <f t="shared" si="149"/>
        <v>-981491.39545219264</v>
      </c>
      <c r="AY89" s="1">
        <f t="shared" si="150"/>
        <v>33669.104547809606</v>
      </c>
      <c r="AZ89" s="1">
        <f t="shared" si="151"/>
        <v>-1015160.5000000022</v>
      </c>
    </row>
    <row r="90" spans="1:52" x14ac:dyDescent="0.25">
      <c r="A90" s="4">
        <v>45966</v>
      </c>
      <c r="B90">
        <f t="shared" ref="B90:N90" si="193">(B640-B639)*100</f>
        <v>1.9999999999999574</v>
      </c>
      <c r="C90">
        <f t="shared" si="193"/>
        <v>0.99999999999997868</v>
      </c>
      <c r="D90">
        <f t="shared" si="193"/>
        <v>0</v>
      </c>
      <c r="E90">
        <f t="shared" si="193"/>
        <v>0</v>
      </c>
      <c r="F90">
        <f t="shared" si="193"/>
        <v>-1.0000000000000231</v>
      </c>
      <c r="G90">
        <f t="shared" si="193"/>
        <v>-4.0000000000000036</v>
      </c>
      <c r="H90">
        <f t="shared" si="193"/>
        <v>-4.9999999999999822</v>
      </c>
      <c r="I90">
        <f t="shared" si="193"/>
        <v>-6.0000000000000053</v>
      </c>
      <c r="J90">
        <f t="shared" si="193"/>
        <v>-6.999999999999984</v>
      </c>
      <c r="K90">
        <f t="shared" si="193"/>
        <v>-7.0000000000000284</v>
      </c>
      <c r="L90">
        <f t="shared" si="193"/>
        <v>-7.0000000000000284</v>
      </c>
      <c r="M90">
        <f t="shared" si="193"/>
        <v>-6.9999999999999396</v>
      </c>
      <c r="N90">
        <f t="shared" si="193"/>
        <v>-7.0000000000000284</v>
      </c>
      <c r="O90" s="5">
        <f t="shared" si="182"/>
        <v>-8.9187839205085654E-4</v>
      </c>
      <c r="P90" s="5">
        <f t="shared" si="182"/>
        <v>-6.4750392002871889E-3</v>
      </c>
      <c r="Q90" s="5">
        <f t="shared" si="182"/>
        <v>4.8789380109637353E-3</v>
      </c>
      <c r="R90" s="5">
        <f t="shared" si="182"/>
        <v>-4.7393453638965586E-3</v>
      </c>
      <c r="S90" s="5">
        <f t="shared" si="182"/>
        <v>-3.5385722098256601E-3</v>
      </c>
      <c r="T90" s="5">
        <f t="shared" ref="T90:X90" si="194">LN(T639/T640)</f>
        <v>2.9215895313428504E-3</v>
      </c>
      <c r="U90" s="5">
        <f t="shared" si="194"/>
        <v>8.6827468891339972E-3</v>
      </c>
      <c r="V90" s="5">
        <f t="shared" si="194"/>
        <v>-4.2044889690960562E-3</v>
      </c>
      <c r="W90" s="5">
        <f t="shared" si="194"/>
        <v>8.5174063549732105E-3</v>
      </c>
      <c r="X90" s="5">
        <f t="shared" si="194"/>
        <v>2.7185709742935452E-3</v>
      </c>
      <c r="Z90" s="4">
        <v>45966</v>
      </c>
      <c r="AA90">
        <f>B90*B$3</f>
        <v>-1965.9999999999582</v>
      </c>
      <c r="AB90">
        <f>C90*C$3</f>
        <v>-2583.999999999945</v>
      </c>
      <c r="AC90">
        <f>D90*D$3</f>
        <v>0</v>
      </c>
      <c r="AD90">
        <f>E90*E$3</f>
        <v>0</v>
      </c>
      <c r="AE90">
        <f>F90*F$3</f>
        <v>12428.000000000287</v>
      </c>
      <c r="AF90">
        <f>G90*G$3</f>
        <v>62512.000000000058</v>
      </c>
      <c r="AG90">
        <f>H90*H$3</f>
        <v>141079.99999999951</v>
      </c>
      <c r="AH90">
        <f>I90*I$3</f>
        <v>110736.0000000001</v>
      </c>
      <c r="AI90">
        <f>J90*J$3</f>
        <v>357360.49999999919</v>
      </c>
      <c r="AJ90">
        <f>K90*K$3</f>
        <v>548765.00000000221</v>
      </c>
      <c r="AK90">
        <f>L90*L$3</f>
        <v>-217028.00000000087</v>
      </c>
      <c r="AL90">
        <f>M90*M$3</f>
        <v>-224510.99999999805</v>
      </c>
      <c r="AM90">
        <f>N90*N$3</f>
        <v>0</v>
      </c>
      <c r="AN90">
        <f>O90*O$3</f>
        <v>0</v>
      </c>
      <c r="AO90">
        <f>P90*P$3</f>
        <v>32375.196001435943</v>
      </c>
      <c r="AP90">
        <f>Q90*Q$3</f>
        <v>58547.256131564827</v>
      </c>
      <c r="AQ90">
        <f>R90*R$3</f>
        <v>71090.180458448376</v>
      </c>
      <c r="AR90" s="1">
        <f>S90*S$3</f>
        <v>24770.005468779622</v>
      </c>
      <c r="AS90" s="1">
        <f t="shared" si="184"/>
        <v>11686.358125371402</v>
      </c>
      <c r="AT90" s="1">
        <f t="shared" si="184"/>
        <v>69461.975113071981</v>
      </c>
      <c r="AU90" s="1">
        <f t="shared" si="184"/>
        <v>0</v>
      </c>
      <c r="AV90" s="1">
        <f t="shared" si="184"/>
        <v>0</v>
      </c>
      <c r="AW90" s="1">
        <f t="shared" si="184"/>
        <v>0</v>
      </c>
      <c r="AX90" s="1">
        <f t="shared" si="149"/>
        <v>1054723.4712986746</v>
      </c>
      <c r="AY90" s="1">
        <f t="shared" si="150"/>
        <v>267930.97129867214</v>
      </c>
      <c r="AZ90" s="1">
        <f t="shared" si="151"/>
        <v>786792.50000000244</v>
      </c>
    </row>
    <row r="91" spans="1:52" x14ac:dyDescent="0.25">
      <c r="A91" s="4">
        <v>45965</v>
      </c>
      <c r="B91">
        <f t="shared" ref="B91:N91" si="195">(B641-B640)*100</f>
        <v>4.0000000000000036</v>
      </c>
      <c r="C91">
        <f t="shared" si="195"/>
        <v>4.0000000000000036</v>
      </c>
      <c r="D91">
        <f t="shared" si="195"/>
        <v>2.0000000000000018</v>
      </c>
      <c r="E91">
        <f t="shared" si="195"/>
        <v>0.99999999999997868</v>
      </c>
      <c r="F91">
        <f t="shared" si="195"/>
        <v>2.0000000000000018</v>
      </c>
      <c r="G91">
        <f t="shared" si="195"/>
        <v>3.0000000000000249</v>
      </c>
      <c r="H91">
        <f t="shared" si="195"/>
        <v>2.0000000000000018</v>
      </c>
      <c r="I91">
        <f t="shared" si="195"/>
        <v>2.0000000000000018</v>
      </c>
      <c r="J91">
        <f t="shared" si="195"/>
        <v>3.0000000000000249</v>
      </c>
      <c r="K91">
        <f t="shared" si="195"/>
        <v>2.0000000000000018</v>
      </c>
      <c r="L91">
        <f t="shared" si="195"/>
        <v>3.0000000000000249</v>
      </c>
      <c r="M91">
        <f t="shared" si="195"/>
        <v>1.9999999999999574</v>
      </c>
      <c r="N91">
        <f t="shared" si="195"/>
        <v>2.0000000000000462</v>
      </c>
      <c r="O91" s="5">
        <f t="shared" si="182"/>
        <v>6.3533680571259575E-3</v>
      </c>
      <c r="P91" s="5">
        <f t="shared" si="182"/>
        <v>1.556420547658158E-3</v>
      </c>
      <c r="Q91" s="5">
        <f t="shared" si="182"/>
        <v>-3.3541762242526667E-3</v>
      </c>
      <c r="R91" s="5">
        <f t="shared" si="182"/>
        <v>2.3668650102662441E-3</v>
      </c>
      <c r="S91" s="5">
        <f t="shared" si="182"/>
        <v>9.2405277745574478E-3</v>
      </c>
      <c r="T91" s="5">
        <f t="shared" ref="T91:X91" si="196">LN(T640/T641)</f>
        <v>7.7213602574281574E-4</v>
      </c>
      <c r="U91" s="5">
        <f t="shared" si="196"/>
        <v>-3.9479299806418684E-5</v>
      </c>
      <c r="V91" s="5">
        <f t="shared" si="196"/>
        <v>5.8284408834281526E-5</v>
      </c>
      <c r="W91" s="5">
        <f t="shared" si="196"/>
        <v>7.0668696573525228E-4</v>
      </c>
      <c r="X91" s="5">
        <f t="shared" si="196"/>
        <v>4.0049343031218531E-3</v>
      </c>
      <c r="Z91" s="4">
        <v>45965</v>
      </c>
      <c r="AA91">
        <f>B91*B$3</f>
        <v>-3932.0000000000036</v>
      </c>
      <c r="AB91">
        <f>C91*C$3</f>
        <v>-10336.000000000009</v>
      </c>
      <c r="AC91">
        <f>D91*D$3</f>
        <v>32286.000000000029</v>
      </c>
      <c r="AD91">
        <f>E91*E$3</f>
        <v>2427.9999999999482</v>
      </c>
      <c r="AE91">
        <f>F91*F$3</f>
        <v>-24856.000000000022</v>
      </c>
      <c r="AF91">
        <f>G91*G$3</f>
        <v>-46884.000000000386</v>
      </c>
      <c r="AG91">
        <f>H91*H$3</f>
        <v>-56432.000000000051</v>
      </c>
      <c r="AH91">
        <f>I91*I$3</f>
        <v>-36912.000000000036</v>
      </c>
      <c r="AI91">
        <f>J91*J$3</f>
        <v>-153154.50000000128</v>
      </c>
      <c r="AJ91">
        <f>K91*K$3</f>
        <v>-156790.00000000015</v>
      </c>
      <c r="AK91">
        <f>L91*L$3</f>
        <v>93012.000000000771</v>
      </c>
      <c r="AL91">
        <f>M91*M$3</f>
        <v>64145.999999998632</v>
      </c>
      <c r="AM91">
        <f>N91*N$3</f>
        <v>0</v>
      </c>
      <c r="AN91">
        <f>O91*O$3</f>
        <v>0</v>
      </c>
      <c r="AO91">
        <f>P91*P$3</f>
        <v>-7782.1027382907896</v>
      </c>
      <c r="AP91">
        <f>Q91*Q$3</f>
        <v>-40250.114691032002</v>
      </c>
      <c r="AQ91">
        <f>R91*R$3</f>
        <v>-35502.975153993662</v>
      </c>
      <c r="AR91" s="1">
        <f>S91*S$3</f>
        <v>-64683.694421902132</v>
      </c>
      <c r="AS91" s="1">
        <f t="shared" si="184"/>
        <v>3088.5441029712629</v>
      </c>
      <c r="AT91" s="1">
        <f t="shared" si="184"/>
        <v>-315.83439845134944</v>
      </c>
      <c r="AU91" s="1">
        <f t="shared" si="184"/>
        <v>0</v>
      </c>
      <c r="AV91" s="1">
        <f t="shared" si="184"/>
        <v>0</v>
      </c>
      <c r="AW91" s="1">
        <f t="shared" si="184"/>
        <v>0</v>
      </c>
      <c r="AX91" s="1">
        <f t="shared" si="149"/>
        <v>-442870.67730070121</v>
      </c>
      <c r="AY91" s="1">
        <f t="shared" si="150"/>
        <v>-145446.17730069868</v>
      </c>
      <c r="AZ91" s="1">
        <f t="shared" si="151"/>
        <v>-297424.50000000256</v>
      </c>
    </row>
    <row r="92" spans="1:52" x14ac:dyDescent="0.25">
      <c r="A92" s="4">
        <v>45964</v>
      </c>
      <c r="B92">
        <f t="shared" ref="B92:N92" si="197">(B642-B641)*100</f>
        <v>0</v>
      </c>
      <c r="C92">
        <f t="shared" si="197"/>
        <v>-0.99999999999997868</v>
      </c>
      <c r="D92">
        <f t="shared" si="197"/>
        <v>-8.9999999999999858</v>
      </c>
      <c r="E92">
        <f t="shared" si="197"/>
        <v>-0.99999999999997868</v>
      </c>
      <c r="F92">
        <f t="shared" si="197"/>
        <v>-0.99999999999997868</v>
      </c>
      <c r="G92">
        <f t="shared" si="197"/>
        <v>0</v>
      </c>
      <c r="H92">
        <f t="shared" si="197"/>
        <v>0</v>
      </c>
      <c r="I92">
        <f t="shared" si="197"/>
        <v>-0.99999999999997868</v>
      </c>
      <c r="J92">
        <f t="shared" si="197"/>
        <v>-1.0000000000000231</v>
      </c>
      <c r="K92">
        <f t="shared" si="197"/>
        <v>-0.99999999999997868</v>
      </c>
      <c r="L92">
        <f t="shared" si="197"/>
        <v>-1.9999999999999574</v>
      </c>
      <c r="M92">
        <f t="shared" si="197"/>
        <v>-1.9999999999999574</v>
      </c>
      <c r="N92">
        <f t="shared" si="197"/>
        <v>-2.0000000000000462</v>
      </c>
      <c r="O92" s="5">
        <f t="shared" si="182"/>
        <v>-6.2976489556750654E-3</v>
      </c>
      <c r="P92" s="5">
        <f t="shared" si="182"/>
        <v>0</v>
      </c>
      <c r="Q92" s="5">
        <f t="shared" si="182"/>
        <v>3.3116479163411892E-3</v>
      </c>
      <c r="R92" s="5">
        <f t="shared" si="182"/>
        <v>2.6694365547732086E-3</v>
      </c>
      <c r="S92" s="5">
        <f t="shared" si="182"/>
        <v>-5.120841746925937E-3</v>
      </c>
      <c r="T92" s="5">
        <f t="shared" ref="T92:X92" si="198">LN(T641/T642)</f>
        <v>3.8461998713228054E-3</v>
      </c>
      <c r="U92" s="5">
        <f t="shared" si="198"/>
        <v>1.8537536964197776E-3</v>
      </c>
      <c r="V92" s="5">
        <f t="shared" si="198"/>
        <v>1.9150814958342013E-3</v>
      </c>
      <c r="W92" s="5">
        <f t="shared" si="198"/>
        <v>2.0751789957696503E-3</v>
      </c>
      <c r="X92" s="5">
        <f t="shared" si="198"/>
        <v>4.120747448771566E-3</v>
      </c>
      <c r="Z92" s="4">
        <v>45964</v>
      </c>
      <c r="AA92">
        <f>B92*B$3</f>
        <v>0</v>
      </c>
      <c r="AB92">
        <f>C92*C$3</f>
        <v>2583.999999999945</v>
      </c>
      <c r="AC92">
        <f>D92*D$3</f>
        <v>-145286.99999999977</v>
      </c>
      <c r="AD92">
        <f>E92*E$3</f>
        <v>-2427.9999999999482</v>
      </c>
      <c r="AE92">
        <f>F92*F$3</f>
        <v>12427.999999999734</v>
      </c>
      <c r="AF92">
        <f>G92*G$3</f>
        <v>0</v>
      </c>
      <c r="AG92">
        <f>H92*H$3</f>
        <v>0</v>
      </c>
      <c r="AH92">
        <f>I92*I$3</f>
        <v>18455.999999999607</v>
      </c>
      <c r="AI92">
        <f>J92*J$3</f>
        <v>51051.500000001179</v>
      </c>
      <c r="AJ92">
        <f>K92*K$3</f>
        <v>78394.999999998327</v>
      </c>
      <c r="AK92">
        <f>L92*L$3</f>
        <v>-62007.999999998676</v>
      </c>
      <c r="AL92">
        <f>M92*M$3</f>
        <v>-64145.999999998632</v>
      </c>
      <c r="AM92">
        <f>N92*N$3</f>
        <v>0</v>
      </c>
      <c r="AN92">
        <f>O92*O$3</f>
        <v>0</v>
      </c>
      <c r="AO92">
        <f>P92*P$3</f>
        <v>0</v>
      </c>
      <c r="AP92">
        <f>Q92*Q$3</f>
        <v>39739.774996094267</v>
      </c>
      <c r="AQ92">
        <f>R92*R$3</f>
        <v>-40041.548321598129</v>
      </c>
      <c r="AR92" s="1">
        <f>S92*S$3</f>
        <v>35845.892228481556</v>
      </c>
      <c r="AS92" s="1">
        <f t="shared" si="184"/>
        <v>15384.799485291222</v>
      </c>
      <c r="AT92" s="1">
        <f t="shared" si="184"/>
        <v>14830.029571358222</v>
      </c>
      <c r="AU92" s="1">
        <f t="shared" si="184"/>
        <v>0</v>
      </c>
      <c r="AV92" s="1">
        <f t="shared" si="184"/>
        <v>0</v>
      </c>
      <c r="AW92" s="1">
        <f t="shared" si="184"/>
        <v>0</v>
      </c>
      <c r="AX92" s="1">
        <f t="shared" si="149"/>
        <v>-45195.552040371076</v>
      </c>
      <c r="AY92" s="1">
        <f t="shared" si="150"/>
        <v>65758.947959627141</v>
      </c>
      <c r="AZ92" s="1">
        <f t="shared" si="151"/>
        <v>-110954.49999999822</v>
      </c>
    </row>
    <row r="93" spans="1:52" x14ac:dyDescent="0.25">
      <c r="A93" s="4">
        <v>45961</v>
      </c>
      <c r="B93">
        <f t="shared" ref="B93:N93" si="199">(B643-B642)*100</f>
        <v>-0.99999999999997868</v>
      </c>
      <c r="C93">
        <f t="shared" si="199"/>
        <v>0</v>
      </c>
      <c r="D93">
        <f t="shared" si="199"/>
        <v>2.9999999999999805</v>
      </c>
      <c r="E93">
        <f t="shared" si="199"/>
        <v>0</v>
      </c>
      <c r="F93">
        <f t="shared" si="199"/>
        <v>0</v>
      </c>
      <c r="G93">
        <f t="shared" si="199"/>
        <v>0</v>
      </c>
      <c r="H93">
        <f t="shared" si="199"/>
        <v>0.99999999999997868</v>
      </c>
      <c r="I93">
        <f t="shared" si="199"/>
        <v>0.99999999999997868</v>
      </c>
      <c r="J93">
        <f t="shared" si="199"/>
        <v>1.0000000000000231</v>
      </c>
      <c r="K93">
        <f t="shared" si="199"/>
        <v>0.99999999999997868</v>
      </c>
      <c r="L93">
        <f t="shared" si="199"/>
        <v>0</v>
      </c>
      <c r="M93">
        <f t="shared" si="199"/>
        <v>-1.0000000000000675</v>
      </c>
      <c r="N93">
        <f t="shared" si="199"/>
        <v>-1.9999999999999574</v>
      </c>
      <c r="O93" s="5">
        <f t="shared" si="182"/>
        <v>-1.3000640764163724E-4</v>
      </c>
      <c r="P93" s="5">
        <f t="shared" si="182"/>
        <v>-2.8515897482650817E-3</v>
      </c>
      <c r="Q93" s="5">
        <f t="shared" si="182"/>
        <v>0</v>
      </c>
      <c r="R93" s="5">
        <f t="shared" si="182"/>
        <v>-4.4451102974511448E-3</v>
      </c>
      <c r="S93" s="5">
        <f t="shared" si="182"/>
        <v>1.7238039994397461E-3</v>
      </c>
      <c r="T93" s="5">
        <f t="shared" ref="T93:X93" si="200">LN(T642/T643)</f>
        <v>2.6652573638043732E-3</v>
      </c>
      <c r="U93" s="5">
        <f t="shared" si="200"/>
        <v>2.7540572057102915E-3</v>
      </c>
      <c r="V93" s="5">
        <f t="shared" si="200"/>
        <v>7.6837251931141937E-3</v>
      </c>
      <c r="W93" s="5">
        <f t="shared" si="200"/>
        <v>2.6645846376314821E-3</v>
      </c>
      <c r="X93" s="5">
        <f t="shared" si="200"/>
        <v>2.2356170986444664E-3</v>
      </c>
      <c r="Z93" s="4">
        <v>45961</v>
      </c>
      <c r="AA93">
        <f>B93*B$3</f>
        <v>982.99999999997908</v>
      </c>
      <c r="AB93">
        <f>C93*C$3</f>
        <v>0</v>
      </c>
      <c r="AC93">
        <f>D93*D$3</f>
        <v>48428.999999999687</v>
      </c>
      <c r="AD93">
        <f>E93*E$3</f>
        <v>0</v>
      </c>
      <c r="AE93">
        <f>F93*F$3</f>
        <v>0</v>
      </c>
      <c r="AF93">
        <f>G93*G$3</f>
        <v>0</v>
      </c>
      <c r="AG93">
        <f>H93*H$3</f>
        <v>-28215.9999999994</v>
      </c>
      <c r="AH93">
        <f>I93*I$3</f>
        <v>-18455.999999999607</v>
      </c>
      <c r="AI93">
        <f>J93*J$3</f>
        <v>-51051.500000001179</v>
      </c>
      <c r="AJ93">
        <f>K93*K$3</f>
        <v>-78394.999999998327</v>
      </c>
      <c r="AK93">
        <f>L93*L$3</f>
        <v>0</v>
      </c>
      <c r="AL93">
        <f>M93*M$3</f>
        <v>-32073.000000002165</v>
      </c>
      <c r="AM93">
        <f>N93*N$3</f>
        <v>0</v>
      </c>
      <c r="AN93">
        <f>O93*O$3</f>
        <v>0</v>
      </c>
      <c r="AO93">
        <f>P93*P$3</f>
        <v>14257.948741325408</v>
      </c>
      <c r="AP93">
        <f>Q93*Q$3</f>
        <v>0</v>
      </c>
      <c r="AQ93">
        <f>R93*R$3</f>
        <v>66676.654461767175</v>
      </c>
      <c r="AR93" s="1">
        <f>S93*S$3</f>
        <v>-12066.627996078223</v>
      </c>
      <c r="AS93" s="1">
        <f t="shared" si="184"/>
        <v>10661.029455217493</v>
      </c>
      <c r="AT93" s="1">
        <f t="shared" si="184"/>
        <v>22032.457645682331</v>
      </c>
      <c r="AU93" s="1">
        <f t="shared" si="184"/>
        <v>0</v>
      </c>
      <c r="AV93" s="1">
        <f t="shared" si="184"/>
        <v>0</v>
      </c>
      <c r="AW93" s="1">
        <f t="shared" si="184"/>
        <v>0</v>
      </c>
      <c r="AX93" s="1">
        <f t="shared" si="149"/>
        <v>-57218.037692086844</v>
      </c>
      <c r="AY93" s="1">
        <f t="shared" si="150"/>
        <v>101561.46230791417</v>
      </c>
      <c r="AZ93" s="1">
        <f t="shared" si="151"/>
        <v>-158779.50000000102</v>
      </c>
    </row>
    <row r="94" spans="1:52" x14ac:dyDescent="0.25">
      <c r="A94" s="4">
        <v>45960</v>
      </c>
      <c r="B94">
        <f t="shared" ref="B94:N94" si="201">(B644-B643)*100</f>
        <v>-1.9999999999999574</v>
      </c>
      <c r="C94">
        <f t="shared" si="201"/>
        <v>-4.9999999999999822</v>
      </c>
      <c r="D94">
        <f t="shared" si="201"/>
        <v>1.0000000000000231</v>
      </c>
      <c r="E94">
        <f t="shared" si="201"/>
        <v>-1.0000000000000231</v>
      </c>
      <c r="F94">
        <f t="shared" si="201"/>
        <v>0</v>
      </c>
      <c r="G94">
        <f t="shared" si="201"/>
        <v>0</v>
      </c>
      <c r="H94">
        <f t="shared" si="201"/>
        <v>-2.0000000000000018</v>
      </c>
      <c r="I94">
        <f t="shared" si="201"/>
        <v>-0.99999999999997868</v>
      </c>
      <c r="J94">
        <f t="shared" si="201"/>
        <v>-2.0000000000000018</v>
      </c>
      <c r="K94">
        <f t="shared" si="201"/>
        <v>-2.9999999999999805</v>
      </c>
      <c r="L94">
        <f t="shared" si="201"/>
        <v>-3.0000000000000249</v>
      </c>
      <c r="M94">
        <f t="shared" si="201"/>
        <v>-4.9999999999999822</v>
      </c>
      <c r="N94">
        <f t="shared" si="201"/>
        <v>-4.0000000000000036</v>
      </c>
      <c r="O94" s="5">
        <f t="shared" si="182"/>
        <v>8.0925297131750878E-3</v>
      </c>
      <c r="P94" s="5">
        <f t="shared" si="182"/>
        <v>-2.585316848470842E-3</v>
      </c>
      <c r="Q94" s="5">
        <f t="shared" si="182"/>
        <v>-1.1263416343253983E-3</v>
      </c>
      <c r="R94" s="5">
        <f t="shared" si="182"/>
        <v>-2.6576126671129237E-3</v>
      </c>
      <c r="S94" s="5">
        <f t="shared" si="182"/>
        <v>4.1601218347049503E-3</v>
      </c>
      <c r="T94" s="5">
        <f t="shared" ref="T94:X94" si="202">LN(T643/T644)</f>
        <v>4.6870562361583804E-3</v>
      </c>
      <c r="U94" s="5">
        <f t="shared" si="202"/>
        <v>6.3406246088042548E-3</v>
      </c>
      <c r="V94" s="5">
        <f t="shared" si="202"/>
        <v>6.5100413189503742E-3</v>
      </c>
      <c r="W94" s="5">
        <f t="shared" si="202"/>
        <v>1.2610269624544301E-3</v>
      </c>
      <c r="X94" s="5">
        <f t="shared" si="202"/>
        <v>8.7528590824371682E-3</v>
      </c>
      <c r="Z94" s="4">
        <v>45960</v>
      </c>
      <c r="AA94">
        <f>B94*B$3</f>
        <v>1965.9999999999582</v>
      </c>
      <c r="AB94">
        <f>C94*C$3</f>
        <v>12919.999999999955</v>
      </c>
      <c r="AC94">
        <f>D94*D$3</f>
        <v>16143.000000000373</v>
      </c>
      <c r="AD94">
        <f>E94*E$3</f>
        <v>-2428.0000000000559</v>
      </c>
      <c r="AE94">
        <f>F94*F$3</f>
        <v>0</v>
      </c>
      <c r="AF94">
        <f>G94*G$3</f>
        <v>0</v>
      </c>
      <c r="AG94">
        <f>H94*H$3</f>
        <v>56432.000000000051</v>
      </c>
      <c r="AH94">
        <f>I94*I$3</f>
        <v>18455.999999999607</v>
      </c>
      <c r="AI94">
        <f>J94*J$3</f>
        <v>102103.00000000009</v>
      </c>
      <c r="AJ94">
        <f>K94*K$3</f>
        <v>235184.99999999846</v>
      </c>
      <c r="AK94">
        <f>L94*L$3</f>
        <v>-93012.000000000771</v>
      </c>
      <c r="AL94">
        <f>M94*M$3</f>
        <v>-160364.99999999942</v>
      </c>
      <c r="AM94">
        <f>N94*N$3</f>
        <v>0</v>
      </c>
      <c r="AN94">
        <f>O94*O$3</f>
        <v>0</v>
      </c>
      <c r="AO94">
        <f>P94*P$3</f>
        <v>12926.584242354211</v>
      </c>
      <c r="AP94">
        <f>Q94*Q$3</f>
        <v>-13516.09961190478</v>
      </c>
      <c r="AQ94">
        <f>R94*R$3</f>
        <v>39864.190006693854</v>
      </c>
      <c r="AR94" s="1">
        <f>S94*S$3</f>
        <v>-29120.852842934652</v>
      </c>
      <c r="AS94" s="1">
        <f t="shared" si="184"/>
        <v>18748.224944633523</v>
      </c>
      <c r="AT94" s="1">
        <f t="shared" si="184"/>
        <v>50724.996870434035</v>
      </c>
      <c r="AU94" s="1">
        <f t="shared" si="184"/>
        <v>0</v>
      </c>
      <c r="AV94" s="1">
        <f t="shared" si="184"/>
        <v>0</v>
      </c>
      <c r="AW94" s="1">
        <f t="shared" si="184"/>
        <v>0</v>
      </c>
      <c r="AX94" s="1">
        <f t="shared" si="149"/>
        <v>267027.04360927443</v>
      </c>
      <c r="AY94" s="1">
        <f t="shared" si="150"/>
        <v>79627.043609276181</v>
      </c>
      <c r="AZ94" s="1">
        <f t="shared" si="151"/>
        <v>187399.99999999825</v>
      </c>
    </row>
    <row r="95" spans="1:52" x14ac:dyDescent="0.25">
      <c r="A95" s="4">
        <v>45959</v>
      </c>
      <c r="B95">
        <f t="shared" ref="B95:N95" si="203">(B645-B644)*100</f>
        <v>4.0000000000000036</v>
      </c>
      <c r="C95">
        <f t="shared" si="203"/>
        <v>-2.0000000000000018</v>
      </c>
      <c r="D95">
        <f t="shared" si="203"/>
        <v>-4.0000000000000036</v>
      </c>
      <c r="E95">
        <f t="shared" si="203"/>
        <v>0</v>
      </c>
      <c r="F95">
        <f t="shared" si="203"/>
        <v>-6.999999999999984</v>
      </c>
      <c r="G95">
        <f t="shared" si="203"/>
        <v>-11.000000000000032</v>
      </c>
      <c r="H95">
        <f t="shared" si="203"/>
        <v>-11.999999999999966</v>
      </c>
      <c r="I95">
        <f t="shared" si="203"/>
        <v>-10.000000000000009</v>
      </c>
      <c r="J95">
        <f t="shared" si="203"/>
        <v>-10.000000000000009</v>
      </c>
      <c r="K95">
        <f t="shared" si="203"/>
        <v>-10.000000000000009</v>
      </c>
      <c r="L95">
        <f t="shared" si="203"/>
        <v>-8.9999999999999858</v>
      </c>
      <c r="M95">
        <f t="shared" si="203"/>
        <v>-5.9999999999999609</v>
      </c>
      <c r="N95">
        <f t="shared" si="203"/>
        <v>-6.0000000000000497</v>
      </c>
      <c r="O95" s="5">
        <f t="shared" ref="O95:S104" si="204">LN(O644/O645)</f>
        <v>-5.1167245153362385E-3</v>
      </c>
      <c r="P95" s="5">
        <f t="shared" si="204"/>
        <v>-6.4162424643662503E-3</v>
      </c>
      <c r="Q95" s="5">
        <f t="shared" si="204"/>
        <v>3.6599289718398488E-3</v>
      </c>
      <c r="R95" s="5">
        <f t="shared" si="204"/>
        <v>0</v>
      </c>
      <c r="S95" s="5">
        <f t="shared" si="204"/>
        <v>2.1191213850765469E-3</v>
      </c>
      <c r="T95" s="5">
        <f t="shared" ref="T95:X95" si="205">LN(T644/T645)</f>
        <v>-5.2450904681504158E-4</v>
      </c>
      <c r="U95" s="5">
        <f t="shared" si="205"/>
        <v>4.633260227388805E-3</v>
      </c>
      <c r="V95" s="5">
        <f t="shared" si="205"/>
        <v>-6.313594664575939E-3</v>
      </c>
      <c r="W95" s="5">
        <f t="shared" si="205"/>
        <v>-4.0325718255748875E-3</v>
      </c>
      <c r="X95" s="5">
        <f t="shared" si="205"/>
        <v>-2.2426470821627137E-3</v>
      </c>
      <c r="Z95" s="4">
        <v>45959</v>
      </c>
      <c r="AA95">
        <f>B95*B$3</f>
        <v>-3932.0000000000036</v>
      </c>
      <c r="AB95">
        <f>C95*C$3</f>
        <v>5168.0000000000045</v>
      </c>
      <c r="AC95">
        <f>D95*D$3</f>
        <v>-64572.000000000058</v>
      </c>
      <c r="AD95">
        <f>E95*E$3</f>
        <v>0</v>
      </c>
      <c r="AE95">
        <f>F95*F$3</f>
        <v>86995.999999999796</v>
      </c>
      <c r="AF95">
        <f>G95*G$3</f>
        <v>171908.00000000049</v>
      </c>
      <c r="AG95">
        <f>H95*H$3</f>
        <v>338591.99999999907</v>
      </c>
      <c r="AH95">
        <f>I95*I$3</f>
        <v>184560.00000000017</v>
      </c>
      <c r="AI95">
        <f>J95*J$3</f>
        <v>510515.00000000047</v>
      </c>
      <c r="AJ95">
        <f>K95*K$3</f>
        <v>783950.0000000007</v>
      </c>
      <c r="AK95">
        <f>L95*L$3</f>
        <v>-279035.99999999953</v>
      </c>
      <c r="AL95">
        <f>M95*M$3</f>
        <v>-192437.99999999875</v>
      </c>
      <c r="AM95">
        <f>N95*N$3</f>
        <v>0</v>
      </c>
      <c r="AN95">
        <f>O95*O$3</f>
        <v>0</v>
      </c>
      <c r="AO95">
        <f>P95*P$3</f>
        <v>32081.212321831252</v>
      </c>
      <c r="AP95">
        <f>Q95*Q$3</f>
        <v>43919.147662078183</v>
      </c>
      <c r="AQ95">
        <f>R95*R$3</f>
        <v>0</v>
      </c>
      <c r="AR95" s="1">
        <f>S95*S$3</f>
        <v>-14833.849695535828</v>
      </c>
      <c r="AS95" s="1">
        <f t="shared" si="184"/>
        <v>-2098.0361872601661</v>
      </c>
      <c r="AT95" s="1">
        <f t="shared" si="184"/>
        <v>37066.081819110441</v>
      </c>
      <c r="AU95" s="1">
        <f t="shared" si="184"/>
        <v>0</v>
      </c>
      <c r="AV95" s="1">
        <f t="shared" si="184"/>
        <v>0</v>
      </c>
      <c r="AW95" s="1">
        <f t="shared" si="184"/>
        <v>0</v>
      </c>
      <c r="AX95" s="1">
        <f t="shared" si="149"/>
        <v>1637845.5559202263</v>
      </c>
      <c r="AY95" s="1">
        <f t="shared" si="150"/>
        <v>96134.55592022388</v>
      </c>
      <c r="AZ95" s="1">
        <f t="shared" si="151"/>
        <v>1541711.0000000023</v>
      </c>
    </row>
    <row r="96" spans="1:52" x14ac:dyDescent="0.25">
      <c r="A96" s="4">
        <v>45958</v>
      </c>
      <c r="B96">
        <f t="shared" ref="B96:N96" si="206">(B646-B645)*100</f>
        <v>1.9999999999999574</v>
      </c>
      <c r="C96">
        <f t="shared" si="206"/>
        <v>2.9999999999999805</v>
      </c>
      <c r="D96">
        <f t="shared" si="206"/>
        <v>0</v>
      </c>
      <c r="E96">
        <f t="shared" si="206"/>
        <v>1.0000000000000231</v>
      </c>
      <c r="F96">
        <f t="shared" si="206"/>
        <v>0.99999999999997868</v>
      </c>
      <c r="G96">
        <f t="shared" si="206"/>
        <v>0</v>
      </c>
      <c r="H96">
        <f t="shared" si="206"/>
        <v>0.99999999999997868</v>
      </c>
      <c r="I96">
        <f t="shared" si="206"/>
        <v>0</v>
      </c>
      <c r="J96">
        <f t="shared" si="206"/>
        <v>0.99999999999997868</v>
      </c>
      <c r="K96">
        <f t="shared" si="206"/>
        <v>2.0000000000000018</v>
      </c>
      <c r="L96">
        <f t="shared" si="206"/>
        <v>1.9999999999999574</v>
      </c>
      <c r="M96">
        <f t="shared" si="206"/>
        <v>1.9999999999999574</v>
      </c>
      <c r="N96">
        <f t="shared" si="206"/>
        <v>2.0000000000000462</v>
      </c>
      <c r="O96" s="5">
        <f t="shared" si="204"/>
        <v>-1.0053245810786146E-3</v>
      </c>
      <c r="P96" s="5">
        <f t="shared" si="204"/>
        <v>1.3281999080129104E-2</v>
      </c>
      <c r="Q96" s="5">
        <f t="shared" si="204"/>
        <v>-5.6120806713119585E-3</v>
      </c>
      <c r="R96" s="5">
        <f t="shared" si="204"/>
        <v>2.0664213995247598E-3</v>
      </c>
      <c r="S96" s="5">
        <f t="shared" si="204"/>
        <v>1.922471782190269E-3</v>
      </c>
      <c r="T96" s="5">
        <f t="shared" ref="T96:X96" si="207">LN(T645/T646)</f>
        <v>-1.7229545973458237E-3</v>
      </c>
      <c r="U96" s="5">
        <f t="shared" si="207"/>
        <v>-1.3958144114731719E-3</v>
      </c>
      <c r="V96" s="5">
        <f t="shared" si="207"/>
        <v>-2.4137357136901337E-3</v>
      </c>
      <c r="W96" s="5">
        <f t="shared" si="207"/>
        <v>-3.7601383517398431E-3</v>
      </c>
      <c r="X96" s="5">
        <f t="shared" si="207"/>
        <v>-1.8105553345919574E-3</v>
      </c>
      <c r="Z96" s="4">
        <v>45958</v>
      </c>
      <c r="AA96">
        <f>B96*B$3</f>
        <v>-1965.9999999999582</v>
      </c>
      <c r="AB96">
        <f>C96*C$3</f>
        <v>-7751.9999999999491</v>
      </c>
      <c r="AC96">
        <f>D96*D$3</f>
        <v>0</v>
      </c>
      <c r="AD96">
        <f>E96*E$3</f>
        <v>2428.0000000000559</v>
      </c>
      <c r="AE96">
        <f>F96*F$3</f>
        <v>-12427.999999999734</v>
      </c>
      <c r="AF96">
        <f>G96*G$3</f>
        <v>0</v>
      </c>
      <c r="AG96">
        <f>H96*H$3</f>
        <v>-28215.9999999994</v>
      </c>
      <c r="AH96">
        <f>I96*I$3</f>
        <v>0</v>
      </c>
      <c r="AI96">
        <f>J96*J$3</f>
        <v>-51051.499999998909</v>
      </c>
      <c r="AJ96">
        <f>K96*K$3</f>
        <v>-156790.00000000015</v>
      </c>
      <c r="AK96">
        <f>L96*L$3</f>
        <v>62007.999999998676</v>
      </c>
      <c r="AL96">
        <f>M96*M$3</f>
        <v>64145.999999998632</v>
      </c>
      <c r="AM96">
        <f>N96*N$3</f>
        <v>0</v>
      </c>
      <c r="AN96">
        <f>O96*O$3</f>
        <v>0</v>
      </c>
      <c r="AO96">
        <f>P96*P$3</f>
        <v>-66409.995400645523</v>
      </c>
      <c r="AP96">
        <f>Q96*Q$3</f>
        <v>-67344.968055743506</v>
      </c>
      <c r="AQ96">
        <f>R96*R$3</f>
        <v>-30996.320992871395</v>
      </c>
      <c r="AR96" s="1">
        <f>S96*S$3</f>
        <v>-13457.302475331882</v>
      </c>
      <c r="AS96" s="1">
        <f t="shared" si="184"/>
        <v>-6891.8183893832947</v>
      </c>
      <c r="AT96" s="1">
        <f t="shared" si="184"/>
        <v>-11166.515291785376</v>
      </c>
      <c r="AU96" s="1">
        <f t="shared" si="184"/>
        <v>0</v>
      </c>
      <c r="AV96" s="1">
        <f t="shared" si="184"/>
        <v>0</v>
      </c>
      <c r="AW96" s="1">
        <f t="shared" si="184"/>
        <v>0</v>
      </c>
      <c r="AX96" s="1">
        <f t="shared" si="149"/>
        <v>-325888.4206057617</v>
      </c>
      <c r="AY96" s="1">
        <f t="shared" si="150"/>
        <v>-196266.92060576097</v>
      </c>
      <c r="AZ96" s="1">
        <f t="shared" si="151"/>
        <v>-129621.50000000073</v>
      </c>
    </row>
    <row r="97" spans="1:52" x14ac:dyDescent="0.25">
      <c r="A97" s="4">
        <v>45957</v>
      </c>
      <c r="B97">
        <f t="shared" ref="B97:N97" si="208">(B647-B646)*100</f>
        <v>2.0000000000000462</v>
      </c>
      <c r="C97">
        <f t="shared" si="208"/>
        <v>1.9999999999999574</v>
      </c>
      <c r="D97">
        <f t="shared" si="208"/>
        <v>4.0000000000000036</v>
      </c>
      <c r="E97">
        <f t="shared" si="208"/>
        <v>2.0000000000000018</v>
      </c>
      <c r="F97">
        <f t="shared" si="208"/>
        <v>2.9999999999999805</v>
      </c>
      <c r="G97">
        <f t="shared" si="208"/>
        <v>-0.99999999999997868</v>
      </c>
      <c r="H97">
        <f t="shared" si="208"/>
        <v>0</v>
      </c>
      <c r="I97">
        <f t="shared" si="208"/>
        <v>-0.99999999999997868</v>
      </c>
      <c r="J97">
        <f t="shared" si="208"/>
        <v>0</v>
      </c>
      <c r="K97">
        <f t="shared" si="208"/>
        <v>0</v>
      </c>
      <c r="L97">
        <f t="shared" si="208"/>
        <v>0.99999999999997868</v>
      </c>
      <c r="M97">
        <f t="shared" si="208"/>
        <v>0.99999999999997868</v>
      </c>
      <c r="N97">
        <f t="shared" si="208"/>
        <v>1.9999999999999574</v>
      </c>
      <c r="O97" s="5">
        <f t="shared" si="204"/>
        <v>-9.8572565753428311E-4</v>
      </c>
      <c r="P97" s="5">
        <f t="shared" si="204"/>
        <v>-1.0393660803154512E-3</v>
      </c>
      <c r="Q97" s="5">
        <f t="shared" si="204"/>
        <v>-1.9800833445189538E-3</v>
      </c>
      <c r="R97" s="5">
        <f t="shared" si="204"/>
        <v>2.9555194540533861E-4</v>
      </c>
      <c r="S97" s="5">
        <f t="shared" si="204"/>
        <v>-2.4431836504563488E-3</v>
      </c>
      <c r="T97" s="5">
        <f t="shared" ref="T97:X97" si="209">LN(T646/T647)</f>
        <v>-1.1740581594155725E-3</v>
      </c>
      <c r="U97" s="5">
        <f t="shared" si="209"/>
        <v>3.8111386264555745E-4</v>
      </c>
      <c r="V97" s="5">
        <f t="shared" si="209"/>
        <v>3.003307330732524E-3</v>
      </c>
      <c r="W97" s="5">
        <f t="shared" si="209"/>
        <v>-2.9404983853992799E-3</v>
      </c>
      <c r="X97" s="5">
        <f t="shared" si="209"/>
        <v>1.2192669337217927E-3</v>
      </c>
      <c r="Z97" s="4">
        <v>45957</v>
      </c>
      <c r="AA97">
        <f>B97*B$3</f>
        <v>-1966.0000000000455</v>
      </c>
      <c r="AB97">
        <f>C97*C$3</f>
        <v>-5167.99999999989</v>
      </c>
      <c r="AC97">
        <f>D97*D$3</f>
        <v>64572.000000000058</v>
      </c>
      <c r="AD97">
        <f>E97*E$3</f>
        <v>4856.0000000000045</v>
      </c>
      <c r="AE97">
        <f>F97*F$3</f>
        <v>-37283.99999999976</v>
      </c>
      <c r="AF97">
        <f>G97*G$3</f>
        <v>15627.999999999667</v>
      </c>
      <c r="AG97">
        <f>H97*H$3</f>
        <v>0</v>
      </c>
      <c r="AH97">
        <f>I97*I$3</f>
        <v>18455.999999999607</v>
      </c>
      <c r="AI97">
        <f>J97*J$3</f>
        <v>0</v>
      </c>
      <c r="AJ97">
        <f>K97*K$3</f>
        <v>0</v>
      </c>
      <c r="AK97">
        <f>L97*L$3</f>
        <v>31003.999999999338</v>
      </c>
      <c r="AL97">
        <f>M97*M$3</f>
        <v>32072.999999999316</v>
      </c>
      <c r="AM97">
        <f>N97*N$3</f>
        <v>0</v>
      </c>
      <c r="AN97">
        <f>O97*O$3</f>
        <v>0</v>
      </c>
      <c r="AO97">
        <f>P97*P$3</f>
        <v>5196.8304015772565</v>
      </c>
      <c r="AP97">
        <f>Q97*Q$3</f>
        <v>-23761.000134227445</v>
      </c>
      <c r="AQ97">
        <f>R97*R$3</f>
        <v>-4433.2791810800791</v>
      </c>
      <c r="AR97" s="1">
        <f>S97*S$3</f>
        <v>17102.285553194441</v>
      </c>
      <c r="AS97" s="1">
        <f t="shared" si="184"/>
        <v>-4696.2326376622896</v>
      </c>
      <c r="AT97" s="1">
        <f t="shared" si="184"/>
        <v>3048.9109011644596</v>
      </c>
      <c r="AU97" s="1">
        <f t="shared" si="184"/>
        <v>0</v>
      </c>
      <c r="AV97" s="1">
        <f t="shared" si="184"/>
        <v>0</v>
      </c>
      <c r="AW97" s="1">
        <f t="shared" si="184"/>
        <v>0</v>
      </c>
      <c r="AX97" s="1">
        <f t="shared" si="149"/>
        <v>114628.51490296463</v>
      </c>
      <c r="AY97" s="1">
        <f t="shared" si="150"/>
        <v>-7542.4850970336556</v>
      </c>
      <c r="AZ97" s="1">
        <f t="shared" si="151"/>
        <v>122170.99999999828</v>
      </c>
    </row>
    <row r="98" spans="1:52" x14ac:dyDescent="0.25">
      <c r="A98" s="4">
        <v>45954</v>
      </c>
      <c r="B98">
        <f t="shared" ref="B98:N98" si="210">(B648-B647)*100</f>
        <v>0.99999999999997868</v>
      </c>
      <c r="C98">
        <f t="shared" si="210"/>
        <v>3.0000000000000249</v>
      </c>
      <c r="D98">
        <f t="shared" si="210"/>
        <v>2.0000000000000018</v>
      </c>
      <c r="E98">
        <f t="shared" si="210"/>
        <v>0.99999999999997868</v>
      </c>
      <c r="F98">
        <f t="shared" si="210"/>
        <v>2.0000000000000018</v>
      </c>
      <c r="G98">
        <f t="shared" si="210"/>
        <v>0.99999999999997868</v>
      </c>
      <c r="H98">
        <f t="shared" si="210"/>
        <v>0</v>
      </c>
      <c r="I98">
        <f t="shared" si="210"/>
        <v>0</v>
      </c>
      <c r="J98">
        <f t="shared" si="210"/>
        <v>0</v>
      </c>
      <c r="K98">
        <f t="shared" si="210"/>
        <v>0</v>
      </c>
      <c r="L98">
        <f t="shared" si="210"/>
        <v>-0.99999999999997868</v>
      </c>
      <c r="M98">
        <f t="shared" si="210"/>
        <v>-0.99999999999997868</v>
      </c>
      <c r="N98">
        <f t="shared" si="210"/>
        <v>-0.99999999999997868</v>
      </c>
      <c r="O98" s="5">
        <f t="shared" si="204"/>
        <v>-7.9902634534193614E-4</v>
      </c>
      <c r="P98" s="5">
        <f t="shared" si="204"/>
        <v>-8.1217145002901465E-3</v>
      </c>
      <c r="Q98" s="5">
        <f t="shared" si="204"/>
        <v>-5.4014267835947516E-3</v>
      </c>
      <c r="R98" s="5">
        <f t="shared" si="204"/>
        <v>-1.7720028263427474E-3</v>
      </c>
      <c r="S98" s="5">
        <f t="shared" si="204"/>
        <v>2.4921082603604279E-3</v>
      </c>
      <c r="T98" s="5">
        <f t="shared" ref="T98:X98" si="211">LN(T647/T648)</f>
        <v>-8.2458197018777605E-4</v>
      </c>
      <c r="U98" s="5">
        <f t="shared" si="211"/>
        <v>1.827505976169591E-3</v>
      </c>
      <c r="V98" s="5">
        <f t="shared" si="211"/>
        <v>4.2554487996837231E-3</v>
      </c>
      <c r="W98" s="5">
        <f t="shared" si="211"/>
        <v>-3.8137527329768018E-3</v>
      </c>
      <c r="X98" s="5">
        <f t="shared" si="211"/>
        <v>-1.2695071339273111E-3</v>
      </c>
      <c r="Z98" s="4">
        <v>45954</v>
      </c>
      <c r="AA98">
        <f>B98*B$3</f>
        <v>-982.99999999997908</v>
      </c>
      <c r="AB98">
        <f>C98*C$3</f>
        <v>-7752.0000000000646</v>
      </c>
      <c r="AC98">
        <f>D98*D$3</f>
        <v>32286.000000000029</v>
      </c>
      <c r="AD98">
        <f>E98*E$3</f>
        <v>2427.9999999999482</v>
      </c>
      <c r="AE98">
        <f>F98*F$3</f>
        <v>-24856.000000000022</v>
      </c>
      <c r="AF98">
        <f>G98*G$3</f>
        <v>-15627.999999999667</v>
      </c>
      <c r="AG98">
        <f>H98*H$3</f>
        <v>0</v>
      </c>
      <c r="AH98">
        <f>I98*I$3</f>
        <v>0</v>
      </c>
      <c r="AI98">
        <f>J98*J$3</f>
        <v>0</v>
      </c>
      <c r="AJ98">
        <f>K98*K$3</f>
        <v>0</v>
      </c>
      <c r="AK98">
        <f>L98*L$3</f>
        <v>-31003.999999999338</v>
      </c>
      <c r="AL98">
        <f>M98*M$3</f>
        <v>-32072.999999999316</v>
      </c>
      <c r="AM98">
        <f>N98*N$3</f>
        <v>0</v>
      </c>
      <c r="AN98">
        <f>O98*O$3</f>
        <v>0</v>
      </c>
      <c r="AO98">
        <f>P98*P$3</f>
        <v>40608.572501450733</v>
      </c>
      <c r="AP98">
        <f>Q98*Q$3</f>
        <v>-64817.121403137018</v>
      </c>
      <c r="AQ98">
        <f>R98*R$3</f>
        <v>26580.042395141212</v>
      </c>
      <c r="AR98" s="1">
        <f>S98*S$3</f>
        <v>-17444.757822522995</v>
      </c>
      <c r="AS98" s="1">
        <f t="shared" si="184"/>
        <v>-3298.3278807511042</v>
      </c>
      <c r="AT98" s="1">
        <f t="shared" si="184"/>
        <v>14620.047809356729</v>
      </c>
      <c r="AU98" s="1">
        <f t="shared" si="184"/>
        <v>0</v>
      </c>
      <c r="AV98" s="1">
        <f t="shared" si="184"/>
        <v>0</v>
      </c>
      <c r="AW98" s="1">
        <f t="shared" si="184"/>
        <v>0</v>
      </c>
      <c r="AX98" s="1">
        <f t="shared" si="149"/>
        <v>-81333.544400460843</v>
      </c>
      <c r="AY98" s="1">
        <f t="shared" si="150"/>
        <v>-3751.5444004624442</v>
      </c>
      <c r="AZ98" s="1">
        <f t="shared" si="151"/>
        <v>-77581.999999998399</v>
      </c>
    </row>
    <row r="99" spans="1:52" x14ac:dyDescent="0.25">
      <c r="A99" s="4">
        <v>45953</v>
      </c>
      <c r="B99">
        <f t="shared" ref="B99:N99" si="212">(B649-B648)*100</f>
        <v>-0.99999999999997868</v>
      </c>
      <c r="C99">
        <f t="shared" si="212"/>
        <v>-0.99999999999997868</v>
      </c>
      <c r="D99">
        <f t="shared" si="212"/>
        <v>0.99999999999997868</v>
      </c>
      <c r="E99">
        <f t="shared" si="212"/>
        <v>0</v>
      </c>
      <c r="F99">
        <f t="shared" si="212"/>
        <v>0</v>
      </c>
      <c r="G99">
        <f t="shared" si="212"/>
        <v>-4.0000000000000036</v>
      </c>
      <c r="H99">
        <f t="shared" si="212"/>
        <v>-2.9999999999999805</v>
      </c>
      <c r="I99">
        <f t="shared" si="212"/>
        <v>-5.0000000000000266</v>
      </c>
      <c r="J99">
        <f t="shared" si="212"/>
        <v>-4.9999999999999822</v>
      </c>
      <c r="K99">
        <f t="shared" si="212"/>
        <v>-4.9999999999999822</v>
      </c>
      <c r="L99">
        <f t="shared" si="212"/>
        <v>-3.9999999999999591</v>
      </c>
      <c r="M99">
        <f t="shared" si="212"/>
        <v>-3.0000000000000249</v>
      </c>
      <c r="N99">
        <f t="shared" si="212"/>
        <v>-4.0000000000000036</v>
      </c>
      <c r="O99" s="5">
        <f t="shared" si="204"/>
        <v>-1.0767461033616024E-3</v>
      </c>
      <c r="P99" s="5">
        <f t="shared" si="204"/>
        <v>-6.7010096830783924E-3</v>
      </c>
      <c r="Q99" s="5">
        <f t="shared" si="204"/>
        <v>-1.3878377196045396E-3</v>
      </c>
      <c r="R99" s="5">
        <f t="shared" si="204"/>
        <v>-5.0036896155824032E-3</v>
      </c>
      <c r="S99" s="5">
        <f t="shared" si="204"/>
        <v>-2.8607818528688703E-3</v>
      </c>
      <c r="T99" s="5">
        <f t="shared" ref="T99:X99" si="213">LN(T648/T649)</f>
        <v>-6.9628636062997343E-4</v>
      </c>
      <c r="U99" s="5">
        <f t="shared" si="213"/>
        <v>1.0018780584219514E-3</v>
      </c>
      <c r="V99" s="5">
        <f t="shared" si="213"/>
        <v>4.014479700477866E-4</v>
      </c>
      <c r="W99" s="5">
        <f t="shared" si="213"/>
        <v>2.9347996278432224E-4</v>
      </c>
      <c r="X99" s="5">
        <f t="shared" si="213"/>
        <v>-7.6594398702389387E-4</v>
      </c>
      <c r="Z99" s="4">
        <v>45953</v>
      </c>
      <c r="AA99">
        <f>B99*B$3</f>
        <v>982.99999999997908</v>
      </c>
      <c r="AB99">
        <f>C99*C$3</f>
        <v>2583.999999999945</v>
      </c>
      <c r="AC99">
        <f>D99*D$3</f>
        <v>16142.999999999656</v>
      </c>
      <c r="AD99">
        <f>E99*E$3</f>
        <v>0</v>
      </c>
      <c r="AE99">
        <f>F99*F$3</f>
        <v>0</v>
      </c>
      <c r="AF99">
        <f>G99*G$3</f>
        <v>62512.000000000058</v>
      </c>
      <c r="AG99">
        <f>H99*H$3</f>
        <v>84647.999999999447</v>
      </c>
      <c r="AH99">
        <f>I99*I$3</f>
        <v>92280.000000000495</v>
      </c>
      <c r="AI99">
        <f>J99*J$3</f>
        <v>255257.4999999991</v>
      </c>
      <c r="AJ99">
        <f>K99*K$3</f>
        <v>391974.9999999986</v>
      </c>
      <c r="AK99">
        <f>L99*L$3</f>
        <v>-124015.99999999873</v>
      </c>
      <c r="AL99">
        <f>M99*M$3</f>
        <v>-96219.0000000008</v>
      </c>
      <c r="AM99">
        <f>N99*N$3</f>
        <v>0</v>
      </c>
      <c r="AN99">
        <f>O99*O$3</f>
        <v>0</v>
      </c>
      <c r="AO99">
        <f>P99*P$3</f>
        <v>33505.048415391961</v>
      </c>
      <c r="AP99">
        <f>Q99*Q$3</f>
        <v>-16654.052635254477</v>
      </c>
      <c r="AQ99">
        <f>R99*R$3</f>
        <v>75055.344233736047</v>
      </c>
      <c r="AR99" s="1">
        <f>S99*S$3</f>
        <v>20025.472970082094</v>
      </c>
      <c r="AS99" s="1">
        <f t="shared" si="184"/>
        <v>-2785.1454425198935</v>
      </c>
      <c r="AT99" s="1">
        <f t="shared" si="184"/>
        <v>8015.0244673756115</v>
      </c>
      <c r="AU99" s="1">
        <f t="shared" si="184"/>
        <v>0</v>
      </c>
      <c r="AV99" s="1">
        <f t="shared" si="184"/>
        <v>0</v>
      </c>
      <c r="AW99" s="1">
        <f t="shared" si="184"/>
        <v>0</v>
      </c>
      <c r="AX99" s="1">
        <f t="shared" si="149"/>
        <v>803309.19200880895</v>
      </c>
      <c r="AY99" s="1">
        <f t="shared" si="150"/>
        <v>117161.69200881134</v>
      </c>
      <c r="AZ99" s="1">
        <f t="shared" si="151"/>
        <v>686147.49999999767</v>
      </c>
    </row>
    <row r="100" spans="1:52" x14ac:dyDescent="0.25">
      <c r="A100" s="4">
        <v>45952</v>
      </c>
      <c r="B100">
        <f t="shared" ref="B100:N100" si="214">(B650-B649)*100</f>
        <v>0.99999999999997868</v>
      </c>
      <c r="C100">
        <f t="shared" si="214"/>
        <v>0.99999999999997868</v>
      </c>
      <c r="D100">
        <f t="shared" si="214"/>
        <v>0</v>
      </c>
      <c r="E100">
        <f t="shared" si="214"/>
        <v>0</v>
      </c>
      <c r="F100">
        <f t="shared" si="214"/>
        <v>0</v>
      </c>
      <c r="G100">
        <f t="shared" si="214"/>
        <v>1.0000000000000231</v>
      </c>
      <c r="H100">
        <f t="shared" si="214"/>
        <v>0</v>
      </c>
      <c r="I100">
        <f t="shared" si="214"/>
        <v>2.0000000000000018</v>
      </c>
      <c r="J100">
        <f t="shared" si="214"/>
        <v>0</v>
      </c>
      <c r="K100">
        <f t="shared" si="214"/>
        <v>0</v>
      </c>
      <c r="L100">
        <f t="shared" si="214"/>
        <v>0.99999999999997868</v>
      </c>
      <c r="M100">
        <f t="shared" si="214"/>
        <v>1.0000000000000675</v>
      </c>
      <c r="N100">
        <f t="shared" si="214"/>
        <v>0.99999999999997868</v>
      </c>
      <c r="O100" s="5">
        <f t="shared" si="204"/>
        <v>9.281604527474845E-4</v>
      </c>
      <c r="P100" s="5">
        <f t="shared" si="204"/>
        <v>4.6165765501814055E-3</v>
      </c>
      <c r="Q100" s="5">
        <f t="shared" si="204"/>
        <v>-1.5013204988974615E-3</v>
      </c>
      <c r="R100" s="5">
        <f t="shared" si="204"/>
        <v>4.7086608481377561E-3</v>
      </c>
      <c r="S100" s="5">
        <f t="shared" si="204"/>
        <v>4.4459385457831964E-4</v>
      </c>
      <c r="T100" s="5">
        <f t="shared" ref="T100:X100" si="215">LN(T649/T650)</f>
        <v>3.7888849174726089E-3</v>
      </c>
      <c r="U100" s="5">
        <f t="shared" si="215"/>
        <v>2.9848637624885223E-3</v>
      </c>
      <c r="V100" s="5">
        <f t="shared" si="215"/>
        <v>7.3943202721981002E-3</v>
      </c>
      <c r="W100" s="5">
        <f t="shared" si="215"/>
        <v>3.7528162526170479E-3</v>
      </c>
      <c r="X100" s="5">
        <f t="shared" si="215"/>
        <v>5.4118793903802183E-3</v>
      </c>
      <c r="Z100" s="4">
        <v>45952</v>
      </c>
      <c r="AA100">
        <f>B100*B$3</f>
        <v>-982.99999999997908</v>
      </c>
      <c r="AB100">
        <f>C100*C$3</f>
        <v>-2583.999999999945</v>
      </c>
      <c r="AC100">
        <f>D100*D$3</f>
        <v>0</v>
      </c>
      <c r="AD100">
        <f>E100*E$3</f>
        <v>0</v>
      </c>
      <c r="AE100">
        <f>F100*F$3</f>
        <v>0</v>
      </c>
      <c r="AF100">
        <f>G100*G$3</f>
        <v>-15628.00000000036</v>
      </c>
      <c r="AG100">
        <f>H100*H$3</f>
        <v>0</v>
      </c>
      <c r="AH100">
        <f>I100*I$3</f>
        <v>-36912.000000000036</v>
      </c>
      <c r="AI100">
        <f>J100*J$3</f>
        <v>0</v>
      </c>
      <c r="AJ100">
        <f>K100*K$3</f>
        <v>0</v>
      </c>
      <c r="AK100">
        <f>L100*L$3</f>
        <v>31003.999999999338</v>
      </c>
      <c r="AL100">
        <f>M100*M$3</f>
        <v>32073.000000002165</v>
      </c>
      <c r="AM100">
        <f>N100*N$3</f>
        <v>0</v>
      </c>
      <c r="AN100">
        <f>O100*O$3</f>
        <v>0</v>
      </c>
      <c r="AO100">
        <f>P100*P$3</f>
        <v>-23082.882750907029</v>
      </c>
      <c r="AP100">
        <f>Q100*Q$3</f>
        <v>-18015.845986769538</v>
      </c>
      <c r="AQ100">
        <f>R100*R$3</f>
        <v>-70629.912722066336</v>
      </c>
      <c r="AR100" s="1">
        <f>S100*S$3</f>
        <v>-3112.1569820482373</v>
      </c>
      <c r="AS100" s="1">
        <f t="shared" si="184"/>
        <v>15155.539669890435</v>
      </c>
      <c r="AT100" s="1">
        <f t="shared" si="184"/>
        <v>23878.910099908178</v>
      </c>
      <c r="AU100" s="1">
        <f t="shared" si="184"/>
        <v>0</v>
      </c>
      <c r="AV100" s="1">
        <f t="shared" si="184"/>
        <v>0</v>
      </c>
      <c r="AW100" s="1">
        <f t="shared" si="184"/>
        <v>0</v>
      </c>
      <c r="AX100" s="1">
        <f t="shared" si="149"/>
        <v>-68836.348671991349</v>
      </c>
      <c r="AY100" s="1">
        <f t="shared" si="150"/>
        <v>-75806.348671992542</v>
      </c>
      <c r="AZ100" s="1">
        <f t="shared" si="151"/>
        <v>6970.0000000011933</v>
      </c>
    </row>
    <row r="101" spans="1:52" x14ac:dyDescent="0.25">
      <c r="A101" s="4">
        <v>45951</v>
      </c>
      <c r="B101">
        <f t="shared" ref="B101:N101" si="216">(B651-B650)*100</f>
        <v>3.0000000000000249</v>
      </c>
      <c r="C101">
        <f t="shared" si="216"/>
        <v>0</v>
      </c>
      <c r="D101">
        <f t="shared" si="216"/>
        <v>1.0000000000000231</v>
      </c>
      <c r="E101">
        <f t="shared" si="216"/>
        <v>2.0000000000000018</v>
      </c>
      <c r="F101">
        <f t="shared" si="216"/>
        <v>0</v>
      </c>
      <c r="G101">
        <f t="shared" si="216"/>
        <v>-1.0000000000000231</v>
      </c>
      <c r="H101">
        <f t="shared" si="216"/>
        <v>0.99999999999997868</v>
      </c>
      <c r="I101">
        <f t="shared" si="216"/>
        <v>1.0000000000000231</v>
      </c>
      <c r="J101">
        <f t="shared" si="216"/>
        <v>2.0000000000000018</v>
      </c>
      <c r="K101">
        <f t="shared" si="216"/>
        <v>2.9999999999999805</v>
      </c>
      <c r="L101">
        <f t="shared" si="216"/>
        <v>2.0000000000000018</v>
      </c>
      <c r="M101">
        <f t="shared" si="216"/>
        <v>2.9999999999999361</v>
      </c>
      <c r="N101">
        <f t="shared" si="216"/>
        <v>3.0000000000000249</v>
      </c>
      <c r="O101" s="5">
        <f t="shared" si="204"/>
        <v>1.4310541131795195E-3</v>
      </c>
      <c r="P101" s="5">
        <f t="shared" si="204"/>
        <v>1.7496016401551287E-3</v>
      </c>
      <c r="Q101" s="5">
        <f t="shared" si="204"/>
        <v>-7.4521522790226948E-3</v>
      </c>
      <c r="R101" s="5">
        <f t="shared" si="204"/>
        <v>5.323881252750017E-3</v>
      </c>
      <c r="S101" s="5">
        <f t="shared" si="204"/>
        <v>1.5522054198151105E-3</v>
      </c>
      <c r="T101" s="5">
        <f t="shared" ref="T101:X101" si="217">LN(T650/T651)</f>
        <v>1.1185328701251458E-3</v>
      </c>
      <c r="U101" s="5">
        <f t="shared" si="217"/>
        <v>1.5427728803369262E-3</v>
      </c>
      <c r="V101" s="5">
        <f t="shared" si="217"/>
        <v>-8.3528464698167976E-4</v>
      </c>
      <c r="W101" s="5">
        <f t="shared" si="217"/>
        <v>-2.2449021256932909E-3</v>
      </c>
      <c r="X101" s="5">
        <f t="shared" si="217"/>
        <v>-1.5006487398867147E-3</v>
      </c>
      <c r="Z101" s="4">
        <v>45951</v>
      </c>
      <c r="AA101">
        <f>B101*B$3</f>
        <v>-2949.0000000000246</v>
      </c>
      <c r="AB101">
        <f>C101*C$3</f>
        <v>0</v>
      </c>
      <c r="AC101">
        <f>D101*D$3</f>
        <v>16143.000000000373</v>
      </c>
      <c r="AD101">
        <f>E101*E$3</f>
        <v>4856.0000000000045</v>
      </c>
      <c r="AE101">
        <f>F101*F$3</f>
        <v>0</v>
      </c>
      <c r="AF101">
        <f>G101*G$3</f>
        <v>15628.00000000036</v>
      </c>
      <c r="AG101">
        <f>H101*H$3</f>
        <v>-28215.9999999994</v>
      </c>
      <c r="AH101">
        <f>I101*I$3</f>
        <v>-18456.000000000426</v>
      </c>
      <c r="AI101">
        <f>J101*J$3</f>
        <v>-102103.00000000009</v>
      </c>
      <c r="AJ101">
        <f>K101*K$3</f>
        <v>-235184.99999999846</v>
      </c>
      <c r="AK101">
        <f>L101*L$3</f>
        <v>62008.000000000058</v>
      </c>
      <c r="AL101">
        <f>M101*M$3</f>
        <v>96218.999999997948</v>
      </c>
      <c r="AM101">
        <f>N101*N$3</f>
        <v>0</v>
      </c>
      <c r="AN101">
        <f>O101*O$3</f>
        <v>0</v>
      </c>
      <c r="AO101">
        <f>P101*P$3</f>
        <v>-8748.0082007756428</v>
      </c>
      <c r="AP101">
        <f>Q101*Q$3</f>
        <v>-89425.827348272331</v>
      </c>
      <c r="AQ101">
        <f>R101*R$3</f>
        <v>-79858.218791250256</v>
      </c>
      <c r="AR101" s="1">
        <f>S101*S$3</f>
        <v>-10865.437938705774</v>
      </c>
      <c r="AS101" s="1">
        <f t="shared" ref="AS101:AW116" si="218">T101*T$3</f>
        <v>4474.1314805005832</v>
      </c>
      <c r="AT101" s="1">
        <f t="shared" si="218"/>
        <v>12342.183042695409</v>
      </c>
      <c r="AU101" s="1">
        <f t="shared" si="218"/>
        <v>0</v>
      </c>
      <c r="AV101" s="1">
        <f t="shared" si="218"/>
        <v>0</v>
      </c>
      <c r="AW101" s="1">
        <f t="shared" si="218"/>
        <v>0</v>
      </c>
      <c r="AX101" s="1">
        <f t="shared" si="149"/>
        <v>-364136.1777558077</v>
      </c>
      <c r="AY101" s="1">
        <f t="shared" si="150"/>
        <v>-172081.17775580802</v>
      </c>
      <c r="AZ101" s="1">
        <f t="shared" si="151"/>
        <v>-192054.99999999968</v>
      </c>
    </row>
    <row r="102" spans="1:52" x14ac:dyDescent="0.25">
      <c r="A102" s="4">
        <v>45950</v>
      </c>
      <c r="B102">
        <f t="shared" ref="B102:N102" si="219">(B652-B651)*100</f>
        <v>2.9999999999999361</v>
      </c>
      <c r="C102">
        <f t="shared" si="219"/>
        <v>3.0000000000000249</v>
      </c>
      <c r="D102">
        <f t="shared" si="219"/>
        <v>2.9999999999999805</v>
      </c>
      <c r="E102">
        <f t="shared" si="219"/>
        <v>3.0000000000000249</v>
      </c>
      <c r="F102">
        <f t="shared" si="219"/>
        <v>1.0000000000000231</v>
      </c>
      <c r="G102">
        <f t="shared" si="219"/>
        <v>1.0000000000000231</v>
      </c>
      <c r="H102">
        <f t="shared" si="219"/>
        <v>0</v>
      </c>
      <c r="I102">
        <f t="shared" si="219"/>
        <v>0</v>
      </c>
      <c r="J102">
        <f t="shared" si="219"/>
        <v>0.99999999999997868</v>
      </c>
      <c r="K102">
        <f t="shared" si="219"/>
        <v>0.99999999999997868</v>
      </c>
      <c r="L102">
        <f t="shared" si="219"/>
        <v>1.9999999999999574</v>
      </c>
      <c r="M102">
        <f t="shared" si="219"/>
        <v>2.0000000000000462</v>
      </c>
      <c r="N102">
        <f t="shared" si="219"/>
        <v>1.9999999999999574</v>
      </c>
      <c r="O102" s="5">
        <f t="shared" si="204"/>
        <v>-1.1446660047975989E-2</v>
      </c>
      <c r="P102" s="5">
        <f t="shared" si="204"/>
        <v>1.2750911366747136E-2</v>
      </c>
      <c r="Q102" s="5">
        <f t="shared" si="204"/>
        <v>4.3935013562252795E-3</v>
      </c>
      <c r="R102" s="5">
        <f t="shared" si="204"/>
        <v>-2.0737675925439447E-3</v>
      </c>
      <c r="S102" s="5">
        <f t="shared" si="204"/>
        <v>1.1521427322697883E-3</v>
      </c>
      <c r="T102" s="5">
        <f t="shared" ref="T102:X102" si="220">LN(T651/T652)</f>
        <v>3.6086826082858685E-3</v>
      </c>
      <c r="U102" s="5">
        <f t="shared" si="220"/>
        <v>1.4645057019213575E-3</v>
      </c>
      <c r="V102" s="5">
        <f t="shared" si="220"/>
        <v>5.1823835856266952E-3</v>
      </c>
      <c r="W102" s="5">
        <f t="shared" si="220"/>
        <v>-2.9734175474426783E-3</v>
      </c>
      <c r="X102" s="5">
        <f t="shared" si="220"/>
        <v>2.2202402644978356E-3</v>
      </c>
      <c r="Z102" s="4">
        <v>45950</v>
      </c>
      <c r="AA102">
        <f>B102*B$3</f>
        <v>-2948.9999999999372</v>
      </c>
      <c r="AB102">
        <f>C102*C$3</f>
        <v>-7752.0000000000646</v>
      </c>
      <c r="AC102">
        <f>D102*D$3</f>
        <v>48428.999999999687</v>
      </c>
      <c r="AD102">
        <f>E102*E$3</f>
        <v>7284.00000000006</v>
      </c>
      <c r="AE102">
        <f>F102*F$3</f>
        <v>-12428.000000000287</v>
      </c>
      <c r="AF102">
        <f>G102*G$3</f>
        <v>-15628.00000000036</v>
      </c>
      <c r="AG102">
        <f>H102*H$3</f>
        <v>0</v>
      </c>
      <c r="AH102">
        <f>I102*I$3</f>
        <v>0</v>
      </c>
      <c r="AI102">
        <f>J102*J$3</f>
        <v>-51051.499999998909</v>
      </c>
      <c r="AJ102">
        <f>K102*K$3</f>
        <v>-78394.999999998327</v>
      </c>
      <c r="AK102">
        <f>L102*L$3</f>
        <v>62007.999999998676</v>
      </c>
      <c r="AL102">
        <f>M102*M$3</f>
        <v>64146.000000001484</v>
      </c>
      <c r="AM102">
        <f>N102*N$3</f>
        <v>0</v>
      </c>
      <c r="AN102">
        <f>O102*O$3</f>
        <v>0</v>
      </c>
      <c r="AO102">
        <f>P102*P$3</f>
        <v>-63754.556833735682</v>
      </c>
      <c r="AP102">
        <f>Q102*Q$3</f>
        <v>52722.016274703354</v>
      </c>
      <c r="AQ102">
        <f>R102*R$3</f>
        <v>31106.51388815917</v>
      </c>
      <c r="AR102" s="1">
        <f>S102*S$3</f>
        <v>-8064.9991258885184</v>
      </c>
      <c r="AS102" s="1">
        <f t="shared" si="218"/>
        <v>14434.730433143473</v>
      </c>
      <c r="AT102" s="1">
        <f t="shared" si="218"/>
        <v>11716.04561537086</v>
      </c>
      <c r="AU102" s="1">
        <f t="shared" si="218"/>
        <v>0</v>
      </c>
      <c r="AV102" s="1">
        <f t="shared" si="218"/>
        <v>0</v>
      </c>
      <c r="AW102" s="1">
        <f t="shared" si="218"/>
        <v>0</v>
      </c>
      <c r="AX102" s="1">
        <f t="shared" si="149"/>
        <v>51823.250251754675</v>
      </c>
      <c r="AY102" s="1">
        <f t="shared" si="150"/>
        <v>38159.750251752659</v>
      </c>
      <c r="AZ102" s="1">
        <f t="shared" si="151"/>
        <v>13663.500000002015</v>
      </c>
    </row>
    <row r="103" spans="1:52" x14ac:dyDescent="0.25">
      <c r="A103" s="4">
        <v>45947</v>
      </c>
      <c r="B103">
        <f t="shared" ref="B103:N103" si="221">(B653-B652)*100</f>
        <v>2.0000000000000462</v>
      </c>
      <c r="C103">
        <f t="shared" si="221"/>
        <v>1.9999999999999574</v>
      </c>
      <c r="D103">
        <f t="shared" si="221"/>
        <v>1.9999999999999574</v>
      </c>
      <c r="E103">
        <f t="shared" si="221"/>
        <v>0.99999999999997868</v>
      </c>
      <c r="F103">
        <f t="shared" si="221"/>
        <v>0</v>
      </c>
      <c r="G103">
        <f t="shared" si="221"/>
        <v>-2.0000000000000018</v>
      </c>
      <c r="H103">
        <f t="shared" si="221"/>
        <v>-4.9999999999999822</v>
      </c>
      <c r="I103">
        <f t="shared" si="221"/>
        <v>-5.0000000000000266</v>
      </c>
      <c r="J103">
        <f t="shared" si="221"/>
        <v>-4.0000000000000036</v>
      </c>
      <c r="K103">
        <f t="shared" si="221"/>
        <v>-3.9999999999999591</v>
      </c>
      <c r="L103">
        <f t="shared" si="221"/>
        <v>-2.9999999999999361</v>
      </c>
      <c r="M103">
        <f t="shared" si="221"/>
        <v>-2.0000000000000462</v>
      </c>
      <c r="N103">
        <f t="shared" si="221"/>
        <v>-1.9999999999999574</v>
      </c>
      <c r="O103" s="5">
        <f t="shared" si="204"/>
        <v>6.6214205365726017E-4</v>
      </c>
      <c r="P103" s="5">
        <f t="shared" si="204"/>
        <v>-2.8649583341545846E-3</v>
      </c>
      <c r="Q103" s="5">
        <f t="shared" si="204"/>
        <v>-3.372508404064526E-3</v>
      </c>
      <c r="R103" s="5">
        <f t="shared" si="204"/>
        <v>-1.7740986320854122E-3</v>
      </c>
      <c r="S103" s="5">
        <f t="shared" si="204"/>
        <v>-2.2758328966228547E-3</v>
      </c>
      <c r="T103" s="5">
        <f t="shared" ref="T103:X103" si="222">LN(T652/T653)</f>
        <v>-4.5641461050322822E-3</v>
      </c>
      <c r="U103" s="5">
        <f t="shared" si="222"/>
        <v>-3.0609034522940783E-3</v>
      </c>
      <c r="V103" s="5">
        <f t="shared" si="222"/>
        <v>-5.672688349675486E-3</v>
      </c>
      <c r="W103" s="5">
        <f t="shared" si="222"/>
        <v>3.9419579311983184E-3</v>
      </c>
      <c r="X103" s="5">
        <f t="shared" si="222"/>
        <v>-5.9431452993709867E-3</v>
      </c>
      <c r="Z103" s="4">
        <v>45947</v>
      </c>
      <c r="AA103">
        <f>B103*B$3</f>
        <v>-1966.0000000000455</v>
      </c>
      <c r="AB103">
        <f>C103*C$3</f>
        <v>-5167.99999999989</v>
      </c>
      <c r="AC103">
        <f>D103*D$3</f>
        <v>32285.999999999312</v>
      </c>
      <c r="AD103">
        <f>E103*E$3</f>
        <v>2427.9999999999482</v>
      </c>
      <c r="AE103">
        <f>F103*F$3</f>
        <v>0</v>
      </c>
      <c r="AF103">
        <f>G103*G$3</f>
        <v>31256.000000000029</v>
      </c>
      <c r="AG103">
        <f>H103*H$3</f>
        <v>141079.99999999951</v>
      </c>
      <c r="AH103">
        <f>I103*I$3</f>
        <v>92280.000000000495</v>
      </c>
      <c r="AI103">
        <f>J103*J$3</f>
        <v>204206.00000000017</v>
      </c>
      <c r="AJ103">
        <f>K103*K$3</f>
        <v>313579.9999999968</v>
      </c>
      <c r="AK103">
        <f>L103*L$3</f>
        <v>-93011.999999998021</v>
      </c>
      <c r="AL103">
        <f>M103*M$3</f>
        <v>-64146.000000001484</v>
      </c>
      <c r="AM103">
        <f>N103*N$3</f>
        <v>0</v>
      </c>
      <c r="AN103">
        <f>O103*O$3</f>
        <v>0</v>
      </c>
      <c r="AO103">
        <f>P103*P$3</f>
        <v>14324.791670772924</v>
      </c>
      <c r="AP103">
        <f>Q103*Q$3</f>
        <v>-40470.100848774309</v>
      </c>
      <c r="AQ103">
        <f>R103*R$3</f>
        <v>26611.479481281182</v>
      </c>
      <c r="AR103" s="1">
        <f>S103*S$3</f>
        <v>15930.830276359982</v>
      </c>
      <c r="AS103" s="1">
        <f t="shared" si="218"/>
        <v>-18256.584420129129</v>
      </c>
      <c r="AT103" s="1">
        <f t="shared" si="218"/>
        <v>-24487.227618352626</v>
      </c>
      <c r="AU103" s="1">
        <f t="shared" si="218"/>
        <v>0</v>
      </c>
      <c r="AV103" s="1">
        <f t="shared" si="218"/>
        <v>0</v>
      </c>
      <c r="AW103" s="1">
        <f t="shared" si="218"/>
        <v>0</v>
      </c>
      <c r="AX103" s="1">
        <f t="shared" si="149"/>
        <v>626477.18854115484</v>
      </c>
      <c r="AY103" s="1">
        <f t="shared" si="150"/>
        <v>-26346.811458841978</v>
      </c>
      <c r="AZ103" s="1">
        <f t="shared" si="151"/>
        <v>652823.99999999686</v>
      </c>
    </row>
    <row r="104" spans="1:52" x14ac:dyDescent="0.25">
      <c r="A104" s="4">
        <v>45946</v>
      </c>
      <c r="B104">
        <f t="shared" ref="B104:N104" si="223">(B654-B653)*100</f>
        <v>0</v>
      </c>
      <c r="C104">
        <f t="shared" si="223"/>
        <v>-0.99999999999997868</v>
      </c>
      <c r="D104">
        <f t="shared" si="223"/>
        <v>1.0000000000000675</v>
      </c>
      <c r="E104">
        <f t="shared" si="223"/>
        <v>2.0000000000000018</v>
      </c>
      <c r="F104">
        <f t="shared" si="223"/>
        <v>2.9999999999999805</v>
      </c>
      <c r="G104">
        <f t="shared" si="223"/>
        <v>6.999999999999984</v>
      </c>
      <c r="H104">
        <f t="shared" si="223"/>
        <v>8.9999999999999858</v>
      </c>
      <c r="I104">
        <f t="shared" si="223"/>
        <v>8.9999999999999858</v>
      </c>
      <c r="J104">
        <f t="shared" si="223"/>
        <v>8.0000000000000071</v>
      </c>
      <c r="K104">
        <f t="shared" si="223"/>
        <v>7.9999999999999627</v>
      </c>
      <c r="L104">
        <f t="shared" si="223"/>
        <v>5.9999999999999609</v>
      </c>
      <c r="M104">
        <f t="shared" si="223"/>
        <v>5.0000000000000711</v>
      </c>
      <c r="N104">
        <f t="shared" si="223"/>
        <v>5.9999999999999609</v>
      </c>
      <c r="O104" s="5">
        <f t="shared" si="204"/>
        <v>-2.0218365156730307E-3</v>
      </c>
      <c r="P104" s="5">
        <f t="shared" si="204"/>
        <v>-1.2920076365104283E-2</v>
      </c>
      <c r="Q104" s="5">
        <f t="shared" si="204"/>
        <v>-4.503270655986975E-3</v>
      </c>
      <c r="R104" s="5">
        <f t="shared" si="204"/>
        <v>-5.5973043468894746E-3</v>
      </c>
      <c r="S104" s="5">
        <f t="shared" si="204"/>
        <v>-2.1948789570287275E-3</v>
      </c>
      <c r="T104" s="5">
        <f t="shared" ref="T104:X104" si="224">LN(T653/T654)</f>
        <v>-3.7894989021458885E-3</v>
      </c>
      <c r="U104" s="5">
        <f t="shared" si="224"/>
        <v>-6.200348168037024E-3</v>
      </c>
      <c r="V104" s="5">
        <f t="shared" si="224"/>
        <v>-5.0016045833655822E-3</v>
      </c>
      <c r="W104" s="5">
        <f t="shared" si="224"/>
        <v>-2.5693743922356595E-3</v>
      </c>
      <c r="X104" s="5">
        <f t="shared" si="224"/>
        <v>-6.2325338660147176E-3</v>
      </c>
      <c r="Z104" s="4">
        <v>45946</v>
      </c>
      <c r="AA104">
        <f>B104*B$3</f>
        <v>0</v>
      </c>
      <c r="AB104">
        <f>C104*C$3</f>
        <v>2583.999999999945</v>
      </c>
      <c r="AC104">
        <f>D104*D$3</f>
        <v>16143.00000000109</v>
      </c>
      <c r="AD104">
        <f>E104*E$3</f>
        <v>4856.0000000000045</v>
      </c>
      <c r="AE104">
        <f>F104*F$3</f>
        <v>-37283.99999999976</v>
      </c>
      <c r="AF104">
        <f>G104*G$3</f>
        <v>-109395.99999999975</v>
      </c>
      <c r="AG104">
        <f>H104*H$3</f>
        <v>-253943.99999999959</v>
      </c>
      <c r="AH104">
        <f>I104*I$3</f>
        <v>-166103.99999999974</v>
      </c>
      <c r="AI104">
        <f>J104*J$3</f>
        <v>-408412.00000000035</v>
      </c>
      <c r="AJ104">
        <f>K104*K$3</f>
        <v>-627159.99999999709</v>
      </c>
      <c r="AK104">
        <f>L104*L$3</f>
        <v>186023.99999999878</v>
      </c>
      <c r="AL104">
        <f>M104*M$3</f>
        <v>160365.00000000227</v>
      </c>
      <c r="AM104">
        <f>N104*N$3</f>
        <v>0</v>
      </c>
      <c r="AN104">
        <f>O104*O$3</f>
        <v>0</v>
      </c>
      <c r="AO104">
        <f>P104*P$3</f>
        <v>64600.381825521414</v>
      </c>
      <c r="AP104">
        <f>Q104*Q$3</f>
        <v>-54039.247871843698</v>
      </c>
      <c r="AQ104">
        <f>R104*R$3</f>
        <v>83959.565203342121</v>
      </c>
      <c r="AR104" s="1">
        <f>S104*S$3</f>
        <v>15364.152699201093</v>
      </c>
      <c r="AS104" s="1">
        <f t="shared" si="218"/>
        <v>-15157.995608583555</v>
      </c>
      <c r="AT104" s="1">
        <f t="shared" si="218"/>
        <v>-49602.785344296193</v>
      </c>
      <c r="AU104" s="1">
        <f t="shared" si="218"/>
        <v>0</v>
      </c>
      <c r="AV104" s="1">
        <f t="shared" si="218"/>
        <v>0</v>
      </c>
      <c r="AW104" s="1">
        <f t="shared" si="218"/>
        <v>0</v>
      </c>
      <c r="AX104" s="1">
        <f t="shared" si="149"/>
        <v>-1187203.9290966529</v>
      </c>
      <c r="AY104" s="1">
        <f t="shared" si="150"/>
        <v>45124.070903341184</v>
      </c>
      <c r="AZ104" s="1">
        <f t="shared" si="151"/>
        <v>-1232327.9999999942</v>
      </c>
    </row>
    <row r="105" spans="1:52" x14ac:dyDescent="0.25">
      <c r="A105" s="4">
        <v>45945</v>
      </c>
      <c r="B105">
        <f t="shared" ref="B105:N105" si="225">(B655-B654)*100</f>
        <v>-0.99999999999997868</v>
      </c>
      <c r="C105">
        <f t="shared" si="225"/>
        <v>-0.99999999999997868</v>
      </c>
      <c r="D105">
        <f t="shared" si="225"/>
        <v>-1.0000000000000675</v>
      </c>
      <c r="E105">
        <f t="shared" si="225"/>
        <v>-2.9999999999999805</v>
      </c>
      <c r="F105">
        <f t="shared" si="225"/>
        <v>-2.0000000000000018</v>
      </c>
      <c r="G105">
        <f t="shared" si="225"/>
        <v>-2.9999999999999805</v>
      </c>
      <c r="H105">
        <f t="shared" si="225"/>
        <v>-2.0000000000000018</v>
      </c>
      <c r="I105">
        <f t="shared" si="225"/>
        <v>-3.9999999999999591</v>
      </c>
      <c r="J105">
        <f t="shared" si="225"/>
        <v>-2.9999999999999805</v>
      </c>
      <c r="K105">
        <f t="shared" si="225"/>
        <v>-2.9999999999999805</v>
      </c>
      <c r="L105">
        <f t="shared" si="225"/>
        <v>-1.9999999999999574</v>
      </c>
      <c r="M105">
        <f t="shared" si="225"/>
        <v>-2.0000000000000462</v>
      </c>
      <c r="N105">
        <f t="shared" si="225"/>
        <v>-1.9999999999999574</v>
      </c>
      <c r="O105" s="5">
        <f t="shared" ref="O105:S114" si="226">LN(O654/O655)</f>
        <v>-9.4664449618743138E-3</v>
      </c>
      <c r="P105" s="5">
        <f t="shared" si="226"/>
        <v>-7.6726719116601665E-3</v>
      </c>
      <c r="Q105" s="5">
        <f t="shared" si="226"/>
        <v>6.2768572076432258E-3</v>
      </c>
      <c r="R105" s="5">
        <f t="shared" si="226"/>
        <v>-6.1502610030609115E-3</v>
      </c>
      <c r="S105" s="5">
        <f t="shared" si="226"/>
        <v>-1.8443054875277992E-3</v>
      </c>
      <c r="T105" s="5">
        <f t="shared" ref="T105:X105" si="227">LN(T654/T655)</f>
        <v>-3.0582973760428234E-3</v>
      </c>
      <c r="U105" s="5">
        <f t="shared" si="227"/>
        <v>8.2623745425212307E-4</v>
      </c>
      <c r="V105" s="5">
        <f t="shared" si="227"/>
        <v>-4.6225184471059078E-3</v>
      </c>
      <c r="W105" s="5">
        <f t="shared" si="227"/>
        <v>3.1220390124145469E-3</v>
      </c>
      <c r="X105" s="5">
        <f t="shared" si="227"/>
        <v>-3.43749086918915E-3</v>
      </c>
      <c r="Z105" s="4">
        <v>45945</v>
      </c>
      <c r="AA105">
        <f>B105*B$3</f>
        <v>982.99999999997908</v>
      </c>
      <c r="AB105">
        <f>C105*C$3</f>
        <v>2583.999999999945</v>
      </c>
      <c r="AC105">
        <f>D105*D$3</f>
        <v>-16143.00000000109</v>
      </c>
      <c r="AD105">
        <f>E105*E$3</f>
        <v>-7283.9999999999527</v>
      </c>
      <c r="AE105">
        <f>F105*F$3</f>
        <v>24856.000000000022</v>
      </c>
      <c r="AF105">
        <f>G105*G$3</f>
        <v>46883.999999999694</v>
      </c>
      <c r="AG105">
        <f>H105*H$3</f>
        <v>56432.000000000051</v>
      </c>
      <c r="AH105">
        <f>I105*I$3</f>
        <v>73823.999999999243</v>
      </c>
      <c r="AI105">
        <f>J105*J$3</f>
        <v>153154.49999999901</v>
      </c>
      <c r="AJ105">
        <f>K105*K$3</f>
        <v>235184.99999999846</v>
      </c>
      <c r="AK105">
        <f>L105*L$3</f>
        <v>-62007.999999998676</v>
      </c>
      <c r="AL105">
        <f>M105*M$3</f>
        <v>-64146.000000001484</v>
      </c>
      <c r="AM105">
        <f>N105*N$3</f>
        <v>0</v>
      </c>
      <c r="AN105">
        <f>O105*O$3</f>
        <v>0</v>
      </c>
      <c r="AO105">
        <f>P105*P$3</f>
        <v>38363.359558300835</v>
      </c>
      <c r="AP105">
        <f>Q105*Q$3</f>
        <v>75322.286491718711</v>
      </c>
      <c r="AQ105">
        <f>R105*R$3</f>
        <v>92253.915045913673</v>
      </c>
      <c r="AR105" s="1">
        <f>S105*S$3</f>
        <v>12910.138412694594</v>
      </c>
      <c r="AS105" s="1">
        <f t="shared" si="218"/>
        <v>-12233.189504171294</v>
      </c>
      <c r="AT105" s="1">
        <f t="shared" si="218"/>
        <v>6609.8996340169842</v>
      </c>
      <c r="AU105" s="1">
        <f t="shared" si="218"/>
        <v>0</v>
      </c>
      <c r="AV105" s="1">
        <f t="shared" si="218"/>
        <v>0</v>
      </c>
      <c r="AW105" s="1">
        <f t="shared" si="218"/>
        <v>0</v>
      </c>
      <c r="AX105" s="1">
        <f t="shared" si="149"/>
        <v>657547.90963846876</v>
      </c>
      <c r="AY105" s="1">
        <f t="shared" si="150"/>
        <v>213226.4096384735</v>
      </c>
      <c r="AZ105" s="1">
        <f t="shared" si="151"/>
        <v>444321.49999999523</v>
      </c>
    </row>
    <row r="106" spans="1:52" x14ac:dyDescent="0.25">
      <c r="A106" s="4">
        <v>45944</v>
      </c>
      <c r="B106">
        <f t="shared" ref="B106:N106" si="228">(B656-B655)*100</f>
        <v>0</v>
      </c>
      <c r="C106">
        <f t="shared" si="228"/>
        <v>1.9999999999999574</v>
      </c>
      <c r="D106">
        <f t="shared" si="228"/>
        <v>0</v>
      </c>
      <c r="E106">
        <f t="shared" si="228"/>
        <v>0.99999999999997868</v>
      </c>
      <c r="F106">
        <f t="shared" si="228"/>
        <v>1.0000000000000231</v>
      </c>
      <c r="G106">
        <f t="shared" si="228"/>
        <v>2.0000000000000018</v>
      </c>
      <c r="H106">
        <f t="shared" si="228"/>
        <v>4.0000000000000036</v>
      </c>
      <c r="I106">
        <f t="shared" si="228"/>
        <v>4.9999999999999822</v>
      </c>
      <c r="J106">
        <f t="shared" si="228"/>
        <v>4.9999999999999822</v>
      </c>
      <c r="K106">
        <f t="shared" si="228"/>
        <v>4.0000000000000036</v>
      </c>
      <c r="L106">
        <f t="shared" si="228"/>
        <v>1.9999999999999574</v>
      </c>
      <c r="M106">
        <f t="shared" si="228"/>
        <v>0.99999999999997868</v>
      </c>
      <c r="N106">
        <f t="shared" si="228"/>
        <v>0.99999999999997868</v>
      </c>
      <c r="O106" s="5">
        <f t="shared" si="226"/>
        <v>9.7970113352657869E-3</v>
      </c>
      <c r="P106" s="5">
        <f t="shared" si="226"/>
        <v>9.4271959385179175E-5</v>
      </c>
      <c r="Q106" s="5">
        <f t="shared" si="226"/>
        <v>9.3264000659638285E-3</v>
      </c>
      <c r="R106" s="5">
        <f t="shared" si="226"/>
        <v>-2.6242907610952437E-3</v>
      </c>
      <c r="S106" s="5">
        <f t="shared" si="226"/>
        <v>-1.9433833932660785E-3</v>
      </c>
      <c r="T106" s="5">
        <f t="shared" ref="T106:X106" si="229">LN(T655/T656)</f>
        <v>-3.4732226133963008E-5</v>
      </c>
      <c r="U106" s="5">
        <f t="shared" si="229"/>
        <v>-2.0777611126405375E-3</v>
      </c>
      <c r="V106" s="5">
        <f t="shared" si="229"/>
        <v>-3.4773599916225187E-3</v>
      </c>
      <c r="W106" s="5">
        <f t="shared" si="229"/>
        <v>7.6023935013473229E-3</v>
      </c>
      <c r="X106" s="5">
        <f t="shared" si="229"/>
        <v>-2.334725450213388E-3</v>
      </c>
      <c r="Z106" s="4">
        <v>45944</v>
      </c>
      <c r="AA106">
        <f>B106*B$3</f>
        <v>0</v>
      </c>
      <c r="AB106">
        <f>C106*C$3</f>
        <v>-5167.99999999989</v>
      </c>
      <c r="AC106">
        <f>D106*D$3</f>
        <v>0</v>
      </c>
      <c r="AD106">
        <f>E106*E$3</f>
        <v>2427.9999999999482</v>
      </c>
      <c r="AE106">
        <f>F106*F$3</f>
        <v>-12428.000000000287</v>
      </c>
      <c r="AF106">
        <f>G106*G$3</f>
        <v>-31256.000000000029</v>
      </c>
      <c r="AG106">
        <f>H106*H$3</f>
        <v>-112864.0000000001</v>
      </c>
      <c r="AH106">
        <f>I106*I$3</f>
        <v>-92279.999999999665</v>
      </c>
      <c r="AI106">
        <f>J106*J$3</f>
        <v>-255257.4999999991</v>
      </c>
      <c r="AJ106">
        <f>K106*K$3</f>
        <v>-313580.00000000029</v>
      </c>
      <c r="AK106">
        <f>L106*L$3</f>
        <v>62007.999999998676</v>
      </c>
      <c r="AL106">
        <f>M106*M$3</f>
        <v>32072.999999999316</v>
      </c>
      <c r="AM106">
        <f>N106*N$3</f>
        <v>0</v>
      </c>
      <c r="AN106">
        <f>O106*O$3</f>
        <v>0</v>
      </c>
      <c r="AO106">
        <f>P106*P$3</f>
        <v>-471.35979692589586</v>
      </c>
      <c r="AP106">
        <f>Q106*Q$3</f>
        <v>111916.80079156594</v>
      </c>
      <c r="AQ106">
        <f>R106*R$3</f>
        <v>39364.361416428656</v>
      </c>
      <c r="AR106" s="1">
        <f>S106*S$3</f>
        <v>13603.683752862549</v>
      </c>
      <c r="AS106" s="1">
        <f t="shared" si="218"/>
        <v>-138.92890453585204</v>
      </c>
      <c r="AT106" s="1">
        <f t="shared" si="218"/>
        <v>-16622.088901124302</v>
      </c>
      <c r="AU106" s="1">
        <f t="shared" si="218"/>
        <v>0</v>
      </c>
      <c r="AV106" s="1">
        <f t="shared" si="218"/>
        <v>0</v>
      </c>
      <c r="AW106" s="1">
        <f t="shared" si="218"/>
        <v>0</v>
      </c>
      <c r="AX106" s="1">
        <f t="shared" si="149"/>
        <v>-578672.03164173022</v>
      </c>
      <c r="AY106" s="1">
        <f t="shared" si="150"/>
        <v>147652.46835827109</v>
      </c>
      <c r="AZ106" s="1">
        <f t="shared" si="151"/>
        <v>-726324.50000000128</v>
      </c>
    </row>
    <row r="107" spans="1:52" x14ac:dyDescent="0.25">
      <c r="A107" s="4">
        <v>45940</v>
      </c>
      <c r="B107">
        <f t="shared" ref="B107:N107" si="230">(B657-B656)*100</f>
        <v>0.99999999999997868</v>
      </c>
      <c r="C107">
        <f t="shared" si="230"/>
        <v>1.0000000000000675</v>
      </c>
      <c r="D107">
        <f t="shared" si="230"/>
        <v>1.0000000000000675</v>
      </c>
      <c r="E107">
        <f t="shared" si="230"/>
        <v>-0.99999999999997868</v>
      </c>
      <c r="F107">
        <f t="shared" si="230"/>
        <v>2.0000000000000018</v>
      </c>
      <c r="G107">
        <f t="shared" si="230"/>
        <v>6.0000000000000053</v>
      </c>
      <c r="H107">
        <f t="shared" si="230"/>
        <v>8.0000000000000071</v>
      </c>
      <c r="I107">
        <f t="shared" si="230"/>
        <v>6.999999999999984</v>
      </c>
      <c r="J107">
        <f t="shared" si="230"/>
        <v>9.0000000000000302</v>
      </c>
      <c r="K107">
        <f t="shared" si="230"/>
        <v>8.9999999999999858</v>
      </c>
      <c r="L107">
        <f t="shared" si="230"/>
        <v>8.9999999999999858</v>
      </c>
      <c r="M107">
        <f t="shared" si="230"/>
        <v>10.000000000000053</v>
      </c>
      <c r="N107">
        <f t="shared" si="230"/>
        <v>8.9999999999999858</v>
      </c>
      <c r="O107" s="5">
        <f t="shared" si="226"/>
        <v>1.6818637194031764E-2</v>
      </c>
      <c r="P107" s="5">
        <f t="shared" si="226"/>
        <v>9.6627272650754645E-3</v>
      </c>
      <c r="Q107" s="5">
        <f t="shared" si="226"/>
        <v>-2.8207278914576034E-3</v>
      </c>
      <c r="R107" s="5">
        <f t="shared" si="226"/>
        <v>3.2084029272354811E-3</v>
      </c>
      <c r="S107" s="5">
        <f t="shared" si="226"/>
        <v>8.4976911307970294E-3</v>
      </c>
      <c r="T107" s="5">
        <f t="shared" ref="T107:X107" si="231">LN(T656/T657)</f>
        <v>5.6487648940554717E-3</v>
      </c>
      <c r="U107" s="5">
        <f t="shared" si="231"/>
        <v>7.2240007567045796E-3</v>
      </c>
      <c r="V107" s="5">
        <f t="shared" si="231"/>
        <v>1.8649332065394601E-3</v>
      </c>
      <c r="W107" s="5">
        <f t="shared" si="231"/>
        <v>3.5309975757342868E-3</v>
      </c>
      <c r="X107" s="5">
        <f t="shared" si="231"/>
        <v>5.8096219023796684E-3</v>
      </c>
      <c r="Z107" s="4">
        <v>45940</v>
      </c>
      <c r="AA107">
        <f>B107*B$3</f>
        <v>-982.99999999997908</v>
      </c>
      <c r="AB107">
        <f>C107*C$3</f>
        <v>-2584.0000000001746</v>
      </c>
      <c r="AC107">
        <f>D107*D$3</f>
        <v>16143.00000000109</v>
      </c>
      <c r="AD107">
        <f>E107*E$3</f>
        <v>-2427.9999999999482</v>
      </c>
      <c r="AE107">
        <f>F107*F$3</f>
        <v>-24856.000000000022</v>
      </c>
      <c r="AF107">
        <f>G107*G$3</f>
        <v>-93768.000000000087</v>
      </c>
      <c r="AG107">
        <f>H107*H$3</f>
        <v>-225728.0000000002</v>
      </c>
      <c r="AH107">
        <f>I107*I$3</f>
        <v>-129191.99999999971</v>
      </c>
      <c r="AI107">
        <f>J107*J$3</f>
        <v>-459463.50000000151</v>
      </c>
      <c r="AJ107">
        <f>K107*K$3</f>
        <v>-705554.99999999884</v>
      </c>
      <c r="AK107">
        <f>L107*L$3</f>
        <v>279035.99999999953</v>
      </c>
      <c r="AL107">
        <f>M107*M$3</f>
        <v>320730.00000000169</v>
      </c>
      <c r="AM107">
        <f>N107*N$3</f>
        <v>0</v>
      </c>
      <c r="AN107">
        <f>O107*O$3</f>
        <v>0</v>
      </c>
      <c r="AO107">
        <f>P107*P$3</f>
        <v>-48313.636325377323</v>
      </c>
      <c r="AP107">
        <f>Q107*Q$3</f>
        <v>-33848.734697491243</v>
      </c>
      <c r="AQ107">
        <f>R107*R$3</f>
        <v>-48126.043908532214</v>
      </c>
      <c r="AR107" s="1">
        <f>S107*S$3</f>
        <v>-59483.837915579206</v>
      </c>
      <c r="AS107" s="1">
        <f t="shared" si="218"/>
        <v>22595.059576221887</v>
      </c>
      <c r="AT107" s="1">
        <f t="shared" si="218"/>
        <v>57792.006053636636</v>
      </c>
      <c r="AU107" s="1">
        <f t="shared" si="218"/>
        <v>0</v>
      </c>
      <c r="AV107" s="1">
        <f t="shared" si="218"/>
        <v>0</v>
      </c>
      <c r="AW107" s="1">
        <f t="shared" si="218"/>
        <v>0</v>
      </c>
      <c r="AX107" s="1">
        <f t="shared" si="149"/>
        <v>-1138033.6872171196</v>
      </c>
      <c r="AY107" s="1">
        <f t="shared" si="150"/>
        <v>-109385.18721712148</v>
      </c>
      <c r="AZ107" s="1">
        <f t="shared" si="151"/>
        <v>-1028648.4999999981</v>
      </c>
    </row>
    <row r="108" spans="1:52" x14ac:dyDescent="0.25">
      <c r="A108" s="4">
        <v>45939</v>
      </c>
      <c r="B108">
        <f t="shared" ref="B108:N108" si="232">(B658-B657)*100</f>
        <v>0</v>
      </c>
      <c r="C108">
        <f t="shared" si="232"/>
        <v>-2.0000000000000462</v>
      </c>
      <c r="D108">
        <f t="shared" si="232"/>
        <v>-2.0000000000000462</v>
      </c>
      <c r="E108">
        <f t="shared" si="232"/>
        <v>-1.0000000000000231</v>
      </c>
      <c r="F108">
        <f t="shared" si="232"/>
        <v>-1.0000000000000231</v>
      </c>
      <c r="G108">
        <f t="shared" si="232"/>
        <v>0</v>
      </c>
      <c r="H108">
        <f t="shared" si="232"/>
        <v>-2.0000000000000018</v>
      </c>
      <c r="I108">
        <f t="shared" si="232"/>
        <v>-0.99999999999997868</v>
      </c>
      <c r="J108">
        <f t="shared" si="232"/>
        <v>-2.0000000000000018</v>
      </c>
      <c r="K108">
        <f t="shared" si="232"/>
        <v>-0.99999999999997868</v>
      </c>
      <c r="L108">
        <f t="shared" si="232"/>
        <v>-0.99999999999997868</v>
      </c>
      <c r="M108">
        <f t="shared" si="232"/>
        <v>-0.99999999999997868</v>
      </c>
      <c r="N108">
        <f t="shared" si="232"/>
        <v>0</v>
      </c>
      <c r="O108" s="5">
        <f t="shared" si="226"/>
        <v>2.075562408934738E-3</v>
      </c>
      <c r="P108" s="5">
        <f t="shared" si="226"/>
        <v>-2.084327312800365E-3</v>
      </c>
      <c r="Q108" s="5">
        <f t="shared" si="226"/>
        <v>-1.0621826313297158E-2</v>
      </c>
      <c r="R108" s="5">
        <f t="shared" si="226"/>
        <v>-5.8258248083384555E-3</v>
      </c>
      <c r="S108" s="5">
        <f t="shared" si="226"/>
        <v>3.3397198548041941E-3</v>
      </c>
      <c r="T108" s="5">
        <f t="shared" ref="T108:X108" si="233">LN(T657/T658)</f>
        <v>1.9443864276289483E-3</v>
      </c>
      <c r="U108" s="5">
        <f t="shared" si="233"/>
        <v>1.4618484752244947E-3</v>
      </c>
      <c r="V108" s="5">
        <f t="shared" si="233"/>
        <v>4.1282227389320544E-3</v>
      </c>
      <c r="W108" s="5">
        <f t="shared" si="233"/>
        <v>-6.0686690488456036E-4</v>
      </c>
      <c r="X108" s="5">
        <f t="shared" si="233"/>
        <v>3.6373218090280579E-3</v>
      </c>
      <c r="Z108" s="4">
        <v>45939</v>
      </c>
      <c r="AA108">
        <f>B108*B$3</f>
        <v>0</v>
      </c>
      <c r="AB108">
        <f>C108*C$3</f>
        <v>5168.0000000001191</v>
      </c>
      <c r="AC108">
        <f>D108*D$3</f>
        <v>-32286.000000000746</v>
      </c>
      <c r="AD108">
        <f>E108*E$3</f>
        <v>-2428.0000000000559</v>
      </c>
      <c r="AE108">
        <f>F108*F$3</f>
        <v>12428.000000000287</v>
      </c>
      <c r="AF108">
        <f>G108*G$3</f>
        <v>0</v>
      </c>
      <c r="AG108">
        <f>H108*H$3</f>
        <v>56432.000000000051</v>
      </c>
      <c r="AH108">
        <f>I108*I$3</f>
        <v>18455.999999999607</v>
      </c>
      <c r="AI108">
        <f>J108*J$3</f>
        <v>102103.00000000009</v>
      </c>
      <c r="AJ108">
        <f>K108*K$3</f>
        <v>78394.999999998327</v>
      </c>
      <c r="AK108">
        <f>L108*L$3</f>
        <v>-31003.999999999338</v>
      </c>
      <c r="AL108">
        <f>M108*M$3</f>
        <v>-32072.999999999316</v>
      </c>
      <c r="AM108">
        <f>N108*N$3</f>
        <v>0</v>
      </c>
      <c r="AN108">
        <f>O108*O$3</f>
        <v>0</v>
      </c>
      <c r="AO108">
        <f>P108*P$3</f>
        <v>10421.636564001825</v>
      </c>
      <c r="AP108">
        <f>Q108*Q$3</f>
        <v>-127461.91575956591</v>
      </c>
      <c r="AQ108">
        <f>R108*R$3</f>
        <v>87387.372125076829</v>
      </c>
      <c r="AR108" s="1">
        <f>S108*S$3</f>
        <v>-23378.038983629358</v>
      </c>
      <c r="AS108" s="1">
        <f t="shared" si="218"/>
        <v>7777.545710515793</v>
      </c>
      <c r="AT108" s="1">
        <f t="shared" si="218"/>
        <v>11694.787801795957</v>
      </c>
      <c r="AU108" s="1">
        <f t="shared" si="218"/>
        <v>0</v>
      </c>
      <c r="AV108" s="1">
        <f t="shared" si="218"/>
        <v>0</v>
      </c>
      <c r="AW108" s="1">
        <f t="shared" si="218"/>
        <v>0</v>
      </c>
      <c r="AX108" s="1">
        <f t="shared" si="149"/>
        <v>141632.38745819413</v>
      </c>
      <c r="AY108" s="1">
        <f t="shared" si="150"/>
        <v>-33558.612541804869</v>
      </c>
      <c r="AZ108" s="1">
        <f t="shared" si="151"/>
        <v>175190.99999999901</v>
      </c>
    </row>
    <row r="109" spans="1:52" x14ac:dyDescent="0.25">
      <c r="A109" s="4">
        <v>45938</v>
      </c>
      <c r="B109">
        <f t="shared" ref="B109:N109" si="234">(B659-B658)*100</f>
        <v>0</v>
      </c>
      <c r="C109">
        <f t="shared" si="234"/>
        <v>0.99999999999997868</v>
      </c>
      <c r="D109">
        <f t="shared" si="234"/>
        <v>0</v>
      </c>
      <c r="E109">
        <f t="shared" si="234"/>
        <v>1.0000000000000231</v>
      </c>
      <c r="F109">
        <f t="shared" si="234"/>
        <v>-0.99999999999997868</v>
      </c>
      <c r="G109">
        <f t="shared" si="234"/>
        <v>-1.0000000000000231</v>
      </c>
      <c r="H109">
        <f t="shared" si="234"/>
        <v>-1.0000000000000231</v>
      </c>
      <c r="I109">
        <f t="shared" si="234"/>
        <v>-2.0000000000000018</v>
      </c>
      <c r="J109">
        <f t="shared" si="234"/>
        <v>-1.0000000000000231</v>
      </c>
      <c r="K109">
        <f t="shared" si="234"/>
        <v>-1.0000000000000231</v>
      </c>
      <c r="L109">
        <f t="shared" si="234"/>
        <v>0.99999999999997868</v>
      </c>
      <c r="M109">
        <f t="shared" si="234"/>
        <v>0.99999999999997868</v>
      </c>
      <c r="N109">
        <f t="shared" si="234"/>
        <v>1.0000000000000675</v>
      </c>
      <c r="O109" s="5">
        <f t="shared" si="226"/>
        <v>1.198681593930239E-3</v>
      </c>
      <c r="P109" s="5">
        <f t="shared" si="226"/>
        <v>4.6165448702548441E-3</v>
      </c>
      <c r="Q109" s="5">
        <f t="shared" si="226"/>
        <v>-1.5379023138162276E-3</v>
      </c>
      <c r="R109" s="5">
        <f t="shared" si="226"/>
        <v>0</v>
      </c>
      <c r="S109" s="5">
        <f t="shared" si="226"/>
        <v>-3.8291162756650498E-3</v>
      </c>
      <c r="T109" s="5">
        <f t="shared" ref="T109:X109" si="235">LN(T658/T659)</f>
        <v>4.7664641029153644E-3</v>
      </c>
      <c r="U109" s="5">
        <f t="shared" si="235"/>
        <v>4.7488999685008117E-3</v>
      </c>
      <c r="V109" s="5">
        <f t="shared" si="235"/>
        <v>1.1376469741776246E-2</v>
      </c>
      <c r="W109" s="5">
        <f t="shared" si="235"/>
        <v>5.454895174677345E-3</v>
      </c>
      <c r="X109" s="5">
        <f t="shared" si="235"/>
        <v>4.6187602995573177E-3</v>
      </c>
      <c r="Z109" s="4">
        <v>45938</v>
      </c>
      <c r="AA109">
        <f>B109*B$3</f>
        <v>0</v>
      </c>
      <c r="AB109">
        <f>C109*C$3</f>
        <v>-2583.999999999945</v>
      </c>
      <c r="AC109">
        <f>D109*D$3</f>
        <v>0</v>
      </c>
      <c r="AD109">
        <f>E109*E$3</f>
        <v>2428.0000000000559</v>
      </c>
      <c r="AE109">
        <f>F109*F$3</f>
        <v>12427.999999999734</v>
      </c>
      <c r="AF109">
        <f>G109*G$3</f>
        <v>15628.00000000036</v>
      </c>
      <c r="AG109">
        <f>H109*H$3</f>
        <v>28216.000000000651</v>
      </c>
      <c r="AH109">
        <f>I109*I$3</f>
        <v>36912.000000000036</v>
      </c>
      <c r="AI109">
        <f>J109*J$3</f>
        <v>51051.500000001179</v>
      </c>
      <c r="AJ109">
        <f>K109*K$3</f>
        <v>78395.000000001804</v>
      </c>
      <c r="AK109">
        <f>L109*L$3</f>
        <v>31003.999999999338</v>
      </c>
      <c r="AL109">
        <f>M109*M$3</f>
        <v>32072.999999999316</v>
      </c>
      <c r="AM109">
        <f>N109*N$3</f>
        <v>0</v>
      </c>
      <c r="AN109">
        <f>O109*O$3</f>
        <v>0</v>
      </c>
      <c r="AO109">
        <f>P109*P$3</f>
        <v>-23082.724351274221</v>
      </c>
      <c r="AP109">
        <f>Q109*Q$3</f>
        <v>-18454.827765794733</v>
      </c>
      <c r="AQ109">
        <f>R109*R$3</f>
        <v>0</v>
      </c>
      <c r="AR109" s="1">
        <f>S109*S$3</f>
        <v>26803.813929655349</v>
      </c>
      <c r="AS109" s="1">
        <f t="shared" si="218"/>
        <v>19065.856411661458</v>
      </c>
      <c r="AT109" s="1">
        <f t="shared" si="218"/>
        <v>37991.199748006497</v>
      </c>
      <c r="AU109" s="1">
        <f t="shared" si="218"/>
        <v>0</v>
      </c>
      <c r="AV109" s="1">
        <f t="shared" si="218"/>
        <v>0</v>
      </c>
      <c r="AW109" s="1">
        <f t="shared" si="218"/>
        <v>0</v>
      </c>
      <c r="AX109" s="1">
        <f t="shared" si="149"/>
        <v>327874.81797225686</v>
      </c>
      <c r="AY109" s="1">
        <f t="shared" si="150"/>
        <v>42323.31797225435</v>
      </c>
      <c r="AZ109" s="1">
        <f t="shared" si="151"/>
        <v>285551.5000000025</v>
      </c>
    </row>
    <row r="110" spans="1:52" x14ac:dyDescent="0.25">
      <c r="A110" s="4">
        <v>45937</v>
      </c>
      <c r="B110">
        <f t="shared" ref="B110:N110" si="236">(B660-B659)*100</f>
        <v>1.9999999999999574</v>
      </c>
      <c r="C110">
        <f t="shared" si="236"/>
        <v>1.0000000000000675</v>
      </c>
      <c r="D110">
        <f t="shared" si="236"/>
        <v>0.99999999999997868</v>
      </c>
      <c r="E110">
        <f t="shared" si="236"/>
        <v>0</v>
      </c>
      <c r="F110">
        <f t="shared" si="236"/>
        <v>0</v>
      </c>
      <c r="G110">
        <f t="shared" si="236"/>
        <v>1.0000000000000231</v>
      </c>
      <c r="H110">
        <f t="shared" si="236"/>
        <v>3.0000000000000249</v>
      </c>
      <c r="I110">
        <f t="shared" si="236"/>
        <v>6.999999999999984</v>
      </c>
      <c r="J110">
        <f t="shared" si="236"/>
        <v>4.0000000000000036</v>
      </c>
      <c r="K110">
        <f t="shared" si="236"/>
        <v>5.0000000000000266</v>
      </c>
      <c r="L110">
        <f t="shared" si="236"/>
        <v>4.0000000000000036</v>
      </c>
      <c r="M110">
        <f t="shared" si="236"/>
        <v>3.0000000000000249</v>
      </c>
      <c r="N110">
        <f t="shared" si="236"/>
        <v>2.9999999999999361</v>
      </c>
      <c r="O110" s="5">
        <f t="shared" si="226"/>
        <v>2.5707678607470555E-3</v>
      </c>
      <c r="P110" s="5">
        <f t="shared" si="226"/>
        <v>4.6820087054542424E-3</v>
      </c>
      <c r="Q110" s="5">
        <f t="shared" si="226"/>
        <v>-8.3062514972940673E-5</v>
      </c>
      <c r="R110" s="5">
        <f t="shared" si="226"/>
        <v>-4.636345598644954E-3</v>
      </c>
      <c r="S110" s="5">
        <f t="shared" si="226"/>
        <v>2.5638317996585559E-3</v>
      </c>
      <c r="T110" s="5">
        <f t="shared" ref="T110:X110" si="237">LN(T659/T660)</f>
        <v>1.8739398387734917E-4</v>
      </c>
      <c r="U110" s="5">
        <f t="shared" si="237"/>
        <v>-3.7955748266561831E-3</v>
      </c>
      <c r="V110" s="5">
        <f t="shared" si="237"/>
        <v>4.8342969705489278E-3</v>
      </c>
      <c r="W110" s="5">
        <f t="shared" si="237"/>
        <v>-3.5427292305954161E-3</v>
      </c>
      <c r="X110" s="5">
        <f t="shared" si="237"/>
        <v>-2.8641396845455074E-3</v>
      </c>
      <c r="Z110" s="4">
        <v>45937</v>
      </c>
      <c r="AA110">
        <f>B110*B$3</f>
        <v>-1965.9999999999582</v>
      </c>
      <c r="AB110">
        <f>C110*C$3</f>
        <v>-2584.0000000001746</v>
      </c>
      <c r="AC110">
        <f>D110*D$3</f>
        <v>16142.999999999656</v>
      </c>
      <c r="AD110">
        <f>E110*E$3</f>
        <v>0</v>
      </c>
      <c r="AE110">
        <f>F110*F$3</f>
        <v>0</v>
      </c>
      <c r="AF110">
        <f>G110*G$3</f>
        <v>-15628.00000000036</v>
      </c>
      <c r="AG110">
        <f>H110*H$3</f>
        <v>-84648.000000000698</v>
      </c>
      <c r="AH110">
        <f>I110*I$3</f>
        <v>-129191.99999999971</v>
      </c>
      <c r="AI110">
        <f>J110*J$3</f>
        <v>-204206.00000000017</v>
      </c>
      <c r="AJ110">
        <f>K110*K$3</f>
        <v>-391975.0000000021</v>
      </c>
      <c r="AK110">
        <f>L110*L$3</f>
        <v>124016.00000000012</v>
      </c>
      <c r="AL110">
        <f>M110*M$3</f>
        <v>96219.0000000008</v>
      </c>
      <c r="AM110">
        <f>N110*N$3</f>
        <v>0</v>
      </c>
      <c r="AN110">
        <f>O110*O$3</f>
        <v>0</v>
      </c>
      <c r="AO110">
        <f>P110*P$3</f>
        <v>-23410.043527271213</v>
      </c>
      <c r="AP110">
        <f>Q110*Q$3</f>
        <v>-996.75017967528811</v>
      </c>
      <c r="AQ110">
        <f>R110*R$3</f>
        <v>69545.183979674315</v>
      </c>
      <c r="AR110" s="1">
        <f>S110*S$3</f>
        <v>-17946.822597609891</v>
      </c>
      <c r="AS110" s="1">
        <f t="shared" si="218"/>
        <v>749.57593550939669</v>
      </c>
      <c r="AT110" s="1">
        <f t="shared" si="218"/>
        <v>-30364.598613249465</v>
      </c>
      <c r="AU110" s="1">
        <f t="shared" si="218"/>
        <v>0</v>
      </c>
      <c r="AV110" s="1">
        <f t="shared" si="218"/>
        <v>0</v>
      </c>
      <c r="AW110" s="1">
        <f t="shared" si="218"/>
        <v>0</v>
      </c>
      <c r="AX110" s="1">
        <f t="shared" si="149"/>
        <v>-596244.45500262477</v>
      </c>
      <c r="AY110" s="1">
        <f t="shared" si="150"/>
        <v>-2423.4550026221405</v>
      </c>
      <c r="AZ110" s="1">
        <f t="shared" si="151"/>
        <v>-593821.00000000268</v>
      </c>
    </row>
    <row r="111" spans="1:52" x14ac:dyDescent="0.25">
      <c r="A111" s="4">
        <v>45936</v>
      </c>
      <c r="B111">
        <f t="shared" ref="B111:N111" si="238">(B661-B660)*100</f>
        <v>2.0000000000000462</v>
      </c>
      <c r="C111">
        <f t="shared" si="238"/>
        <v>0</v>
      </c>
      <c r="D111">
        <f t="shared" si="238"/>
        <v>1.0000000000000675</v>
      </c>
      <c r="E111">
        <f t="shared" si="238"/>
        <v>0.99999999999997868</v>
      </c>
      <c r="F111">
        <f t="shared" si="238"/>
        <v>0.99999999999997868</v>
      </c>
      <c r="G111">
        <f t="shared" si="238"/>
        <v>-2.0000000000000018</v>
      </c>
      <c r="H111">
        <f t="shared" si="238"/>
        <v>-2.0000000000000018</v>
      </c>
      <c r="I111">
        <f t="shared" si="238"/>
        <v>-4.0000000000000036</v>
      </c>
      <c r="J111">
        <f t="shared" si="238"/>
        <v>-2.9999999999999805</v>
      </c>
      <c r="K111">
        <f t="shared" si="238"/>
        <v>-5.0000000000000266</v>
      </c>
      <c r="L111">
        <f t="shared" si="238"/>
        <v>-4.9999999999999822</v>
      </c>
      <c r="M111">
        <f t="shared" si="238"/>
        <v>-4.0000000000000036</v>
      </c>
      <c r="N111">
        <f t="shared" si="238"/>
        <v>-4.9999999999999822</v>
      </c>
      <c r="O111" s="5">
        <f t="shared" si="226"/>
        <v>-5.0975578439485499E-3</v>
      </c>
      <c r="P111" s="5">
        <f t="shared" si="226"/>
        <v>-2.8593812946878954E-3</v>
      </c>
      <c r="Q111" s="5">
        <f t="shared" si="226"/>
        <v>1.6937620625265973E-3</v>
      </c>
      <c r="R111" s="5">
        <f t="shared" si="226"/>
        <v>-5.780346981754987E-4</v>
      </c>
      <c r="S111" s="5">
        <f t="shared" si="226"/>
        <v>-2.5094662456602319E-3</v>
      </c>
      <c r="T111" s="5">
        <f t="shared" ref="T111:X111" si="239">LN(T660/T661)</f>
        <v>1.0781815879547844E-3</v>
      </c>
      <c r="U111" s="5">
        <f t="shared" si="239"/>
        <v>9.5427890517188702E-4</v>
      </c>
      <c r="V111" s="5">
        <f t="shared" si="239"/>
        <v>1.6552757253437883E-2</v>
      </c>
      <c r="W111" s="5">
        <f t="shared" si="239"/>
        <v>7.5649042493900864E-4</v>
      </c>
      <c r="X111" s="5">
        <f t="shared" si="239"/>
        <v>2.1326229855363833E-4</v>
      </c>
      <c r="Z111" s="4">
        <v>45936</v>
      </c>
      <c r="AA111">
        <f>B111*B$3</f>
        <v>-1966.0000000000455</v>
      </c>
      <c r="AB111">
        <f>C111*C$3</f>
        <v>0</v>
      </c>
      <c r="AC111">
        <f>D111*D$3</f>
        <v>16143.00000000109</v>
      </c>
      <c r="AD111">
        <f>E111*E$3</f>
        <v>2427.9999999999482</v>
      </c>
      <c r="AE111">
        <f>F111*F$3</f>
        <v>-12427.999999999734</v>
      </c>
      <c r="AF111">
        <f>G111*G$3</f>
        <v>31256.000000000029</v>
      </c>
      <c r="AG111">
        <f>H111*H$3</f>
        <v>56432.000000000051</v>
      </c>
      <c r="AH111">
        <f>I111*I$3</f>
        <v>73824.000000000073</v>
      </c>
      <c r="AI111">
        <f>J111*J$3</f>
        <v>153154.49999999901</v>
      </c>
      <c r="AJ111">
        <f>K111*K$3</f>
        <v>391975.0000000021</v>
      </c>
      <c r="AK111">
        <f>L111*L$3</f>
        <v>-155019.99999999945</v>
      </c>
      <c r="AL111">
        <f>M111*M$3</f>
        <v>-128292.00000000012</v>
      </c>
      <c r="AM111">
        <f>N111*N$3</f>
        <v>0</v>
      </c>
      <c r="AN111">
        <f>O111*O$3</f>
        <v>0</v>
      </c>
      <c r="AO111">
        <f>P111*P$3</f>
        <v>14296.906473439478</v>
      </c>
      <c r="AP111">
        <f>Q111*Q$3</f>
        <v>20325.144750319167</v>
      </c>
      <c r="AQ111">
        <f>R111*R$3</f>
        <v>8670.520472632481</v>
      </c>
      <c r="AR111" s="1">
        <f>S111*S$3</f>
        <v>17566.263719621624</v>
      </c>
      <c r="AS111" s="1">
        <f t="shared" si="218"/>
        <v>4312.7263518191376</v>
      </c>
      <c r="AT111" s="1">
        <f t="shared" si="218"/>
        <v>7634.231241375096</v>
      </c>
      <c r="AU111" s="1">
        <f t="shared" si="218"/>
        <v>0</v>
      </c>
      <c r="AV111" s="1">
        <f t="shared" si="218"/>
        <v>0</v>
      </c>
      <c r="AW111" s="1">
        <f t="shared" si="218"/>
        <v>0</v>
      </c>
      <c r="AX111" s="1">
        <f t="shared" si="149"/>
        <v>500312.29300921003</v>
      </c>
      <c r="AY111" s="1">
        <f t="shared" si="150"/>
        <v>72805.793009206987</v>
      </c>
      <c r="AZ111" s="1">
        <f t="shared" si="151"/>
        <v>427506.50000000303</v>
      </c>
    </row>
    <row r="112" spans="1:52" x14ac:dyDescent="0.25">
      <c r="A112" s="4">
        <v>45933</v>
      </c>
      <c r="B112">
        <f t="shared" ref="B112:N112" si="240">(B662-B661)*100</f>
        <v>-0.99999999999997868</v>
      </c>
      <c r="C112">
        <f t="shared" si="240"/>
        <v>0</v>
      </c>
      <c r="D112">
        <f t="shared" si="240"/>
        <v>-1.0000000000000675</v>
      </c>
      <c r="E112">
        <f t="shared" si="240"/>
        <v>0</v>
      </c>
      <c r="F112">
        <f t="shared" si="240"/>
        <v>-0.99999999999997868</v>
      </c>
      <c r="G112">
        <f t="shared" si="240"/>
        <v>-2.0000000000000018</v>
      </c>
      <c r="H112">
        <f t="shared" si="240"/>
        <v>-3.0000000000000249</v>
      </c>
      <c r="I112">
        <f t="shared" si="240"/>
        <v>-2.9999999999999805</v>
      </c>
      <c r="J112">
        <f t="shared" si="240"/>
        <v>-5.0000000000000266</v>
      </c>
      <c r="K112">
        <f t="shared" si="240"/>
        <v>-4.0000000000000036</v>
      </c>
      <c r="L112">
        <f t="shared" si="240"/>
        <v>-3.0000000000000249</v>
      </c>
      <c r="M112">
        <f t="shared" si="240"/>
        <v>-3.0000000000000249</v>
      </c>
      <c r="N112">
        <f t="shared" si="240"/>
        <v>-1.9999999999999574</v>
      </c>
      <c r="O112" s="5">
        <f t="shared" si="226"/>
        <v>9.1639321549438736E-4</v>
      </c>
      <c r="P112" s="5">
        <f t="shared" si="226"/>
        <v>-4.3831448283956614E-3</v>
      </c>
      <c r="Q112" s="5">
        <f t="shared" si="226"/>
        <v>2.4469875230776674E-3</v>
      </c>
      <c r="R112" s="5">
        <f t="shared" si="226"/>
        <v>-3.461209108729775E-3</v>
      </c>
      <c r="S112" s="5">
        <f t="shared" si="226"/>
        <v>-1.7219514992572475E-3</v>
      </c>
      <c r="T112" s="5">
        <f t="shared" ref="T112:X112" si="241">LN(T661/T662)</f>
        <v>7.6233618000166111E-4</v>
      </c>
      <c r="U112" s="5">
        <f t="shared" si="241"/>
        <v>2.4908088478544583E-3</v>
      </c>
      <c r="V112" s="5">
        <f t="shared" si="241"/>
        <v>4.5543053986205252E-4</v>
      </c>
      <c r="W112" s="5">
        <f t="shared" si="241"/>
        <v>2.6347946966043022E-3</v>
      </c>
      <c r="X112" s="5">
        <f t="shared" si="241"/>
        <v>1.3806148828814958E-4</v>
      </c>
      <c r="Z112" s="4">
        <v>45933</v>
      </c>
      <c r="AA112">
        <f>B112*B$3</f>
        <v>982.99999999997908</v>
      </c>
      <c r="AB112">
        <f>C112*C$3</f>
        <v>0</v>
      </c>
      <c r="AC112">
        <f>D112*D$3</f>
        <v>-16143.00000000109</v>
      </c>
      <c r="AD112">
        <f>E112*E$3</f>
        <v>0</v>
      </c>
      <c r="AE112">
        <f>F112*F$3</f>
        <v>12427.999999999734</v>
      </c>
      <c r="AF112">
        <f>G112*G$3</f>
        <v>31256.000000000029</v>
      </c>
      <c r="AG112">
        <f>H112*H$3</f>
        <v>84648.000000000698</v>
      </c>
      <c r="AH112">
        <f>I112*I$3</f>
        <v>55367.999999999636</v>
      </c>
      <c r="AI112">
        <f>J112*J$3</f>
        <v>255257.50000000137</v>
      </c>
      <c r="AJ112">
        <f>K112*K$3</f>
        <v>313580.00000000029</v>
      </c>
      <c r="AK112">
        <f>L112*L$3</f>
        <v>-93012.000000000771</v>
      </c>
      <c r="AL112">
        <f>M112*M$3</f>
        <v>-96219.0000000008</v>
      </c>
      <c r="AM112">
        <f>N112*N$3</f>
        <v>0</v>
      </c>
      <c r="AN112">
        <f>O112*O$3</f>
        <v>0</v>
      </c>
      <c r="AO112">
        <f>P112*P$3</f>
        <v>21915.724141978306</v>
      </c>
      <c r="AP112">
        <f>Q112*Q$3</f>
        <v>29363.850276932008</v>
      </c>
      <c r="AQ112">
        <f>R112*R$3</f>
        <v>51918.136630946625</v>
      </c>
      <c r="AR112" s="1">
        <f>S112*S$3</f>
        <v>12053.660494800733</v>
      </c>
      <c r="AS112" s="1">
        <f t="shared" si="218"/>
        <v>3049.3447200066444</v>
      </c>
      <c r="AT112" s="1">
        <f t="shared" si="218"/>
        <v>19926.470782835666</v>
      </c>
      <c r="AU112" s="1">
        <f t="shared" si="218"/>
        <v>0</v>
      </c>
      <c r="AV112" s="1">
        <f t="shared" si="218"/>
        <v>0</v>
      </c>
      <c r="AW112" s="1">
        <f t="shared" si="218"/>
        <v>0</v>
      </c>
      <c r="AX112" s="1">
        <f t="shared" si="149"/>
        <v>686373.68704749912</v>
      </c>
      <c r="AY112" s="1">
        <f t="shared" si="150"/>
        <v>138227.18704749999</v>
      </c>
      <c r="AZ112" s="1">
        <f t="shared" si="151"/>
        <v>548146.49999999907</v>
      </c>
    </row>
    <row r="113" spans="1:52" x14ac:dyDescent="0.25">
      <c r="A113" s="4">
        <v>45932</v>
      </c>
      <c r="B113">
        <f t="shared" ref="B113:N113" si="242">(B663-B662)*100</f>
        <v>-6.0000000000000497</v>
      </c>
      <c r="C113">
        <f t="shared" si="242"/>
        <v>0.99999999999997868</v>
      </c>
      <c r="D113">
        <f t="shared" si="242"/>
        <v>-0.99999999999997868</v>
      </c>
      <c r="E113">
        <f t="shared" si="242"/>
        <v>-0.99999999999997868</v>
      </c>
      <c r="F113">
        <f t="shared" si="242"/>
        <v>-1.0000000000000231</v>
      </c>
      <c r="G113">
        <f t="shared" si="242"/>
        <v>0</v>
      </c>
      <c r="H113">
        <f t="shared" si="242"/>
        <v>0</v>
      </c>
      <c r="I113">
        <f t="shared" si="242"/>
        <v>0</v>
      </c>
      <c r="J113">
        <f t="shared" si="242"/>
        <v>1.0000000000000231</v>
      </c>
      <c r="K113">
        <f t="shared" si="242"/>
        <v>2.0000000000000018</v>
      </c>
      <c r="L113">
        <f t="shared" si="242"/>
        <v>2.0000000000000462</v>
      </c>
      <c r="M113">
        <f t="shared" si="242"/>
        <v>3.0000000000000249</v>
      </c>
      <c r="N113">
        <f t="shared" si="242"/>
        <v>2.9999999999999361</v>
      </c>
      <c r="O113" s="5">
        <f t="shared" si="226"/>
        <v>4.5194214813806506E-3</v>
      </c>
      <c r="P113" s="5">
        <f t="shared" si="226"/>
        <v>1.8024982349040316E-3</v>
      </c>
      <c r="Q113" s="5">
        <f t="shared" si="226"/>
        <v>-3.3305956120456026E-3</v>
      </c>
      <c r="R113" s="5">
        <f t="shared" si="226"/>
        <v>-5.7570525481860321E-4</v>
      </c>
      <c r="S113" s="5">
        <f t="shared" si="226"/>
        <v>3.0766077244357226E-3</v>
      </c>
      <c r="T113" s="5">
        <f t="shared" ref="T113:X113" si="243">LN(T662/T663)</f>
        <v>1.5258036072518665E-4</v>
      </c>
      <c r="U113" s="5">
        <f t="shared" si="243"/>
        <v>-2.732773702953128E-3</v>
      </c>
      <c r="V113" s="5">
        <f t="shared" si="243"/>
        <v>-6.1949602109777234E-3</v>
      </c>
      <c r="W113" s="5">
        <f t="shared" si="243"/>
        <v>-7.2546590750353934E-4</v>
      </c>
      <c r="X113" s="5">
        <f t="shared" si="243"/>
        <v>8.9135162170618954E-4</v>
      </c>
      <c r="Z113" s="4">
        <v>45932</v>
      </c>
      <c r="AA113">
        <f>B113*B$3</f>
        <v>5898.0000000000491</v>
      </c>
      <c r="AB113">
        <f>C113*C$3</f>
        <v>-2583.999999999945</v>
      </c>
      <c r="AC113">
        <f>D113*D$3</f>
        <v>-16142.999999999656</v>
      </c>
      <c r="AD113">
        <f>E113*E$3</f>
        <v>-2427.9999999999482</v>
      </c>
      <c r="AE113">
        <f>F113*F$3</f>
        <v>12428.000000000287</v>
      </c>
      <c r="AF113">
        <f>G113*G$3</f>
        <v>0</v>
      </c>
      <c r="AG113">
        <f>H113*H$3</f>
        <v>0</v>
      </c>
      <c r="AH113">
        <f>I113*I$3</f>
        <v>0</v>
      </c>
      <c r="AI113">
        <f>J113*J$3</f>
        <v>-51051.500000001179</v>
      </c>
      <c r="AJ113">
        <f>K113*K$3</f>
        <v>-156790.00000000015</v>
      </c>
      <c r="AK113">
        <f>L113*L$3</f>
        <v>62008.000000001433</v>
      </c>
      <c r="AL113">
        <f>M113*M$3</f>
        <v>96219.0000000008</v>
      </c>
      <c r="AM113">
        <f>N113*N$3</f>
        <v>0</v>
      </c>
      <c r="AN113">
        <f>O113*O$3</f>
        <v>0</v>
      </c>
      <c r="AO113">
        <f>P113*P$3</f>
        <v>-9012.4911745201571</v>
      </c>
      <c r="AP113">
        <f>Q113*Q$3</f>
        <v>-39967.147344547229</v>
      </c>
      <c r="AQ113">
        <f>R113*R$3</f>
        <v>8635.5788222790488</v>
      </c>
      <c r="AR113" s="1">
        <f>S113*S$3</f>
        <v>-21536.254071050058</v>
      </c>
      <c r="AS113" s="1">
        <f t="shared" si="218"/>
        <v>610.32144290074666</v>
      </c>
      <c r="AT113" s="1">
        <f t="shared" si="218"/>
        <v>-21862.189623625025</v>
      </c>
      <c r="AU113" s="1">
        <f t="shared" si="218"/>
        <v>0</v>
      </c>
      <c r="AV113" s="1">
        <f t="shared" si="218"/>
        <v>0</v>
      </c>
      <c r="AW113" s="1">
        <f t="shared" si="218"/>
        <v>0</v>
      </c>
      <c r="AX113" s="1">
        <f t="shared" si="149"/>
        <v>-135575.68194856099</v>
      </c>
      <c r="AY113" s="1">
        <f t="shared" si="150"/>
        <v>-83132.181948562677</v>
      </c>
      <c r="AZ113" s="1">
        <f t="shared" si="151"/>
        <v>-52443.499999998312</v>
      </c>
    </row>
    <row r="114" spans="1:52" x14ac:dyDescent="0.25">
      <c r="A114" s="4">
        <v>45931</v>
      </c>
      <c r="B114">
        <f t="shared" ref="B114:N114" si="244">(B664-B663)*100</f>
        <v>3.0000000000000249</v>
      </c>
      <c r="C114">
        <f t="shared" si="244"/>
        <v>3.0000000000000249</v>
      </c>
      <c r="D114">
        <f t="shared" si="244"/>
        <v>0.99999999999997868</v>
      </c>
      <c r="E114">
        <f t="shared" si="244"/>
        <v>2.9999999999999805</v>
      </c>
      <c r="F114">
        <f t="shared" si="244"/>
        <v>3.0000000000000249</v>
      </c>
      <c r="G114">
        <f t="shared" si="244"/>
        <v>6.0000000000000053</v>
      </c>
      <c r="H114">
        <f t="shared" si="244"/>
        <v>5.0000000000000266</v>
      </c>
      <c r="I114">
        <f t="shared" si="244"/>
        <v>4.9999999999999822</v>
      </c>
      <c r="J114">
        <f t="shared" si="244"/>
        <v>6.0000000000000053</v>
      </c>
      <c r="K114">
        <f t="shared" si="244"/>
        <v>5.0000000000000266</v>
      </c>
      <c r="L114">
        <f t="shared" si="244"/>
        <v>4.0000000000000036</v>
      </c>
      <c r="M114">
        <f t="shared" si="244"/>
        <v>1.9999999999999574</v>
      </c>
      <c r="N114">
        <f t="shared" si="244"/>
        <v>1.0000000000000675</v>
      </c>
      <c r="O114" s="5">
        <f t="shared" si="226"/>
        <v>-1.9653359949793E-2</v>
      </c>
      <c r="P114" s="5">
        <f t="shared" si="226"/>
        <v>-3.4431308237108764E-2</v>
      </c>
      <c r="Q114" s="5">
        <f t="shared" si="226"/>
        <v>-5.2749789391025306E-3</v>
      </c>
      <c r="R114" s="5">
        <f t="shared" si="226"/>
        <v>-1.5703391928449828E-2</v>
      </c>
      <c r="S114" s="5">
        <f t="shared" si="226"/>
        <v>-1.5819892931641898E-2</v>
      </c>
      <c r="T114" s="5">
        <f t="shared" ref="T114:X114" si="245">LN(T663/T664)</f>
        <v>-3.7549924772528999E-4</v>
      </c>
      <c r="U114" s="5">
        <f t="shared" si="245"/>
        <v>-4.5695809508472095E-4</v>
      </c>
      <c r="V114" s="5">
        <f t="shared" si="245"/>
        <v>-4.0325296846309517E-3</v>
      </c>
      <c r="W114" s="5">
        <f t="shared" si="245"/>
        <v>-4.354192947940194E-3</v>
      </c>
      <c r="X114" s="5">
        <f t="shared" si="245"/>
        <v>-1.2552364257461628E-3</v>
      </c>
      <c r="Z114" s="4">
        <v>45931</v>
      </c>
      <c r="AA114">
        <f>B114*B$3</f>
        <v>-2949.0000000000246</v>
      </c>
      <c r="AB114">
        <f>C114*C$3</f>
        <v>-7752.0000000000646</v>
      </c>
      <c r="AC114">
        <f>D114*D$3</f>
        <v>16142.999999999656</v>
      </c>
      <c r="AD114">
        <f>E114*E$3</f>
        <v>7283.9999999999527</v>
      </c>
      <c r="AE114">
        <f>F114*F$3</f>
        <v>-37284.000000000306</v>
      </c>
      <c r="AF114">
        <f>G114*G$3</f>
        <v>-93768.000000000087</v>
      </c>
      <c r="AG114">
        <f>H114*H$3</f>
        <v>-141080.00000000076</v>
      </c>
      <c r="AH114">
        <f>I114*I$3</f>
        <v>-92279.999999999665</v>
      </c>
      <c r="AI114">
        <f>J114*J$3</f>
        <v>-306309.00000000029</v>
      </c>
      <c r="AJ114">
        <f>K114*K$3</f>
        <v>-391975.0000000021</v>
      </c>
      <c r="AK114">
        <f>L114*L$3</f>
        <v>124016.00000000012</v>
      </c>
      <c r="AL114">
        <f>M114*M$3</f>
        <v>64145.999999998632</v>
      </c>
      <c r="AM114">
        <f>N114*N$3</f>
        <v>0</v>
      </c>
      <c r="AN114">
        <f>O114*O$3</f>
        <v>0</v>
      </c>
      <c r="AO114">
        <f>P114*P$3</f>
        <v>172156.54118554381</v>
      </c>
      <c r="AP114">
        <f>Q114*Q$3</f>
        <v>-63299.747269230364</v>
      </c>
      <c r="AQ114">
        <f>R114*R$3</f>
        <v>235550.87892674742</v>
      </c>
      <c r="AR114" s="1">
        <f>S114*S$3</f>
        <v>110739.25052149329</v>
      </c>
      <c r="AS114" s="1">
        <f t="shared" si="218"/>
        <v>-1501.99699090116</v>
      </c>
      <c r="AT114" s="1">
        <f t="shared" si="218"/>
        <v>-3655.6647606777674</v>
      </c>
      <c r="AU114" s="1">
        <f t="shared" si="218"/>
        <v>0</v>
      </c>
      <c r="AV114" s="1">
        <f t="shared" si="218"/>
        <v>0</v>
      </c>
      <c r="AW114" s="1">
        <f t="shared" si="218"/>
        <v>0</v>
      </c>
      <c r="AX114" s="1">
        <f t="shared" si="149"/>
        <v>-411818.73838702979</v>
      </c>
      <c r="AY114" s="1">
        <f t="shared" si="150"/>
        <v>449989.26161297521</v>
      </c>
      <c r="AZ114" s="1">
        <f t="shared" si="151"/>
        <v>-861808.00000000501</v>
      </c>
    </row>
    <row r="115" spans="1:52" x14ac:dyDescent="0.25">
      <c r="A115" s="4">
        <v>45930</v>
      </c>
      <c r="B115">
        <f t="shared" ref="B115:N115" si="246">(B665-B664)*100</f>
        <v>1.9999999999999574</v>
      </c>
      <c r="C115">
        <f t="shared" si="246"/>
        <v>0.99999999999997868</v>
      </c>
      <c r="D115">
        <f t="shared" si="246"/>
        <v>2.0000000000000462</v>
      </c>
      <c r="E115">
        <f t="shared" si="246"/>
        <v>1.0000000000000231</v>
      </c>
      <c r="F115">
        <f t="shared" si="246"/>
        <v>0.99999999999997868</v>
      </c>
      <c r="G115">
        <f t="shared" si="246"/>
        <v>-3.0000000000000249</v>
      </c>
      <c r="H115">
        <f t="shared" si="246"/>
        <v>2.9999999999999805</v>
      </c>
      <c r="I115">
        <f t="shared" si="246"/>
        <v>2.0000000000000018</v>
      </c>
      <c r="J115">
        <f t="shared" si="246"/>
        <v>0</v>
      </c>
      <c r="K115">
        <f t="shared" si="246"/>
        <v>-1.0000000000000231</v>
      </c>
      <c r="L115">
        <f t="shared" si="246"/>
        <v>-0.99999999999997868</v>
      </c>
      <c r="M115">
        <f t="shared" si="246"/>
        <v>-1.9999999999999574</v>
      </c>
      <c r="N115">
        <f t="shared" si="246"/>
        <v>-2.0000000000000462</v>
      </c>
      <c r="O115" s="5">
        <f t="shared" ref="O115:S124" si="247">LN(O664/O665)</f>
        <v>0</v>
      </c>
      <c r="P115" s="5">
        <f t="shared" si="247"/>
        <v>0</v>
      </c>
      <c r="Q115" s="5">
        <f t="shared" si="247"/>
        <v>0</v>
      </c>
      <c r="R115" s="5">
        <f t="shared" si="247"/>
        <v>0</v>
      </c>
      <c r="S115" s="5">
        <f t="shared" si="247"/>
        <v>0</v>
      </c>
      <c r="T115" s="5">
        <f t="shared" ref="T115:X115" si="248">LN(T664/T665)</f>
        <v>-1.980611170251413E-3</v>
      </c>
      <c r="U115" s="5">
        <f t="shared" si="248"/>
        <v>-2.1610488760591927E-3</v>
      </c>
      <c r="V115" s="5">
        <f t="shared" si="248"/>
        <v>-5.4362386133730125E-3</v>
      </c>
      <c r="W115" s="5">
        <f t="shared" si="248"/>
        <v>-4.260094226413629E-3</v>
      </c>
      <c r="X115" s="5">
        <f t="shared" si="248"/>
        <v>-3.5112124991509467E-4</v>
      </c>
      <c r="Z115" s="4">
        <v>45930</v>
      </c>
      <c r="AA115">
        <f>B115*B$3</f>
        <v>-1965.9999999999582</v>
      </c>
      <c r="AB115">
        <f>C115*C$3</f>
        <v>-2583.999999999945</v>
      </c>
      <c r="AC115">
        <f>D115*D$3</f>
        <v>32286.000000000746</v>
      </c>
      <c r="AD115">
        <f>E115*E$3</f>
        <v>2428.0000000000559</v>
      </c>
      <c r="AE115">
        <f>F115*F$3</f>
        <v>-12427.999999999734</v>
      </c>
      <c r="AF115">
        <f>G115*G$3</f>
        <v>46884.000000000386</v>
      </c>
      <c r="AG115">
        <f>H115*H$3</f>
        <v>-84647.999999999447</v>
      </c>
      <c r="AH115">
        <f>I115*I$3</f>
        <v>-36912.000000000036</v>
      </c>
      <c r="AI115">
        <f>J115*J$3</f>
        <v>0</v>
      </c>
      <c r="AJ115">
        <f>K115*K$3</f>
        <v>78395.000000001804</v>
      </c>
      <c r="AK115">
        <f>L115*L$3</f>
        <v>-31003.999999999338</v>
      </c>
      <c r="AL115">
        <f>M115*M$3</f>
        <v>-64145.999999998632</v>
      </c>
      <c r="AM115">
        <f>N115*N$3</f>
        <v>0</v>
      </c>
      <c r="AN115">
        <f>O115*O$3</f>
        <v>0</v>
      </c>
      <c r="AO115">
        <f>P115*P$3</f>
        <v>0</v>
      </c>
      <c r="AP115">
        <f>Q115*Q$3</f>
        <v>0</v>
      </c>
      <c r="AQ115">
        <f>R115*R$3</f>
        <v>0</v>
      </c>
      <c r="AR115" s="1">
        <f>S115*S$3</f>
        <v>0</v>
      </c>
      <c r="AS115" s="1">
        <f t="shared" si="218"/>
        <v>-7922.4446810056515</v>
      </c>
      <c r="AT115" s="1">
        <f t="shared" si="218"/>
        <v>-17288.39100847354</v>
      </c>
      <c r="AU115" s="1">
        <f t="shared" si="218"/>
        <v>0</v>
      </c>
      <c r="AV115" s="1">
        <f t="shared" si="218"/>
        <v>0</v>
      </c>
      <c r="AW115" s="1">
        <f t="shared" si="218"/>
        <v>0</v>
      </c>
      <c r="AX115" s="1">
        <f t="shared" si="149"/>
        <v>-98905.835689473286</v>
      </c>
      <c r="AY115" s="1">
        <f t="shared" si="150"/>
        <v>-25210.83568947919</v>
      </c>
      <c r="AZ115" s="1">
        <f t="shared" si="151"/>
        <v>-73694.999999994092</v>
      </c>
    </row>
    <row r="116" spans="1:52" x14ac:dyDescent="0.25">
      <c r="A116" s="4">
        <v>45929</v>
      </c>
      <c r="B116">
        <f t="shared" ref="B116:N116" si="249">(B666-B665)*100</f>
        <v>0</v>
      </c>
      <c r="C116">
        <f t="shared" si="249"/>
        <v>0.99999999999997868</v>
      </c>
      <c r="D116">
        <f t="shared" si="249"/>
        <v>-2.0000000000000462</v>
      </c>
      <c r="E116">
        <f t="shared" si="249"/>
        <v>0.99999999999997868</v>
      </c>
      <c r="F116">
        <f t="shared" si="249"/>
        <v>-0.99999999999997868</v>
      </c>
      <c r="G116">
        <f t="shared" si="249"/>
        <v>2.0000000000000018</v>
      </c>
      <c r="H116">
        <f t="shared" si="249"/>
        <v>0</v>
      </c>
      <c r="I116">
        <f t="shared" si="249"/>
        <v>3.0000000000000249</v>
      </c>
      <c r="J116">
        <f t="shared" si="249"/>
        <v>1.9999999999999574</v>
      </c>
      <c r="K116">
        <f t="shared" si="249"/>
        <v>4.0000000000000036</v>
      </c>
      <c r="L116">
        <f t="shared" si="249"/>
        <v>4.9999999999999822</v>
      </c>
      <c r="M116">
        <f t="shared" si="249"/>
        <v>4.9999999999999822</v>
      </c>
      <c r="N116">
        <f t="shared" si="249"/>
        <v>5.9999999999999609</v>
      </c>
      <c r="O116" s="5">
        <f t="shared" si="247"/>
        <v>0</v>
      </c>
      <c r="P116" s="5">
        <f t="shared" si="247"/>
        <v>0</v>
      </c>
      <c r="Q116" s="5">
        <f t="shared" si="247"/>
        <v>0</v>
      </c>
      <c r="R116" s="5">
        <f t="shared" si="247"/>
        <v>0</v>
      </c>
      <c r="S116" s="5">
        <f t="shared" si="247"/>
        <v>0</v>
      </c>
      <c r="T116" s="5">
        <f t="shared" ref="T116:X116" si="250">LN(T665/T666)</f>
        <v>-3.891255553779221E-3</v>
      </c>
      <c r="U116" s="5">
        <f t="shared" si="250"/>
        <v>-5.3623140672700064E-3</v>
      </c>
      <c r="V116" s="5">
        <f t="shared" si="250"/>
        <v>-3.0474161356607707E-3</v>
      </c>
      <c r="W116" s="5">
        <f t="shared" si="250"/>
        <v>-2.5488573746586269E-3</v>
      </c>
      <c r="X116" s="5">
        <f t="shared" si="250"/>
        <v>-3.20499486008546E-3</v>
      </c>
      <c r="Z116" s="4">
        <v>45929</v>
      </c>
      <c r="AA116">
        <f>B116*B$3</f>
        <v>0</v>
      </c>
      <c r="AB116">
        <f>C116*C$3</f>
        <v>-2583.999999999945</v>
      </c>
      <c r="AC116">
        <f>D116*D$3</f>
        <v>-32286.000000000746</v>
      </c>
      <c r="AD116">
        <f>E116*E$3</f>
        <v>2427.9999999999482</v>
      </c>
      <c r="AE116">
        <f>F116*F$3</f>
        <v>12427.999999999734</v>
      </c>
      <c r="AF116">
        <f>G116*G$3</f>
        <v>-31256.000000000029</v>
      </c>
      <c r="AG116">
        <f>H116*H$3</f>
        <v>0</v>
      </c>
      <c r="AH116">
        <f>I116*I$3</f>
        <v>-55368.000000000458</v>
      </c>
      <c r="AI116">
        <f>J116*J$3</f>
        <v>-102102.99999999782</v>
      </c>
      <c r="AJ116">
        <f>K116*K$3</f>
        <v>-313580.00000000029</v>
      </c>
      <c r="AK116">
        <f>L116*L$3</f>
        <v>155019.99999999945</v>
      </c>
      <c r="AL116">
        <f>M116*M$3</f>
        <v>160364.99999999942</v>
      </c>
      <c r="AM116">
        <f>N116*N$3</f>
        <v>0</v>
      </c>
      <c r="AN116">
        <f>O116*O$3</f>
        <v>0</v>
      </c>
      <c r="AO116">
        <f>P116*P$3</f>
        <v>0</v>
      </c>
      <c r="AP116">
        <f>Q116*Q$3</f>
        <v>0</v>
      </c>
      <c r="AQ116">
        <f>R116*R$3</f>
        <v>0</v>
      </c>
      <c r="AR116" s="1">
        <f>S116*S$3</f>
        <v>0</v>
      </c>
      <c r="AS116" s="1">
        <f t="shared" si="218"/>
        <v>-15565.022215116884</v>
      </c>
      <c r="AT116" s="1">
        <f t="shared" si="218"/>
        <v>-42898.512538160052</v>
      </c>
      <c r="AU116" s="1">
        <f t="shared" si="218"/>
        <v>0</v>
      </c>
      <c r="AV116" s="1">
        <f t="shared" si="218"/>
        <v>0</v>
      </c>
      <c r="AW116" s="1">
        <f t="shared" si="218"/>
        <v>0</v>
      </c>
      <c r="AX116" s="1">
        <f t="shared" si="149"/>
        <v>-265399.53475327767</v>
      </c>
      <c r="AY116" s="1">
        <f t="shared" si="150"/>
        <v>-58463.534753276937</v>
      </c>
      <c r="AZ116" s="1">
        <f t="shared" si="151"/>
        <v>-206936.00000000073</v>
      </c>
    </row>
    <row r="117" spans="1:52" x14ac:dyDescent="0.25">
      <c r="A117" s="4">
        <v>45926</v>
      </c>
      <c r="B117">
        <f t="shared" ref="B117:N117" si="251">(B667-B666)*100</f>
        <v>2.0000000000000462</v>
      </c>
      <c r="C117">
        <f t="shared" si="251"/>
        <v>0.99999999999997868</v>
      </c>
      <c r="D117">
        <f t="shared" si="251"/>
        <v>2.0000000000000462</v>
      </c>
      <c r="E117">
        <f t="shared" si="251"/>
        <v>0.99999999999997868</v>
      </c>
      <c r="F117">
        <f t="shared" si="251"/>
        <v>2.0000000000000018</v>
      </c>
      <c r="G117">
        <f t="shared" si="251"/>
        <v>1.0000000000000231</v>
      </c>
      <c r="H117">
        <f t="shared" si="251"/>
        <v>1.0000000000000231</v>
      </c>
      <c r="I117">
        <f t="shared" si="251"/>
        <v>0</v>
      </c>
      <c r="J117">
        <f t="shared" si="251"/>
        <v>-0.99999999999997868</v>
      </c>
      <c r="K117">
        <f t="shared" si="251"/>
        <v>-2.0000000000000018</v>
      </c>
      <c r="L117">
        <f t="shared" si="251"/>
        <v>-2.0000000000000462</v>
      </c>
      <c r="M117">
        <f t="shared" si="251"/>
        <v>-0.99999999999997868</v>
      </c>
      <c r="N117">
        <f t="shared" si="251"/>
        <v>-1.9999999999999574</v>
      </c>
      <c r="O117" s="5">
        <f t="shared" si="247"/>
        <v>0</v>
      </c>
      <c r="P117" s="5">
        <f t="shared" si="247"/>
        <v>0</v>
      </c>
      <c r="Q117" s="5">
        <f t="shared" si="247"/>
        <v>0</v>
      </c>
      <c r="R117" s="5">
        <f t="shared" si="247"/>
        <v>0</v>
      </c>
      <c r="S117" s="5">
        <f t="shared" si="247"/>
        <v>0</v>
      </c>
      <c r="T117" s="5">
        <f t="shared" ref="T117:X117" si="252">LN(T666/T667)</f>
        <v>6.9987537390169751E-3</v>
      </c>
      <c r="U117" s="5">
        <f t="shared" si="252"/>
        <v>8.650036508842834E-3</v>
      </c>
      <c r="V117" s="5">
        <f t="shared" si="252"/>
        <v>7.4343326170095503E-3</v>
      </c>
      <c r="W117" s="5">
        <f t="shared" si="252"/>
        <v>7.5595712233614484E-3</v>
      </c>
      <c r="X117" s="5">
        <f t="shared" si="252"/>
        <v>6.7474194893469746E-3</v>
      </c>
      <c r="Z117" s="4">
        <v>45926</v>
      </c>
      <c r="AA117">
        <f>B117*B$3</f>
        <v>-1966.0000000000455</v>
      </c>
      <c r="AB117">
        <f>C117*C$3</f>
        <v>-2583.999999999945</v>
      </c>
      <c r="AC117">
        <f>D117*D$3</f>
        <v>32286.000000000746</v>
      </c>
      <c r="AD117">
        <f>E117*E$3</f>
        <v>2427.9999999999482</v>
      </c>
      <c r="AE117">
        <f>F117*F$3</f>
        <v>-24856.000000000022</v>
      </c>
      <c r="AF117">
        <f>G117*G$3</f>
        <v>-15628.00000000036</v>
      </c>
      <c r="AG117">
        <f>H117*H$3</f>
        <v>-28216.000000000651</v>
      </c>
      <c r="AH117">
        <f>I117*I$3</f>
        <v>0</v>
      </c>
      <c r="AI117">
        <f>J117*J$3</f>
        <v>51051.499999998909</v>
      </c>
      <c r="AJ117">
        <f>K117*K$3</f>
        <v>156790.00000000015</v>
      </c>
      <c r="AK117">
        <f>L117*L$3</f>
        <v>-62008.000000001433</v>
      </c>
      <c r="AL117">
        <f>M117*M$3</f>
        <v>-32072.999999999316</v>
      </c>
      <c r="AM117">
        <f>N117*N$3</f>
        <v>0</v>
      </c>
      <c r="AN117">
        <f>O117*O$3</f>
        <v>0</v>
      </c>
      <c r="AO117">
        <f>P117*P$3</f>
        <v>0</v>
      </c>
      <c r="AP117">
        <f>Q117*Q$3</f>
        <v>0</v>
      </c>
      <c r="AQ117">
        <f>R117*R$3</f>
        <v>0</v>
      </c>
      <c r="AR117" s="1">
        <f>S117*S$3</f>
        <v>0</v>
      </c>
      <c r="AS117" s="1">
        <f t="shared" ref="AS117:AW132" si="253">T117*T$3</f>
        <v>27995.014956067902</v>
      </c>
      <c r="AT117" s="1">
        <f t="shared" si="253"/>
        <v>69200.292070742667</v>
      </c>
      <c r="AU117" s="1">
        <f t="shared" si="253"/>
        <v>0</v>
      </c>
      <c r="AV117" s="1">
        <f t="shared" si="253"/>
        <v>0</v>
      </c>
      <c r="AW117" s="1">
        <f t="shared" si="253"/>
        <v>0</v>
      </c>
      <c r="AX117" s="1">
        <f t="shared" si="149"/>
        <v>172419.80702680856</v>
      </c>
      <c r="AY117" s="1">
        <f t="shared" si="150"/>
        <v>97195.307026810566</v>
      </c>
      <c r="AZ117" s="1">
        <f t="shared" si="151"/>
        <v>75224.499999997992</v>
      </c>
    </row>
    <row r="118" spans="1:52" x14ac:dyDescent="0.25">
      <c r="A118" s="4">
        <v>45925</v>
      </c>
      <c r="B118">
        <f t="shared" ref="B118:N118" si="254">(B668-B667)*100</f>
        <v>-6.0000000000000497</v>
      </c>
      <c r="C118">
        <f t="shared" si="254"/>
        <v>-4.9999999999999822</v>
      </c>
      <c r="D118">
        <f t="shared" si="254"/>
        <v>-2.0000000000000462</v>
      </c>
      <c r="E118">
        <f t="shared" si="254"/>
        <v>-2.9999999999999805</v>
      </c>
      <c r="F118">
        <f t="shared" si="254"/>
        <v>-3.0000000000000249</v>
      </c>
      <c r="G118">
        <f t="shared" si="254"/>
        <v>-5.0000000000000266</v>
      </c>
      <c r="H118">
        <f t="shared" si="254"/>
        <v>-7.0000000000000284</v>
      </c>
      <c r="I118">
        <f t="shared" si="254"/>
        <v>-6.0000000000000053</v>
      </c>
      <c r="J118">
        <f t="shared" si="254"/>
        <v>-4.9999999999999822</v>
      </c>
      <c r="K118">
        <f t="shared" si="254"/>
        <v>-2.9999999999999805</v>
      </c>
      <c r="L118">
        <f t="shared" si="254"/>
        <v>-1.9999999999999574</v>
      </c>
      <c r="M118">
        <f t="shared" si="254"/>
        <v>0</v>
      </c>
      <c r="N118">
        <f t="shared" si="254"/>
        <v>0.99999999999997868</v>
      </c>
      <c r="O118" s="5">
        <f t="shared" si="247"/>
        <v>0</v>
      </c>
      <c r="P118" s="5">
        <f t="shared" si="247"/>
        <v>0</v>
      </c>
      <c r="Q118" s="5">
        <f t="shared" si="247"/>
        <v>0</v>
      </c>
      <c r="R118" s="5">
        <f t="shared" si="247"/>
        <v>0</v>
      </c>
      <c r="S118" s="5">
        <f t="shared" si="247"/>
        <v>0</v>
      </c>
      <c r="T118" s="5">
        <f t="shared" ref="T118:X118" si="255">LN(T667/T668)</f>
        <v>5.9250778870749022E-3</v>
      </c>
      <c r="U118" s="5">
        <f t="shared" si="255"/>
        <v>5.3440179769682766E-3</v>
      </c>
      <c r="V118" s="5">
        <f t="shared" si="255"/>
        <v>7.6797858644509697E-3</v>
      </c>
      <c r="W118" s="5">
        <f t="shared" si="255"/>
        <v>1.6500691573979043E-3</v>
      </c>
      <c r="X118" s="5">
        <f t="shared" si="255"/>
        <v>4.0728839210407326E-3</v>
      </c>
      <c r="Z118" s="4">
        <v>45925</v>
      </c>
      <c r="AA118">
        <f>B118*B$3</f>
        <v>5898.0000000000491</v>
      </c>
      <c r="AB118">
        <f>C118*C$3</f>
        <v>12919.999999999955</v>
      </c>
      <c r="AC118">
        <f>D118*D$3</f>
        <v>-32286.000000000746</v>
      </c>
      <c r="AD118">
        <f>E118*E$3</f>
        <v>-7283.9999999999527</v>
      </c>
      <c r="AE118">
        <f>F118*F$3</f>
        <v>37284.000000000306</v>
      </c>
      <c r="AF118">
        <f>G118*G$3</f>
        <v>78140.000000000422</v>
      </c>
      <c r="AG118">
        <f>H118*H$3</f>
        <v>197512.00000000081</v>
      </c>
      <c r="AH118">
        <f>I118*I$3</f>
        <v>110736.0000000001</v>
      </c>
      <c r="AI118">
        <f>J118*J$3</f>
        <v>255257.4999999991</v>
      </c>
      <c r="AJ118">
        <f>K118*K$3</f>
        <v>235184.99999999846</v>
      </c>
      <c r="AK118">
        <f>L118*L$3</f>
        <v>-62007.999999998676</v>
      </c>
      <c r="AL118">
        <f>M118*M$3</f>
        <v>0</v>
      </c>
      <c r="AM118">
        <f>N118*N$3</f>
        <v>0</v>
      </c>
      <c r="AN118">
        <f>O118*O$3</f>
        <v>0</v>
      </c>
      <c r="AO118">
        <f>P118*P$3</f>
        <v>0</v>
      </c>
      <c r="AP118">
        <f>Q118*Q$3</f>
        <v>0</v>
      </c>
      <c r="AQ118">
        <f>R118*R$3</f>
        <v>0</v>
      </c>
      <c r="AR118" s="1">
        <f>S118*S$3</f>
        <v>0</v>
      </c>
      <c r="AS118" s="1">
        <f t="shared" si="253"/>
        <v>23700.311548299607</v>
      </c>
      <c r="AT118" s="1">
        <f t="shared" si="253"/>
        <v>42752.143815746211</v>
      </c>
      <c r="AU118" s="1">
        <f t="shared" si="253"/>
        <v>0</v>
      </c>
      <c r="AV118" s="1">
        <f t="shared" si="253"/>
        <v>0</v>
      </c>
      <c r="AW118" s="1">
        <f t="shared" si="253"/>
        <v>0</v>
      </c>
      <c r="AX118" s="1">
        <f t="shared" si="149"/>
        <v>897806.95536404557</v>
      </c>
      <c r="AY118" s="1">
        <f t="shared" si="150"/>
        <v>66452.455364045818</v>
      </c>
      <c r="AZ118" s="1">
        <f t="shared" si="151"/>
        <v>831354.49999999977</v>
      </c>
    </row>
    <row r="119" spans="1:52" x14ac:dyDescent="0.25">
      <c r="A119" s="4">
        <v>45924</v>
      </c>
      <c r="B119">
        <f t="shared" ref="B119:N119" si="256">(B669-B668)*100</f>
        <v>-1.9999999999999574</v>
      </c>
      <c r="C119">
        <f t="shared" si="256"/>
        <v>-0.99999999999997868</v>
      </c>
      <c r="D119">
        <f t="shared" si="256"/>
        <v>-1.9999999999999574</v>
      </c>
      <c r="E119">
        <f t="shared" si="256"/>
        <v>-0.99999999999997868</v>
      </c>
      <c r="F119">
        <f t="shared" si="256"/>
        <v>-0.99999999999997868</v>
      </c>
      <c r="G119">
        <f t="shared" si="256"/>
        <v>-2.0000000000000018</v>
      </c>
      <c r="H119">
        <f t="shared" si="256"/>
        <v>-4.0000000000000036</v>
      </c>
      <c r="I119">
        <f t="shared" si="256"/>
        <v>-3.0000000000000249</v>
      </c>
      <c r="J119">
        <f t="shared" si="256"/>
        <v>-2.0000000000000018</v>
      </c>
      <c r="K119">
        <f t="shared" si="256"/>
        <v>-4.0000000000000036</v>
      </c>
      <c r="L119">
        <f t="shared" si="256"/>
        <v>-4.0000000000000036</v>
      </c>
      <c r="M119">
        <f t="shared" si="256"/>
        <v>-3.0000000000000249</v>
      </c>
      <c r="N119">
        <f t="shared" si="256"/>
        <v>-2.9999999999999361</v>
      </c>
      <c r="O119" s="5">
        <f t="shared" si="247"/>
        <v>0</v>
      </c>
      <c r="P119" s="5">
        <f t="shared" si="247"/>
        <v>0</v>
      </c>
      <c r="Q119" s="5">
        <f t="shared" si="247"/>
        <v>0</v>
      </c>
      <c r="R119" s="5">
        <f t="shared" si="247"/>
        <v>0</v>
      </c>
      <c r="S119" s="5">
        <f t="shared" si="247"/>
        <v>0</v>
      </c>
      <c r="T119" s="5">
        <f t="shared" ref="T119:X119" si="257">LN(T668/T669)</f>
        <v>-1.1335600994041733E-3</v>
      </c>
      <c r="U119" s="5">
        <f t="shared" si="257"/>
        <v>-7.0301400851081495E-4</v>
      </c>
      <c r="V119" s="5">
        <f t="shared" si="257"/>
        <v>-7.5844972386601348E-4</v>
      </c>
      <c r="W119" s="5">
        <f t="shared" si="257"/>
        <v>6.3615393818467641E-4</v>
      </c>
      <c r="X119" s="5">
        <f t="shared" si="257"/>
        <v>-1.2122495424626545E-3</v>
      </c>
      <c r="Z119" s="4">
        <v>45924</v>
      </c>
      <c r="AA119">
        <f>B119*B$3</f>
        <v>1965.9999999999582</v>
      </c>
      <c r="AB119">
        <f>C119*C$3</f>
        <v>2583.999999999945</v>
      </c>
      <c r="AC119">
        <f>D119*D$3</f>
        <v>-32285.999999999312</v>
      </c>
      <c r="AD119">
        <f>E119*E$3</f>
        <v>-2427.9999999999482</v>
      </c>
      <c r="AE119">
        <f>F119*F$3</f>
        <v>12427.999999999734</v>
      </c>
      <c r="AF119">
        <f>G119*G$3</f>
        <v>31256.000000000029</v>
      </c>
      <c r="AG119">
        <f>H119*H$3</f>
        <v>112864.0000000001</v>
      </c>
      <c r="AH119">
        <f>I119*I$3</f>
        <v>55368.000000000458</v>
      </c>
      <c r="AI119">
        <f>J119*J$3</f>
        <v>102103.00000000009</v>
      </c>
      <c r="AJ119">
        <f>K119*K$3</f>
        <v>313580.00000000029</v>
      </c>
      <c r="AK119">
        <f>L119*L$3</f>
        <v>-124016.00000000012</v>
      </c>
      <c r="AL119">
        <f>M119*M$3</f>
        <v>-96219.0000000008</v>
      </c>
      <c r="AM119">
        <f>N119*N$3</f>
        <v>0</v>
      </c>
      <c r="AN119">
        <f>O119*O$3</f>
        <v>0</v>
      </c>
      <c r="AO119">
        <f>P119*P$3</f>
        <v>0</v>
      </c>
      <c r="AP119">
        <f>Q119*Q$3</f>
        <v>0</v>
      </c>
      <c r="AQ119">
        <f>R119*R$3</f>
        <v>0</v>
      </c>
      <c r="AR119" s="1">
        <f>S119*S$3</f>
        <v>0</v>
      </c>
      <c r="AS119" s="1">
        <f t="shared" si="253"/>
        <v>-4534.2403976166934</v>
      </c>
      <c r="AT119" s="1">
        <f t="shared" si="253"/>
        <v>-5624.1120680865197</v>
      </c>
      <c r="AU119" s="1">
        <f t="shared" si="253"/>
        <v>0</v>
      </c>
      <c r="AV119" s="1">
        <f t="shared" si="253"/>
        <v>0</v>
      </c>
      <c r="AW119" s="1">
        <f t="shared" si="253"/>
        <v>0</v>
      </c>
      <c r="AX119" s="1">
        <f t="shared" si="149"/>
        <v>367041.64753429726</v>
      </c>
      <c r="AY119" s="1">
        <f t="shared" si="150"/>
        <v>-10158.352465703214</v>
      </c>
      <c r="AZ119" s="1">
        <f t="shared" si="151"/>
        <v>377200.00000000047</v>
      </c>
    </row>
    <row r="120" spans="1:52" x14ac:dyDescent="0.25">
      <c r="A120" s="4">
        <v>45923</v>
      </c>
      <c r="B120">
        <f t="shared" ref="B120:N120" si="258">(B670-B669)*100</f>
        <v>0.99999999999997868</v>
      </c>
      <c r="C120">
        <f t="shared" si="258"/>
        <v>0.99999999999997868</v>
      </c>
      <c r="D120">
        <f t="shared" si="258"/>
        <v>0</v>
      </c>
      <c r="E120">
        <f t="shared" si="258"/>
        <v>0.99999999999997868</v>
      </c>
      <c r="F120">
        <f t="shared" si="258"/>
        <v>0</v>
      </c>
      <c r="G120">
        <f t="shared" si="258"/>
        <v>0</v>
      </c>
      <c r="H120">
        <f t="shared" si="258"/>
        <v>8.0000000000000071</v>
      </c>
      <c r="I120">
        <f t="shared" si="258"/>
        <v>2.0000000000000018</v>
      </c>
      <c r="J120">
        <f t="shared" si="258"/>
        <v>2.9999999999999805</v>
      </c>
      <c r="K120">
        <f t="shared" si="258"/>
        <v>2.9999999999999805</v>
      </c>
      <c r="L120">
        <f t="shared" si="258"/>
        <v>3.0000000000000249</v>
      </c>
      <c r="M120">
        <f t="shared" si="258"/>
        <v>3.0000000000000249</v>
      </c>
      <c r="N120">
        <f t="shared" si="258"/>
        <v>3.9999999999999147</v>
      </c>
      <c r="O120" s="5">
        <f t="shared" si="247"/>
        <v>0</v>
      </c>
      <c r="P120" s="5">
        <f t="shared" si="247"/>
        <v>0</v>
      </c>
      <c r="Q120" s="5">
        <f t="shared" si="247"/>
        <v>0</v>
      </c>
      <c r="R120" s="5">
        <f t="shared" si="247"/>
        <v>0</v>
      </c>
      <c r="S120" s="5">
        <f t="shared" si="247"/>
        <v>0</v>
      </c>
      <c r="T120" s="5">
        <f t="shared" ref="T120:X120" si="259">LN(T669/T670)</f>
        <v>-5.449052770065934E-3</v>
      </c>
      <c r="U120" s="5">
        <f t="shared" si="259"/>
        <v>-3.7231898886482843E-3</v>
      </c>
      <c r="V120" s="5">
        <f t="shared" si="259"/>
        <v>-2.5014894257503694E-3</v>
      </c>
      <c r="W120" s="5">
        <f t="shared" si="259"/>
        <v>-1.9238787645370439E-3</v>
      </c>
      <c r="X120" s="5">
        <f t="shared" si="259"/>
        <v>-4.8344307658799834E-3</v>
      </c>
      <c r="Z120" s="4">
        <v>45923</v>
      </c>
      <c r="AA120">
        <f>B120*B$3</f>
        <v>-982.99999999997908</v>
      </c>
      <c r="AB120">
        <f>C120*C$3</f>
        <v>-2583.999999999945</v>
      </c>
      <c r="AC120">
        <f>D120*D$3</f>
        <v>0</v>
      </c>
      <c r="AD120">
        <f>E120*E$3</f>
        <v>2427.9999999999482</v>
      </c>
      <c r="AE120">
        <f>F120*F$3</f>
        <v>0</v>
      </c>
      <c r="AF120">
        <f>G120*G$3</f>
        <v>0</v>
      </c>
      <c r="AG120">
        <f>H120*H$3</f>
        <v>-225728.0000000002</v>
      </c>
      <c r="AH120">
        <f>I120*I$3</f>
        <v>-36912.000000000036</v>
      </c>
      <c r="AI120">
        <f>J120*J$3</f>
        <v>-153154.49999999901</v>
      </c>
      <c r="AJ120">
        <f>K120*K$3</f>
        <v>-235184.99999999846</v>
      </c>
      <c r="AK120">
        <f>L120*L$3</f>
        <v>93012.000000000771</v>
      </c>
      <c r="AL120">
        <f>M120*M$3</f>
        <v>96219.0000000008</v>
      </c>
      <c r="AM120">
        <f>N120*N$3</f>
        <v>0</v>
      </c>
      <c r="AN120">
        <f>O120*O$3</f>
        <v>0</v>
      </c>
      <c r="AO120">
        <f>P120*P$3</f>
        <v>0</v>
      </c>
      <c r="AP120">
        <f>Q120*Q$3</f>
        <v>0</v>
      </c>
      <c r="AQ120">
        <f>R120*R$3</f>
        <v>0</v>
      </c>
      <c r="AR120" s="1">
        <f>S120*S$3</f>
        <v>0</v>
      </c>
      <c r="AS120" s="1">
        <f t="shared" si="253"/>
        <v>-21796.211080263736</v>
      </c>
      <c r="AT120" s="1">
        <f t="shared" si="253"/>
        <v>-29785.519109186276</v>
      </c>
      <c r="AU120" s="1">
        <f t="shared" si="253"/>
        <v>0</v>
      </c>
      <c r="AV120" s="1">
        <f t="shared" si="253"/>
        <v>0</v>
      </c>
      <c r="AW120" s="1">
        <f t="shared" si="253"/>
        <v>0</v>
      </c>
      <c r="AX120" s="1">
        <f t="shared" si="149"/>
        <v>-514469.23018944601</v>
      </c>
      <c r="AY120" s="1">
        <f t="shared" si="150"/>
        <v>-51581.730189450012</v>
      </c>
      <c r="AZ120" s="1">
        <f t="shared" si="151"/>
        <v>-462887.49999999598</v>
      </c>
    </row>
    <row r="121" spans="1:52" x14ac:dyDescent="0.25">
      <c r="A121" s="4">
        <v>45922</v>
      </c>
      <c r="B121">
        <f t="shared" ref="B121:N121" si="260">(B671-B670)*100</f>
        <v>2.0000000000000462</v>
      </c>
      <c r="C121">
        <f t="shared" si="260"/>
        <v>0.99999999999997868</v>
      </c>
      <c r="D121">
        <f t="shared" si="260"/>
        <v>3.0000000000000249</v>
      </c>
      <c r="E121">
        <f t="shared" si="260"/>
        <v>0</v>
      </c>
      <c r="F121">
        <f t="shared" si="260"/>
        <v>0</v>
      </c>
      <c r="G121">
        <f t="shared" si="260"/>
        <v>-0.99999999999997868</v>
      </c>
      <c r="H121">
        <f t="shared" si="260"/>
        <v>-4.0000000000000036</v>
      </c>
      <c r="I121">
        <f t="shared" si="260"/>
        <v>-2.9999999999999805</v>
      </c>
      <c r="J121">
        <f t="shared" si="260"/>
        <v>-2.9999999999999805</v>
      </c>
      <c r="K121">
        <f t="shared" si="260"/>
        <v>-2.0000000000000018</v>
      </c>
      <c r="L121">
        <f t="shared" si="260"/>
        <v>-1.0000000000000675</v>
      </c>
      <c r="M121">
        <f t="shared" si="260"/>
        <v>-2.0000000000000462</v>
      </c>
      <c r="N121">
        <f t="shared" si="260"/>
        <v>-1.9999999999999574</v>
      </c>
      <c r="O121" s="5">
        <f t="shared" si="247"/>
        <v>0</v>
      </c>
      <c r="P121" s="5">
        <f t="shared" si="247"/>
        <v>0</v>
      </c>
      <c r="Q121" s="5">
        <f t="shared" si="247"/>
        <v>0</v>
      </c>
      <c r="R121" s="5">
        <f t="shared" si="247"/>
        <v>0</v>
      </c>
      <c r="S121" s="5">
        <f t="shared" si="247"/>
        <v>0</v>
      </c>
      <c r="T121" s="5">
        <f t="shared" ref="T121:X121" si="261">LN(T670/T671)</f>
        <v>4.5997573693827478E-3</v>
      </c>
      <c r="U121" s="5">
        <f t="shared" si="261"/>
        <v>6.7551459173484981E-3</v>
      </c>
      <c r="V121" s="5">
        <f t="shared" si="261"/>
        <v>9.9982437440696015E-4</v>
      </c>
      <c r="W121" s="5">
        <f t="shared" si="261"/>
        <v>4.3299961478267413E-3</v>
      </c>
      <c r="X121" s="5">
        <f t="shared" si="261"/>
        <v>4.6830216510563337E-3</v>
      </c>
      <c r="Z121" s="4">
        <v>45922</v>
      </c>
      <c r="AA121">
        <f>B121*B$3</f>
        <v>-1966.0000000000455</v>
      </c>
      <c r="AB121">
        <f>C121*C$3</f>
        <v>-2583.999999999945</v>
      </c>
      <c r="AC121">
        <f>D121*D$3</f>
        <v>48429.0000000004</v>
      </c>
      <c r="AD121">
        <f>E121*E$3</f>
        <v>0</v>
      </c>
      <c r="AE121">
        <f>F121*F$3</f>
        <v>0</v>
      </c>
      <c r="AF121">
        <f>G121*G$3</f>
        <v>15627.999999999667</v>
      </c>
      <c r="AG121">
        <f>H121*H$3</f>
        <v>112864.0000000001</v>
      </c>
      <c r="AH121">
        <f>I121*I$3</f>
        <v>55367.999999999636</v>
      </c>
      <c r="AI121">
        <f>J121*J$3</f>
        <v>153154.49999999901</v>
      </c>
      <c r="AJ121">
        <f>K121*K$3</f>
        <v>156790.00000000015</v>
      </c>
      <c r="AK121">
        <f>L121*L$3</f>
        <v>-31004.000000002092</v>
      </c>
      <c r="AL121">
        <f>M121*M$3</f>
        <v>-64146.000000001484</v>
      </c>
      <c r="AM121">
        <f>N121*N$3</f>
        <v>0</v>
      </c>
      <c r="AN121">
        <f>O121*O$3</f>
        <v>0</v>
      </c>
      <c r="AO121">
        <f>P121*P$3</f>
        <v>0</v>
      </c>
      <c r="AP121">
        <f>Q121*Q$3</f>
        <v>0</v>
      </c>
      <c r="AQ121">
        <f>R121*R$3</f>
        <v>0</v>
      </c>
      <c r="AR121" s="1">
        <f>S121*S$3</f>
        <v>0</v>
      </c>
      <c r="AS121" s="1">
        <f t="shared" si="253"/>
        <v>18399.029477530992</v>
      </c>
      <c r="AT121" s="1">
        <f t="shared" si="253"/>
        <v>54041.167338787985</v>
      </c>
      <c r="AU121" s="1">
        <f t="shared" si="253"/>
        <v>0</v>
      </c>
      <c r="AV121" s="1">
        <f t="shared" si="253"/>
        <v>0</v>
      </c>
      <c r="AW121" s="1">
        <f t="shared" si="253"/>
        <v>0</v>
      </c>
      <c r="AX121" s="1">
        <f t="shared" si="149"/>
        <v>514973.6968163143</v>
      </c>
      <c r="AY121" s="1">
        <f t="shared" si="150"/>
        <v>72440.196816318974</v>
      </c>
      <c r="AZ121" s="1">
        <f t="shared" si="151"/>
        <v>442533.49999999534</v>
      </c>
    </row>
    <row r="122" spans="1:52" x14ac:dyDescent="0.25">
      <c r="A122" s="4">
        <v>45919</v>
      </c>
      <c r="B122">
        <f t="shared" ref="B122:N122" si="262">(B672-B671)*100</f>
        <v>0.99999999999997868</v>
      </c>
      <c r="C122">
        <f t="shared" si="262"/>
        <v>0</v>
      </c>
      <c r="D122">
        <f t="shared" si="262"/>
        <v>0</v>
      </c>
      <c r="E122">
        <f t="shared" si="262"/>
        <v>0</v>
      </c>
      <c r="F122">
        <f t="shared" si="262"/>
        <v>0</v>
      </c>
      <c r="G122">
        <f t="shared" si="262"/>
        <v>0.99999999999997868</v>
      </c>
      <c r="H122">
        <f t="shared" si="262"/>
        <v>0</v>
      </c>
      <c r="I122">
        <f t="shared" si="262"/>
        <v>-1.0000000000000231</v>
      </c>
      <c r="J122">
        <f t="shared" si="262"/>
        <v>-1.0000000000000231</v>
      </c>
      <c r="K122">
        <f t="shared" si="262"/>
        <v>-2.0000000000000018</v>
      </c>
      <c r="L122">
        <f t="shared" si="262"/>
        <v>-2.9999999999999361</v>
      </c>
      <c r="M122">
        <f t="shared" si="262"/>
        <v>-3.0000000000000249</v>
      </c>
      <c r="N122">
        <f t="shared" si="262"/>
        <v>-3.0000000000000249</v>
      </c>
      <c r="O122" s="5">
        <f t="shared" si="247"/>
        <v>0</v>
      </c>
      <c r="P122" s="5">
        <f t="shared" si="247"/>
        <v>0</v>
      </c>
      <c r="Q122" s="5">
        <f t="shared" si="247"/>
        <v>0</v>
      </c>
      <c r="R122" s="5">
        <f t="shared" si="247"/>
        <v>0</v>
      </c>
      <c r="S122" s="5">
        <f t="shared" si="247"/>
        <v>0</v>
      </c>
      <c r="T122" s="5">
        <f t="shared" ref="T122:X122" si="263">LN(T671/T672)</f>
        <v>2.9875276829984219E-3</v>
      </c>
      <c r="U122" s="5">
        <f t="shared" si="263"/>
        <v>5.4235469683440998E-3</v>
      </c>
      <c r="V122" s="5">
        <f t="shared" si="263"/>
        <v>7.1632844198963371E-3</v>
      </c>
      <c r="W122" s="5">
        <f t="shared" si="263"/>
        <v>5.2145186873864798E-3</v>
      </c>
      <c r="X122" s="5">
        <f t="shared" si="263"/>
        <v>5.2756559680928895E-3</v>
      </c>
      <c r="Z122" s="4">
        <v>45919</v>
      </c>
      <c r="AA122">
        <f>B122*B$3</f>
        <v>-982.99999999997908</v>
      </c>
      <c r="AB122">
        <f>C122*C$3</f>
        <v>0</v>
      </c>
      <c r="AC122">
        <f>D122*D$3</f>
        <v>0</v>
      </c>
      <c r="AD122">
        <f>E122*E$3</f>
        <v>0</v>
      </c>
      <c r="AE122">
        <f>F122*F$3</f>
        <v>0</v>
      </c>
      <c r="AF122">
        <f>G122*G$3</f>
        <v>-15627.999999999667</v>
      </c>
      <c r="AG122">
        <f>H122*H$3</f>
        <v>0</v>
      </c>
      <c r="AH122">
        <f>I122*I$3</f>
        <v>18456.000000000426</v>
      </c>
      <c r="AI122">
        <f>J122*J$3</f>
        <v>51051.500000001179</v>
      </c>
      <c r="AJ122">
        <f>K122*K$3</f>
        <v>156790.00000000015</v>
      </c>
      <c r="AK122">
        <f>L122*L$3</f>
        <v>-93011.999999998021</v>
      </c>
      <c r="AL122">
        <f>M122*M$3</f>
        <v>-96219.0000000008</v>
      </c>
      <c r="AM122">
        <f>N122*N$3</f>
        <v>0</v>
      </c>
      <c r="AN122">
        <f>O122*O$3</f>
        <v>0</v>
      </c>
      <c r="AO122">
        <f>P122*P$3</f>
        <v>0</v>
      </c>
      <c r="AP122">
        <f>Q122*Q$3</f>
        <v>0</v>
      </c>
      <c r="AQ122">
        <f>R122*R$3</f>
        <v>0</v>
      </c>
      <c r="AR122" s="1">
        <f>S122*S$3</f>
        <v>0</v>
      </c>
      <c r="AS122" s="1">
        <f t="shared" si="253"/>
        <v>11950.110731993687</v>
      </c>
      <c r="AT122" s="1">
        <f t="shared" si="253"/>
        <v>43388.375746752798</v>
      </c>
      <c r="AU122" s="1">
        <f t="shared" si="253"/>
        <v>0</v>
      </c>
      <c r="AV122" s="1">
        <f t="shared" si="253"/>
        <v>0</v>
      </c>
      <c r="AW122" s="1">
        <f t="shared" si="253"/>
        <v>0</v>
      </c>
      <c r="AX122" s="1">
        <f t="shared" si="149"/>
        <v>75793.98647874975</v>
      </c>
      <c r="AY122" s="1">
        <f t="shared" si="150"/>
        <v>55338.486478746483</v>
      </c>
      <c r="AZ122" s="1">
        <f t="shared" si="151"/>
        <v>20455.500000003267</v>
      </c>
    </row>
    <row r="123" spans="1:52" x14ac:dyDescent="0.25">
      <c r="A123" s="4">
        <v>45918</v>
      </c>
      <c r="B123">
        <f t="shared" ref="B123:N123" si="264">(B673-B672)*100</f>
        <v>-3.0000000000000249</v>
      </c>
      <c r="C123">
        <f t="shared" si="264"/>
        <v>-2.9999999999999361</v>
      </c>
      <c r="D123">
        <f t="shared" si="264"/>
        <v>-1.0000000000000675</v>
      </c>
      <c r="E123">
        <f t="shared" si="264"/>
        <v>-0.99999999999997868</v>
      </c>
      <c r="F123">
        <f t="shared" si="264"/>
        <v>-1.0000000000000231</v>
      </c>
      <c r="G123">
        <f t="shared" si="264"/>
        <v>-0.99999999999997868</v>
      </c>
      <c r="H123">
        <f t="shared" si="264"/>
        <v>-4.9999999999999822</v>
      </c>
      <c r="I123">
        <f t="shared" si="264"/>
        <v>-4.0000000000000036</v>
      </c>
      <c r="J123">
        <f t="shared" si="264"/>
        <v>-4.9999999999999822</v>
      </c>
      <c r="K123">
        <f t="shared" si="264"/>
        <v>-4.9999999999999822</v>
      </c>
      <c r="L123">
        <f t="shared" si="264"/>
        <v>-5.0000000000000711</v>
      </c>
      <c r="M123">
        <f t="shared" si="264"/>
        <v>-5.9999999999999609</v>
      </c>
      <c r="N123">
        <f t="shared" si="264"/>
        <v>-5.9999999999999609</v>
      </c>
      <c r="O123" s="5">
        <f t="shared" si="247"/>
        <v>0</v>
      </c>
      <c r="P123" s="5">
        <f t="shared" si="247"/>
        <v>0</v>
      </c>
      <c r="Q123" s="5">
        <f t="shared" si="247"/>
        <v>0</v>
      </c>
      <c r="R123" s="5">
        <f t="shared" si="247"/>
        <v>0</v>
      </c>
      <c r="S123" s="5">
        <f t="shared" si="247"/>
        <v>0</v>
      </c>
      <c r="T123" s="5">
        <f t="shared" ref="T123:X123" si="265">LN(T672/T673)</f>
        <v>3.8034942077852778E-3</v>
      </c>
      <c r="U123" s="5">
        <f t="shared" si="265"/>
        <v>1.7734812255831207E-3</v>
      </c>
      <c r="V123" s="5">
        <f t="shared" si="265"/>
        <v>3.2595021328209921E-3</v>
      </c>
      <c r="W123" s="5">
        <f t="shared" si="265"/>
        <v>5.4713192274815333E-3</v>
      </c>
      <c r="X123" s="5">
        <f t="shared" si="265"/>
        <v>3.0871387830154109E-3</v>
      </c>
      <c r="Z123" s="4">
        <v>45918</v>
      </c>
      <c r="AA123">
        <f>B123*B$3</f>
        <v>2949.0000000000246</v>
      </c>
      <c r="AB123">
        <f>C123*C$3</f>
        <v>7751.9999999998345</v>
      </c>
      <c r="AC123">
        <f>D123*D$3</f>
        <v>-16143.00000000109</v>
      </c>
      <c r="AD123">
        <f>E123*E$3</f>
        <v>-2427.9999999999482</v>
      </c>
      <c r="AE123">
        <f>F123*F$3</f>
        <v>12428.000000000287</v>
      </c>
      <c r="AF123">
        <f>G123*G$3</f>
        <v>15627.999999999667</v>
      </c>
      <c r="AG123">
        <f>H123*H$3</f>
        <v>141079.99999999951</v>
      </c>
      <c r="AH123">
        <f>I123*I$3</f>
        <v>73824.000000000073</v>
      </c>
      <c r="AI123">
        <f>J123*J$3</f>
        <v>255257.4999999991</v>
      </c>
      <c r="AJ123">
        <f>K123*K$3</f>
        <v>391974.9999999986</v>
      </c>
      <c r="AK123">
        <f>L123*L$3</f>
        <v>-155020.00000000221</v>
      </c>
      <c r="AL123">
        <f>M123*M$3</f>
        <v>-192437.99999999875</v>
      </c>
      <c r="AM123">
        <f>N123*N$3</f>
        <v>0</v>
      </c>
      <c r="AN123">
        <f>O123*O$3</f>
        <v>0</v>
      </c>
      <c r="AO123">
        <f>P123*P$3</f>
        <v>0</v>
      </c>
      <c r="AP123">
        <f>Q123*Q$3</f>
        <v>0</v>
      </c>
      <c r="AQ123">
        <f>R123*R$3</f>
        <v>0</v>
      </c>
      <c r="AR123" s="1">
        <f>S123*S$3</f>
        <v>0</v>
      </c>
      <c r="AS123" s="1">
        <f t="shared" si="253"/>
        <v>15213.976831141112</v>
      </c>
      <c r="AT123" s="1">
        <f t="shared" si="253"/>
        <v>14187.849804664966</v>
      </c>
      <c r="AU123" s="1">
        <f t="shared" si="253"/>
        <v>0</v>
      </c>
      <c r="AV123" s="1">
        <f t="shared" si="253"/>
        <v>0</v>
      </c>
      <c r="AW123" s="1">
        <f t="shared" si="253"/>
        <v>0</v>
      </c>
      <c r="AX123" s="1">
        <f t="shared" si="149"/>
        <v>564266.32663580123</v>
      </c>
      <c r="AY123" s="1">
        <f t="shared" si="150"/>
        <v>29401.826635806079</v>
      </c>
      <c r="AZ123" s="1">
        <f t="shared" si="151"/>
        <v>534864.49999999511</v>
      </c>
    </row>
    <row r="124" spans="1:52" x14ac:dyDescent="0.25">
      <c r="A124" s="4">
        <v>45917</v>
      </c>
      <c r="B124">
        <f t="shared" ref="B124:N124" si="266">(B674-B673)*100</f>
        <v>3.0000000000000249</v>
      </c>
      <c r="C124">
        <f t="shared" si="266"/>
        <v>4.0000000000000036</v>
      </c>
      <c r="D124">
        <f t="shared" si="266"/>
        <v>2.0000000000000462</v>
      </c>
      <c r="E124">
        <f t="shared" si="266"/>
        <v>2.9999999999999805</v>
      </c>
      <c r="F124">
        <f t="shared" si="266"/>
        <v>1.0000000000000231</v>
      </c>
      <c r="G124">
        <f t="shared" si="266"/>
        <v>2.0000000000000018</v>
      </c>
      <c r="H124">
        <f t="shared" si="266"/>
        <v>-1.0000000000000231</v>
      </c>
      <c r="I124">
        <f t="shared" si="266"/>
        <v>-3.9999999999999591</v>
      </c>
      <c r="J124">
        <f t="shared" si="266"/>
        <v>-3.0000000000000249</v>
      </c>
      <c r="K124">
        <f t="shared" si="266"/>
        <v>-3.0000000000000249</v>
      </c>
      <c r="L124">
        <f t="shared" si="266"/>
        <v>-1.9999999999999574</v>
      </c>
      <c r="M124">
        <f t="shared" si="266"/>
        <v>-0.99999999999997868</v>
      </c>
      <c r="N124">
        <f t="shared" si="266"/>
        <v>-0.99999999999997868</v>
      </c>
      <c r="O124" s="5">
        <f t="shared" si="247"/>
        <v>0</v>
      </c>
      <c r="P124" s="5">
        <f t="shared" si="247"/>
        <v>0</v>
      </c>
      <c r="Q124" s="5">
        <f t="shared" si="247"/>
        <v>0</v>
      </c>
      <c r="R124" s="5">
        <f t="shared" si="247"/>
        <v>0</v>
      </c>
      <c r="S124" s="5">
        <f t="shared" si="247"/>
        <v>0</v>
      </c>
      <c r="T124" s="5">
        <f t="shared" ref="T124:X124" si="267">LN(T673/T674)</f>
        <v>-9.1111575848016185E-3</v>
      </c>
      <c r="U124" s="5">
        <f t="shared" si="267"/>
        <v>-3.7613830510863709E-3</v>
      </c>
      <c r="V124" s="5">
        <f t="shared" si="267"/>
        <v>-6.7525351541059134E-3</v>
      </c>
      <c r="W124" s="5">
        <f t="shared" si="267"/>
        <v>-2.3944465730553707E-3</v>
      </c>
      <c r="X124" s="5">
        <f t="shared" si="267"/>
        <v>-1.1072020014862832E-2</v>
      </c>
      <c r="Z124" s="4">
        <v>45917</v>
      </c>
      <c r="AA124">
        <f>B124*B$3</f>
        <v>-2949.0000000000246</v>
      </c>
      <c r="AB124">
        <f>C124*C$3</f>
        <v>-10336.000000000009</v>
      </c>
      <c r="AC124">
        <f>D124*D$3</f>
        <v>32286.000000000746</v>
      </c>
      <c r="AD124">
        <f>E124*E$3</f>
        <v>7283.9999999999527</v>
      </c>
      <c r="AE124">
        <f>F124*F$3</f>
        <v>-12428.000000000287</v>
      </c>
      <c r="AF124">
        <f>G124*G$3</f>
        <v>-31256.000000000029</v>
      </c>
      <c r="AG124">
        <f>H124*H$3</f>
        <v>28216.000000000651</v>
      </c>
      <c r="AH124">
        <f>I124*I$3</f>
        <v>73823.999999999243</v>
      </c>
      <c r="AI124">
        <f>J124*J$3</f>
        <v>153154.50000000128</v>
      </c>
      <c r="AJ124">
        <f>K124*K$3</f>
        <v>235185.00000000195</v>
      </c>
      <c r="AK124">
        <f>L124*L$3</f>
        <v>-62007.999999998676</v>
      </c>
      <c r="AL124">
        <f>M124*M$3</f>
        <v>-32072.999999999316</v>
      </c>
      <c r="AM124">
        <f>N124*N$3</f>
        <v>0</v>
      </c>
      <c r="AN124">
        <f>O124*O$3</f>
        <v>0</v>
      </c>
      <c r="AO124">
        <f>P124*P$3</f>
        <v>0</v>
      </c>
      <c r="AP124">
        <f>Q124*Q$3</f>
        <v>0</v>
      </c>
      <c r="AQ124">
        <f>R124*R$3</f>
        <v>0</v>
      </c>
      <c r="AR124" s="1">
        <f>S124*S$3</f>
        <v>0</v>
      </c>
      <c r="AS124" s="1">
        <f t="shared" si="253"/>
        <v>-36444.630339206473</v>
      </c>
      <c r="AT124" s="1">
        <f t="shared" si="253"/>
        <v>-30091.064408690967</v>
      </c>
      <c r="AU124" s="1">
        <f t="shared" si="253"/>
        <v>0</v>
      </c>
      <c r="AV124" s="1">
        <f t="shared" si="253"/>
        <v>0</v>
      </c>
      <c r="AW124" s="1">
        <f t="shared" si="253"/>
        <v>0</v>
      </c>
      <c r="AX124" s="1">
        <f t="shared" si="149"/>
        <v>312363.80525210808</v>
      </c>
      <c r="AY124" s="1">
        <f t="shared" si="150"/>
        <v>-66535.694747897447</v>
      </c>
      <c r="AZ124" s="1">
        <f t="shared" si="151"/>
        <v>378899.50000000553</v>
      </c>
    </row>
    <row r="125" spans="1:52" x14ac:dyDescent="0.25">
      <c r="A125" s="4">
        <v>45916</v>
      </c>
      <c r="B125">
        <f t="shared" ref="B125:N125" si="268">(B675-B674)*100</f>
        <v>1.9999999999999574</v>
      </c>
      <c r="C125">
        <f t="shared" si="268"/>
        <v>1.9999999999999574</v>
      </c>
      <c r="D125">
        <f t="shared" si="268"/>
        <v>1.9999999999999574</v>
      </c>
      <c r="E125">
        <f t="shared" si="268"/>
        <v>0</v>
      </c>
      <c r="F125">
        <f t="shared" si="268"/>
        <v>0</v>
      </c>
      <c r="G125">
        <f t="shared" si="268"/>
        <v>2.0000000000000018</v>
      </c>
      <c r="H125">
        <f t="shared" si="268"/>
        <v>3.0000000000000249</v>
      </c>
      <c r="I125">
        <f t="shared" si="268"/>
        <v>2.9999999999999805</v>
      </c>
      <c r="J125">
        <f t="shared" si="268"/>
        <v>2.0000000000000018</v>
      </c>
      <c r="K125">
        <f t="shared" si="268"/>
        <v>1.0000000000000231</v>
      </c>
      <c r="L125">
        <f t="shared" si="268"/>
        <v>0.99999999999997868</v>
      </c>
      <c r="M125">
        <f t="shared" si="268"/>
        <v>1.9999999999999574</v>
      </c>
      <c r="N125">
        <f t="shared" si="268"/>
        <v>0.99999999999997868</v>
      </c>
      <c r="O125" s="5">
        <f t="shared" ref="O125:S134" si="269">LN(O674/O675)</f>
        <v>0</v>
      </c>
      <c r="P125" s="5">
        <f t="shared" si="269"/>
        <v>0</v>
      </c>
      <c r="Q125" s="5">
        <f t="shared" si="269"/>
        <v>0</v>
      </c>
      <c r="R125" s="5">
        <f t="shared" si="269"/>
        <v>0</v>
      </c>
      <c r="S125" s="5">
        <f t="shared" si="269"/>
        <v>0</v>
      </c>
      <c r="T125" s="5">
        <f t="shared" ref="T125:X125" si="270">LN(T674/T675)</f>
        <v>-3.1711723364198446E-3</v>
      </c>
      <c r="U125" s="5">
        <f t="shared" si="270"/>
        <v>-3.6254340265838097E-3</v>
      </c>
      <c r="V125" s="5">
        <f t="shared" si="270"/>
        <v>-1.7690769729304422E-3</v>
      </c>
      <c r="W125" s="5">
        <f t="shared" si="270"/>
        <v>-3.603574934595016E-3</v>
      </c>
      <c r="X125" s="5">
        <f t="shared" si="270"/>
        <v>-2.56388211877097E-3</v>
      </c>
      <c r="Z125" s="4">
        <v>45916</v>
      </c>
      <c r="AA125">
        <f>B125*B$3</f>
        <v>-1965.9999999999582</v>
      </c>
      <c r="AB125">
        <f>C125*C$3</f>
        <v>-5167.99999999989</v>
      </c>
      <c r="AC125">
        <f>D125*D$3</f>
        <v>32285.999999999312</v>
      </c>
      <c r="AD125">
        <f>E125*E$3</f>
        <v>0</v>
      </c>
      <c r="AE125">
        <f>F125*F$3</f>
        <v>0</v>
      </c>
      <c r="AF125">
        <f>G125*G$3</f>
        <v>-31256.000000000029</v>
      </c>
      <c r="AG125">
        <f>H125*H$3</f>
        <v>-84648.000000000698</v>
      </c>
      <c r="AH125">
        <f>I125*I$3</f>
        <v>-55367.999999999636</v>
      </c>
      <c r="AI125">
        <f>J125*J$3</f>
        <v>-102103.00000000009</v>
      </c>
      <c r="AJ125">
        <f>K125*K$3</f>
        <v>-78395.000000001804</v>
      </c>
      <c r="AK125">
        <f>L125*L$3</f>
        <v>31003.999999999338</v>
      </c>
      <c r="AL125">
        <f>M125*M$3</f>
        <v>64145.999999998632</v>
      </c>
      <c r="AM125">
        <f>N125*N$3</f>
        <v>0</v>
      </c>
      <c r="AN125">
        <f>O125*O$3</f>
        <v>0</v>
      </c>
      <c r="AO125">
        <f>P125*P$3</f>
        <v>0</v>
      </c>
      <c r="AP125">
        <f>Q125*Q$3</f>
        <v>0</v>
      </c>
      <c r="AQ125">
        <f>R125*R$3</f>
        <v>0</v>
      </c>
      <c r="AR125" s="1">
        <f>S125*S$3</f>
        <v>0</v>
      </c>
      <c r="AS125" s="1">
        <f t="shared" si="253"/>
        <v>-12684.689345679379</v>
      </c>
      <c r="AT125" s="1">
        <f t="shared" si="253"/>
        <v>-29003.472212670476</v>
      </c>
      <c r="AU125" s="1">
        <f t="shared" si="253"/>
        <v>0</v>
      </c>
      <c r="AV125" s="1">
        <f t="shared" si="253"/>
        <v>0</v>
      </c>
      <c r="AW125" s="1">
        <f t="shared" si="253"/>
        <v>0</v>
      </c>
      <c r="AX125" s="1">
        <f t="shared" si="149"/>
        <v>-273156.16155835468</v>
      </c>
      <c r="AY125" s="1">
        <f t="shared" si="150"/>
        <v>-41688.161558349857</v>
      </c>
      <c r="AZ125" s="1">
        <f t="shared" si="151"/>
        <v>-231468.00000000483</v>
      </c>
    </row>
    <row r="126" spans="1:52" x14ac:dyDescent="0.25">
      <c r="A126" s="4">
        <v>45915</v>
      </c>
      <c r="B126">
        <f t="shared" ref="B126:N126" si="271">(B676-B675)*100</f>
        <v>2.0000000000000462</v>
      </c>
      <c r="C126">
        <f t="shared" si="271"/>
        <v>3.0000000000000249</v>
      </c>
      <c r="D126">
        <f t="shared" si="271"/>
        <v>2.0000000000000462</v>
      </c>
      <c r="E126">
        <f t="shared" si="271"/>
        <v>1.9999999999999574</v>
      </c>
      <c r="F126">
        <f t="shared" si="271"/>
        <v>2.0000000000000018</v>
      </c>
      <c r="G126">
        <f t="shared" si="271"/>
        <v>2.0000000000000018</v>
      </c>
      <c r="H126">
        <f t="shared" si="271"/>
        <v>2.0000000000000018</v>
      </c>
      <c r="I126">
        <f t="shared" si="271"/>
        <v>2.0000000000000018</v>
      </c>
      <c r="J126">
        <f t="shared" si="271"/>
        <v>2.0000000000000018</v>
      </c>
      <c r="K126">
        <f t="shared" si="271"/>
        <v>2.0000000000000018</v>
      </c>
      <c r="L126">
        <f t="shared" si="271"/>
        <v>0.99999999999997868</v>
      </c>
      <c r="M126">
        <f t="shared" si="271"/>
        <v>2.0000000000000462</v>
      </c>
      <c r="N126">
        <f t="shared" si="271"/>
        <v>1.9999999999999574</v>
      </c>
      <c r="O126" s="5">
        <f t="shared" si="269"/>
        <v>0</v>
      </c>
      <c r="P126" s="5">
        <f t="shared" si="269"/>
        <v>0</v>
      </c>
      <c r="Q126" s="5">
        <f t="shared" si="269"/>
        <v>0</v>
      </c>
      <c r="R126" s="5">
        <f t="shared" si="269"/>
        <v>0</v>
      </c>
      <c r="S126" s="5">
        <f t="shared" si="269"/>
        <v>0</v>
      </c>
      <c r="T126" s="5">
        <f t="shared" ref="T126:X126" si="272">LN(T675/T676)</f>
        <v>7.0383628215103865E-4</v>
      </c>
      <c r="U126" s="5">
        <f t="shared" si="272"/>
        <v>1.7092631702548455E-3</v>
      </c>
      <c r="V126" s="5">
        <f t="shared" si="272"/>
        <v>2.9977393244218714E-3</v>
      </c>
      <c r="W126" s="5">
        <f t="shared" si="272"/>
        <v>2.8537922680762157E-3</v>
      </c>
      <c r="X126" s="5">
        <f t="shared" si="272"/>
        <v>9.4183317414562109E-4</v>
      </c>
      <c r="Z126" s="4">
        <v>45915</v>
      </c>
      <c r="AA126">
        <f>B126*B$3</f>
        <v>-1966.0000000000455</v>
      </c>
      <c r="AB126">
        <f>C126*C$3</f>
        <v>-7752.0000000000646</v>
      </c>
      <c r="AC126">
        <f>D126*D$3</f>
        <v>32286.000000000746</v>
      </c>
      <c r="AD126">
        <f>E126*E$3</f>
        <v>4855.9999999998963</v>
      </c>
      <c r="AE126">
        <f>F126*F$3</f>
        <v>-24856.000000000022</v>
      </c>
      <c r="AF126">
        <f>G126*G$3</f>
        <v>-31256.000000000029</v>
      </c>
      <c r="AG126">
        <f>H126*H$3</f>
        <v>-56432.000000000051</v>
      </c>
      <c r="AH126">
        <f>I126*I$3</f>
        <v>-36912.000000000036</v>
      </c>
      <c r="AI126">
        <f>J126*J$3</f>
        <v>-102103.00000000009</v>
      </c>
      <c r="AJ126">
        <f>K126*K$3</f>
        <v>-156790.00000000015</v>
      </c>
      <c r="AK126">
        <f>L126*L$3</f>
        <v>31003.999999999338</v>
      </c>
      <c r="AL126">
        <f>M126*M$3</f>
        <v>64146.000000001484</v>
      </c>
      <c r="AM126">
        <f>N126*N$3</f>
        <v>0</v>
      </c>
      <c r="AN126">
        <f>O126*O$3</f>
        <v>0</v>
      </c>
      <c r="AO126">
        <f>P126*P$3</f>
        <v>0</v>
      </c>
      <c r="AP126">
        <f>Q126*Q$3</f>
        <v>0</v>
      </c>
      <c r="AQ126">
        <f>R126*R$3</f>
        <v>0</v>
      </c>
      <c r="AR126" s="1">
        <f>S126*S$3</f>
        <v>0</v>
      </c>
      <c r="AS126" s="1">
        <f t="shared" si="253"/>
        <v>2815.3451286041545</v>
      </c>
      <c r="AT126" s="1">
        <f t="shared" si="253"/>
        <v>13674.105362038765</v>
      </c>
      <c r="AU126" s="1">
        <f t="shared" si="253"/>
        <v>0</v>
      </c>
      <c r="AV126" s="1">
        <f t="shared" si="253"/>
        <v>0</v>
      </c>
      <c r="AW126" s="1">
        <f t="shared" si="253"/>
        <v>0</v>
      </c>
      <c r="AX126" s="1">
        <f t="shared" si="149"/>
        <v>-269285.54950935603</v>
      </c>
      <c r="AY126" s="1">
        <f t="shared" si="150"/>
        <v>16489.450490642921</v>
      </c>
      <c r="AZ126" s="1">
        <f t="shared" si="151"/>
        <v>-285774.99999999895</v>
      </c>
    </row>
    <row r="127" spans="1:52" x14ac:dyDescent="0.25">
      <c r="A127" s="4">
        <v>45912</v>
      </c>
      <c r="B127">
        <f t="shared" ref="B127:N127" si="273">(B677-B676)*100</f>
        <v>-2.0000000000000462</v>
      </c>
      <c r="C127">
        <f t="shared" si="273"/>
        <v>-2.0000000000000462</v>
      </c>
      <c r="D127">
        <f t="shared" si="273"/>
        <v>0</v>
      </c>
      <c r="E127">
        <f t="shared" si="273"/>
        <v>-1.9999999999999574</v>
      </c>
      <c r="F127">
        <f t="shared" si="273"/>
        <v>-1.0000000000000231</v>
      </c>
      <c r="G127">
        <f t="shared" si="273"/>
        <v>-3.0000000000000249</v>
      </c>
      <c r="H127">
        <f t="shared" si="273"/>
        <v>-4.0000000000000036</v>
      </c>
      <c r="I127">
        <f t="shared" si="273"/>
        <v>-4.9999999999999822</v>
      </c>
      <c r="J127">
        <f t="shared" si="273"/>
        <v>-4.0000000000000036</v>
      </c>
      <c r="K127">
        <f t="shared" si="273"/>
        <v>-5.0000000000000266</v>
      </c>
      <c r="L127">
        <f t="shared" si="273"/>
        <v>-4.9999999999999822</v>
      </c>
      <c r="M127">
        <f t="shared" si="273"/>
        <v>-4.0000000000000036</v>
      </c>
      <c r="N127">
        <f t="shared" si="273"/>
        <v>-2.9999999999999361</v>
      </c>
      <c r="O127" s="5">
        <f t="shared" si="269"/>
        <v>0</v>
      </c>
      <c r="P127" s="5">
        <f t="shared" si="269"/>
        <v>0</v>
      </c>
      <c r="Q127" s="5">
        <f t="shared" si="269"/>
        <v>0</v>
      </c>
      <c r="R127" s="5">
        <f t="shared" si="269"/>
        <v>0</v>
      </c>
      <c r="S127" s="5">
        <f t="shared" si="269"/>
        <v>0</v>
      </c>
      <c r="T127" s="5">
        <f t="shared" ref="T127:X127" si="274">LN(T676/T677)</f>
        <v>-2.6719411332331898E-3</v>
      </c>
      <c r="U127" s="5">
        <f t="shared" si="274"/>
        <v>-3.0906706342006987E-3</v>
      </c>
      <c r="V127" s="5">
        <f t="shared" si="274"/>
        <v>-7.3331871639623395E-4</v>
      </c>
      <c r="W127" s="5">
        <f t="shared" si="274"/>
        <v>-7.3279054337153943E-3</v>
      </c>
      <c r="X127" s="5">
        <f t="shared" si="274"/>
        <v>-3.4114723454442518E-3</v>
      </c>
      <c r="Z127" s="4">
        <v>45912</v>
      </c>
      <c r="AA127">
        <f>B127*B$3</f>
        <v>1966.0000000000455</v>
      </c>
      <c r="AB127">
        <f>C127*C$3</f>
        <v>5168.0000000001191</v>
      </c>
      <c r="AC127">
        <f>D127*D$3</f>
        <v>0</v>
      </c>
      <c r="AD127">
        <f>E127*E$3</f>
        <v>-4855.9999999998963</v>
      </c>
      <c r="AE127">
        <f>F127*F$3</f>
        <v>12428.000000000287</v>
      </c>
      <c r="AF127">
        <f>G127*G$3</f>
        <v>46884.000000000386</v>
      </c>
      <c r="AG127">
        <f>H127*H$3</f>
        <v>112864.0000000001</v>
      </c>
      <c r="AH127">
        <f>I127*I$3</f>
        <v>92279.999999999665</v>
      </c>
      <c r="AI127">
        <f>J127*J$3</f>
        <v>204206.00000000017</v>
      </c>
      <c r="AJ127">
        <f>K127*K$3</f>
        <v>391975.0000000021</v>
      </c>
      <c r="AK127">
        <f>L127*L$3</f>
        <v>-155019.99999999945</v>
      </c>
      <c r="AL127">
        <f>M127*M$3</f>
        <v>-128292.00000000012</v>
      </c>
      <c r="AM127">
        <f>N127*N$3</f>
        <v>0</v>
      </c>
      <c r="AN127">
        <f>O127*O$3</f>
        <v>0</v>
      </c>
      <c r="AO127">
        <f>P127*P$3</f>
        <v>0</v>
      </c>
      <c r="AP127">
        <f>Q127*Q$3</f>
        <v>0</v>
      </c>
      <c r="AQ127">
        <f>R127*R$3</f>
        <v>0</v>
      </c>
      <c r="AR127" s="1">
        <f>S127*S$3</f>
        <v>0</v>
      </c>
      <c r="AS127" s="1">
        <f t="shared" si="253"/>
        <v>-10687.764532932759</v>
      </c>
      <c r="AT127" s="1">
        <f t="shared" si="253"/>
        <v>-24725.36507360559</v>
      </c>
      <c r="AU127" s="1">
        <f t="shared" si="253"/>
        <v>0</v>
      </c>
      <c r="AV127" s="1">
        <f t="shared" si="253"/>
        <v>0</v>
      </c>
      <c r="AW127" s="1">
        <f t="shared" si="253"/>
        <v>0</v>
      </c>
      <c r="AX127" s="1">
        <f t="shared" si="149"/>
        <v>544189.87039346516</v>
      </c>
      <c r="AY127" s="1">
        <f t="shared" si="150"/>
        <v>-35413.12960653835</v>
      </c>
      <c r="AZ127" s="1">
        <f t="shared" si="151"/>
        <v>579603.00000000349</v>
      </c>
    </row>
    <row r="128" spans="1:52" x14ac:dyDescent="0.25">
      <c r="A128" s="4">
        <v>45911</v>
      </c>
      <c r="B128">
        <f t="shared" ref="B128:N128" si="275">(B678-B677)*100</f>
        <v>1.0000000000000675</v>
      </c>
      <c r="C128">
        <f t="shared" si="275"/>
        <v>2.0000000000000462</v>
      </c>
      <c r="D128">
        <f t="shared" si="275"/>
        <v>0.99999999999997868</v>
      </c>
      <c r="E128">
        <f t="shared" si="275"/>
        <v>1.9999999999999574</v>
      </c>
      <c r="F128">
        <f t="shared" si="275"/>
        <v>1.0000000000000231</v>
      </c>
      <c r="G128">
        <f t="shared" si="275"/>
        <v>3.0000000000000249</v>
      </c>
      <c r="H128">
        <f t="shared" si="275"/>
        <v>2.0000000000000018</v>
      </c>
      <c r="I128">
        <f t="shared" si="275"/>
        <v>0</v>
      </c>
      <c r="J128">
        <f t="shared" si="275"/>
        <v>0</v>
      </c>
      <c r="K128">
        <f t="shared" si="275"/>
        <v>2.0000000000000018</v>
      </c>
      <c r="L128">
        <f t="shared" si="275"/>
        <v>3.0000000000000249</v>
      </c>
      <c r="M128">
        <f t="shared" si="275"/>
        <v>4.0000000000000036</v>
      </c>
      <c r="N128">
        <f t="shared" si="275"/>
        <v>4.0000000000000036</v>
      </c>
      <c r="O128" s="5">
        <f t="shared" si="269"/>
        <v>0</v>
      </c>
      <c r="P128" s="5">
        <f t="shared" si="269"/>
        <v>0</v>
      </c>
      <c r="Q128" s="5">
        <f t="shared" si="269"/>
        <v>0</v>
      </c>
      <c r="R128" s="5">
        <f t="shared" si="269"/>
        <v>0</v>
      </c>
      <c r="S128" s="5">
        <f t="shared" si="269"/>
        <v>0</v>
      </c>
      <c r="T128" s="5">
        <f t="shared" ref="T128:X128" si="276">LN(T677/T678)</f>
        <v>-5.8570281120224487E-5</v>
      </c>
      <c r="U128" s="5">
        <f t="shared" si="276"/>
        <v>-1.0078396353495516E-3</v>
      </c>
      <c r="V128" s="5">
        <f t="shared" si="276"/>
        <v>-4.0714403727969622E-4</v>
      </c>
      <c r="W128" s="5">
        <f t="shared" si="276"/>
        <v>-5.2432640201829717E-3</v>
      </c>
      <c r="X128" s="5">
        <f t="shared" si="276"/>
        <v>1.7168406901649088E-3</v>
      </c>
      <c r="Z128" s="4">
        <v>45911</v>
      </c>
      <c r="AA128">
        <f>B128*B$3</f>
        <v>-983.00000000006639</v>
      </c>
      <c r="AB128">
        <f>C128*C$3</f>
        <v>-5168.0000000001191</v>
      </c>
      <c r="AC128">
        <f>D128*D$3</f>
        <v>16142.999999999656</v>
      </c>
      <c r="AD128">
        <f>E128*E$3</f>
        <v>4855.9999999998963</v>
      </c>
      <c r="AE128">
        <f>F128*F$3</f>
        <v>-12428.000000000287</v>
      </c>
      <c r="AF128">
        <f>G128*G$3</f>
        <v>-46884.000000000386</v>
      </c>
      <c r="AG128">
        <f>H128*H$3</f>
        <v>-56432.000000000051</v>
      </c>
      <c r="AH128">
        <f>I128*I$3</f>
        <v>0</v>
      </c>
      <c r="AI128">
        <f>J128*J$3</f>
        <v>0</v>
      </c>
      <c r="AJ128">
        <f>K128*K$3</f>
        <v>-156790.00000000015</v>
      </c>
      <c r="AK128">
        <f>L128*L$3</f>
        <v>93012.000000000771</v>
      </c>
      <c r="AL128">
        <f>M128*M$3</f>
        <v>128292.00000000012</v>
      </c>
      <c r="AM128">
        <f>N128*N$3</f>
        <v>0</v>
      </c>
      <c r="AN128">
        <f>O128*O$3</f>
        <v>0</v>
      </c>
      <c r="AO128">
        <f>P128*P$3</f>
        <v>0</v>
      </c>
      <c r="AP128">
        <f>Q128*Q$3</f>
        <v>0</v>
      </c>
      <c r="AQ128">
        <f>R128*R$3</f>
        <v>0</v>
      </c>
      <c r="AR128" s="1">
        <f>S128*S$3</f>
        <v>0</v>
      </c>
      <c r="AS128" s="1">
        <f t="shared" si="253"/>
        <v>-234.28112448089794</v>
      </c>
      <c r="AT128" s="1">
        <f t="shared" si="253"/>
        <v>-8062.7170827964128</v>
      </c>
      <c r="AU128" s="1">
        <f t="shared" si="253"/>
        <v>0</v>
      </c>
      <c r="AV128" s="1">
        <f t="shared" si="253"/>
        <v>0</v>
      </c>
      <c r="AW128" s="1">
        <f t="shared" si="253"/>
        <v>0</v>
      </c>
      <c r="AX128" s="1">
        <f t="shared" si="149"/>
        <v>-44678.998207277953</v>
      </c>
      <c r="AY128" s="1">
        <f t="shared" si="150"/>
        <v>-8296.9982072773109</v>
      </c>
      <c r="AZ128" s="1">
        <f t="shared" si="151"/>
        <v>-36382.00000000064</v>
      </c>
    </row>
    <row r="129" spans="1:52" x14ac:dyDescent="0.25">
      <c r="A129" s="4">
        <v>45910</v>
      </c>
      <c r="B129">
        <f t="shared" ref="B129:N129" si="277">(B679-B678)*100</f>
        <v>1.9999999999999574</v>
      </c>
      <c r="C129">
        <f t="shared" si="277"/>
        <v>1.9999999999999574</v>
      </c>
      <c r="D129">
        <f t="shared" si="277"/>
        <v>0.99999999999997868</v>
      </c>
      <c r="E129">
        <f t="shared" si="277"/>
        <v>3.0000000000000249</v>
      </c>
      <c r="F129">
        <f t="shared" si="277"/>
        <v>2.0000000000000018</v>
      </c>
      <c r="G129">
        <f t="shared" si="277"/>
        <v>2.0000000000000018</v>
      </c>
      <c r="H129">
        <f t="shared" si="277"/>
        <v>0</v>
      </c>
      <c r="I129">
        <f t="shared" si="277"/>
        <v>0.99999999999997868</v>
      </c>
      <c r="J129">
        <f t="shared" si="277"/>
        <v>2.0000000000000018</v>
      </c>
      <c r="K129">
        <f t="shared" si="277"/>
        <v>3.0000000000000249</v>
      </c>
      <c r="L129">
        <f t="shared" si="277"/>
        <v>4.0000000000000036</v>
      </c>
      <c r="M129">
        <f t="shared" si="277"/>
        <v>2.9999999999999361</v>
      </c>
      <c r="N129">
        <f t="shared" si="277"/>
        <v>2.9999999999999361</v>
      </c>
      <c r="O129" s="5">
        <f t="shared" si="269"/>
        <v>0</v>
      </c>
      <c r="P129" s="5">
        <f t="shared" si="269"/>
        <v>0</v>
      </c>
      <c r="Q129" s="5">
        <f t="shared" si="269"/>
        <v>0</v>
      </c>
      <c r="R129" s="5">
        <f t="shared" si="269"/>
        <v>0</v>
      </c>
      <c r="S129" s="5">
        <f t="shared" si="269"/>
        <v>0</v>
      </c>
      <c r="T129" s="5">
        <f t="shared" ref="T129:X129" si="278">LN(T678/T679)</f>
        <v>5.6566940130728036E-3</v>
      </c>
      <c r="U129" s="5">
        <f t="shared" si="278"/>
        <v>2.3621565916667523E-3</v>
      </c>
      <c r="V129" s="5">
        <f t="shared" si="278"/>
        <v>1.8998682522025498E-4</v>
      </c>
      <c r="W129" s="5">
        <f t="shared" si="278"/>
        <v>2.0314648362824341E-3</v>
      </c>
      <c r="X129" s="5">
        <f t="shared" si="278"/>
        <v>5.6473705696333375E-3</v>
      </c>
      <c r="Z129" s="4">
        <v>45910</v>
      </c>
      <c r="AA129">
        <f>B129*B$3</f>
        <v>-1965.9999999999582</v>
      </c>
      <c r="AB129">
        <f>C129*C$3</f>
        <v>-5167.99999999989</v>
      </c>
      <c r="AC129">
        <f>D129*D$3</f>
        <v>16142.999999999656</v>
      </c>
      <c r="AD129">
        <f>E129*E$3</f>
        <v>7284.00000000006</v>
      </c>
      <c r="AE129">
        <f>F129*F$3</f>
        <v>-24856.000000000022</v>
      </c>
      <c r="AF129">
        <f>G129*G$3</f>
        <v>-31256.000000000029</v>
      </c>
      <c r="AG129">
        <f>H129*H$3</f>
        <v>0</v>
      </c>
      <c r="AH129">
        <f>I129*I$3</f>
        <v>-18455.999999999607</v>
      </c>
      <c r="AI129">
        <f>J129*J$3</f>
        <v>-102103.00000000009</v>
      </c>
      <c r="AJ129">
        <f>K129*K$3</f>
        <v>-235185.00000000195</v>
      </c>
      <c r="AK129">
        <f>L129*L$3</f>
        <v>124016.00000000012</v>
      </c>
      <c r="AL129">
        <f>M129*M$3</f>
        <v>96218.999999997948</v>
      </c>
      <c r="AM129">
        <f>N129*N$3</f>
        <v>0</v>
      </c>
      <c r="AN129">
        <f>O129*O$3</f>
        <v>0</v>
      </c>
      <c r="AO129">
        <f>P129*P$3</f>
        <v>0</v>
      </c>
      <c r="AP129">
        <f>Q129*Q$3</f>
        <v>0</v>
      </c>
      <c r="AQ129">
        <f>R129*R$3</f>
        <v>0</v>
      </c>
      <c r="AR129" s="1">
        <f>S129*S$3</f>
        <v>0</v>
      </c>
      <c r="AS129" s="1">
        <f t="shared" si="253"/>
        <v>22626.776052291214</v>
      </c>
      <c r="AT129" s="1">
        <f t="shared" si="253"/>
        <v>18897.252733334019</v>
      </c>
      <c r="AU129" s="1">
        <f t="shared" si="253"/>
        <v>0</v>
      </c>
      <c r="AV129" s="1">
        <f t="shared" si="253"/>
        <v>0</v>
      </c>
      <c r="AW129" s="1">
        <f t="shared" si="253"/>
        <v>0</v>
      </c>
      <c r="AX129" s="1">
        <f t="shared" si="149"/>
        <v>-133803.97121437854</v>
      </c>
      <c r="AY129" s="1">
        <f t="shared" si="150"/>
        <v>41524.028785625233</v>
      </c>
      <c r="AZ129" s="1">
        <f t="shared" si="151"/>
        <v>-175328.00000000378</v>
      </c>
    </row>
    <row r="130" spans="1:52" x14ac:dyDescent="0.25">
      <c r="A130" s="4">
        <v>45909</v>
      </c>
      <c r="B130">
        <f t="shared" ref="B130:N130" si="279">(B680-B679)*100</f>
        <v>0.99999999999997868</v>
      </c>
      <c r="C130">
        <f t="shared" si="279"/>
        <v>-0.99999999999997868</v>
      </c>
      <c r="D130">
        <f t="shared" si="279"/>
        <v>0</v>
      </c>
      <c r="E130">
        <f t="shared" si="279"/>
        <v>-0.99999999999997868</v>
      </c>
      <c r="F130">
        <f t="shared" si="279"/>
        <v>-1.0000000000000231</v>
      </c>
      <c r="G130">
        <f t="shared" si="279"/>
        <v>-4.0000000000000036</v>
      </c>
      <c r="H130">
        <f t="shared" si="279"/>
        <v>-4.9999999999999822</v>
      </c>
      <c r="I130">
        <f t="shared" si="279"/>
        <v>-0.99999999999997868</v>
      </c>
      <c r="J130">
        <f t="shared" si="279"/>
        <v>-4.0000000000000036</v>
      </c>
      <c r="K130">
        <f t="shared" si="279"/>
        <v>-4.0000000000000036</v>
      </c>
      <c r="L130">
        <f t="shared" si="279"/>
        <v>-3.0000000000000249</v>
      </c>
      <c r="M130">
        <f t="shared" si="279"/>
        <v>-2.9999999999999361</v>
      </c>
      <c r="N130">
        <f t="shared" si="279"/>
        <v>-2.9999999999999361</v>
      </c>
      <c r="O130" s="5">
        <f t="shared" si="269"/>
        <v>0</v>
      </c>
      <c r="P130" s="5">
        <f t="shared" si="269"/>
        <v>0</v>
      </c>
      <c r="Q130" s="5">
        <f t="shared" si="269"/>
        <v>0</v>
      </c>
      <c r="R130" s="5">
        <f t="shared" si="269"/>
        <v>0</v>
      </c>
      <c r="S130" s="5">
        <f t="shared" si="269"/>
        <v>0</v>
      </c>
      <c r="T130" s="5">
        <f t="shared" ref="T130:X130" si="280">LN(T679/T680)</f>
        <v>-4.7667957448522232E-3</v>
      </c>
      <c r="U130" s="5">
        <f t="shared" si="280"/>
        <v>-4.44900341853517E-3</v>
      </c>
      <c r="V130" s="5">
        <f t="shared" si="280"/>
        <v>-6.6281557483460016E-3</v>
      </c>
      <c r="W130" s="5">
        <f t="shared" si="280"/>
        <v>-6.6282046464000433E-3</v>
      </c>
      <c r="X130" s="5">
        <f t="shared" si="280"/>
        <v>-8.0025407264637301E-3</v>
      </c>
      <c r="Z130" s="4">
        <v>45909</v>
      </c>
      <c r="AA130">
        <f>B130*B$3</f>
        <v>-982.99999999997908</v>
      </c>
      <c r="AB130">
        <f>C130*C$3</f>
        <v>2583.999999999945</v>
      </c>
      <c r="AC130">
        <f>D130*D$3</f>
        <v>0</v>
      </c>
      <c r="AD130">
        <f>E130*E$3</f>
        <v>-2427.9999999999482</v>
      </c>
      <c r="AE130">
        <f>F130*F$3</f>
        <v>12428.000000000287</v>
      </c>
      <c r="AF130">
        <f>G130*G$3</f>
        <v>62512.000000000058</v>
      </c>
      <c r="AG130">
        <f>H130*H$3</f>
        <v>141079.99999999951</v>
      </c>
      <c r="AH130">
        <f>I130*I$3</f>
        <v>18455.999999999607</v>
      </c>
      <c r="AI130">
        <f>J130*J$3</f>
        <v>204206.00000000017</v>
      </c>
      <c r="AJ130">
        <f>K130*K$3</f>
        <v>313580.00000000029</v>
      </c>
      <c r="AK130">
        <f>L130*L$3</f>
        <v>-93012.000000000771</v>
      </c>
      <c r="AL130">
        <f>M130*M$3</f>
        <v>-96218.999999997948</v>
      </c>
      <c r="AM130">
        <f>N130*N$3</f>
        <v>0</v>
      </c>
      <c r="AN130">
        <f>O130*O$3</f>
        <v>0</v>
      </c>
      <c r="AO130">
        <f>P130*P$3</f>
        <v>0</v>
      </c>
      <c r="AP130">
        <f>Q130*Q$3</f>
        <v>0</v>
      </c>
      <c r="AQ130">
        <f>R130*R$3</f>
        <v>0</v>
      </c>
      <c r="AR130" s="1">
        <f>S130*S$3</f>
        <v>0</v>
      </c>
      <c r="AS130" s="1">
        <f t="shared" si="253"/>
        <v>-19067.182979408892</v>
      </c>
      <c r="AT130" s="1">
        <f t="shared" si="253"/>
        <v>-35592.027348281357</v>
      </c>
      <c r="AU130" s="1">
        <f t="shared" si="253"/>
        <v>0</v>
      </c>
      <c r="AV130" s="1">
        <f t="shared" si="253"/>
        <v>0</v>
      </c>
      <c r="AW130" s="1">
        <f t="shared" si="253"/>
        <v>0</v>
      </c>
      <c r="AX130" s="1">
        <f t="shared" si="149"/>
        <v>507544.78967231105</v>
      </c>
      <c r="AY130" s="1">
        <f t="shared" si="150"/>
        <v>-54659.210327690249</v>
      </c>
      <c r="AZ130" s="1">
        <f t="shared" si="151"/>
        <v>562204.00000000128</v>
      </c>
    </row>
    <row r="131" spans="1:52" x14ac:dyDescent="0.25">
      <c r="A131" s="4">
        <v>45908</v>
      </c>
      <c r="B131">
        <f t="shared" ref="B131:N131" si="281">(B681-B680)*100</f>
        <v>3.0000000000000249</v>
      </c>
      <c r="C131">
        <f t="shared" si="281"/>
        <v>3.0000000000000249</v>
      </c>
      <c r="D131">
        <f t="shared" si="281"/>
        <v>-2.9999999999999361</v>
      </c>
      <c r="E131">
        <f t="shared" si="281"/>
        <v>0.99999999999997868</v>
      </c>
      <c r="F131">
        <f t="shared" si="281"/>
        <v>1.0000000000000231</v>
      </c>
      <c r="G131">
        <f t="shared" si="281"/>
        <v>0.99999999999997868</v>
      </c>
      <c r="H131">
        <f t="shared" si="281"/>
        <v>1.9999999999999574</v>
      </c>
      <c r="I131">
        <f t="shared" si="281"/>
        <v>0.99999999999997868</v>
      </c>
      <c r="J131">
        <f t="shared" si="281"/>
        <v>2.0000000000000018</v>
      </c>
      <c r="K131">
        <f t="shared" si="281"/>
        <v>2.9999999999999805</v>
      </c>
      <c r="L131">
        <f t="shared" si="281"/>
        <v>4.9999999999999822</v>
      </c>
      <c r="M131">
        <f t="shared" si="281"/>
        <v>6.9999999999999396</v>
      </c>
      <c r="N131">
        <f t="shared" si="281"/>
        <v>8.9999999999999858</v>
      </c>
      <c r="O131" s="5">
        <f t="shared" si="269"/>
        <v>0</v>
      </c>
      <c r="P131" s="5">
        <f t="shared" si="269"/>
        <v>0</v>
      </c>
      <c r="Q131" s="5">
        <f t="shared" si="269"/>
        <v>0</v>
      </c>
      <c r="R131" s="5">
        <f t="shared" si="269"/>
        <v>0</v>
      </c>
      <c r="S131" s="5">
        <f t="shared" si="269"/>
        <v>0</v>
      </c>
      <c r="T131" s="5">
        <f t="shared" ref="T131:X131" si="282">LN(T680/T681)</f>
        <v>-4.8142724942736633E-3</v>
      </c>
      <c r="U131" s="5">
        <f t="shared" si="282"/>
        <v>-3.5961016446286777E-3</v>
      </c>
      <c r="V131" s="5">
        <f t="shared" si="282"/>
        <v>-2.0899140331518589E-4</v>
      </c>
      <c r="W131" s="5">
        <f t="shared" si="282"/>
        <v>-4.9710365891975465E-3</v>
      </c>
      <c r="X131" s="5">
        <f t="shared" si="282"/>
        <v>-7.4175951462933662E-3</v>
      </c>
      <c r="Z131" s="4">
        <v>45908</v>
      </c>
      <c r="AA131">
        <f>B131*B$3</f>
        <v>-2949.0000000000246</v>
      </c>
      <c r="AB131">
        <f>C131*C$3</f>
        <v>-7752.0000000000646</v>
      </c>
      <c r="AC131">
        <f>D131*D$3</f>
        <v>-48428.999999998967</v>
      </c>
      <c r="AD131">
        <f>E131*E$3</f>
        <v>2427.9999999999482</v>
      </c>
      <c r="AE131">
        <f>F131*F$3</f>
        <v>-12428.000000000287</v>
      </c>
      <c r="AF131">
        <f>G131*G$3</f>
        <v>-15627.999999999667</v>
      </c>
      <c r="AG131">
        <f>H131*H$3</f>
        <v>-56431.999999998799</v>
      </c>
      <c r="AH131">
        <f>I131*I$3</f>
        <v>-18455.999999999607</v>
      </c>
      <c r="AI131">
        <f>J131*J$3</f>
        <v>-102103.00000000009</v>
      </c>
      <c r="AJ131">
        <f>K131*K$3</f>
        <v>-235184.99999999846</v>
      </c>
      <c r="AK131">
        <f>L131*L$3</f>
        <v>155019.99999999945</v>
      </c>
      <c r="AL131">
        <f>M131*M$3</f>
        <v>224510.99999999805</v>
      </c>
      <c r="AM131">
        <f>N131*N$3</f>
        <v>0</v>
      </c>
      <c r="AN131">
        <f>O131*O$3</f>
        <v>0</v>
      </c>
      <c r="AO131">
        <f>P131*P$3</f>
        <v>0</v>
      </c>
      <c r="AP131">
        <f>Q131*Q$3</f>
        <v>0</v>
      </c>
      <c r="AQ131">
        <f>R131*R$3</f>
        <v>0</v>
      </c>
      <c r="AR131" s="1">
        <f>S131*S$3</f>
        <v>0</v>
      </c>
      <c r="AS131" s="1">
        <f t="shared" si="253"/>
        <v>-19257.089977094653</v>
      </c>
      <c r="AT131" s="1">
        <f t="shared" si="253"/>
        <v>-28768.813157029421</v>
      </c>
      <c r="AU131" s="1">
        <f t="shared" si="253"/>
        <v>0</v>
      </c>
      <c r="AV131" s="1">
        <f t="shared" si="253"/>
        <v>0</v>
      </c>
      <c r="AW131" s="1">
        <f t="shared" si="253"/>
        <v>0</v>
      </c>
      <c r="AX131" s="1">
        <f t="shared" si="149"/>
        <v>-165428.90313412252</v>
      </c>
      <c r="AY131" s="1">
        <f t="shared" si="150"/>
        <v>-48025.903134124077</v>
      </c>
      <c r="AZ131" s="1">
        <f t="shared" si="151"/>
        <v>-117402.99999999844</v>
      </c>
    </row>
    <row r="132" spans="1:52" x14ac:dyDescent="0.25">
      <c r="A132" s="4">
        <v>45905</v>
      </c>
      <c r="B132">
        <f t="shared" ref="B132:N132" si="283">(B682-B681)*100</f>
        <v>4.0000000000000036</v>
      </c>
      <c r="C132">
        <f t="shared" si="283"/>
        <v>4.0000000000000036</v>
      </c>
      <c r="D132">
        <f t="shared" si="283"/>
        <v>8.9999999999999858</v>
      </c>
      <c r="E132">
        <f t="shared" si="283"/>
        <v>7.0000000000000284</v>
      </c>
      <c r="F132">
        <f t="shared" si="283"/>
        <v>8.9999999999999858</v>
      </c>
      <c r="G132">
        <f t="shared" si="283"/>
        <v>10.999999999999988</v>
      </c>
      <c r="H132">
        <f t="shared" si="283"/>
        <v>8.0000000000000071</v>
      </c>
      <c r="I132">
        <f t="shared" si="283"/>
        <v>6.999999999999984</v>
      </c>
      <c r="J132">
        <f t="shared" si="283"/>
        <v>6.0000000000000053</v>
      </c>
      <c r="K132">
        <f t="shared" si="283"/>
        <v>7.0000000000000284</v>
      </c>
      <c r="L132">
        <f t="shared" si="283"/>
        <v>7.0000000000000284</v>
      </c>
      <c r="M132">
        <f t="shared" si="283"/>
        <v>8.9999999999999858</v>
      </c>
      <c r="N132">
        <f t="shared" si="283"/>
        <v>8.0000000000000071</v>
      </c>
      <c r="O132" s="5">
        <f t="shared" si="269"/>
        <v>0</v>
      </c>
      <c r="P132" s="5">
        <f t="shared" si="269"/>
        <v>0</v>
      </c>
      <c r="Q132" s="5">
        <f t="shared" si="269"/>
        <v>0</v>
      </c>
      <c r="R132" s="5">
        <f t="shared" si="269"/>
        <v>0</v>
      </c>
      <c r="S132" s="5">
        <f t="shared" si="269"/>
        <v>0</v>
      </c>
      <c r="T132" s="5">
        <f t="shared" ref="T132:X132" si="284">LN(T681/T682)</f>
        <v>3.0316941098511871E-4</v>
      </c>
      <c r="U132" s="5">
        <f t="shared" si="284"/>
        <v>-2.1513138083614604E-4</v>
      </c>
      <c r="V132" s="5">
        <f t="shared" si="284"/>
        <v>2.665752304309005E-3</v>
      </c>
      <c r="W132" s="5">
        <f t="shared" si="284"/>
        <v>3.4286481390982718E-3</v>
      </c>
      <c r="X132" s="5">
        <f t="shared" si="284"/>
        <v>1.6532954862116789E-3</v>
      </c>
      <c r="Z132" s="4">
        <v>45905</v>
      </c>
      <c r="AA132">
        <f>B132*B$3</f>
        <v>-3932.0000000000036</v>
      </c>
      <c r="AB132">
        <f>C132*C$3</f>
        <v>-10336.000000000009</v>
      </c>
      <c r="AC132">
        <f>D132*D$3</f>
        <v>145286.99999999977</v>
      </c>
      <c r="AD132">
        <f>E132*E$3</f>
        <v>16996.000000000069</v>
      </c>
      <c r="AE132">
        <f>F132*F$3</f>
        <v>-111851.99999999983</v>
      </c>
      <c r="AF132">
        <f>G132*G$3</f>
        <v>-171907.9999999998</v>
      </c>
      <c r="AG132">
        <f>H132*H$3</f>
        <v>-225728.0000000002</v>
      </c>
      <c r="AH132">
        <f>I132*I$3</f>
        <v>-129191.99999999971</v>
      </c>
      <c r="AI132">
        <f>J132*J$3</f>
        <v>-306309.00000000029</v>
      </c>
      <c r="AJ132">
        <f>K132*K$3</f>
        <v>-548765.00000000221</v>
      </c>
      <c r="AK132">
        <f>L132*L$3</f>
        <v>217028.00000000087</v>
      </c>
      <c r="AL132">
        <f>M132*M$3</f>
        <v>288656.99999999953</v>
      </c>
      <c r="AM132">
        <f>N132*N$3</f>
        <v>0</v>
      </c>
      <c r="AN132">
        <f>O132*O$3</f>
        <v>0</v>
      </c>
      <c r="AO132">
        <f>P132*P$3</f>
        <v>0</v>
      </c>
      <c r="AP132">
        <f>Q132*Q$3</f>
        <v>0</v>
      </c>
      <c r="AQ132">
        <f>R132*R$3</f>
        <v>0</v>
      </c>
      <c r="AR132" s="1">
        <f>S132*S$3</f>
        <v>0</v>
      </c>
      <c r="AS132" s="1">
        <f t="shared" si="253"/>
        <v>1212.6776439404748</v>
      </c>
      <c r="AT132" s="1">
        <f t="shared" si="253"/>
        <v>-1721.0510466891683</v>
      </c>
      <c r="AU132" s="1">
        <f t="shared" si="253"/>
        <v>0</v>
      </c>
      <c r="AV132" s="1">
        <f t="shared" si="253"/>
        <v>0</v>
      </c>
      <c r="AW132" s="1">
        <f t="shared" si="253"/>
        <v>0</v>
      </c>
      <c r="AX132" s="1">
        <f t="shared" si="149"/>
        <v>-840562.37340275059</v>
      </c>
      <c r="AY132" s="1">
        <f t="shared" si="150"/>
        <v>-508.37340274869348</v>
      </c>
      <c r="AZ132" s="1">
        <f t="shared" si="151"/>
        <v>-840054.00000000186</v>
      </c>
    </row>
    <row r="133" spans="1:52" x14ac:dyDescent="0.25">
      <c r="A133" s="4">
        <v>45904</v>
      </c>
      <c r="B133">
        <f t="shared" ref="B133:N133" si="285">(B683-B682)*100</f>
        <v>1.9999999999999574</v>
      </c>
      <c r="C133">
        <f t="shared" si="285"/>
        <v>-2.0000000000000462</v>
      </c>
      <c r="D133">
        <f t="shared" si="285"/>
        <v>1.9999999999999574</v>
      </c>
      <c r="E133">
        <f t="shared" si="285"/>
        <v>1.9999999999999574</v>
      </c>
      <c r="F133">
        <f t="shared" si="285"/>
        <v>2.0000000000000018</v>
      </c>
      <c r="G133">
        <f t="shared" si="285"/>
        <v>1.0000000000000231</v>
      </c>
      <c r="H133">
        <f t="shared" si="285"/>
        <v>2.0000000000000018</v>
      </c>
      <c r="I133">
        <f t="shared" si="285"/>
        <v>3.0000000000000249</v>
      </c>
      <c r="J133">
        <f t="shared" si="285"/>
        <v>4.0000000000000036</v>
      </c>
      <c r="K133">
        <f t="shared" si="285"/>
        <v>4.9999999999999822</v>
      </c>
      <c r="L133">
        <f t="shared" si="285"/>
        <v>4.9999999999999822</v>
      </c>
      <c r="M133">
        <f t="shared" si="285"/>
        <v>4.0000000000000036</v>
      </c>
      <c r="N133">
        <f t="shared" si="285"/>
        <v>4.0000000000000036</v>
      </c>
      <c r="O133" s="5">
        <f t="shared" si="269"/>
        <v>0</v>
      </c>
      <c r="P133" s="5">
        <f t="shared" si="269"/>
        <v>0</v>
      </c>
      <c r="Q133" s="5">
        <f t="shared" si="269"/>
        <v>0</v>
      </c>
      <c r="R133" s="5">
        <f t="shared" si="269"/>
        <v>0</v>
      </c>
      <c r="S133" s="5">
        <f t="shared" si="269"/>
        <v>0</v>
      </c>
      <c r="T133" s="5">
        <f t="shared" ref="T133:X133" si="286">LN(T682/T683)</f>
        <v>-2.0966619985555253E-3</v>
      </c>
      <c r="U133" s="5">
        <f t="shared" si="286"/>
        <v>-4.3322382606618007E-3</v>
      </c>
      <c r="V133" s="5">
        <f t="shared" si="286"/>
        <v>-3.8310656518732045E-3</v>
      </c>
      <c r="W133" s="5">
        <f t="shared" si="286"/>
        <v>-3.995884777223813E-3</v>
      </c>
      <c r="X133" s="5">
        <f t="shared" si="286"/>
        <v>-1.8519751700612221E-3</v>
      </c>
      <c r="Z133" s="4">
        <v>45904</v>
      </c>
      <c r="AA133">
        <f>B133*B$3</f>
        <v>-1965.9999999999582</v>
      </c>
      <c r="AB133">
        <f>C133*C$3</f>
        <v>5168.0000000001191</v>
      </c>
      <c r="AC133">
        <f>D133*D$3</f>
        <v>32285.999999999312</v>
      </c>
      <c r="AD133">
        <f>E133*E$3</f>
        <v>4855.9999999998963</v>
      </c>
      <c r="AE133">
        <f>F133*F$3</f>
        <v>-24856.000000000022</v>
      </c>
      <c r="AF133">
        <f>G133*G$3</f>
        <v>-15628.00000000036</v>
      </c>
      <c r="AG133">
        <f>H133*H$3</f>
        <v>-56432.000000000051</v>
      </c>
      <c r="AH133">
        <f>I133*I$3</f>
        <v>-55368.000000000458</v>
      </c>
      <c r="AI133">
        <f>J133*J$3</f>
        <v>-204206.00000000017</v>
      </c>
      <c r="AJ133">
        <f>K133*K$3</f>
        <v>-391974.9999999986</v>
      </c>
      <c r="AK133">
        <f>L133*L$3</f>
        <v>155019.99999999945</v>
      </c>
      <c r="AL133">
        <f>M133*M$3</f>
        <v>128292.00000000012</v>
      </c>
      <c r="AM133">
        <f>N133*N$3</f>
        <v>0</v>
      </c>
      <c r="AN133">
        <f>O133*O$3</f>
        <v>0</v>
      </c>
      <c r="AO133">
        <f>P133*P$3</f>
        <v>0</v>
      </c>
      <c r="AP133">
        <f>Q133*Q$3</f>
        <v>0</v>
      </c>
      <c r="AQ133">
        <f>R133*R$3</f>
        <v>0</v>
      </c>
      <c r="AR133" s="1">
        <f>S133*S$3</f>
        <v>0</v>
      </c>
      <c r="AS133" s="1">
        <f t="shared" ref="AS133:AW148" si="287">T133*T$3</f>
        <v>-8386.6479942221013</v>
      </c>
      <c r="AT133" s="1">
        <f t="shared" si="287"/>
        <v>-34657.906085294402</v>
      </c>
      <c r="AU133" s="1">
        <f t="shared" si="287"/>
        <v>0</v>
      </c>
      <c r="AV133" s="1">
        <f t="shared" si="287"/>
        <v>0</v>
      </c>
      <c r="AW133" s="1">
        <f t="shared" si="287"/>
        <v>0</v>
      </c>
      <c r="AX133" s="1">
        <f t="shared" si="149"/>
        <v>-467853.5540795172</v>
      </c>
      <c r="AY133" s="1">
        <f t="shared" si="150"/>
        <v>-43044.5540795165</v>
      </c>
      <c r="AZ133" s="1">
        <f t="shared" si="151"/>
        <v>-424809.0000000007</v>
      </c>
    </row>
    <row r="134" spans="1:52" x14ac:dyDescent="0.25">
      <c r="A134" s="4">
        <v>45903</v>
      </c>
      <c r="B134">
        <f t="shared" ref="B134:N134" si="288">(B684-B683)*100</f>
        <v>5.0000000000000711</v>
      </c>
      <c r="C134">
        <f t="shared" si="288"/>
        <v>3.0000000000000249</v>
      </c>
      <c r="D134">
        <f t="shared" si="288"/>
        <v>2.0000000000000462</v>
      </c>
      <c r="E134">
        <f t="shared" si="288"/>
        <v>1.0000000000000675</v>
      </c>
      <c r="F134">
        <f t="shared" si="288"/>
        <v>3.0000000000000249</v>
      </c>
      <c r="G134">
        <f t="shared" si="288"/>
        <v>4.9999999999999822</v>
      </c>
      <c r="H134">
        <f t="shared" si="288"/>
        <v>5.0000000000000266</v>
      </c>
      <c r="I134">
        <f t="shared" si="288"/>
        <v>4.9999999999999822</v>
      </c>
      <c r="J134">
        <f t="shared" si="288"/>
        <v>5.0000000000000266</v>
      </c>
      <c r="K134">
        <f t="shared" si="288"/>
        <v>6.0000000000000053</v>
      </c>
      <c r="L134">
        <f t="shared" si="288"/>
        <v>6.0000000000000497</v>
      </c>
      <c r="M134">
        <f t="shared" si="288"/>
        <v>7.0000000000000284</v>
      </c>
      <c r="N134">
        <f t="shared" si="288"/>
        <v>6.9999999999999396</v>
      </c>
      <c r="O134" s="5">
        <f t="shared" si="269"/>
        <v>0</v>
      </c>
      <c r="P134" s="5">
        <f t="shared" si="269"/>
        <v>0</v>
      </c>
      <c r="Q134" s="5">
        <f t="shared" si="269"/>
        <v>0</v>
      </c>
      <c r="R134" s="5">
        <f t="shared" si="269"/>
        <v>0</v>
      </c>
      <c r="S134" s="5">
        <f t="shared" si="269"/>
        <v>0</v>
      </c>
      <c r="T134" s="5">
        <f t="shared" ref="T134:X134" si="289">LN(T683/T684)</f>
        <v>6.8420207751394681E-3</v>
      </c>
      <c r="U134" s="5">
        <f t="shared" si="289"/>
        <v>1.2213042527876269E-2</v>
      </c>
      <c r="V134" s="5">
        <f t="shared" si="289"/>
        <v>9.9043166201765124E-3</v>
      </c>
      <c r="W134" s="5">
        <f t="shared" si="289"/>
        <v>5.8890464868334531E-3</v>
      </c>
      <c r="X134" s="5">
        <f t="shared" si="289"/>
        <v>6.4032592057330119E-3</v>
      </c>
      <c r="Z134" s="4">
        <v>45903</v>
      </c>
      <c r="AA134">
        <f>B134*B$3</f>
        <v>-4915.00000000007</v>
      </c>
      <c r="AB134">
        <f>C134*C$3</f>
        <v>-7752.0000000000646</v>
      </c>
      <c r="AC134">
        <f>D134*D$3</f>
        <v>32286.000000000746</v>
      </c>
      <c r="AD134">
        <f>E134*E$3</f>
        <v>2428.0000000001637</v>
      </c>
      <c r="AE134">
        <f>F134*F$3</f>
        <v>-37284.000000000306</v>
      </c>
      <c r="AF134">
        <f>G134*G$3</f>
        <v>-78139.999999999724</v>
      </c>
      <c r="AG134">
        <f>H134*H$3</f>
        <v>-141080.00000000076</v>
      </c>
      <c r="AH134">
        <f>I134*I$3</f>
        <v>-92279.999999999665</v>
      </c>
      <c r="AI134">
        <f>J134*J$3</f>
        <v>-255257.50000000137</v>
      </c>
      <c r="AJ134">
        <f>K134*K$3</f>
        <v>-470370.00000000041</v>
      </c>
      <c r="AK134">
        <f>L134*L$3</f>
        <v>186024.00000000154</v>
      </c>
      <c r="AL134">
        <f>M134*M$3</f>
        <v>224511.0000000009</v>
      </c>
      <c r="AM134">
        <f>N134*N$3</f>
        <v>0</v>
      </c>
      <c r="AN134">
        <f>O134*O$3</f>
        <v>0</v>
      </c>
      <c r="AO134">
        <f>P134*P$3</f>
        <v>0</v>
      </c>
      <c r="AP134">
        <f>Q134*Q$3</f>
        <v>0</v>
      </c>
      <c r="AQ134">
        <f>R134*R$3</f>
        <v>0</v>
      </c>
      <c r="AR134" s="1">
        <f>S134*S$3</f>
        <v>0</v>
      </c>
      <c r="AS134" s="1">
        <f t="shared" si="287"/>
        <v>27368.083100557873</v>
      </c>
      <c r="AT134" s="1">
        <f t="shared" si="287"/>
        <v>97704.340223010149</v>
      </c>
      <c r="AU134" s="1">
        <f t="shared" si="287"/>
        <v>0</v>
      </c>
      <c r="AV134" s="1">
        <f t="shared" si="287"/>
        <v>0</v>
      </c>
      <c r="AW134" s="1">
        <f t="shared" si="287"/>
        <v>0</v>
      </c>
      <c r="AX134" s="1">
        <f t="shared" ref="AX134:AX197" si="290">SUM(AA134:AW134)</f>
        <v>-516757.07667643088</v>
      </c>
      <c r="AY134" s="1">
        <f t="shared" ref="AY134:AY197" si="291">SUM(AN134:AW134)</f>
        <v>125072.42332356801</v>
      </c>
      <c r="AZ134" s="1">
        <f t="shared" ref="AZ134:AZ197" si="292">AX134-AY134</f>
        <v>-641829.49999999884</v>
      </c>
    </row>
    <row r="135" spans="1:52" x14ac:dyDescent="0.25">
      <c r="A135" s="4">
        <v>45902</v>
      </c>
      <c r="B135">
        <f t="shared" ref="B135:N135" si="293">(B685-B684)*100</f>
        <v>0.99999999999997868</v>
      </c>
      <c r="C135">
        <f t="shared" si="293"/>
        <v>0.99999999999997868</v>
      </c>
      <c r="D135">
        <f t="shared" si="293"/>
        <v>3.0000000000000249</v>
      </c>
      <c r="E135">
        <f t="shared" si="293"/>
        <v>1.9999999999999574</v>
      </c>
      <c r="F135">
        <f t="shared" si="293"/>
        <v>1.9999999999999574</v>
      </c>
      <c r="G135">
        <f t="shared" si="293"/>
        <v>1.0000000000000231</v>
      </c>
      <c r="H135">
        <f t="shared" si="293"/>
        <v>-7.0000000000000284</v>
      </c>
      <c r="I135">
        <f t="shared" si="293"/>
        <v>-4.9999999999999822</v>
      </c>
      <c r="J135">
        <f t="shared" si="293"/>
        <v>-6.0000000000000053</v>
      </c>
      <c r="K135">
        <f t="shared" si="293"/>
        <v>-6.0000000000000053</v>
      </c>
      <c r="L135">
        <f t="shared" si="293"/>
        <v>-4.9999999999999822</v>
      </c>
      <c r="M135">
        <f t="shared" si="293"/>
        <v>-5.9999999999999609</v>
      </c>
      <c r="N135">
        <f t="shared" si="293"/>
        <v>-4.9999999999999822</v>
      </c>
      <c r="O135" s="5">
        <f t="shared" ref="O135:S144" si="294">LN(O684/O685)</f>
        <v>0</v>
      </c>
      <c r="P135" s="5">
        <f t="shared" si="294"/>
        <v>0</v>
      </c>
      <c r="Q135" s="5">
        <f t="shared" si="294"/>
        <v>0</v>
      </c>
      <c r="R135" s="5">
        <f t="shared" si="294"/>
        <v>0</v>
      </c>
      <c r="S135" s="5">
        <f t="shared" si="294"/>
        <v>0</v>
      </c>
      <c r="T135" s="5">
        <f t="shared" ref="T135:X135" si="295">LN(T684/T685)</f>
        <v>-2.9364338201646133E-3</v>
      </c>
      <c r="U135" s="5">
        <f t="shared" si="295"/>
        <v>-2.7193530774660933E-3</v>
      </c>
      <c r="V135" s="5">
        <f t="shared" si="295"/>
        <v>2.000901425990409E-3</v>
      </c>
      <c r="W135" s="5">
        <f t="shared" si="295"/>
        <v>-3.7285047521087625E-3</v>
      </c>
      <c r="X135" s="5">
        <f t="shared" si="295"/>
        <v>-1.7981053147233979E-3</v>
      </c>
      <c r="Z135" s="4">
        <v>45902</v>
      </c>
      <c r="AA135">
        <f>B135*B$3</f>
        <v>-982.99999999997908</v>
      </c>
      <c r="AB135">
        <f>C135*C$3</f>
        <v>-2583.999999999945</v>
      </c>
      <c r="AC135">
        <f>D135*D$3</f>
        <v>48429.0000000004</v>
      </c>
      <c r="AD135">
        <f>E135*E$3</f>
        <v>4855.9999999998963</v>
      </c>
      <c r="AE135">
        <f>F135*F$3</f>
        <v>-24855.999999999469</v>
      </c>
      <c r="AF135">
        <f>G135*G$3</f>
        <v>-15628.00000000036</v>
      </c>
      <c r="AG135">
        <f>H135*H$3</f>
        <v>197512.00000000081</v>
      </c>
      <c r="AH135">
        <f>I135*I$3</f>
        <v>92279.999999999665</v>
      </c>
      <c r="AI135">
        <f>J135*J$3</f>
        <v>306309.00000000029</v>
      </c>
      <c r="AJ135">
        <f>K135*K$3</f>
        <v>470370.00000000041</v>
      </c>
      <c r="AK135">
        <f>L135*L$3</f>
        <v>-155019.99999999945</v>
      </c>
      <c r="AL135">
        <f>M135*M$3</f>
        <v>-192437.99999999875</v>
      </c>
      <c r="AM135">
        <f>N135*N$3</f>
        <v>0</v>
      </c>
      <c r="AN135">
        <f>O135*O$3</f>
        <v>0</v>
      </c>
      <c r="AO135">
        <f>P135*P$3</f>
        <v>0</v>
      </c>
      <c r="AP135">
        <f>Q135*Q$3</f>
        <v>0</v>
      </c>
      <c r="AQ135">
        <f>R135*R$3</f>
        <v>0</v>
      </c>
      <c r="AR135" s="1">
        <f>S135*S$3</f>
        <v>0</v>
      </c>
      <c r="AS135" s="1">
        <f t="shared" si="287"/>
        <v>-11745.735280658453</v>
      </c>
      <c r="AT135" s="1">
        <f t="shared" si="287"/>
        <v>-21754.824619728748</v>
      </c>
      <c r="AU135" s="1">
        <f t="shared" si="287"/>
        <v>0</v>
      </c>
      <c r="AV135" s="1">
        <f t="shared" si="287"/>
        <v>0</v>
      </c>
      <c r="AW135" s="1">
        <f t="shared" si="287"/>
        <v>0</v>
      </c>
      <c r="AX135" s="1">
        <f t="shared" si="290"/>
        <v>694746.44009961654</v>
      </c>
      <c r="AY135" s="1">
        <f t="shared" si="291"/>
        <v>-33500.559900387205</v>
      </c>
      <c r="AZ135" s="1">
        <f t="shared" si="292"/>
        <v>728247.00000000373</v>
      </c>
    </row>
    <row r="136" spans="1:52" x14ac:dyDescent="0.25">
      <c r="A136" s="4">
        <v>45898</v>
      </c>
      <c r="B136">
        <f t="shared" ref="B136:N136" si="296">(B686-B685)*100</f>
        <v>0.99999999999997868</v>
      </c>
      <c r="C136">
        <f t="shared" si="296"/>
        <v>0.99999999999997868</v>
      </c>
      <c r="D136">
        <f t="shared" si="296"/>
        <v>2.9999999999999361</v>
      </c>
      <c r="E136">
        <f t="shared" si="296"/>
        <v>0</v>
      </c>
      <c r="F136">
        <f t="shared" si="296"/>
        <v>3.0000000000000249</v>
      </c>
      <c r="G136">
        <f t="shared" si="296"/>
        <v>2.0000000000000018</v>
      </c>
      <c r="H136">
        <f t="shared" si="296"/>
        <v>3.0000000000000249</v>
      </c>
      <c r="I136">
        <f t="shared" si="296"/>
        <v>2.0000000000000018</v>
      </c>
      <c r="J136">
        <f t="shared" si="296"/>
        <v>0.99999999999997868</v>
      </c>
      <c r="K136">
        <f t="shared" si="296"/>
        <v>0</v>
      </c>
      <c r="L136">
        <f t="shared" si="296"/>
        <v>-1.0000000000000675</v>
      </c>
      <c r="M136">
        <f t="shared" si="296"/>
        <v>-3.0000000000000249</v>
      </c>
      <c r="N136">
        <f t="shared" si="296"/>
        <v>-4.0000000000000036</v>
      </c>
      <c r="O136" s="5">
        <f t="shared" si="294"/>
        <v>2.7497641273180168E-3</v>
      </c>
      <c r="P136" s="5">
        <f t="shared" si="294"/>
        <v>-3.251744336919393E-3</v>
      </c>
      <c r="Q136" s="5">
        <f t="shared" si="294"/>
        <v>-1.1982729777076169E-3</v>
      </c>
      <c r="R136" s="5">
        <f t="shared" si="294"/>
        <v>-2.2637247923881403E-3</v>
      </c>
      <c r="S136" s="5">
        <f t="shared" si="294"/>
        <v>9.4356320027621024E-4</v>
      </c>
      <c r="T136" s="5">
        <f t="shared" ref="T136:X136" si="297">LN(T685/T686)</f>
        <v>-2.8811150967893713E-3</v>
      </c>
      <c r="U136" s="5">
        <f t="shared" si="297"/>
        <v>-5.4038052734391748E-4</v>
      </c>
      <c r="V136" s="5">
        <f t="shared" si="297"/>
        <v>-3.5769522530106029E-3</v>
      </c>
      <c r="W136" s="5">
        <f t="shared" si="297"/>
        <v>-3.2199094675347435E-3</v>
      </c>
      <c r="X136" s="5">
        <f t="shared" si="297"/>
        <v>1.1228690968055514E-4</v>
      </c>
      <c r="Z136" s="4">
        <v>45898</v>
      </c>
      <c r="AA136">
        <f>B136*B$3</f>
        <v>-982.99999999997908</v>
      </c>
      <c r="AB136">
        <f>C136*C$3</f>
        <v>-2583.999999999945</v>
      </c>
      <c r="AC136">
        <f>D136*D$3</f>
        <v>48428.999999998967</v>
      </c>
      <c r="AD136">
        <f>E136*E$3</f>
        <v>0</v>
      </c>
      <c r="AE136">
        <f>F136*F$3</f>
        <v>-37284.000000000306</v>
      </c>
      <c r="AF136">
        <f>G136*G$3</f>
        <v>-31256.000000000029</v>
      </c>
      <c r="AG136">
        <f>H136*H$3</f>
        <v>-84648.000000000698</v>
      </c>
      <c r="AH136">
        <f>I136*I$3</f>
        <v>-36912.000000000036</v>
      </c>
      <c r="AI136">
        <f>J136*J$3</f>
        <v>-51051.499999998909</v>
      </c>
      <c r="AJ136">
        <f>K136*K$3</f>
        <v>0</v>
      </c>
      <c r="AK136">
        <f>L136*L$3</f>
        <v>-31004.000000002092</v>
      </c>
      <c r="AL136">
        <f>M136*M$3</f>
        <v>-96219.0000000008</v>
      </c>
      <c r="AM136">
        <f>N136*N$3</f>
        <v>0</v>
      </c>
      <c r="AN136">
        <f>O136*O$3</f>
        <v>0</v>
      </c>
      <c r="AO136">
        <f>P136*P$3</f>
        <v>16258.721684596965</v>
      </c>
      <c r="AP136">
        <f>Q136*Q$3</f>
        <v>-14379.275732491404</v>
      </c>
      <c r="AQ136">
        <f>R136*R$3</f>
        <v>33955.871885822104</v>
      </c>
      <c r="AR136" s="1">
        <f>S136*S$3</f>
        <v>-6604.942401933472</v>
      </c>
      <c r="AS136" s="1">
        <f t="shared" si="287"/>
        <v>-11524.460387157485</v>
      </c>
      <c r="AT136" s="1">
        <f t="shared" si="287"/>
        <v>-4323.0442187513399</v>
      </c>
      <c r="AU136" s="1">
        <f t="shared" si="287"/>
        <v>0</v>
      </c>
      <c r="AV136" s="1">
        <f t="shared" si="287"/>
        <v>0</v>
      </c>
      <c r="AW136" s="1">
        <f t="shared" si="287"/>
        <v>0</v>
      </c>
      <c r="AX136" s="1">
        <f t="shared" si="290"/>
        <v>-310129.62916991848</v>
      </c>
      <c r="AY136" s="1">
        <f t="shared" si="291"/>
        <v>13382.870830085369</v>
      </c>
      <c r="AZ136" s="1">
        <f t="shared" si="292"/>
        <v>-323512.50000000384</v>
      </c>
    </row>
    <row r="137" spans="1:52" x14ac:dyDescent="0.25">
      <c r="A137" s="4">
        <v>45897</v>
      </c>
      <c r="B137">
        <f t="shared" ref="B137:N137" si="298">(B687-B686)*100</f>
        <v>0</v>
      </c>
      <c r="C137">
        <f t="shared" si="298"/>
        <v>-0.99999999999997868</v>
      </c>
      <c r="D137">
        <f t="shared" si="298"/>
        <v>0</v>
      </c>
      <c r="E137">
        <f t="shared" si="298"/>
        <v>0.99999999999997868</v>
      </c>
      <c r="F137">
        <f t="shared" si="298"/>
        <v>0</v>
      </c>
      <c r="G137">
        <f t="shared" si="298"/>
        <v>-2.0000000000000018</v>
      </c>
      <c r="H137">
        <f t="shared" si="298"/>
        <v>-3.0000000000000249</v>
      </c>
      <c r="I137">
        <f t="shared" si="298"/>
        <v>-1.0000000000000231</v>
      </c>
      <c r="J137">
        <f t="shared" si="298"/>
        <v>0</v>
      </c>
      <c r="K137">
        <f t="shared" si="298"/>
        <v>3.0000000000000249</v>
      </c>
      <c r="L137">
        <f t="shared" si="298"/>
        <v>2.0000000000000462</v>
      </c>
      <c r="M137">
        <f t="shared" si="298"/>
        <v>4.0000000000000036</v>
      </c>
      <c r="N137">
        <f t="shared" si="298"/>
        <v>3.0000000000000249</v>
      </c>
      <c r="O137" s="5">
        <f t="shared" si="294"/>
        <v>-5.7676344044413708E-3</v>
      </c>
      <c r="P137" s="5">
        <f t="shared" si="294"/>
        <v>-1.2409257321868909E-4</v>
      </c>
      <c r="Q137" s="5">
        <f t="shared" si="294"/>
        <v>3.754561853759753E-3</v>
      </c>
      <c r="R137" s="5">
        <f t="shared" si="294"/>
        <v>-3.386007749730868E-3</v>
      </c>
      <c r="S137" s="5">
        <f t="shared" si="294"/>
        <v>-8.417441219724255E-4</v>
      </c>
      <c r="T137" s="5">
        <f t="shared" ref="T137:X137" si="299">LN(T686/T687)</f>
        <v>-7.3356056010996976E-4</v>
      </c>
      <c r="U137" s="5">
        <f t="shared" si="299"/>
        <v>-1.8617506995410671E-3</v>
      </c>
      <c r="V137" s="5">
        <f t="shared" si="299"/>
        <v>-9.9065306461598398E-4</v>
      </c>
      <c r="W137" s="5">
        <f t="shared" si="299"/>
        <v>-2.3984473012567081E-3</v>
      </c>
      <c r="X137" s="5">
        <f t="shared" si="299"/>
        <v>-2.8157073420727739E-3</v>
      </c>
      <c r="Z137" s="4">
        <v>45897</v>
      </c>
      <c r="AA137">
        <f>B137*B$3</f>
        <v>0</v>
      </c>
      <c r="AB137">
        <f>C137*C$3</f>
        <v>2583.999999999945</v>
      </c>
      <c r="AC137">
        <f>D137*D$3</f>
        <v>0</v>
      </c>
      <c r="AD137">
        <f>E137*E$3</f>
        <v>2427.9999999999482</v>
      </c>
      <c r="AE137">
        <f>F137*F$3</f>
        <v>0</v>
      </c>
      <c r="AF137">
        <f>G137*G$3</f>
        <v>31256.000000000029</v>
      </c>
      <c r="AG137">
        <f>H137*H$3</f>
        <v>84648.000000000698</v>
      </c>
      <c r="AH137">
        <f>I137*I$3</f>
        <v>18456.000000000426</v>
      </c>
      <c r="AI137">
        <f>J137*J$3</f>
        <v>0</v>
      </c>
      <c r="AJ137">
        <f>K137*K$3</f>
        <v>-235185.00000000195</v>
      </c>
      <c r="AK137">
        <f>L137*L$3</f>
        <v>62008.000000001433</v>
      </c>
      <c r="AL137">
        <f>M137*M$3</f>
        <v>128292.00000000012</v>
      </c>
      <c r="AM137">
        <f>N137*N$3</f>
        <v>0</v>
      </c>
      <c r="AN137">
        <f>O137*O$3</f>
        <v>0</v>
      </c>
      <c r="AO137">
        <f>P137*P$3</f>
        <v>620.46286609344543</v>
      </c>
      <c r="AP137">
        <f>Q137*Q$3</f>
        <v>45054.742245117035</v>
      </c>
      <c r="AQ137">
        <f>R137*R$3</f>
        <v>50790.116245963021</v>
      </c>
      <c r="AR137" s="1">
        <f>S137*S$3</f>
        <v>5892.2088538069784</v>
      </c>
      <c r="AS137" s="1">
        <f t="shared" si="287"/>
        <v>-2934.242240439879</v>
      </c>
      <c r="AT137" s="1">
        <f t="shared" si="287"/>
        <v>-14894.005596328538</v>
      </c>
      <c r="AU137" s="1">
        <f t="shared" si="287"/>
        <v>0</v>
      </c>
      <c r="AV137" s="1">
        <f t="shared" si="287"/>
        <v>0</v>
      </c>
      <c r="AW137" s="1">
        <f t="shared" si="287"/>
        <v>0</v>
      </c>
      <c r="AX137" s="1">
        <f t="shared" si="290"/>
        <v>179016.28237421272</v>
      </c>
      <c r="AY137" s="1">
        <f t="shared" si="291"/>
        <v>84529.282374212053</v>
      </c>
      <c r="AZ137" s="1">
        <f t="shared" si="292"/>
        <v>94487.000000000669</v>
      </c>
    </row>
    <row r="138" spans="1:52" x14ac:dyDescent="0.25">
      <c r="A138" s="4">
        <v>45896</v>
      </c>
      <c r="B138">
        <f t="shared" ref="B138:N138" si="300">(B688-B687)*100</f>
        <v>0</v>
      </c>
      <c r="C138">
        <f t="shared" si="300"/>
        <v>4.0000000000000036</v>
      </c>
      <c r="D138">
        <f t="shared" si="300"/>
        <v>2.0000000000000462</v>
      </c>
      <c r="E138">
        <f t="shared" si="300"/>
        <v>2.0000000000000462</v>
      </c>
      <c r="F138">
        <f t="shared" si="300"/>
        <v>1.9999999999999574</v>
      </c>
      <c r="G138">
        <f t="shared" si="300"/>
        <v>2.0000000000000018</v>
      </c>
      <c r="H138">
        <f t="shared" si="300"/>
        <v>2.0000000000000018</v>
      </c>
      <c r="I138">
        <f t="shared" si="300"/>
        <v>4.0000000000000036</v>
      </c>
      <c r="J138">
        <f t="shared" si="300"/>
        <v>6.0000000000000053</v>
      </c>
      <c r="K138">
        <f t="shared" si="300"/>
        <v>2.9999999999999805</v>
      </c>
      <c r="L138">
        <f t="shared" si="300"/>
        <v>1.9999999999999574</v>
      </c>
      <c r="M138">
        <f t="shared" si="300"/>
        <v>-0.99999999999997868</v>
      </c>
      <c r="N138">
        <f t="shared" si="300"/>
        <v>-0.99999999999997868</v>
      </c>
      <c r="O138" s="5">
        <f t="shared" si="294"/>
        <v>3.8659841964657545E-3</v>
      </c>
      <c r="P138" s="5">
        <f t="shared" si="294"/>
        <v>-6.3083887849472312E-3</v>
      </c>
      <c r="Q138" s="5">
        <f t="shared" si="294"/>
        <v>2.5940082612368113E-3</v>
      </c>
      <c r="R138" s="5">
        <f t="shared" si="294"/>
        <v>5.6353903999141746E-4</v>
      </c>
      <c r="S138" s="5">
        <f t="shared" si="294"/>
        <v>-3.5900005475863014E-4</v>
      </c>
      <c r="T138" s="5">
        <f t="shared" ref="T138:X138" si="301">LN(T687/T688)</f>
        <v>-1.8025532981327825E-3</v>
      </c>
      <c r="U138" s="5">
        <f t="shared" si="301"/>
        <v>-1.8717802713734241E-3</v>
      </c>
      <c r="V138" s="5">
        <f t="shared" si="301"/>
        <v>-2.438335800651436E-3</v>
      </c>
      <c r="W138" s="5">
        <f t="shared" si="301"/>
        <v>-2.2657939668086816E-3</v>
      </c>
      <c r="X138" s="5">
        <f t="shared" si="301"/>
        <v>-2.9939145603069292E-3</v>
      </c>
      <c r="Z138" s="4">
        <v>45896</v>
      </c>
      <c r="AA138">
        <f>B138*B$3</f>
        <v>0</v>
      </c>
      <c r="AB138">
        <f>C138*C$3</f>
        <v>-10336.000000000009</v>
      </c>
      <c r="AC138">
        <f>D138*D$3</f>
        <v>32286.000000000746</v>
      </c>
      <c r="AD138">
        <f>E138*E$3</f>
        <v>4856.0000000001119</v>
      </c>
      <c r="AE138">
        <f>F138*F$3</f>
        <v>-24855.999999999469</v>
      </c>
      <c r="AF138">
        <f>G138*G$3</f>
        <v>-31256.000000000029</v>
      </c>
      <c r="AG138">
        <f>H138*H$3</f>
        <v>-56432.000000000051</v>
      </c>
      <c r="AH138">
        <f>I138*I$3</f>
        <v>-73824.000000000073</v>
      </c>
      <c r="AI138">
        <f>J138*J$3</f>
        <v>-306309.00000000029</v>
      </c>
      <c r="AJ138">
        <f>K138*K$3</f>
        <v>-235184.99999999846</v>
      </c>
      <c r="AK138">
        <f>L138*L$3</f>
        <v>62007.999999998676</v>
      </c>
      <c r="AL138">
        <f>M138*M$3</f>
        <v>-32072.999999999316</v>
      </c>
      <c r="AM138">
        <f>N138*N$3</f>
        <v>0</v>
      </c>
      <c r="AN138">
        <f>O138*O$3</f>
        <v>0</v>
      </c>
      <c r="AO138">
        <f>P138*P$3</f>
        <v>31541.943924736155</v>
      </c>
      <c r="AP138">
        <f>Q138*Q$3</f>
        <v>31128.099134841737</v>
      </c>
      <c r="AQ138">
        <f>R138*R$3</f>
        <v>-8453.0855998712614</v>
      </c>
      <c r="AR138" s="1">
        <f>S138*S$3</f>
        <v>2513.0003833104111</v>
      </c>
      <c r="AS138" s="1">
        <f t="shared" si="287"/>
        <v>-7210.2131925311296</v>
      </c>
      <c r="AT138" s="1">
        <f t="shared" si="287"/>
        <v>-14974.242170987392</v>
      </c>
      <c r="AU138" s="1">
        <f t="shared" si="287"/>
        <v>0</v>
      </c>
      <c r="AV138" s="1">
        <f t="shared" si="287"/>
        <v>0</v>
      </c>
      <c r="AW138" s="1">
        <f t="shared" si="287"/>
        <v>0</v>
      </c>
      <c r="AX138" s="1">
        <f t="shared" si="290"/>
        <v>-636575.49752049975</v>
      </c>
      <c r="AY138" s="1">
        <f t="shared" si="291"/>
        <v>34545.502479498522</v>
      </c>
      <c r="AZ138" s="1">
        <f t="shared" si="292"/>
        <v>-671120.99999999825</v>
      </c>
    </row>
    <row r="139" spans="1:52" x14ac:dyDescent="0.25">
      <c r="A139" s="4">
        <v>45895</v>
      </c>
      <c r="B139">
        <f t="shared" ref="B139:N139" si="302">(B689-B688)*100</f>
        <v>3.0000000000000249</v>
      </c>
      <c r="C139">
        <f t="shared" si="302"/>
        <v>0.99999999999997868</v>
      </c>
      <c r="D139">
        <f t="shared" si="302"/>
        <v>0.99999999999997868</v>
      </c>
      <c r="E139">
        <f t="shared" si="302"/>
        <v>0.99999999999997868</v>
      </c>
      <c r="F139">
        <f t="shared" si="302"/>
        <v>2.0000000000000462</v>
      </c>
      <c r="G139">
        <f t="shared" si="302"/>
        <v>2.9999999999999805</v>
      </c>
      <c r="H139">
        <f t="shared" si="302"/>
        <v>12.000000000000011</v>
      </c>
      <c r="I139">
        <f t="shared" si="302"/>
        <v>5.0000000000000266</v>
      </c>
      <c r="J139">
        <f t="shared" si="302"/>
        <v>4.9999999999999822</v>
      </c>
      <c r="K139">
        <f t="shared" si="302"/>
        <v>2.9999999999999805</v>
      </c>
      <c r="L139">
        <f t="shared" si="302"/>
        <v>2.0000000000000462</v>
      </c>
      <c r="M139">
        <f t="shared" si="302"/>
        <v>0</v>
      </c>
      <c r="N139">
        <f t="shared" si="302"/>
        <v>-1.0000000000000675</v>
      </c>
      <c r="O139" s="5">
        <f t="shared" si="294"/>
        <v>8.1191302229216631E-4</v>
      </c>
      <c r="P139" s="5">
        <f t="shared" si="294"/>
        <v>6.6310615107323789E-3</v>
      </c>
      <c r="Q139" s="5">
        <f t="shared" si="294"/>
        <v>-1.7024284472567225E-3</v>
      </c>
      <c r="R139" s="5">
        <f t="shared" si="294"/>
        <v>4.5197817056195572E-3</v>
      </c>
      <c r="S139" s="5">
        <f t="shared" si="294"/>
        <v>-1.3384159438503687E-3</v>
      </c>
      <c r="T139" s="5">
        <f t="shared" ref="T139:X139" si="303">LN(T688/T689)</f>
        <v>7.814853701172091E-3</v>
      </c>
      <c r="U139" s="5">
        <f t="shared" si="303"/>
        <v>4.2739114982586167E-3</v>
      </c>
      <c r="V139" s="5">
        <f t="shared" si="303"/>
        <v>4.1148109484225991E-3</v>
      </c>
      <c r="W139" s="5">
        <f t="shared" si="303"/>
        <v>5.8602507517898229E-4</v>
      </c>
      <c r="X139" s="5">
        <f t="shared" si="303"/>
        <v>4.8618999541439863E-3</v>
      </c>
      <c r="Z139" s="4">
        <v>45895</v>
      </c>
      <c r="AA139">
        <f>B139*B$3</f>
        <v>-2949.0000000000246</v>
      </c>
      <c r="AB139">
        <f>C139*C$3</f>
        <v>-2583.999999999945</v>
      </c>
      <c r="AC139">
        <f>D139*D$3</f>
        <v>16142.999999999656</v>
      </c>
      <c r="AD139">
        <f>E139*E$3</f>
        <v>2427.9999999999482</v>
      </c>
      <c r="AE139">
        <f>F139*F$3</f>
        <v>-24856.000000000575</v>
      </c>
      <c r="AF139">
        <f>G139*G$3</f>
        <v>-46883.999999999694</v>
      </c>
      <c r="AG139">
        <f>H139*H$3</f>
        <v>-338592.00000000029</v>
      </c>
      <c r="AH139">
        <f>I139*I$3</f>
        <v>-92280.000000000495</v>
      </c>
      <c r="AI139">
        <f>J139*J$3</f>
        <v>-255257.4999999991</v>
      </c>
      <c r="AJ139">
        <f>K139*K$3</f>
        <v>-235184.99999999846</v>
      </c>
      <c r="AK139">
        <f>L139*L$3</f>
        <v>62008.000000001433</v>
      </c>
      <c r="AL139">
        <f>M139*M$3</f>
        <v>0</v>
      </c>
      <c r="AM139">
        <f>N139*N$3</f>
        <v>0</v>
      </c>
      <c r="AN139">
        <f>O139*O$3</f>
        <v>0</v>
      </c>
      <c r="AO139">
        <f>P139*P$3</f>
        <v>-33155.307553661893</v>
      </c>
      <c r="AP139">
        <f>Q139*Q$3</f>
        <v>-20429.141367080669</v>
      </c>
      <c r="AQ139">
        <f>R139*R$3</f>
        <v>-67796.725584293352</v>
      </c>
      <c r="AR139" s="1">
        <f>S139*S$3</f>
        <v>9368.9116069525808</v>
      </c>
      <c r="AS139" s="1">
        <f t="shared" si="287"/>
        <v>31259.414804688364</v>
      </c>
      <c r="AT139" s="1">
        <f t="shared" si="287"/>
        <v>34191.291986068936</v>
      </c>
      <c r="AU139" s="1">
        <f t="shared" si="287"/>
        <v>0</v>
      </c>
      <c r="AV139" s="1">
        <f t="shared" si="287"/>
        <v>0</v>
      </c>
      <c r="AW139" s="1">
        <f t="shared" si="287"/>
        <v>0</v>
      </c>
      <c r="AX139" s="1">
        <f t="shared" si="290"/>
        <v>-964570.05610732362</v>
      </c>
      <c r="AY139" s="1">
        <f t="shared" si="291"/>
        <v>-46561.55610732604</v>
      </c>
      <c r="AZ139" s="1">
        <f t="shared" si="292"/>
        <v>-918008.49999999756</v>
      </c>
    </row>
    <row r="140" spans="1:52" x14ac:dyDescent="0.25">
      <c r="A140" s="4">
        <v>45894</v>
      </c>
      <c r="B140">
        <f t="shared" ref="B140:N140" si="304">(B690-B689)*100</f>
        <v>1.9999999999999574</v>
      </c>
      <c r="C140">
        <f t="shared" si="304"/>
        <v>1.0000000000000675</v>
      </c>
      <c r="D140">
        <f t="shared" si="304"/>
        <v>-2.0000000000000462</v>
      </c>
      <c r="E140">
        <f t="shared" si="304"/>
        <v>0</v>
      </c>
      <c r="F140">
        <f t="shared" si="304"/>
        <v>0</v>
      </c>
      <c r="G140">
        <f t="shared" si="304"/>
        <v>-0.99999999999997868</v>
      </c>
      <c r="H140">
        <f t="shared" si="304"/>
        <v>-4.9999999999999822</v>
      </c>
      <c r="I140">
        <f t="shared" si="304"/>
        <v>-4.0000000000000036</v>
      </c>
      <c r="J140">
        <f t="shared" si="304"/>
        <v>-4.0000000000000036</v>
      </c>
      <c r="K140">
        <f t="shared" si="304"/>
        <v>-2.9999999999999805</v>
      </c>
      <c r="L140">
        <f t="shared" si="304"/>
        <v>-2.0000000000000462</v>
      </c>
      <c r="M140">
        <f t="shared" si="304"/>
        <v>-2.0000000000000462</v>
      </c>
      <c r="N140">
        <f t="shared" si="304"/>
        <v>-0.99999999999997868</v>
      </c>
      <c r="O140" s="5">
        <f t="shared" si="294"/>
        <v>-4.0162176313253114E-3</v>
      </c>
      <c r="P140" s="5">
        <f t="shared" si="294"/>
        <v>3.7805347718640383E-3</v>
      </c>
      <c r="Q140" s="5">
        <f t="shared" si="294"/>
        <v>-4.635817861558836E-3</v>
      </c>
      <c r="R140" s="5">
        <f t="shared" si="294"/>
        <v>4.255929249868215E-3</v>
      </c>
      <c r="S140" s="5">
        <f t="shared" si="294"/>
        <v>5.246117683461656E-3</v>
      </c>
      <c r="T140" s="5">
        <f t="shared" ref="T140:X140" si="305">LN(T689/T690)</f>
        <v>-8.279447377107443E-3</v>
      </c>
      <c r="U140" s="5">
        <f t="shared" si="305"/>
        <v>-6.8134563787471689E-3</v>
      </c>
      <c r="V140" s="5">
        <f t="shared" si="305"/>
        <v>-7.9229189537909014E-3</v>
      </c>
      <c r="W140" s="5">
        <f t="shared" si="305"/>
        <v>-9.2023525247596147E-3</v>
      </c>
      <c r="X140" s="5">
        <f t="shared" si="305"/>
        <v>-7.9581815150287036E-3</v>
      </c>
      <c r="Z140" s="4">
        <v>45894</v>
      </c>
      <c r="AA140">
        <f>B140*B$3</f>
        <v>-1965.9999999999582</v>
      </c>
      <c r="AB140">
        <f>C140*C$3</f>
        <v>-2584.0000000001746</v>
      </c>
      <c r="AC140">
        <f>D140*D$3</f>
        <v>-32286.000000000746</v>
      </c>
      <c r="AD140">
        <f>E140*E$3</f>
        <v>0</v>
      </c>
      <c r="AE140">
        <f>F140*F$3</f>
        <v>0</v>
      </c>
      <c r="AF140">
        <f>G140*G$3</f>
        <v>15627.999999999667</v>
      </c>
      <c r="AG140">
        <f>H140*H$3</f>
        <v>141079.99999999951</v>
      </c>
      <c r="AH140">
        <f>I140*I$3</f>
        <v>73824.000000000073</v>
      </c>
      <c r="AI140">
        <f>J140*J$3</f>
        <v>204206.00000000017</v>
      </c>
      <c r="AJ140">
        <f>K140*K$3</f>
        <v>235184.99999999846</v>
      </c>
      <c r="AK140">
        <f>L140*L$3</f>
        <v>-62008.000000001433</v>
      </c>
      <c r="AL140">
        <f>M140*M$3</f>
        <v>-64146.000000001484</v>
      </c>
      <c r="AM140">
        <f>N140*N$3</f>
        <v>0</v>
      </c>
      <c r="AN140">
        <f>O140*O$3</f>
        <v>0</v>
      </c>
      <c r="AO140">
        <f>P140*P$3</f>
        <v>-18902.673859320192</v>
      </c>
      <c r="AP140">
        <f>Q140*Q$3</f>
        <v>-55629.814338706034</v>
      </c>
      <c r="AQ140">
        <f>R140*R$3</f>
        <v>-63838.938748023225</v>
      </c>
      <c r="AR140" s="1">
        <f>S140*S$3</f>
        <v>-36722.823784231594</v>
      </c>
      <c r="AS140" s="1">
        <f t="shared" si="287"/>
        <v>-33117.789508429771</v>
      </c>
      <c r="AT140" s="1">
        <f t="shared" si="287"/>
        <v>-54507.651029977351</v>
      </c>
      <c r="AU140" s="1">
        <f t="shared" si="287"/>
        <v>0</v>
      </c>
      <c r="AV140" s="1">
        <f t="shared" si="287"/>
        <v>0</v>
      </c>
      <c r="AW140" s="1">
        <f t="shared" si="287"/>
        <v>0</v>
      </c>
      <c r="AX140" s="1">
        <f t="shared" si="290"/>
        <v>244213.30873130588</v>
      </c>
      <c r="AY140" s="1">
        <f t="shared" si="291"/>
        <v>-262719.69126868813</v>
      </c>
      <c r="AZ140" s="1">
        <f t="shared" si="292"/>
        <v>506932.999999994</v>
      </c>
    </row>
    <row r="141" spans="1:52" x14ac:dyDescent="0.25">
      <c r="A141" s="4">
        <v>45891</v>
      </c>
      <c r="B141">
        <f t="shared" ref="B141:N141" si="306">(B691-B690)*100</f>
        <v>2.0000000000000462</v>
      </c>
      <c r="C141">
        <f t="shared" si="306"/>
        <v>2.9999999999999361</v>
      </c>
      <c r="D141">
        <f t="shared" si="306"/>
        <v>5.0000000000000711</v>
      </c>
      <c r="E141">
        <f t="shared" si="306"/>
        <v>3.0000000000000249</v>
      </c>
      <c r="F141">
        <f t="shared" si="306"/>
        <v>5.9999999999999609</v>
      </c>
      <c r="G141">
        <f t="shared" si="306"/>
        <v>8.0000000000000071</v>
      </c>
      <c r="H141">
        <f t="shared" si="306"/>
        <v>10.999999999999988</v>
      </c>
      <c r="I141">
        <f t="shared" si="306"/>
        <v>10.999999999999988</v>
      </c>
      <c r="J141">
        <f t="shared" si="306"/>
        <v>10.000000000000009</v>
      </c>
      <c r="K141">
        <f t="shared" si="306"/>
        <v>9.0000000000000302</v>
      </c>
      <c r="L141">
        <f t="shared" si="306"/>
        <v>7.0000000000000284</v>
      </c>
      <c r="M141">
        <f t="shared" si="306"/>
        <v>4.9999999999999822</v>
      </c>
      <c r="N141">
        <f t="shared" si="306"/>
        <v>4.0000000000000036</v>
      </c>
      <c r="O141" s="5">
        <f t="shared" si="294"/>
        <v>-7.9843667707736043E-3</v>
      </c>
      <c r="P141" s="5">
        <f t="shared" si="294"/>
        <v>-4.4753928502490698E-3</v>
      </c>
      <c r="Q141" s="5">
        <f t="shared" si="294"/>
        <v>3.6924264552416308E-3</v>
      </c>
      <c r="R141" s="5">
        <f t="shared" si="294"/>
        <v>-5.6705567314982138E-3</v>
      </c>
      <c r="S141" s="5">
        <f t="shared" si="294"/>
        <v>-9.2772939706712142E-3</v>
      </c>
      <c r="T141" s="5">
        <f t="shared" ref="T141:X141" si="307">LN(T690/T691)</f>
        <v>3.3268232618994145E-3</v>
      </c>
      <c r="U141" s="5">
        <f t="shared" si="307"/>
        <v>3.4951712985289182E-3</v>
      </c>
      <c r="V141" s="5">
        <f t="shared" si="307"/>
        <v>7.2235281619850685E-3</v>
      </c>
      <c r="W141" s="5">
        <f t="shared" si="307"/>
        <v>1.6488884307675209E-3</v>
      </c>
      <c r="X141" s="5">
        <f t="shared" si="307"/>
        <v>5.6175552529061168E-3</v>
      </c>
      <c r="Z141" s="4">
        <v>45891</v>
      </c>
      <c r="AA141">
        <f>B141*B$3</f>
        <v>-1966.0000000000455</v>
      </c>
      <c r="AB141">
        <f>C141*C$3</f>
        <v>-7751.9999999998345</v>
      </c>
      <c r="AC141">
        <f>D141*D$3</f>
        <v>80715.00000000115</v>
      </c>
      <c r="AD141">
        <f>E141*E$3</f>
        <v>7284.00000000006</v>
      </c>
      <c r="AE141">
        <f>F141*F$3</f>
        <v>-74567.99999999952</v>
      </c>
      <c r="AF141">
        <f>G141*G$3</f>
        <v>-125024.00000000012</v>
      </c>
      <c r="AG141">
        <f>H141*H$3</f>
        <v>-310375.99999999965</v>
      </c>
      <c r="AH141">
        <f>I141*I$3</f>
        <v>-203015.99999999977</v>
      </c>
      <c r="AI141">
        <f>J141*J$3</f>
        <v>-510515.00000000047</v>
      </c>
      <c r="AJ141">
        <f>K141*K$3</f>
        <v>-705555.00000000233</v>
      </c>
      <c r="AK141">
        <f>L141*L$3</f>
        <v>217028.00000000087</v>
      </c>
      <c r="AL141">
        <f>M141*M$3</f>
        <v>160364.99999999942</v>
      </c>
      <c r="AM141">
        <f>N141*N$3</f>
        <v>0</v>
      </c>
      <c r="AN141">
        <f>O141*O$3</f>
        <v>0</v>
      </c>
      <c r="AO141">
        <f>P141*P$3</f>
        <v>22376.96425124535</v>
      </c>
      <c r="AP141">
        <f>Q141*Q$3</f>
        <v>44309.117462899572</v>
      </c>
      <c r="AQ141">
        <f>R141*R$3</f>
        <v>85058.350972473199</v>
      </c>
      <c r="AR141" s="1">
        <f>S141*S$3</f>
        <v>64941.057794698499</v>
      </c>
      <c r="AS141" s="1">
        <f t="shared" si="287"/>
        <v>13307.293047597657</v>
      </c>
      <c r="AT141" s="1">
        <f t="shared" si="287"/>
        <v>27961.370388231346</v>
      </c>
      <c r="AU141" s="1">
        <f t="shared" si="287"/>
        <v>0</v>
      </c>
      <c r="AV141" s="1">
        <f t="shared" si="287"/>
        <v>0</v>
      </c>
      <c r="AW141" s="1">
        <f t="shared" si="287"/>
        <v>0</v>
      </c>
      <c r="AX141" s="1">
        <f t="shared" si="290"/>
        <v>-1215425.8460828546</v>
      </c>
      <c r="AY141" s="1">
        <f t="shared" si="291"/>
        <v>257954.15391714565</v>
      </c>
      <c r="AZ141" s="1">
        <f t="shared" si="292"/>
        <v>-1473380.0000000002</v>
      </c>
    </row>
    <row r="142" spans="1:52" x14ac:dyDescent="0.25">
      <c r="A142" s="4">
        <v>45890</v>
      </c>
      <c r="B142">
        <f t="shared" ref="B142:N142" si="308">(B692-B691)*100</f>
        <v>-4.0000000000000036</v>
      </c>
      <c r="C142">
        <f t="shared" si="308"/>
        <v>-4.0000000000000036</v>
      </c>
      <c r="D142">
        <f t="shared" si="308"/>
        <v>-2.0000000000000462</v>
      </c>
      <c r="E142">
        <f t="shared" si="308"/>
        <v>-2.0000000000000462</v>
      </c>
      <c r="F142">
        <f t="shared" si="308"/>
        <v>-2.9999999999999361</v>
      </c>
      <c r="G142">
        <f t="shared" si="308"/>
        <v>-5.0000000000000266</v>
      </c>
      <c r="H142">
        <f t="shared" si="308"/>
        <v>-4.9999999999999822</v>
      </c>
      <c r="I142">
        <f t="shared" si="308"/>
        <v>-6.0000000000000053</v>
      </c>
      <c r="J142">
        <f t="shared" si="308"/>
        <v>-4.9999999999999822</v>
      </c>
      <c r="K142">
        <f t="shared" si="308"/>
        <v>-5.0000000000000711</v>
      </c>
      <c r="L142">
        <f t="shared" si="308"/>
        <v>-4.0000000000000036</v>
      </c>
      <c r="M142">
        <f t="shared" si="308"/>
        <v>-2.9999999999999361</v>
      </c>
      <c r="N142">
        <f t="shared" si="308"/>
        <v>-3.0000000000000249</v>
      </c>
      <c r="O142" s="5">
        <f t="shared" si="294"/>
        <v>1.8621979310648425E-3</v>
      </c>
      <c r="P142" s="5">
        <f t="shared" si="294"/>
        <v>2.7325815040991326E-3</v>
      </c>
      <c r="Q142" s="5">
        <f t="shared" si="294"/>
        <v>1.5451385661759919E-3</v>
      </c>
      <c r="R142" s="5">
        <f t="shared" si="294"/>
        <v>4.8179206133378916E-3</v>
      </c>
      <c r="S142" s="5">
        <f t="shared" si="294"/>
        <v>5.6498682312026158E-4</v>
      </c>
      <c r="T142" s="5">
        <f t="shared" ref="T142:X142" si="309">LN(T691/T692)</f>
        <v>-7.919897481933533E-4</v>
      </c>
      <c r="U142" s="5">
        <f t="shared" si="309"/>
        <v>1.5148192214821657E-3</v>
      </c>
      <c r="V142" s="5">
        <f t="shared" si="309"/>
        <v>-2.7996022284441837E-3</v>
      </c>
      <c r="W142" s="5">
        <f t="shared" si="309"/>
        <v>2.8700251535597673E-3</v>
      </c>
      <c r="X142" s="5">
        <f t="shared" si="309"/>
        <v>-4.504033408006515E-3</v>
      </c>
      <c r="Z142" s="4">
        <v>45890</v>
      </c>
      <c r="AA142">
        <f>B142*B$3</f>
        <v>3932.0000000000036</v>
      </c>
      <c r="AB142">
        <f>C142*C$3</f>
        <v>10336.000000000009</v>
      </c>
      <c r="AC142">
        <f>D142*D$3</f>
        <v>-32286.000000000746</v>
      </c>
      <c r="AD142">
        <f>E142*E$3</f>
        <v>-4856.0000000001119</v>
      </c>
      <c r="AE142">
        <f>F142*F$3</f>
        <v>37283.999999999207</v>
      </c>
      <c r="AF142">
        <f>G142*G$3</f>
        <v>78140.000000000422</v>
      </c>
      <c r="AG142">
        <f>H142*H$3</f>
        <v>141079.99999999951</v>
      </c>
      <c r="AH142">
        <f>I142*I$3</f>
        <v>110736.0000000001</v>
      </c>
      <c r="AI142">
        <f>J142*J$3</f>
        <v>255257.4999999991</v>
      </c>
      <c r="AJ142">
        <f>K142*K$3</f>
        <v>391975.00000000559</v>
      </c>
      <c r="AK142">
        <f>L142*L$3</f>
        <v>-124016.00000000012</v>
      </c>
      <c r="AL142">
        <f>M142*M$3</f>
        <v>-96218.999999997948</v>
      </c>
      <c r="AM142">
        <f>N142*N$3</f>
        <v>0</v>
      </c>
      <c r="AN142">
        <f>O142*O$3</f>
        <v>0</v>
      </c>
      <c r="AO142">
        <f>P142*P$3</f>
        <v>-13662.907520495663</v>
      </c>
      <c r="AP142">
        <f>Q142*Q$3</f>
        <v>18541.662794111904</v>
      </c>
      <c r="AQ142">
        <f>R142*R$3</f>
        <v>-72268.809200068368</v>
      </c>
      <c r="AR142" s="1">
        <f>S142*S$3</f>
        <v>-3954.907761841831</v>
      </c>
      <c r="AS142" s="1">
        <f t="shared" si="287"/>
        <v>-3167.9589927734132</v>
      </c>
      <c r="AT142" s="1">
        <f t="shared" si="287"/>
        <v>12118.553771857325</v>
      </c>
      <c r="AU142" s="1">
        <f t="shared" si="287"/>
        <v>0</v>
      </c>
      <c r="AV142" s="1">
        <f t="shared" si="287"/>
        <v>0</v>
      </c>
      <c r="AW142" s="1">
        <f t="shared" si="287"/>
        <v>0</v>
      </c>
      <c r="AX142" s="1">
        <f t="shared" si="290"/>
        <v>708969.1330907949</v>
      </c>
      <c r="AY142" s="1">
        <f t="shared" si="291"/>
        <v>-62394.366909210054</v>
      </c>
      <c r="AZ142" s="1">
        <f t="shared" si="292"/>
        <v>771363.50000000501</v>
      </c>
    </row>
    <row r="143" spans="1:52" x14ac:dyDescent="0.25">
      <c r="A143" s="4">
        <v>45889</v>
      </c>
      <c r="B143">
        <f t="shared" ref="B143:N143" si="310">(B693-B692)*100</f>
        <v>0.99999999999997868</v>
      </c>
      <c r="C143">
        <f t="shared" si="310"/>
        <v>0</v>
      </c>
      <c r="D143">
        <f t="shared" si="310"/>
        <v>0</v>
      </c>
      <c r="E143">
        <f t="shared" si="310"/>
        <v>-0.99999999999997868</v>
      </c>
      <c r="F143">
        <f t="shared" si="310"/>
        <v>0</v>
      </c>
      <c r="G143">
        <f t="shared" si="310"/>
        <v>1.0000000000000231</v>
      </c>
      <c r="H143">
        <f t="shared" si="310"/>
        <v>0.99999999999997868</v>
      </c>
      <c r="I143">
        <f t="shared" si="310"/>
        <v>1.0000000000000231</v>
      </c>
      <c r="J143">
        <f t="shared" si="310"/>
        <v>0.99999999999997868</v>
      </c>
      <c r="K143">
        <f t="shared" si="310"/>
        <v>2.0000000000000462</v>
      </c>
      <c r="L143">
        <f t="shared" si="310"/>
        <v>0.99999999999997868</v>
      </c>
      <c r="M143">
        <f t="shared" si="310"/>
        <v>2.9999999999999361</v>
      </c>
      <c r="N143">
        <f t="shared" si="310"/>
        <v>1.0000000000000675</v>
      </c>
      <c r="O143" s="5">
        <f t="shared" si="294"/>
        <v>1.8275521816999021E-4</v>
      </c>
      <c r="P143" s="5">
        <f t="shared" si="294"/>
        <v>-2.7573889364069641E-3</v>
      </c>
      <c r="Q143" s="5">
        <f t="shared" si="294"/>
        <v>-2.7671135538357844E-3</v>
      </c>
      <c r="R143" s="5">
        <f t="shared" si="294"/>
        <v>-2.2701485345391855E-3</v>
      </c>
      <c r="S143" s="5">
        <f t="shared" si="294"/>
        <v>-3.268237689721966E-3</v>
      </c>
      <c r="T143" s="5">
        <f t="shared" ref="T143:X143" si="311">LN(T692/T693)</f>
        <v>2.214521376243297E-3</v>
      </c>
      <c r="U143" s="5">
        <f t="shared" si="311"/>
        <v>1.5872780883161549E-3</v>
      </c>
      <c r="V143" s="5">
        <f t="shared" si="311"/>
        <v>-1.2514761235674081E-3</v>
      </c>
      <c r="W143" s="5">
        <f t="shared" si="311"/>
        <v>6.2092248339398262E-3</v>
      </c>
      <c r="X143" s="5">
        <f t="shared" si="311"/>
        <v>4.4578567953656783E-4</v>
      </c>
      <c r="Z143" s="4">
        <v>45889</v>
      </c>
      <c r="AA143">
        <f>B143*B$3</f>
        <v>-982.99999999997908</v>
      </c>
      <c r="AB143">
        <f>C143*C$3</f>
        <v>0</v>
      </c>
      <c r="AC143">
        <f>D143*D$3</f>
        <v>0</v>
      </c>
      <c r="AD143">
        <f>E143*E$3</f>
        <v>-2427.9999999999482</v>
      </c>
      <c r="AE143">
        <f>F143*F$3</f>
        <v>0</v>
      </c>
      <c r="AF143">
        <f>G143*G$3</f>
        <v>-15628.00000000036</v>
      </c>
      <c r="AG143">
        <f>H143*H$3</f>
        <v>-28215.9999999994</v>
      </c>
      <c r="AH143">
        <f>I143*I$3</f>
        <v>-18456.000000000426</v>
      </c>
      <c r="AI143">
        <f>J143*J$3</f>
        <v>-51051.499999998909</v>
      </c>
      <c r="AJ143">
        <f>K143*K$3</f>
        <v>-156790.00000000361</v>
      </c>
      <c r="AK143">
        <f>L143*L$3</f>
        <v>31003.999999999338</v>
      </c>
      <c r="AL143">
        <f>M143*M$3</f>
        <v>96218.999999997948</v>
      </c>
      <c r="AM143">
        <f>N143*N$3</f>
        <v>0</v>
      </c>
      <c r="AN143">
        <f>O143*O$3</f>
        <v>0</v>
      </c>
      <c r="AO143">
        <f>P143*P$3</f>
        <v>13786.94468203482</v>
      </c>
      <c r="AP143">
        <f>Q143*Q$3</f>
        <v>-33205.362646029411</v>
      </c>
      <c r="AQ143">
        <f>R143*R$3</f>
        <v>34052.228018087786</v>
      </c>
      <c r="AR143" s="1">
        <f>S143*S$3</f>
        <v>22877.663828053763</v>
      </c>
      <c r="AS143" s="1">
        <f t="shared" si="287"/>
        <v>8858.085504973189</v>
      </c>
      <c r="AT143" s="1">
        <f t="shared" si="287"/>
        <v>12698.224706529239</v>
      </c>
      <c r="AU143" s="1">
        <f t="shared" si="287"/>
        <v>0</v>
      </c>
      <c r="AV143" s="1">
        <f t="shared" si="287"/>
        <v>0</v>
      </c>
      <c r="AW143" s="1">
        <f t="shared" si="287"/>
        <v>0</v>
      </c>
      <c r="AX143" s="1">
        <f t="shared" si="290"/>
        <v>-87261.715906355967</v>
      </c>
      <c r="AY143" s="1">
        <f t="shared" si="291"/>
        <v>59067.784093649389</v>
      </c>
      <c r="AZ143" s="1">
        <f t="shared" si="292"/>
        <v>-146329.50000000536</v>
      </c>
    </row>
    <row r="144" spans="1:52" x14ac:dyDescent="0.25">
      <c r="A144" s="4">
        <v>45888</v>
      </c>
      <c r="B144">
        <f t="shared" ref="B144:N144" si="312">(B694-B693)*100</f>
        <v>0.99999999999997868</v>
      </c>
      <c r="C144">
        <f t="shared" si="312"/>
        <v>0</v>
      </c>
      <c r="D144">
        <f t="shared" si="312"/>
        <v>3.0000000000000249</v>
      </c>
      <c r="E144">
        <f t="shared" si="312"/>
        <v>0.99999999999997868</v>
      </c>
      <c r="F144">
        <f t="shared" si="312"/>
        <v>1.9999999999999574</v>
      </c>
      <c r="G144">
        <f t="shared" si="312"/>
        <v>2.0000000000000018</v>
      </c>
      <c r="H144">
        <f t="shared" si="312"/>
        <v>2.0000000000000018</v>
      </c>
      <c r="I144">
        <f t="shared" si="312"/>
        <v>2.9999999999999805</v>
      </c>
      <c r="J144">
        <f t="shared" si="312"/>
        <v>4.0000000000000036</v>
      </c>
      <c r="K144">
        <f t="shared" si="312"/>
        <v>3.0000000000000249</v>
      </c>
      <c r="L144">
        <f t="shared" si="312"/>
        <v>4.0000000000000036</v>
      </c>
      <c r="M144">
        <f t="shared" si="312"/>
        <v>3.0000000000000249</v>
      </c>
      <c r="N144">
        <f t="shared" si="312"/>
        <v>4.0000000000000036</v>
      </c>
      <c r="O144" s="5">
        <f t="shared" si="294"/>
        <v>1.0306433948410597E-2</v>
      </c>
      <c r="P144" s="5">
        <f t="shared" si="294"/>
        <v>4.001944168611664E-3</v>
      </c>
      <c r="Q144" s="5">
        <f t="shared" si="294"/>
        <v>4.5641338929373531E-3</v>
      </c>
      <c r="R144" s="5">
        <f t="shared" si="294"/>
        <v>-3.6780349852217854E-3</v>
      </c>
      <c r="S144" s="5">
        <f t="shared" si="294"/>
        <v>1.9628553337443532E-3</v>
      </c>
      <c r="T144" s="5">
        <f t="shared" ref="T144:X144" si="313">LN(T693/T694)</f>
        <v>3.2725951672362059E-3</v>
      </c>
      <c r="U144" s="5">
        <f t="shared" si="313"/>
        <v>3.5590249849400519E-3</v>
      </c>
      <c r="V144" s="5">
        <f t="shared" si="313"/>
        <v>4.4176017388657647E-3</v>
      </c>
      <c r="W144" s="5">
        <f t="shared" si="313"/>
        <v>2.7921419765346285E-3</v>
      </c>
      <c r="X144" s="5">
        <f t="shared" si="313"/>
        <v>1.0037449611297372E-3</v>
      </c>
      <c r="Z144" s="4">
        <v>45888</v>
      </c>
      <c r="AA144">
        <f>B144*B$3</f>
        <v>-982.99999999997908</v>
      </c>
      <c r="AB144">
        <f>C144*C$3</f>
        <v>0</v>
      </c>
      <c r="AC144">
        <f>D144*D$3</f>
        <v>48429.0000000004</v>
      </c>
      <c r="AD144">
        <f>E144*E$3</f>
        <v>2427.9999999999482</v>
      </c>
      <c r="AE144">
        <f>F144*F$3</f>
        <v>-24855.999999999469</v>
      </c>
      <c r="AF144">
        <f>G144*G$3</f>
        <v>-31256.000000000029</v>
      </c>
      <c r="AG144">
        <f>H144*H$3</f>
        <v>-56432.000000000051</v>
      </c>
      <c r="AH144">
        <f>I144*I$3</f>
        <v>-55367.999999999636</v>
      </c>
      <c r="AI144">
        <f>J144*J$3</f>
        <v>-204206.00000000017</v>
      </c>
      <c r="AJ144">
        <f>K144*K$3</f>
        <v>-235185.00000000195</v>
      </c>
      <c r="AK144">
        <f>L144*L$3</f>
        <v>124016.00000000012</v>
      </c>
      <c r="AL144">
        <f>M144*M$3</f>
        <v>96219.0000000008</v>
      </c>
      <c r="AM144">
        <f>N144*N$3</f>
        <v>0</v>
      </c>
      <c r="AN144">
        <f>O144*O$3</f>
        <v>0</v>
      </c>
      <c r="AO144">
        <f>P144*P$3</f>
        <v>-20009.72084305832</v>
      </c>
      <c r="AP144">
        <f>Q144*Q$3</f>
        <v>54769.606715248236</v>
      </c>
      <c r="AQ144">
        <f>R144*R$3</f>
        <v>55170.524778326784</v>
      </c>
      <c r="AR144" s="1">
        <f>S144*S$3</f>
        <v>-13739.987336210472</v>
      </c>
      <c r="AS144" s="1">
        <f t="shared" si="287"/>
        <v>13090.380668944823</v>
      </c>
      <c r="AT144" s="1">
        <f t="shared" si="287"/>
        <v>28472.199879520416</v>
      </c>
      <c r="AU144" s="1">
        <f t="shared" si="287"/>
        <v>0</v>
      </c>
      <c r="AV144" s="1">
        <f t="shared" si="287"/>
        <v>0</v>
      </c>
      <c r="AW144" s="1">
        <f t="shared" si="287"/>
        <v>0</v>
      </c>
      <c r="AX144" s="1">
        <f t="shared" si="290"/>
        <v>-219440.99613722847</v>
      </c>
      <c r="AY144" s="1">
        <f t="shared" si="291"/>
        <v>117753.00386277147</v>
      </c>
      <c r="AZ144" s="1">
        <f t="shared" si="292"/>
        <v>-337193.99999999994</v>
      </c>
    </row>
    <row r="145" spans="1:52" x14ac:dyDescent="0.25">
      <c r="A145" s="4">
        <v>45887</v>
      </c>
      <c r="B145">
        <f t="shared" ref="B145:N145" si="314">(B695-B694)*100</f>
        <v>1.0000000000000675</v>
      </c>
      <c r="C145">
        <f t="shared" si="314"/>
        <v>0</v>
      </c>
      <c r="D145">
        <f t="shared" si="314"/>
        <v>-3.0000000000000249</v>
      </c>
      <c r="E145">
        <f t="shared" si="314"/>
        <v>0</v>
      </c>
      <c r="F145">
        <f t="shared" si="314"/>
        <v>-0.99999999999997868</v>
      </c>
      <c r="G145">
        <f t="shared" si="314"/>
        <v>0</v>
      </c>
      <c r="H145">
        <f t="shared" si="314"/>
        <v>-2.0000000000000018</v>
      </c>
      <c r="I145">
        <f t="shared" si="314"/>
        <v>0</v>
      </c>
      <c r="J145">
        <f t="shared" si="314"/>
        <v>-0.99999999999997868</v>
      </c>
      <c r="K145">
        <f t="shared" si="314"/>
        <v>0</v>
      </c>
      <c r="L145">
        <f t="shared" si="314"/>
        <v>-0.99999999999997868</v>
      </c>
      <c r="M145">
        <f t="shared" si="314"/>
        <v>-0.99999999999997868</v>
      </c>
      <c r="N145">
        <f t="shared" si="314"/>
        <v>-2.0000000000000462</v>
      </c>
      <c r="O145" s="5">
        <f t="shared" ref="O145:S154" si="315">LN(O694/O695)</f>
        <v>4.2007149310863707E-3</v>
      </c>
      <c r="P145" s="5">
        <f t="shared" si="315"/>
        <v>0</v>
      </c>
      <c r="Q145" s="5">
        <f t="shared" si="315"/>
        <v>9.894501920074069E-3</v>
      </c>
      <c r="R145" s="5">
        <f t="shared" si="315"/>
        <v>-4.7894161138767478E-3</v>
      </c>
      <c r="S145" s="5">
        <f t="shared" si="315"/>
        <v>2.1054378691658369E-3</v>
      </c>
      <c r="T145" s="5">
        <f t="shared" ref="T145:X145" si="316">LN(T694/T695)</f>
        <v>-4.730015176768289E-3</v>
      </c>
      <c r="U145" s="5">
        <f t="shared" si="316"/>
        <v>-1.8961121047164217E-3</v>
      </c>
      <c r="V145" s="5">
        <f t="shared" si="316"/>
        <v>-2.8952687017079555E-3</v>
      </c>
      <c r="W145" s="5">
        <f t="shared" si="316"/>
        <v>-2.3743874300127298E-3</v>
      </c>
      <c r="X145" s="5">
        <f t="shared" si="316"/>
        <v>-1.1399373305155237E-3</v>
      </c>
      <c r="Z145" s="4">
        <v>45887</v>
      </c>
      <c r="AA145">
        <f>B145*B$3</f>
        <v>-983.00000000006639</v>
      </c>
      <c r="AB145">
        <f>C145*C$3</f>
        <v>0</v>
      </c>
      <c r="AC145">
        <f>D145*D$3</f>
        <v>-48429.0000000004</v>
      </c>
      <c r="AD145">
        <f>E145*E$3</f>
        <v>0</v>
      </c>
      <c r="AE145">
        <f>F145*F$3</f>
        <v>12427.999999999734</v>
      </c>
      <c r="AF145">
        <f>G145*G$3</f>
        <v>0</v>
      </c>
      <c r="AG145">
        <f>H145*H$3</f>
        <v>56432.000000000051</v>
      </c>
      <c r="AH145">
        <f>I145*I$3</f>
        <v>0</v>
      </c>
      <c r="AI145">
        <f>J145*J$3</f>
        <v>51051.499999998909</v>
      </c>
      <c r="AJ145">
        <f>K145*K$3</f>
        <v>0</v>
      </c>
      <c r="AK145">
        <f>L145*L$3</f>
        <v>-31003.999999999338</v>
      </c>
      <c r="AL145">
        <f>M145*M$3</f>
        <v>-32072.999999999316</v>
      </c>
      <c r="AM145">
        <f>N145*N$3</f>
        <v>0</v>
      </c>
      <c r="AN145">
        <f>O145*O$3</f>
        <v>0</v>
      </c>
      <c r="AO145">
        <f>P145*P$3</f>
        <v>0</v>
      </c>
      <c r="AP145">
        <f>Q145*Q$3</f>
        <v>118734.02304088883</v>
      </c>
      <c r="AQ145">
        <f>R145*R$3</f>
        <v>71841.24170815121</v>
      </c>
      <c r="AR145" s="1">
        <f>S145*S$3</f>
        <v>-14738.065084160859</v>
      </c>
      <c r="AS145" s="1">
        <f t="shared" si="287"/>
        <v>-18920.060707073157</v>
      </c>
      <c r="AT145" s="1">
        <f t="shared" si="287"/>
        <v>-15168.896837731374</v>
      </c>
      <c r="AU145" s="1">
        <f t="shared" si="287"/>
        <v>0</v>
      </c>
      <c r="AV145" s="1">
        <f t="shared" si="287"/>
        <v>0</v>
      </c>
      <c r="AW145" s="1">
        <f t="shared" si="287"/>
        <v>0</v>
      </c>
      <c r="AX145" s="1">
        <f t="shared" si="290"/>
        <v>149170.7421200742</v>
      </c>
      <c r="AY145" s="1">
        <f t="shared" si="291"/>
        <v>141748.24212007463</v>
      </c>
      <c r="AZ145" s="1">
        <f t="shared" si="292"/>
        <v>7422.4999999995634</v>
      </c>
    </row>
    <row r="146" spans="1:52" x14ac:dyDescent="0.25">
      <c r="A146" s="4">
        <v>45884</v>
      </c>
      <c r="B146">
        <f t="shared" ref="B146:N146" si="317">(B696-B695)*100</f>
        <v>0</v>
      </c>
      <c r="C146">
        <f t="shared" si="317"/>
        <v>1.0000000000000675</v>
      </c>
      <c r="D146">
        <f t="shared" si="317"/>
        <v>0</v>
      </c>
      <c r="E146">
        <f t="shared" si="317"/>
        <v>0</v>
      </c>
      <c r="F146">
        <f t="shared" si="317"/>
        <v>0</v>
      </c>
      <c r="G146">
        <f t="shared" si="317"/>
        <v>-2.0000000000000018</v>
      </c>
      <c r="H146">
        <f t="shared" si="317"/>
        <v>-0.99999999999997868</v>
      </c>
      <c r="I146">
        <f t="shared" si="317"/>
        <v>-2.9999999999999805</v>
      </c>
      <c r="J146">
        <f t="shared" si="317"/>
        <v>-3.0000000000000249</v>
      </c>
      <c r="K146">
        <f t="shared" si="317"/>
        <v>-4.0000000000000036</v>
      </c>
      <c r="L146">
        <f t="shared" si="317"/>
        <v>-4.0000000000000036</v>
      </c>
      <c r="M146">
        <f t="shared" si="317"/>
        <v>-4.9999999999999822</v>
      </c>
      <c r="N146">
        <f t="shared" si="317"/>
        <v>-4.0000000000000036</v>
      </c>
      <c r="O146" s="5">
        <f t="shared" si="315"/>
        <v>-3.0921083358933805E-3</v>
      </c>
      <c r="P146" s="5">
        <f t="shared" si="315"/>
        <v>-9.6099649318560701E-3</v>
      </c>
      <c r="Q146" s="5">
        <f t="shared" si="315"/>
        <v>0</v>
      </c>
      <c r="R146" s="5">
        <f t="shared" si="315"/>
        <v>-2.2459301973052439E-3</v>
      </c>
      <c r="S146" s="5">
        <f t="shared" si="315"/>
        <v>-3.9779481645185119E-3</v>
      </c>
      <c r="T146" s="5">
        <f t="shared" ref="T146:X146" si="318">LN(T695/T696)</f>
        <v>5.268555868744044E-3</v>
      </c>
      <c r="U146" s="5">
        <f t="shared" si="318"/>
        <v>4.0267265076639946E-3</v>
      </c>
      <c r="V146" s="5">
        <f t="shared" si="318"/>
        <v>3.8736674010014984E-3</v>
      </c>
      <c r="W146" s="5">
        <f t="shared" si="318"/>
        <v>8.3057314009222592E-3</v>
      </c>
      <c r="X146" s="5">
        <f t="shared" si="318"/>
        <v>3.4734167158287665E-3</v>
      </c>
      <c r="Z146" s="4">
        <v>45884</v>
      </c>
      <c r="AA146">
        <f>B146*B$3</f>
        <v>0</v>
      </c>
      <c r="AB146">
        <f>C146*C$3</f>
        <v>-2584.0000000001746</v>
      </c>
      <c r="AC146">
        <f>D146*D$3</f>
        <v>0</v>
      </c>
      <c r="AD146">
        <f>E146*E$3</f>
        <v>0</v>
      </c>
      <c r="AE146">
        <f>F146*F$3</f>
        <v>0</v>
      </c>
      <c r="AF146">
        <f>G146*G$3</f>
        <v>31256.000000000029</v>
      </c>
      <c r="AG146">
        <f>H146*H$3</f>
        <v>28215.9999999994</v>
      </c>
      <c r="AH146">
        <f>I146*I$3</f>
        <v>55367.999999999636</v>
      </c>
      <c r="AI146">
        <f>J146*J$3</f>
        <v>153154.50000000128</v>
      </c>
      <c r="AJ146">
        <f>K146*K$3</f>
        <v>313580.00000000029</v>
      </c>
      <c r="AK146">
        <f>L146*L$3</f>
        <v>-124016.00000000012</v>
      </c>
      <c r="AL146">
        <f>M146*M$3</f>
        <v>-160364.99999999942</v>
      </c>
      <c r="AM146">
        <f>N146*N$3</f>
        <v>0</v>
      </c>
      <c r="AN146">
        <f>O146*O$3</f>
        <v>0</v>
      </c>
      <c r="AO146">
        <f>P146*P$3</f>
        <v>48049.824659280348</v>
      </c>
      <c r="AP146">
        <f>Q146*Q$3</f>
        <v>0</v>
      </c>
      <c r="AQ146">
        <f>R146*R$3</f>
        <v>33688.952959578659</v>
      </c>
      <c r="AR146" s="1">
        <f>S146*S$3</f>
        <v>27845.637151629584</v>
      </c>
      <c r="AS146" s="1">
        <f t="shared" si="287"/>
        <v>21074.223474976177</v>
      </c>
      <c r="AT146" s="1">
        <f t="shared" si="287"/>
        <v>32213.812061311957</v>
      </c>
      <c r="AU146" s="1">
        <f t="shared" si="287"/>
        <v>0</v>
      </c>
      <c r="AV146" s="1">
        <f t="shared" si="287"/>
        <v>0</v>
      </c>
      <c r="AW146" s="1">
        <f t="shared" si="287"/>
        <v>0</v>
      </c>
      <c r="AX146" s="1">
        <f t="shared" si="290"/>
        <v>457481.95030677773</v>
      </c>
      <c r="AY146" s="1">
        <f t="shared" si="291"/>
        <v>162872.45030677674</v>
      </c>
      <c r="AZ146" s="1">
        <f t="shared" si="292"/>
        <v>294609.50000000099</v>
      </c>
    </row>
    <row r="147" spans="1:52" x14ac:dyDescent="0.25">
      <c r="A147" s="4">
        <v>45883</v>
      </c>
      <c r="B147">
        <f t="shared" ref="B147:N147" si="319">(B697-B696)*100</f>
        <v>-4.0000000000000036</v>
      </c>
      <c r="C147">
        <f t="shared" si="319"/>
        <v>-4.0000000000000036</v>
      </c>
      <c r="D147">
        <f t="shared" si="319"/>
        <v>-0.99999999999997868</v>
      </c>
      <c r="E147">
        <f t="shared" si="319"/>
        <v>-0.99999999999997868</v>
      </c>
      <c r="F147">
        <f t="shared" si="319"/>
        <v>-3.0000000000000249</v>
      </c>
      <c r="G147">
        <f t="shared" si="319"/>
        <v>-5.0000000000000266</v>
      </c>
      <c r="H147">
        <f t="shared" si="319"/>
        <v>-7.0000000000000284</v>
      </c>
      <c r="I147">
        <f t="shared" si="319"/>
        <v>-6.0000000000000053</v>
      </c>
      <c r="J147">
        <f t="shared" si="319"/>
        <v>-4.9999999999999822</v>
      </c>
      <c r="K147">
        <f t="shared" si="319"/>
        <v>-5.0000000000000266</v>
      </c>
      <c r="L147">
        <f t="shared" si="319"/>
        <v>-4.9999999999999822</v>
      </c>
      <c r="M147">
        <f t="shared" si="319"/>
        <v>-5.0000000000000711</v>
      </c>
      <c r="N147">
        <f t="shared" si="319"/>
        <v>-4.9999999999999822</v>
      </c>
      <c r="O147" s="5">
        <f t="shared" si="315"/>
        <v>3.0921083358933323E-3</v>
      </c>
      <c r="P147" s="5">
        <f t="shared" si="315"/>
        <v>6.3748548556983196E-3</v>
      </c>
      <c r="Q147" s="5">
        <f t="shared" si="315"/>
        <v>-1.0351853860358104E-2</v>
      </c>
      <c r="R147" s="5">
        <f t="shared" si="315"/>
        <v>7.6003180776222585E-3</v>
      </c>
      <c r="S147" s="5">
        <f t="shared" si="315"/>
        <v>9.3817182626262895E-3</v>
      </c>
      <c r="T147" s="5">
        <f t="shared" ref="T147:X147" si="320">LN(T696/T697)</f>
        <v>-3.064079840358181E-3</v>
      </c>
      <c r="U147" s="5">
        <f t="shared" si="320"/>
        <v>-5.9867311477361709E-3</v>
      </c>
      <c r="V147" s="5">
        <f t="shared" si="320"/>
        <v>-4.3272234883076736E-3</v>
      </c>
      <c r="W147" s="5">
        <f t="shared" si="320"/>
        <v>-3.3488693983400155E-3</v>
      </c>
      <c r="X147" s="5">
        <f t="shared" si="320"/>
        <v>-1.7630600221857421E-3</v>
      </c>
      <c r="Z147" s="4">
        <v>45883</v>
      </c>
      <c r="AA147">
        <f>B147*B$3</f>
        <v>3932.0000000000036</v>
      </c>
      <c r="AB147">
        <f>C147*C$3</f>
        <v>10336.000000000009</v>
      </c>
      <c r="AC147">
        <f>D147*D$3</f>
        <v>-16142.999999999656</v>
      </c>
      <c r="AD147">
        <f>E147*E$3</f>
        <v>-2427.9999999999482</v>
      </c>
      <c r="AE147">
        <f>F147*F$3</f>
        <v>37284.000000000306</v>
      </c>
      <c r="AF147">
        <f>G147*G$3</f>
        <v>78140.000000000422</v>
      </c>
      <c r="AG147">
        <f>H147*H$3</f>
        <v>197512.00000000081</v>
      </c>
      <c r="AH147">
        <f>I147*I$3</f>
        <v>110736.0000000001</v>
      </c>
      <c r="AI147">
        <f>J147*J$3</f>
        <v>255257.4999999991</v>
      </c>
      <c r="AJ147">
        <f>K147*K$3</f>
        <v>391975.0000000021</v>
      </c>
      <c r="AK147">
        <f>L147*L$3</f>
        <v>-155019.99999999945</v>
      </c>
      <c r="AL147">
        <f>M147*M$3</f>
        <v>-160365.00000000227</v>
      </c>
      <c r="AM147">
        <f>N147*N$3</f>
        <v>0</v>
      </c>
      <c r="AN147">
        <f>O147*O$3</f>
        <v>0</v>
      </c>
      <c r="AO147">
        <f>P147*P$3</f>
        <v>-31874.274278491597</v>
      </c>
      <c r="AP147">
        <f>Q147*Q$3</f>
        <v>-124222.24632429724</v>
      </c>
      <c r="AQ147">
        <f>R147*R$3</f>
        <v>-114004.77116433387</v>
      </c>
      <c r="AR147" s="1">
        <f>S147*S$3</f>
        <v>-65672.02783838402</v>
      </c>
      <c r="AS147" s="1">
        <f t="shared" si="287"/>
        <v>-12256.319361432725</v>
      </c>
      <c r="AT147" s="1">
        <f t="shared" si="287"/>
        <v>-47893.849181889367</v>
      </c>
      <c r="AU147" s="1">
        <f t="shared" si="287"/>
        <v>0</v>
      </c>
      <c r="AV147" s="1">
        <f t="shared" si="287"/>
        <v>0</v>
      </c>
      <c r="AW147" s="1">
        <f t="shared" si="287"/>
        <v>0</v>
      </c>
      <c r="AX147" s="1">
        <f t="shared" si="290"/>
        <v>355293.01185117272</v>
      </c>
      <c r="AY147" s="1">
        <f t="shared" si="291"/>
        <v>-395923.48814882885</v>
      </c>
      <c r="AZ147" s="1">
        <f t="shared" si="292"/>
        <v>751216.50000000163</v>
      </c>
    </row>
    <row r="148" spans="1:52" x14ac:dyDescent="0.25">
      <c r="A148" s="4">
        <v>45882</v>
      </c>
      <c r="B148">
        <f t="shared" ref="B148:N148" si="321">(B698-B697)*100</f>
        <v>0</v>
      </c>
      <c r="C148">
        <f t="shared" si="321"/>
        <v>2.9999999999999361</v>
      </c>
      <c r="D148">
        <f t="shared" si="321"/>
        <v>4.0000000000000036</v>
      </c>
      <c r="E148">
        <f t="shared" si="321"/>
        <v>4.0000000000000036</v>
      </c>
      <c r="F148">
        <f t="shared" si="321"/>
        <v>3.0000000000000249</v>
      </c>
      <c r="G148">
        <f t="shared" si="321"/>
        <v>4.0000000000000036</v>
      </c>
      <c r="H148">
        <f t="shared" si="321"/>
        <v>5.0000000000000266</v>
      </c>
      <c r="I148">
        <f t="shared" si="321"/>
        <v>4.9999999999999822</v>
      </c>
      <c r="J148">
        <f t="shared" si="321"/>
        <v>6.0000000000000053</v>
      </c>
      <c r="K148">
        <f t="shared" si="321"/>
        <v>5.0000000000000266</v>
      </c>
      <c r="L148">
        <f t="shared" si="321"/>
        <v>4.9999999999999822</v>
      </c>
      <c r="M148">
        <f t="shared" si="321"/>
        <v>6.0000000000000497</v>
      </c>
      <c r="N148">
        <f t="shared" si="321"/>
        <v>4.9999999999999822</v>
      </c>
      <c r="O148" s="5">
        <f t="shared" si="315"/>
        <v>-2.2968502512402929E-3</v>
      </c>
      <c r="P148" s="5">
        <f t="shared" si="315"/>
        <v>2.8117874855762481E-3</v>
      </c>
      <c r="Q148" s="5">
        <f t="shared" si="315"/>
        <v>-7.7534613726017911E-3</v>
      </c>
      <c r="R148" s="5">
        <f t="shared" si="315"/>
        <v>3.1130632187814163E-3</v>
      </c>
      <c r="S148" s="5">
        <f t="shared" si="315"/>
        <v>3.21865916430421E-3</v>
      </c>
      <c r="T148" s="5">
        <f t="shared" ref="T148:X148" si="322">LN(T697/T698)</f>
        <v>-5.0318172328678622E-3</v>
      </c>
      <c r="U148" s="5">
        <f t="shared" si="322"/>
        <v>-5.1185891461476667E-3</v>
      </c>
      <c r="V148" s="5">
        <f t="shared" si="322"/>
        <v>-2.4807412943445681E-3</v>
      </c>
      <c r="W148" s="5">
        <f t="shared" si="322"/>
        <v>-2.3610280224102718E-3</v>
      </c>
      <c r="X148" s="5">
        <f t="shared" si="322"/>
        <v>-6.9965765381120662E-3</v>
      </c>
      <c r="Z148" s="4">
        <v>45882</v>
      </c>
      <c r="AA148">
        <f>B148*B$3</f>
        <v>0</v>
      </c>
      <c r="AB148">
        <f>C148*C$3</f>
        <v>-7751.9999999998345</v>
      </c>
      <c r="AC148">
        <f>D148*D$3</f>
        <v>64572.000000000058</v>
      </c>
      <c r="AD148">
        <f>E148*E$3</f>
        <v>9712.0000000000091</v>
      </c>
      <c r="AE148">
        <f>F148*F$3</f>
        <v>-37284.000000000306</v>
      </c>
      <c r="AF148">
        <f>G148*G$3</f>
        <v>-62512.000000000058</v>
      </c>
      <c r="AG148">
        <f>H148*H$3</f>
        <v>-141080.00000000076</v>
      </c>
      <c r="AH148">
        <f>I148*I$3</f>
        <v>-92279.999999999665</v>
      </c>
      <c r="AI148">
        <f>J148*J$3</f>
        <v>-306309.00000000029</v>
      </c>
      <c r="AJ148">
        <f>K148*K$3</f>
        <v>-391975.0000000021</v>
      </c>
      <c r="AK148">
        <f>L148*L$3</f>
        <v>155019.99999999945</v>
      </c>
      <c r="AL148">
        <f>M148*M$3</f>
        <v>192438.0000000016</v>
      </c>
      <c r="AM148">
        <f>N148*N$3</f>
        <v>0</v>
      </c>
      <c r="AN148">
        <f>O148*O$3</f>
        <v>0</v>
      </c>
      <c r="AO148">
        <f>P148*P$3</f>
        <v>-14058.937427881241</v>
      </c>
      <c r="AP148">
        <f>Q148*Q$3</f>
        <v>-93041.536471221494</v>
      </c>
      <c r="AQ148">
        <f>R148*R$3</f>
        <v>-46695.948281721241</v>
      </c>
      <c r="AR148" s="1">
        <f>S148*S$3</f>
        <v>-22530.61415012947</v>
      </c>
      <c r="AS148" s="1">
        <f t="shared" si="287"/>
        <v>-20127.268931471448</v>
      </c>
      <c r="AT148" s="1">
        <f t="shared" si="287"/>
        <v>-40948.713169181334</v>
      </c>
      <c r="AU148" s="1">
        <f t="shared" si="287"/>
        <v>0</v>
      </c>
      <c r="AV148" s="1">
        <f t="shared" si="287"/>
        <v>0</v>
      </c>
      <c r="AW148" s="1">
        <f t="shared" si="287"/>
        <v>0</v>
      </c>
      <c r="AX148" s="1">
        <f t="shared" si="290"/>
        <v>-854853.0184316081</v>
      </c>
      <c r="AY148" s="1">
        <f t="shared" si="291"/>
        <v>-237403.01843160624</v>
      </c>
      <c r="AZ148" s="1">
        <f t="shared" si="292"/>
        <v>-617450.00000000186</v>
      </c>
    </row>
    <row r="149" spans="1:52" x14ac:dyDescent="0.25">
      <c r="A149" s="4">
        <v>45881</v>
      </c>
      <c r="B149">
        <f t="shared" ref="B149:N149" si="323">(B699-B698)*100</f>
        <v>1.9999999999999574</v>
      </c>
      <c r="C149">
        <f t="shared" si="323"/>
        <v>3.0000000000000249</v>
      </c>
      <c r="D149">
        <f t="shared" si="323"/>
        <v>0.99999999999997868</v>
      </c>
      <c r="E149">
        <f t="shared" si="323"/>
        <v>1.9999999999999574</v>
      </c>
      <c r="F149">
        <f t="shared" si="323"/>
        <v>3.0000000000000249</v>
      </c>
      <c r="G149">
        <f t="shared" si="323"/>
        <v>3.0000000000000249</v>
      </c>
      <c r="H149">
        <f t="shared" si="323"/>
        <v>3.9999999999999591</v>
      </c>
      <c r="I149">
        <f t="shared" si="323"/>
        <v>2.0000000000000018</v>
      </c>
      <c r="J149">
        <f t="shared" si="323"/>
        <v>0</v>
      </c>
      <c r="K149">
        <f t="shared" si="323"/>
        <v>0</v>
      </c>
      <c r="L149">
        <f t="shared" si="323"/>
        <v>-2.0000000000000462</v>
      </c>
      <c r="M149">
        <f t="shared" si="323"/>
        <v>-4.0000000000000036</v>
      </c>
      <c r="N149">
        <f t="shared" si="323"/>
        <v>-4.0000000000000036</v>
      </c>
      <c r="O149" s="5">
        <f t="shared" si="315"/>
        <v>-7.7590488691227167E-3</v>
      </c>
      <c r="P149" s="5">
        <f t="shared" si="315"/>
        <v>-4.2977695427135277E-3</v>
      </c>
      <c r="Q149" s="5">
        <f t="shared" si="315"/>
        <v>4.2678360334976548E-3</v>
      </c>
      <c r="R149" s="5">
        <f t="shared" si="315"/>
        <v>-1.1331445971687313E-3</v>
      </c>
      <c r="S149" s="5">
        <f t="shared" si="315"/>
        <v>-5.3515531513836185E-3</v>
      </c>
      <c r="T149" s="5">
        <f t="shared" ref="T149:X149" si="324">LN(T698/T699)</f>
        <v>2.5361138582427004E-3</v>
      </c>
      <c r="U149" s="5">
        <f t="shared" si="324"/>
        <v>6.8554886750384482E-4</v>
      </c>
      <c r="V149" s="5">
        <f t="shared" si="324"/>
        <v>3.1170794460654576E-3</v>
      </c>
      <c r="W149" s="5">
        <f t="shared" si="324"/>
        <v>5.0831798931364922E-4</v>
      </c>
      <c r="X149" s="5">
        <f t="shared" si="324"/>
        <v>5.3480761933787768E-3</v>
      </c>
      <c r="Z149" s="4">
        <v>45881</v>
      </c>
      <c r="AA149">
        <f>B149*B$3</f>
        <v>-1965.9999999999582</v>
      </c>
      <c r="AB149">
        <f>C149*C$3</f>
        <v>-7752.0000000000646</v>
      </c>
      <c r="AC149">
        <f>D149*D$3</f>
        <v>16142.999999999656</v>
      </c>
      <c r="AD149">
        <f>E149*E$3</f>
        <v>4855.9999999998963</v>
      </c>
      <c r="AE149">
        <f>F149*F$3</f>
        <v>-37284.000000000306</v>
      </c>
      <c r="AF149">
        <f>G149*G$3</f>
        <v>-46884.000000000386</v>
      </c>
      <c r="AG149">
        <f>H149*H$3</f>
        <v>-112863.99999999885</v>
      </c>
      <c r="AH149">
        <f>I149*I$3</f>
        <v>-36912.000000000036</v>
      </c>
      <c r="AI149">
        <f>J149*J$3</f>
        <v>0</v>
      </c>
      <c r="AJ149">
        <f>K149*K$3</f>
        <v>0</v>
      </c>
      <c r="AK149">
        <f>L149*L$3</f>
        <v>-62008.000000001433</v>
      </c>
      <c r="AL149">
        <f>M149*M$3</f>
        <v>-128292.00000000012</v>
      </c>
      <c r="AM149">
        <f>N149*N$3</f>
        <v>0</v>
      </c>
      <c r="AN149">
        <f>O149*O$3</f>
        <v>0</v>
      </c>
      <c r="AO149">
        <f>P149*P$3</f>
        <v>21488.847713567637</v>
      </c>
      <c r="AP149">
        <f>Q149*Q$3</f>
        <v>51214.032401971861</v>
      </c>
      <c r="AQ149">
        <f>R149*R$3</f>
        <v>16997.168957530968</v>
      </c>
      <c r="AR149" s="1">
        <f>S149*S$3</f>
        <v>37460.872059685331</v>
      </c>
      <c r="AS149" s="1">
        <f t="shared" ref="AS149:AW164" si="325">T149*T$3</f>
        <v>10144.455432970803</v>
      </c>
      <c r="AT149" s="1">
        <f t="shared" si="325"/>
        <v>5484.3909400307584</v>
      </c>
      <c r="AU149" s="1">
        <f t="shared" si="325"/>
        <v>0</v>
      </c>
      <c r="AV149" s="1">
        <f t="shared" si="325"/>
        <v>0</v>
      </c>
      <c r="AW149" s="1">
        <f t="shared" si="325"/>
        <v>0</v>
      </c>
      <c r="AX149" s="1">
        <f t="shared" si="290"/>
        <v>-270173.23249424424</v>
      </c>
      <c r="AY149" s="1">
        <f t="shared" si="291"/>
        <v>142789.76750575737</v>
      </c>
      <c r="AZ149" s="1">
        <f t="shared" si="292"/>
        <v>-412963.00000000163</v>
      </c>
    </row>
    <row r="150" spans="1:52" x14ac:dyDescent="0.25">
      <c r="A150" s="4">
        <v>45880</v>
      </c>
      <c r="B150">
        <f t="shared" ref="B150:N150" si="326">(B700-B699)*100</f>
        <v>2.0000000000000462</v>
      </c>
      <c r="C150">
        <f t="shared" si="326"/>
        <v>0.99999999999997868</v>
      </c>
      <c r="D150">
        <f t="shared" si="326"/>
        <v>-1.9999999999999574</v>
      </c>
      <c r="E150">
        <f t="shared" si="326"/>
        <v>0</v>
      </c>
      <c r="F150">
        <f t="shared" si="326"/>
        <v>0</v>
      </c>
      <c r="G150">
        <f t="shared" si="326"/>
        <v>0</v>
      </c>
      <c r="H150">
        <f t="shared" si="326"/>
        <v>0</v>
      </c>
      <c r="I150">
        <f t="shared" si="326"/>
        <v>-0.99999999999997868</v>
      </c>
      <c r="J150">
        <f t="shared" si="326"/>
        <v>0.99999999999997868</v>
      </c>
      <c r="K150">
        <f t="shared" si="326"/>
        <v>0</v>
      </c>
      <c r="L150">
        <f t="shared" si="326"/>
        <v>0</v>
      </c>
      <c r="M150">
        <f t="shared" si="326"/>
        <v>0.99999999999997868</v>
      </c>
      <c r="N150">
        <f t="shared" si="326"/>
        <v>0.99999999999997868</v>
      </c>
      <c r="O150" s="5">
        <f t="shared" si="315"/>
        <v>4.0286659651796904E-3</v>
      </c>
      <c r="P150" s="5">
        <f t="shared" si="315"/>
        <v>-3.7114975180039963E-3</v>
      </c>
      <c r="Q150" s="5">
        <f t="shared" si="315"/>
        <v>-6.4412461028571051E-3</v>
      </c>
      <c r="R150" s="5">
        <f t="shared" si="315"/>
        <v>3.1192425687980498E-3</v>
      </c>
      <c r="S150" s="5">
        <f t="shared" si="315"/>
        <v>4.2165860968917911E-3</v>
      </c>
      <c r="T150" s="5">
        <f t="shared" ref="T150:X150" si="327">LN(T699/T700)</f>
        <v>2.4606864217714E-3</v>
      </c>
      <c r="U150" s="5">
        <f t="shared" si="327"/>
        <v>5.2442155936146043E-4</v>
      </c>
      <c r="V150" s="5">
        <f t="shared" si="327"/>
        <v>5.6162661825623038E-3</v>
      </c>
      <c r="W150" s="5">
        <f t="shared" si="327"/>
        <v>1.2260526588814867E-3</v>
      </c>
      <c r="X150" s="5">
        <f t="shared" si="327"/>
        <v>2.2068905978408914E-3</v>
      </c>
      <c r="Z150" s="4">
        <v>45880</v>
      </c>
      <c r="AA150">
        <f>B150*B$3</f>
        <v>-1966.0000000000455</v>
      </c>
      <c r="AB150">
        <f>C150*C$3</f>
        <v>-2583.999999999945</v>
      </c>
      <c r="AC150">
        <f>D150*D$3</f>
        <v>-32285.999999999312</v>
      </c>
      <c r="AD150">
        <f>E150*E$3</f>
        <v>0</v>
      </c>
      <c r="AE150">
        <f>F150*F$3</f>
        <v>0</v>
      </c>
      <c r="AF150">
        <f>G150*G$3</f>
        <v>0</v>
      </c>
      <c r="AG150">
        <f>H150*H$3</f>
        <v>0</v>
      </c>
      <c r="AH150">
        <f>I150*I$3</f>
        <v>18455.999999999607</v>
      </c>
      <c r="AI150">
        <f>J150*J$3</f>
        <v>-51051.499999998909</v>
      </c>
      <c r="AJ150">
        <f>K150*K$3</f>
        <v>0</v>
      </c>
      <c r="AK150">
        <f>L150*L$3</f>
        <v>0</v>
      </c>
      <c r="AL150">
        <f>M150*M$3</f>
        <v>32072.999999999316</v>
      </c>
      <c r="AM150">
        <f>N150*N$3</f>
        <v>0</v>
      </c>
      <c r="AN150">
        <f>O150*O$3</f>
        <v>0</v>
      </c>
      <c r="AO150">
        <f>P150*P$3</f>
        <v>18557.48759001998</v>
      </c>
      <c r="AP150">
        <f>Q150*Q$3</f>
        <v>-77294.953234285262</v>
      </c>
      <c r="AQ150">
        <f>R150*R$3</f>
        <v>-46788.638531970748</v>
      </c>
      <c r="AR150" s="1">
        <f>S150*S$3</f>
        <v>-29516.102678242536</v>
      </c>
      <c r="AS150" s="1">
        <f t="shared" si="325"/>
        <v>9842.7456870856004</v>
      </c>
      <c r="AT150" s="1">
        <f t="shared" si="325"/>
        <v>4195.3724748916839</v>
      </c>
      <c r="AU150" s="1">
        <f t="shared" si="325"/>
        <v>0</v>
      </c>
      <c r="AV150" s="1">
        <f t="shared" si="325"/>
        <v>0</v>
      </c>
      <c r="AW150" s="1">
        <f t="shared" si="325"/>
        <v>0</v>
      </c>
      <c r="AX150" s="1">
        <f t="shared" si="290"/>
        <v>-158362.58869250058</v>
      </c>
      <c r="AY150" s="1">
        <f t="shared" si="291"/>
        <v>-121004.08869250129</v>
      </c>
      <c r="AZ150" s="1">
        <f t="shared" si="292"/>
        <v>-37358.499999999287</v>
      </c>
    </row>
    <row r="151" spans="1:52" x14ac:dyDescent="0.25">
      <c r="A151" s="4">
        <v>45877</v>
      </c>
      <c r="B151">
        <f t="shared" ref="B151:N151" si="328">(B701-B700)*100</f>
        <v>0.99999999999997868</v>
      </c>
      <c r="C151">
        <f t="shared" si="328"/>
        <v>2.0000000000000462</v>
      </c>
      <c r="D151">
        <f t="shared" si="328"/>
        <v>0</v>
      </c>
      <c r="E151">
        <f t="shared" si="328"/>
        <v>0</v>
      </c>
      <c r="F151">
        <f t="shared" si="328"/>
        <v>0</v>
      </c>
      <c r="G151">
        <f t="shared" si="328"/>
        <v>-1.0000000000000231</v>
      </c>
      <c r="H151">
        <f t="shared" si="328"/>
        <v>-3.9999999999999591</v>
      </c>
      <c r="I151">
        <f t="shared" si="328"/>
        <v>-4.0000000000000036</v>
      </c>
      <c r="J151">
        <f t="shared" si="328"/>
        <v>-4.9999999999999822</v>
      </c>
      <c r="K151">
        <f t="shared" si="328"/>
        <v>-4.0000000000000036</v>
      </c>
      <c r="L151">
        <f t="shared" si="328"/>
        <v>-3.9999999999999147</v>
      </c>
      <c r="M151">
        <f t="shared" si="328"/>
        <v>-3.0000000000000249</v>
      </c>
      <c r="N151">
        <f t="shared" si="328"/>
        <v>-4.0000000000000036</v>
      </c>
      <c r="O151" s="5">
        <f t="shared" si="315"/>
        <v>-7.0532775923052744E-3</v>
      </c>
      <c r="P151" s="5">
        <f t="shared" si="315"/>
        <v>7.1648284123962121E-4</v>
      </c>
      <c r="Q151" s="5">
        <f t="shared" si="315"/>
        <v>-4.6604816685631347E-3</v>
      </c>
      <c r="R151" s="5">
        <f t="shared" si="315"/>
        <v>-4.816555564678018E-3</v>
      </c>
      <c r="S151" s="5">
        <f t="shared" si="315"/>
        <v>-1.9012739962611356E-3</v>
      </c>
      <c r="T151" s="5">
        <f t="shared" ref="T151:X151" si="329">LN(T700/T701)</f>
        <v>-1.1553279826679072E-3</v>
      </c>
      <c r="U151" s="5">
        <f t="shared" si="329"/>
        <v>-6.9837666706055249E-3</v>
      </c>
      <c r="V151" s="5">
        <f t="shared" si="329"/>
        <v>-2.4214381134322004E-3</v>
      </c>
      <c r="W151" s="5">
        <f t="shared" si="329"/>
        <v>-3.9142750613035526E-3</v>
      </c>
      <c r="X151" s="5">
        <f t="shared" si="329"/>
        <v>-4.4673714367421039E-4</v>
      </c>
      <c r="Z151" s="4">
        <v>45877</v>
      </c>
      <c r="AA151">
        <f>B151*B$3</f>
        <v>-982.99999999997908</v>
      </c>
      <c r="AB151">
        <f>C151*C$3</f>
        <v>-5168.0000000001191</v>
      </c>
      <c r="AC151">
        <f>D151*D$3</f>
        <v>0</v>
      </c>
      <c r="AD151">
        <f>E151*E$3</f>
        <v>0</v>
      </c>
      <c r="AE151">
        <f>F151*F$3</f>
        <v>0</v>
      </c>
      <c r="AF151">
        <f>G151*G$3</f>
        <v>15628.00000000036</v>
      </c>
      <c r="AG151">
        <f>H151*H$3</f>
        <v>112863.99999999885</v>
      </c>
      <c r="AH151">
        <f>I151*I$3</f>
        <v>73824.000000000073</v>
      </c>
      <c r="AI151">
        <f>J151*J$3</f>
        <v>255257.4999999991</v>
      </c>
      <c r="AJ151">
        <f>K151*K$3</f>
        <v>313580.00000000029</v>
      </c>
      <c r="AK151">
        <f>L151*L$3</f>
        <v>-124015.99999999735</v>
      </c>
      <c r="AL151">
        <f>M151*M$3</f>
        <v>-96219.0000000008</v>
      </c>
      <c r="AM151">
        <f>N151*N$3</f>
        <v>0</v>
      </c>
      <c r="AN151">
        <f>O151*O$3</f>
        <v>0</v>
      </c>
      <c r="AO151">
        <f>P151*P$3</f>
        <v>-3582.4142061981061</v>
      </c>
      <c r="AP151">
        <f>Q151*Q$3</f>
        <v>-55925.780022757615</v>
      </c>
      <c r="AQ151">
        <f>R151*R$3</f>
        <v>72248.33347017027</v>
      </c>
      <c r="AR151" s="1">
        <f>S151*S$3</f>
        <v>13308.917973827949</v>
      </c>
      <c r="AS151" s="1">
        <f t="shared" si="325"/>
        <v>-4621.3119306716289</v>
      </c>
      <c r="AT151" s="1">
        <f t="shared" si="325"/>
        <v>-55870.133364844201</v>
      </c>
      <c r="AU151" s="1">
        <f t="shared" si="325"/>
        <v>0</v>
      </c>
      <c r="AV151" s="1">
        <f t="shared" si="325"/>
        <v>0</v>
      </c>
      <c r="AW151" s="1">
        <f t="shared" si="325"/>
        <v>0</v>
      </c>
      <c r="AX151" s="1">
        <f t="shared" si="290"/>
        <v>510325.11191952712</v>
      </c>
      <c r="AY151" s="1">
        <f t="shared" si="291"/>
        <v>-34442.388080473334</v>
      </c>
      <c r="AZ151" s="1">
        <f t="shared" si="292"/>
        <v>544767.50000000047</v>
      </c>
    </row>
    <row r="152" spans="1:52" x14ac:dyDescent="0.25">
      <c r="A152" s="4">
        <v>45876</v>
      </c>
      <c r="B152">
        <f t="shared" ref="B152:N152" si="330">(B702-B701)*100</f>
        <v>-0.99999999999997868</v>
      </c>
      <c r="C152">
        <f t="shared" si="330"/>
        <v>-0.99999999999997868</v>
      </c>
      <c r="D152">
        <f t="shared" si="330"/>
        <v>0</v>
      </c>
      <c r="E152">
        <f t="shared" si="330"/>
        <v>0</v>
      </c>
      <c r="F152">
        <f t="shared" si="330"/>
        <v>0</v>
      </c>
      <c r="G152">
        <f t="shared" si="330"/>
        <v>-2.0000000000000018</v>
      </c>
      <c r="H152">
        <f t="shared" si="330"/>
        <v>-3.0000000000000249</v>
      </c>
      <c r="I152">
        <f t="shared" si="330"/>
        <v>-3.0000000000000249</v>
      </c>
      <c r="J152">
        <f t="shared" si="330"/>
        <v>-2.0000000000000018</v>
      </c>
      <c r="K152">
        <f t="shared" si="330"/>
        <v>-2.0000000000000018</v>
      </c>
      <c r="L152">
        <f t="shared" si="330"/>
        <v>-1.0000000000000675</v>
      </c>
      <c r="M152">
        <f t="shared" si="330"/>
        <v>-0.99999999999997868</v>
      </c>
      <c r="N152">
        <f t="shared" si="330"/>
        <v>0</v>
      </c>
      <c r="O152" s="5">
        <f t="shared" si="315"/>
        <v>-2.997242589578673E-3</v>
      </c>
      <c r="P152" s="5">
        <f t="shared" si="315"/>
        <v>0</v>
      </c>
      <c r="Q152" s="5">
        <f t="shared" si="315"/>
        <v>1.0708283785520044E-2</v>
      </c>
      <c r="R152" s="5">
        <f t="shared" si="315"/>
        <v>-4.7934675176108154E-3</v>
      </c>
      <c r="S152" s="5">
        <f t="shared" si="315"/>
        <v>1.2133903934317476E-3</v>
      </c>
      <c r="T152" s="5">
        <f t="shared" ref="T152:X152" si="331">LN(T701/T702)</f>
        <v>-7.2282922327984982E-3</v>
      </c>
      <c r="U152" s="5">
        <f t="shared" si="331"/>
        <v>-4.385158366209797E-3</v>
      </c>
      <c r="V152" s="5">
        <f t="shared" si="331"/>
        <v>-2.4902518090931486E-3</v>
      </c>
      <c r="W152" s="5">
        <f t="shared" si="331"/>
        <v>-4.1968431731061609E-3</v>
      </c>
      <c r="X152" s="5">
        <f t="shared" si="331"/>
        <v>-1.0787422983074575E-3</v>
      </c>
      <c r="Z152" s="4">
        <v>45876</v>
      </c>
      <c r="AA152">
        <f>B152*B$3</f>
        <v>982.99999999997908</v>
      </c>
      <c r="AB152">
        <f>C152*C$3</f>
        <v>2583.999999999945</v>
      </c>
      <c r="AC152">
        <f>D152*D$3</f>
        <v>0</v>
      </c>
      <c r="AD152">
        <f>E152*E$3</f>
        <v>0</v>
      </c>
      <c r="AE152">
        <f>F152*F$3</f>
        <v>0</v>
      </c>
      <c r="AF152">
        <f>G152*G$3</f>
        <v>31256.000000000029</v>
      </c>
      <c r="AG152">
        <f>H152*H$3</f>
        <v>84648.000000000698</v>
      </c>
      <c r="AH152">
        <f>I152*I$3</f>
        <v>55368.000000000458</v>
      </c>
      <c r="AI152">
        <f>J152*J$3</f>
        <v>102103.00000000009</v>
      </c>
      <c r="AJ152">
        <f>K152*K$3</f>
        <v>156790.00000000015</v>
      </c>
      <c r="AK152">
        <f>L152*L$3</f>
        <v>-31004.000000002092</v>
      </c>
      <c r="AL152">
        <f>M152*M$3</f>
        <v>-32072.999999999316</v>
      </c>
      <c r="AM152">
        <f>N152*N$3</f>
        <v>0</v>
      </c>
      <c r="AN152">
        <f>O152*O$3</f>
        <v>0</v>
      </c>
      <c r="AO152">
        <f>P152*P$3</f>
        <v>0</v>
      </c>
      <c r="AP152">
        <f>Q152*Q$3</f>
        <v>128499.40542624053</v>
      </c>
      <c r="AQ152">
        <f>R152*R$3</f>
        <v>71902.012764162224</v>
      </c>
      <c r="AR152" s="1">
        <f>S152*S$3</f>
        <v>-8493.7327540222341</v>
      </c>
      <c r="AS152" s="1">
        <f t="shared" si="325"/>
        <v>-28913.168931193992</v>
      </c>
      <c r="AT152" s="1">
        <f t="shared" si="325"/>
        <v>-35081.266929678379</v>
      </c>
      <c r="AU152" s="1">
        <f t="shared" si="325"/>
        <v>0</v>
      </c>
      <c r="AV152" s="1">
        <f t="shared" si="325"/>
        <v>0</v>
      </c>
      <c r="AW152" s="1">
        <f t="shared" si="325"/>
        <v>0</v>
      </c>
      <c r="AX152" s="1">
        <f t="shared" si="290"/>
        <v>498568.24957550806</v>
      </c>
      <c r="AY152" s="1">
        <f t="shared" si="291"/>
        <v>127913.24957550812</v>
      </c>
      <c r="AZ152" s="1">
        <f t="shared" si="292"/>
        <v>370654.99999999994</v>
      </c>
    </row>
    <row r="153" spans="1:52" x14ac:dyDescent="0.25">
      <c r="A153" s="4">
        <v>45875</v>
      </c>
      <c r="B153">
        <f t="shared" ref="B153:N153" si="332">(B703-B702)*100</f>
        <v>0.99999999999997868</v>
      </c>
      <c r="C153">
        <f t="shared" si="332"/>
        <v>0.99999999999997868</v>
      </c>
      <c r="D153">
        <f t="shared" si="332"/>
        <v>1.9999999999999574</v>
      </c>
      <c r="E153">
        <f t="shared" si="332"/>
        <v>2.0000000000000462</v>
      </c>
      <c r="F153">
        <f t="shared" si="332"/>
        <v>0.99999999999997868</v>
      </c>
      <c r="G153">
        <f t="shared" si="332"/>
        <v>2.0000000000000018</v>
      </c>
      <c r="H153">
        <f t="shared" si="332"/>
        <v>3.0000000000000249</v>
      </c>
      <c r="I153">
        <f t="shared" si="332"/>
        <v>0</v>
      </c>
      <c r="J153">
        <f t="shared" si="332"/>
        <v>0</v>
      </c>
      <c r="K153">
        <f t="shared" si="332"/>
        <v>0</v>
      </c>
      <c r="L153">
        <f t="shared" si="332"/>
        <v>0</v>
      </c>
      <c r="M153">
        <f t="shared" si="332"/>
        <v>-3.0000000000000249</v>
      </c>
      <c r="N153">
        <f t="shared" si="332"/>
        <v>-2.9999999999999361</v>
      </c>
      <c r="O153" s="5">
        <f t="shared" si="315"/>
        <v>-5.7681095193693232E-3</v>
      </c>
      <c r="P153" s="5">
        <f t="shared" si="315"/>
        <v>-1.07915158459259E-2</v>
      </c>
      <c r="Q153" s="5">
        <f t="shared" si="315"/>
        <v>1.8028290641641364E-3</v>
      </c>
      <c r="R153" s="5">
        <f t="shared" si="315"/>
        <v>0</v>
      </c>
      <c r="S153" s="5">
        <f t="shared" si="315"/>
        <v>-6.6181436676950919E-3</v>
      </c>
      <c r="T153" s="5">
        <f t="shared" ref="T153:X153" si="333">LN(T702/T703)</f>
        <v>4.2849539230516072E-4</v>
      </c>
      <c r="U153" s="5">
        <f t="shared" si="333"/>
        <v>-1.4629446107055223E-4</v>
      </c>
      <c r="V153" s="5">
        <f t="shared" si="333"/>
        <v>5.2114300529866103E-3</v>
      </c>
      <c r="W153" s="5">
        <f t="shared" si="333"/>
        <v>2.7832522053168423E-4</v>
      </c>
      <c r="X153" s="5">
        <f t="shared" si="333"/>
        <v>-2.1064609266928418E-4</v>
      </c>
      <c r="Z153" s="4">
        <v>45875</v>
      </c>
      <c r="AA153">
        <f>B153*B$3</f>
        <v>-982.99999999997908</v>
      </c>
      <c r="AB153">
        <f>C153*C$3</f>
        <v>-2583.999999999945</v>
      </c>
      <c r="AC153">
        <f>D153*D$3</f>
        <v>32285.999999999312</v>
      </c>
      <c r="AD153">
        <f>E153*E$3</f>
        <v>4856.0000000001119</v>
      </c>
      <c r="AE153">
        <f>F153*F$3</f>
        <v>-12427.999999999734</v>
      </c>
      <c r="AF153">
        <f>G153*G$3</f>
        <v>-31256.000000000029</v>
      </c>
      <c r="AG153">
        <f>H153*H$3</f>
        <v>-84648.000000000698</v>
      </c>
      <c r="AH153">
        <f>I153*I$3</f>
        <v>0</v>
      </c>
      <c r="AI153">
        <f>J153*J$3</f>
        <v>0</v>
      </c>
      <c r="AJ153">
        <f>K153*K$3</f>
        <v>0</v>
      </c>
      <c r="AK153">
        <f>L153*L$3</f>
        <v>0</v>
      </c>
      <c r="AL153">
        <f>M153*M$3</f>
        <v>-96219.0000000008</v>
      </c>
      <c r="AM153">
        <f>N153*N$3</f>
        <v>0</v>
      </c>
      <c r="AN153">
        <f>O153*O$3</f>
        <v>0</v>
      </c>
      <c r="AO153">
        <f>P153*P$3</f>
        <v>53957.579229629504</v>
      </c>
      <c r="AP153">
        <f>Q153*Q$3</f>
        <v>21633.948769969636</v>
      </c>
      <c r="AQ153">
        <f>R153*R$3</f>
        <v>0</v>
      </c>
      <c r="AR153" s="1">
        <f>S153*S$3</f>
        <v>46327.005673865642</v>
      </c>
      <c r="AS153" s="1">
        <f t="shared" si="325"/>
        <v>1713.981569220643</v>
      </c>
      <c r="AT153" s="1">
        <f t="shared" si="325"/>
        <v>-1170.3556885644177</v>
      </c>
      <c r="AU153" s="1">
        <f t="shared" si="325"/>
        <v>0</v>
      </c>
      <c r="AV153" s="1">
        <f t="shared" si="325"/>
        <v>0</v>
      </c>
      <c r="AW153" s="1">
        <f t="shared" si="325"/>
        <v>0</v>
      </c>
      <c r="AX153" s="1">
        <f t="shared" si="290"/>
        <v>-68513.840445880734</v>
      </c>
      <c r="AY153" s="1">
        <f t="shared" si="291"/>
        <v>122462.15955412101</v>
      </c>
      <c r="AZ153" s="1">
        <f t="shared" si="292"/>
        <v>-190976.00000000175</v>
      </c>
    </row>
    <row r="154" spans="1:52" x14ac:dyDescent="0.25">
      <c r="A154" s="4">
        <v>45874</v>
      </c>
      <c r="B154">
        <f t="shared" ref="B154:N154" si="334">(B704-B703)*100</f>
        <v>-0.99999999999997868</v>
      </c>
      <c r="C154">
        <f t="shared" si="334"/>
        <v>1.9999999999999574</v>
      </c>
      <c r="D154">
        <f t="shared" si="334"/>
        <v>0.99999999999997868</v>
      </c>
      <c r="E154">
        <f t="shared" si="334"/>
        <v>-0.99999999999997868</v>
      </c>
      <c r="F154">
        <f t="shared" si="334"/>
        <v>-0.99999999999997868</v>
      </c>
      <c r="G154">
        <f t="shared" si="334"/>
        <v>-10.000000000000009</v>
      </c>
      <c r="H154">
        <f t="shared" si="334"/>
        <v>-3.0000000000000249</v>
      </c>
      <c r="I154">
        <f t="shared" si="334"/>
        <v>3.0000000000000249</v>
      </c>
      <c r="J154">
        <f t="shared" si="334"/>
        <v>-2.0000000000000018</v>
      </c>
      <c r="K154">
        <f t="shared" si="334"/>
        <v>-2.0000000000000018</v>
      </c>
      <c r="L154">
        <f t="shared" si="334"/>
        <v>0</v>
      </c>
      <c r="M154">
        <f t="shared" si="334"/>
        <v>1.0000000000000675</v>
      </c>
      <c r="N154">
        <f t="shared" si="334"/>
        <v>1.9999999999999574</v>
      </c>
      <c r="O154" s="5">
        <f t="shared" si="315"/>
        <v>1.0886723651255029E-4</v>
      </c>
      <c r="P154" s="5">
        <f t="shared" si="315"/>
        <v>-1.5879805450219602E-3</v>
      </c>
      <c r="Q154" s="5">
        <f t="shared" si="315"/>
        <v>-3.3130439878683838E-3</v>
      </c>
      <c r="R154" s="5">
        <f t="shared" si="315"/>
        <v>-2.2478233684948166E-3</v>
      </c>
      <c r="S154" s="5">
        <f t="shared" si="315"/>
        <v>-8.9840608310906619E-3</v>
      </c>
      <c r="T154" s="5">
        <f t="shared" ref="T154:X154" si="335">LN(T703/T704)</f>
        <v>2.2019763958990566E-4</v>
      </c>
      <c r="U154" s="5">
        <f t="shared" si="335"/>
        <v>-5.7157821344836347E-4</v>
      </c>
      <c r="V154" s="5">
        <f t="shared" si="335"/>
        <v>-3.7397917277719396E-3</v>
      </c>
      <c r="W154" s="5">
        <f t="shared" si="335"/>
        <v>-8.8017023349467173E-4</v>
      </c>
      <c r="X154" s="5">
        <f t="shared" si="335"/>
        <v>3.8234923292900995E-3</v>
      </c>
      <c r="Z154" s="4">
        <v>45874</v>
      </c>
      <c r="AA154">
        <f>B154*B$3</f>
        <v>982.99999999997908</v>
      </c>
      <c r="AB154">
        <f>C154*C$3</f>
        <v>-5167.99999999989</v>
      </c>
      <c r="AC154">
        <f>D154*D$3</f>
        <v>16142.999999999656</v>
      </c>
      <c r="AD154">
        <f>E154*E$3</f>
        <v>-2427.9999999999482</v>
      </c>
      <c r="AE154">
        <f>F154*F$3</f>
        <v>12427.999999999734</v>
      </c>
      <c r="AF154">
        <f>G154*G$3</f>
        <v>156280.00000000015</v>
      </c>
      <c r="AG154">
        <f>H154*H$3</f>
        <v>84648.000000000698</v>
      </c>
      <c r="AH154">
        <f>I154*I$3</f>
        <v>-55368.000000000458</v>
      </c>
      <c r="AI154">
        <f>J154*J$3</f>
        <v>102103.00000000009</v>
      </c>
      <c r="AJ154">
        <f>K154*K$3</f>
        <v>156790.00000000015</v>
      </c>
      <c r="AK154">
        <f>L154*L$3</f>
        <v>0</v>
      </c>
      <c r="AL154">
        <f>M154*M$3</f>
        <v>32073.000000002165</v>
      </c>
      <c r="AM154">
        <f>N154*N$3</f>
        <v>0</v>
      </c>
      <c r="AN154">
        <f>O154*O$3</f>
        <v>0</v>
      </c>
      <c r="AO154">
        <f>P154*P$3</f>
        <v>7939.9027251098014</v>
      </c>
      <c r="AP154">
        <f>Q154*Q$3</f>
        <v>-39756.527854420608</v>
      </c>
      <c r="AQ154">
        <f>R154*R$3</f>
        <v>33717.350527422248</v>
      </c>
      <c r="AR154" s="1">
        <f>S154*S$3</f>
        <v>62888.425817634634</v>
      </c>
      <c r="AS154" s="1">
        <f t="shared" si="325"/>
        <v>880.79055835962265</v>
      </c>
      <c r="AT154" s="1">
        <f t="shared" si="325"/>
        <v>-4572.625707586908</v>
      </c>
      <c r="AU154" s="1">
        <f t="shared" si="325"/>
        <v>0</v>
      </c>
      <c r="AV154" s="1">
        <f t="shared" si="325"/>
        <v>0</v>
      </c>
      <c r="AW154" s="1">
        <f t="shared" si="325"/>
        <v>0</v>
      </c>
      <c r="AX154" s="1">
        <f t="shared" si="290"/>
        <v>559581.3160665211</v>
      </c>
      <c r="AY154" s="1">
        <f t="shared" si="291"/>
        <v>61097.31606651879</v>
      </c>
      <c r="AZ154" s="1">
        <f t="shared" si="292"/>
        <v>498484.00000000233</v>
      </c>
    </row>
    <row r="155" spans="1:52" x14ac:dyDescent="0.25">
      <c r="A155" s="4">
        <v>45873</v>
      </c>
      <c r="B155">
        <f t="shared" ref="B155:N155" si="336">(B705-B704)*100</f>
        <v>0.99999999999997868</v>
      </c>
      <c r="C155">
        <f t="shared" si="336"/>
        <v>1.0000000000000675</v>
      </c>
      <c r="D155">
        <f t="shared" si="336"/>
        <v>0</v>
      </c>
      <c r="E155">
        <f t="shared" si="336"/>
        <v>1.9999999999999574</v>
      </c>
      <c r="F155">
        <f t="shared" si="336"/>
        <v>0.99999999999997868</v>
      </c>
      <c r="G155">
        <f t="shared" si="336"/>
        <v>5.0000000000000266</v>
      </c>
      <c r="H155">
        <f t="shared" si="336"/>
        <v>0</v>
      </c>
      <c r="I155">
        <f t="shared" si="336"/>
        <v>0.99999999999997868</v>
      </c>
      <c r="J155">
        <f t="shared" si="336"/>
        <v>2.0000000000000018</v>
      </c>
      <c r="K155">
        <f t="shared" si="336"/>
        <v>2.0000000000000018</v>
      </c>
      <c r="L155">
        <f t="shared" si="336"/>
        <v>1.0000000000000675</v>
      </c>
      <c r="M155">
        <f t="shared" si="336"/>
        <v>0.99999999999997868</v>
      </c>
      <c r="N155">
        <f t="shared" si="336"/>
        <v>0.99999999999997868</v>
      </c>
      <c r="O155" s="5">
        <f t="shared" ref="O155:S164" si="337">LN(O704/O705)</f>
        <v>-5.8438963884447585E-3</v>
      </c>
      <c r="P155" s="5">
        <f t="shared" si="337"/>
        <v>-7.4178001707124516E-3</v>
      </c>
      <c r="Q155" s="5">
        <f t="shared" si="337"/>
        <v>-9.5871699408486364E-3</v>
      </c>
      <c r="R155" s="5">
        <f t="shared" si="337"/>
        <v>-5.0392043925966464E-3</v>
      </c>
      <c r="S155" s="5">
        <f t="shared" si="337"/>
        <v>9.6836932598080242E-4</v>
      </c>
      <c r="T155" s="5">
        <f t="shared" ref="T155:X155" si="338">LN(T704/T705)</f>
        <v>-1.41625179515534E-2</v>
      </c>
      <c r="U155" s="5">
        <f t="shared" si="338"/>
        <v>-6.0419540290298345E-3</v>
      </c>
      <c r="V155" s="5">
        <f t="shared" si="338"/>
        <v>-2.3005565133721987E-2</v>
      </c>
      <c r="W155" s="5">
        <f t="shared" si="338"/>
        <v>-6.20402430381203E-3</v>
      </c>
      <c r="X155" s="5">
        <f t="shared" si="338"/>
        <v>-1.222582625571187E-2</v>
      </c>
      <c r="Z155" s="4">
        <v>45873</v>
      </c>
      <c r="AA155">
        <f>B155*B$3</f>
        <v>-982.99999999997908</v>
      </c>
      <c r="AB155">
        <f>C155*C$3</f>
        <v>-2584.0000000001746</v>
      </c>
      <c r="AC155">
        <f>D155*D$3</f>
        <v>0</v>
      </c>
      <c r="AD155">
        <f>E155*E$3</f>
        <v>4855.9999999998963</v>
      </c>
      <c r="AE155">
        <f>F155*F$3</f>
        <v>-12427.999999999734</v>
      </c>
      <c r="AF155">
        <f>G155*G$3</f>
        <v>-78140.000000000422</v>
      </c>
      <c r="AG155">
        <f>H155*H$3</f>
        <v>0</v>
      </c>
      <c r="AH155">
        <f>I155*I$3</f>
        <v>-18455.999999999607</v>
      </c>
      <c r="AI155">
        <f>J155*J$3</f>
        <v>-102103.00000000009</v>
      </c>
      <c r="AJ155">
        <f>K155*K$3</f>
        <v>-156790.00000000015</v>
      </c>
      <c r="AK155">
        <f>L155*L$3</f>
        <v>31004.000000002092</v>
      </c>
      <c r="AL155">
        <f>M155*M$3</f>
        <v>32072.999999999316</v>
      </c>
      <c r="AM155">
        <f>N155*N$3</f>
        <v>0</v>
      </c>
      <c r="AN155">
        <f>O155*O$3</f>
        <v>0</v>
      </c>
      <c r="AO155">
        <f>P155*P$3</f>
        <v>37089.000853562255</v>
      </c>
      <c r="AP155">
        <f>Q155*Q$3</f>
        <v>-115046.03929018363</v>
      </c>
      <c r="AQ155">
        <f>R155*R$3</f>
        <v>75588.065888949699</v>
      </c>
      <c r="AR155" s="1">
        <f>S155*S$3</f>
        <v>-6778.5852818656167</v>
      </c>
      <c r="AS155" s="1">
        <f t="shared" si="325"/>
        <v>-56650.0718062136</v>
      </c>
      <c r="AT155" s="1">
        <f t="shared" si="325"/>
        <v>-48335.632232238677</v>
      </c>
      <c r="AU155" s="1">
        <f t="shared" si="325"/>
        <v>0</v>
      </c>
      <c r="AV155" s="1">
        <f t="shared" si="325"/>
        <v>0</v>
      </c>
      <c r="AW155" s="1">
        <f t="shared" si="325"/>
        <v>0</v>
      </c>
      <c r="AX155" s="1">
        <f t="shared" si="290"/>
        <v>-417684.26186798833</v>
      </c>
      <c r="AY155" s="1">
        <f t="shared" si="291"/>
        <v>-114133.26186798955</v>
      </c>
      <c r="AZ155" s="1">
        <f t="shared" si="292"/>
        <v>-303550.99999999878</v>
      </c>
    </row>
    <row r="156" spans="1:52" x14ac:dyDescent="0.25">
      <c r="A156" s="4">
        <v>45870</v>
      </c>
      <c r="B156">
        <f t="shared" ref="B156:N156" si="339">(B706-B705)*100</f>
        <v>0</v>
      </c>
      <c r="C156">
        <f t="shared" si="339"/>
        <v>1.9999999999999574</v>
      </c>
      <c r="D156">
        <f t="shared" si="339"/>
        <v>6.0000000000000497</v>
      </c>
      <c r="E156">
        <f t="shared" si="339"/>
        <v>10.000000000000053</v>
      </c>
      <c r="F156">
        <f t="shared" si="339"/>
        <v>14.999999999999947</v>
      </c>
      <c r="G156">
        <f t="shared" si="339"/>
        <v>22.999999999999954</v>
      </c>
      <c r="H156">
        <f t="shared" si="339"/>
        <v>25</v>
      </c>
      <c r="I156">
        <f t="shared" si="339"/>
        <v>22.000000000000021</v>
      </c>
      <c r="J156">
        <f t="shared" si="339"/>
        <v>18.999999999999993</v>
      </c>
      <c r="K156">
        <f t="shared" si="339"/>
        <v>16.99999999999995</v>
      </c>
      <c r="L156">
        <f t="shared" si="339"/>
        <v>13.999999999999968</v>
      </c>
      <c r="M156">
        <f t="shared" si="339"/>
        <v>9.9999999999999645</v>
      </c>
      <c r="N156">
        <f t="shared" si="339"/>
        <v>8.0000000000000071</v>
      </c>
      <c r="O156" s="5">
        <f t="shared" si="337"/>
        <v>-1.0497983375892606E-2</v>
      </c>
      <c r="P156" s="5">
        <f t="shared" si="337"/>
        <v>-1.2999701603983177E-2</v>
      </c>
      <c r="Q156" s="5">
        <f t="shared" si="337"/>
        <v>-1.2993193191067822E-3</v>
      </c>
      <c r="R156" s="5">
        <f t="shared" si="337"/>
        <v>-2.7886242276502493E-3</v>
      </c>
      <c r="S156" s="5">
        <f t="shared" si="337"/>
        <v>1.0912000574239873E-3</v>
      </c>
      <c r="T156" s="5">
        <f t="shared" ref="T156:X156" si="340">LN(T705/T706)</f>
        <v>4.9137830304737213E-4</v>
      </c>
      <c r="U156" s="5">
        <f t="shared" si="340"/>
        <v>3.6128268161199494E-3</v>
      </c>
      <c r="V156" s="5">
        <f t="shared" si="340"/>
        <v>1.03068615759393E-2</v>
      </c>
      <c r="W156" s="5">
        <f t="shared" si="340"/>
        <v>2.8006706545440616E-3</v>
      </c>
      <c r="X156" s="5">
        <f t="shared" si="340"/>
        <v>8.4810911051090012E-4</v>
      </c>
      <c r="Z156" s="4">
        <v>45870</v>
      </c>
      <c r="AA156">
        <f>B156*B$3</f>
        <v>0</v>
      </c>
      <c r="AB156">
        <f>C156*C$3</f>
        <v>-5167.99999999989</v>
      </c>
      <c r="AC156">
        <f>D156*D$3</f>
        <v>96858.0000000008</v>
      </c>
      <c r="AD156">
        <f>E156*E$3</f>
        <v>24280.000000000131</v>
      </c>
      <c r="AE156">
        <f>F156*F$3</f>
        <v>-186419.99999999933</v>
      </c>
      <c r="AF156">
        <f>G156*G$3</f>
        <v>-359443.9999999993</v>
      </c>
      <c r="AG156">
        <f>H156*H$3</f>
        <v>-705400</v>
      </c>
      <c r="AH156">
        <f>I156*I$3</f>
        <v>-406032.00000000041</v>
      </c>
      <c r="AI156">
        <f>J156*J$3</f>
        <v>-969978.49999999965</v>
      </c>
      <c r="AJ156">
        <f>K156*K$3</f>
        <v>-1332714.999999996</v>
      </c>
      <c r="AK156">
        <f>L156*L$3</f>
        <v>434055.99999999901</v>
      </c>
      <c r="AL156">
        <f>M156*M$3</f>
        <v>320729.99999999884</v>
      </c>
      <c r="AM156">
        <f>N156*N$3</f>
        <v>0</v>
      </c>
      <c r="AN156">
        <f>O156*O$3</f>
        <v>0</v>
      </c>
      <c r="AO156">
        <f>P156*P$3</f>
        <v>64998.508019915884</v>
      </c>
      <c r="AP156">
        <f>Q156*Q$3</f>
        <v>-15591.831829281386</v>
      </c>
      <c r="AQ156">
        <f>R156*R$3</f>
        <v>41829.363414753738</v>
      </c>
      <c r="AR156" s="1">
        <f>S156*S$3</f>
        <v>-7638.4004019679114</v>
      </c>
      <c r="AS156" s="1">
        <f t="shared" si="325"/>
        <v>1965.5132121894885</v>
      </c>
      <c r="AT156" s="1">
        <f t="shared" si="325"/>
        <v>28902.614528959595</v>
      </c>
      <c r="AU156" s="1">
        <f t="shared" si="325"/>
        <v>0</v>
      </c>
      <c r="AV156" s="1">
        <f t="shared" si="325"/>
        <v>0</v>
      </c>
      <c r="AW156" s="1">
        <f t="shared" si="325"/>
        <v>0</v>
      </c>
      <c r="AX156" s="1">
        <f t="shared" si="290"/>
        <v>-2974767.7330554263</v>
      </c>
      <c r="AY156" s="1">
        <f t="shared" si="291"/>
        <v>114465.76694456942</v>
      </c>
      <c r="AZ156" s="1">
        <f t="shared" si="292"/>
        <v>-3089233.4999999958</v>
      </c>
    </row>
    <row r="157" spans="1:52" x14ac:dyDescent="0.25">
      <c r="A157" s="4">
        <v>45869</v>
      </c>
      <c r="B157">
        <f t="shared" ref="B157:N157" si="341">(B707-B706)*100</f>
        <v>-8.0000000000000071</v>
      </c>
      <c r="C157">
        <f t="shared" si="341"/>
        <v>-0.99999999999997868</v>
      </c>
      <c r="D157">
        <f t="shared" si="341"/>
        <v>0</v>
      </c>
      <c r="E157">
        <f t="shared" si="341"/>
        <v>-1.0000000000000675</v>
      </c>
      <c r="F157">
        <f t="shared" si="341"/>
        <v>0</v>
      </c>
      <c r="G157">
        <f t="shared" si="341"/>
        <v>2.0000000000000462</v>
      </c>
      <c r="H157">
        <f t="shared" si="341"/>
        <v>0</v>
      </c>
      <c r="I157">
        <f t="shared" si="341"/>
        <v>0</v>
      </c>
      <c r="J157">
        <f t="shared" si="341"/>
        <v>0</v>
      </c>
      <c r="K157">
        <f t="shared" si="341"/>
        <v>1.0000000000000675</v>
      </c>
      <c r="L157">
        <f t="shared" si="341"/>
        <v>0.99999999999997868</v>
      </c>
      <c r="M157">
        <f t="shared" si="341"/>
        <v>1.0000000000000675</v>
      </c>
      <c r="N157">
        <f t="shared" si="341"/>
        <v>0</v>
      </c>
      <c r="O157" s="5">
        <f t="shared" si="337"/>
        <v>-2.3204134009830382E-4</v>
      </c>
      <c r="P157" s="5">
        <f t="shared" si="337"/>
        <v>-6.9337352895667745E-4</v>
      </c>
      <c r="Q157" s="5">
        <f t="shared" si="337"/>
        <v>8.1923914171417554E-3</v>
      </c>
      <c r="R157" s="5">
        <f t="shared" si="337"/>
        <v>6.4255005261827924E-3</v>
      </c>
      <c r="S157" s="5">
        <f t="shared" si="337"/>
        <v>5.9907701521587126E-4</v>
      </c>
      <c r="T157" s="5">
        <f t="shared" ref="T157:X157" si="342">LN(T706/T707)</f>
        <v>1.058219716293427E-2</v>
      </c>
      <c r="U157" s="5">
        <f t="shared" si="342"/>
        <v>7.2115479631405478E-3</v>
      </c>
      <c r="V157" s="5">
        <f t="shared" si="342"/>
        <v>5.267602811166016E-3</v>
      </c>
      <c r="W157" s="5">
        <f t="shared" si="342"/>
        <v>1.0199576681637311E-2</v>
      </c>
      <c r="X157" s="5">
        <f t="shared" si="342"/>
        <v>9.5634464402408314E-3</v>
      </c>
      <c r="Z157" s="4">
        <v>45869</v>
      </c>
      <c r="AA157">
        <f>B157*B$3</f>
        <v>7864.0000000000073</v>
      </c>
      <c r="AB157">
        <f>C157*C$3</f>
        <v>2583.999999999945</v>
      </c>
      <c r="AC157">
        <f>D157*D$3</f>
        <v>0</v>
      </c>
      <c r="AD157">
        <f>E157*E$3</f>
        <v>-2428.0000000001637</v>
      </c>
      <c r="AE157">
        <f>F157*F$3</f>
        <v>0</v>
      </c>
      <c r="AF157">
        <f>G157*G$3</f>
        <v>-31256.00000000072</v>
      </c>
      <c r="AG157">
        <f>H157*H$3</f>
        <v>0</v>
      </c>
      <c r="AH157">
        <f>I157*I$3</f>
        <v>0</v>
      </c>
      <c r="AI157">
        <f>J157*J$3</f>
        <v>0</v>
      </c>
      <c r="AJ157">
        <f>K157*K$3</f>
        <v>-78395.000000005297</v>
      </c>
      <c r="AK157">
        <f>L157*L$3</f>
        <v>31003.999999999338</v>
      </c>
      <c r="AL157">
        <f>M157*M$3</f>
        <v>32073.000000002165</v>
      </c>
      <c r="AM157">
        <f>N157*N$3</f>
        <v>0</v>
      </c>
      <c r="AN157">
        <f>O157*O$3</f>
        <v>0</v>
      </c>
      <c r="AO157">
        <f>P157*P$3</f>
        <v>3466.8676447833873</v>
      </c>
      <c r="AP157">
        <f>Q157*Q$3</f>
        <v>98308.697005701062</v>
      </c>
      <c r="AQ157">
        <f>R157*R$3</f>
        <v>-96382.50789274188</v>
      </c>
      <c r="AR157" s="1">
        <f>S157*S$3</f>
        <v>-4193.5391065110989</v>
      </c>
      <c r="AS157" s="1">
        <f t="shared" si="325"/>
        <v>42328.788651737079</v>
      </c>
      <c r="AT157" s="1">
        <f t="shared" si="325"/>
        <v>57692.383705124383</v>
      </c>
      <c r="AU157" s="1">
        <f t="shared" si="325"/>
        <v>0</v>
      </c>
      <c r="AV157" s="1">
        <f t="shared" si="325"/>
        <v>0</v>
      </c>
      <c r="AW157" s="1">
        <f t="shared" si="325"/>
        <v>0</v>
      </c>
      <c r="AX157" s="1">
        <f t="shared" si="290"/>
        <v>62666.690008088204</v>
      </c>
      <c r="AY157" s="1">
        <f t="shared" si="291"/>
        <v>101220.69000809293</v>
      </c>
      <c r="AZ157" s="1">
        <f t="shared" si="292"/>
        <v>-38554.000000004729</v>
      </c>
    </row>
    <row r="158" spans="1:52" x14ac:dyDescent="0.25">
      <c r="A158" s="4">
        <v>45868</v>
      </c>
      <c r="B158">
        <f t="shared" ref="B158:N158" si="343">(B708-B707)*100</f>
        <v>-0.99999999999997868</v>
      </c>
      <c r="C158">
        <f t="shared" si="343"/>
        <v>0</v>
      </c>
      <c r="D158">
        <f t="shared" si="343"/>
        <v>-0.99999999999997868</v>
      </c>
      <c r="E158">
        <f t="shared" si="343"/>
        <v>2.0000000000000462</v>
      </c>
      <c r="F158">
        <f t="shared" si="343"/>
        <v>-2.9999999999999361</v>
      </c>
      <c r="G158">
        <f t="shared" si="343"/>
        <v>-4.9999999999999822</v>
      </c>
      <c r="H158">
        <f t="shared" si="343"/>
        <v>-8.0000000000000071</v>
      </c>
      <c r="I158">
        <f t="shared" si="343"/>
        <v>-7.0000000000000284</v>
      </c>
      <c r="J158">
        <f t="shared" si="343"/>
        <v>-6.0000000000000053</v>
      </c>
      <c r="K158">
        <f t="shared" si="343"/>
        <v>-5.0000000000000711</v>
      </c>
      <c r="L158">
        <f t="shared" si="343"/>
        <v>-4.0000000000000036</v>
      </c>
      <c r="M158">
        <f t="shared" si="343"/>
        <v>-4.0000000000000036</v>
      </c>
      <c r="N158">
        <f t="shared" si="343"/>
        <v>-2.9999999999999361</v>
      </c>
      <c r="O158" s="5">
        <f t="shared" si="337"/>
        <v>4.8304087052541958E-3</v>
      </c>
      <c r="P158" s="5">
        <f t="shared" si="337"/>
        <v>9.5823209462028141E-3</v>
      </c>
      <c r="Q158" s="5">
        <f t="shared" si="337"/>
        <v>3.5054437838344474E-4</v>
      </c>
      <c r="R158" s="5">
        <f t="shared" si="337"/>
        <v>6.7491819749283298E-3</v>
      </c>
      <c r="S158" s="5">
        <f t="shared" si="337"/>
        <v>5.6265371423426004E-3</v>
      </c>
      <c r="T158" s="5">
        <f t="shared" ref="T158:X158" si="344">LN(T707/T708)</f>
        <v>3.9582494503387746E-3</v>
      </c>
      <c r="U158" s="5">
        <f t="shared" si="344"/>
        <v>4.942610309310706E-4</v>
      </c>
      <c r="V158" s="5">
        <f t="shared" si="344"/>
        <v>-2.4924180515624239E-4</v>
      </c>
      <c r="W158" s="5">
        <f t="shared" si="344"/>
        <v>1.6557530489888872E-3</v>
      </c>
      <c r="X158" s="5">
        <f t="shared" si="344"/>
        <v>2.9467186761382665E-3</v>
      </c>
      <c r="Z158" s="4">
        <v>45868</v>
      </c>
      <c r="AA158">
        <f>B158*B$3</f>
        <v>982.99999999997908</v>
      </c>
      <c r="AB158">
        <f>C158*C$3</f>
        <v>0</v>
      </c>
      <c r="AC158">
        <f>D158*D$3</f>
        <v>-16142.999999999656</v>
      </c>
      <c r="AD158">
        <f>E158*E$3</f>
        <v>4856.0000000001119</v>
      </c>
      <c r="AE158">
        <f>F158*F$3</f>
        <v>37283.999999999207</v>
      </c>
      <c r="AF158">
        <f>G158*G$3</f>
        <v>78139.999999999724</v>
      </c>
      <c r="AG158">
        <f>H158*H$3</f>
        <v>225728.0000000002</v>
      </c>
      <c r="AH158">
        <f>I158*I$3</f>
        <v>129192.00000000052</v>
      </c>
      <c r="AI158">
        <f>J158*J$3</f>
        <v>306309.00000000029</v>
      </c>
      <c r="AJ158">
        <f>K158*K$3</f>
        <v>391975.00000000559</v>
      </c>
      <c r="AK158">
        <f>L158*L$3</f>
        <v>-124016.00000000012</v>
      </c>
      <c r="AL158">
        <f>M158*M$3</f>
        <v>-128292.00000000012</v>
      </c>
      <c r="AM158">
        <f>N158*N$3</f>
        <v>0</v>
      </c>
      <c r="AN158">
        <f>O158*O$3</f>
        <v>0</v>
      </c>
      <c r="AO158">
        <f>P158*P$3</f>
        <v>-47911.604731014071</v>
      </c>
      <c r="AP158">
        <f>Q158*Q$3</f>
        <v>4206.5325406013371</v>
      </c>
      <c r="AQ158">
        <f>R158*R$3</f>
        <v>-101237.72962392494</v>
      </c>
      <c r="AR158" s="1">
        <f>S158*S$3</f>
        <v>-39385.759996398199</v>
      </c>
      <c r="AS158" s="1">
        <f t="shared" si="325"/>
        <v>15832.997801355099</v>
      </c>
      <c r="AT158" s="1">
        <f t="shared" si="325"/>
        <v>3954.0882474485647</v>
      </c>
      <c r="AU158" s="1">
        <f t="shared" si="325"/>
        <v>0</v>
      </c>
      <c r="AV158" s="1">
        <f t="shared" si="325"/>
        <v>0</v>
      </c>
      <c r="AW158" s="1">
        <f t="shared" si="325"/>
        <v>0</v>
      </c>
      <c r="AX158" s="1">
        <f t="shared" si="290"/>
        <v>741474.5242380735</v>
      </c>
      <c r="AY158" s="1">
        <f t="shared" si="291"/>
        <v>-164541.47576193223</v>
      </c>
      <c r="AZ158" s="1">
        <f t="shared" si="292"/>
        <v>906016.0000000057</v>
      </c>
    </row>
    <row r="159" spans="1:52" x14ac:dyDescent="0.25">
      <c r="A159" s="4">
        <v>45867</v>
      </c>
      <c r="B159">
        <f t="shared" ref="B159:N159" si="345">(B709-B708)*100</f>
        <v>0</v>
      </c>
      <c r="C159">
        <f t="shared" si="345"/>
        <v>0</v>
      </c>
      <c r="D159">
        <f t="shared" si="345"/>
        <v>0</v>
      </c>
      <c r="E159">
        <f t="shared" si="345"/>
        <v>0.99999999999997868</v>
      </c>
      <c r="F159">
        <f t="shared" si="345"/>
        <v>1.9999999999999574</v>
      </c>
      <c r="G159">
        <f t="shared" si="345"/>
        <v>1.9999999999999574</v>
      </c>
      <c r="H159">
        <f t="shared" si="345"/>
        <v>5.0000000000000266</v>
      </c>
      <c r="I159">
        <f t="shared" si="345"/>
        <v>5.0000000000000266</v>
      </c>
      <c r="J159">
        <f t="shared" si="345"/>
        <v>6.0000000000000053</v>
      </c>
      <c r="K159">
        <f t="shared" si="345"/>
        <v>8.0000000000000071</v>
      </c>
      <c r="L159">
        <f t="shared" si="345"/>
        <v>8.0000000000000071</v>
      </c>
      <c r="M159">
        <f t="shared" si="345"/>
        <v>8.9999999999999858</v>
      </c>
      <c r="N159">
        <f t="shared" si="345"/>
        <v>9.9999999999999645</v>
      </c>
      <c r="O159" s="5">
        <f t="shared" si="337"/>
        <v>-2.0244553875297432E-3</v>
      </c>
      <c r="P159" s="5">
        <f t="shared" si="337"/>
        <v>-5.0547706616240603E-3</v>
      </c>
      <c r="Q159" s="5">
        <f t="shared" si="337"/>
        <v>1.2378437443525101E-2</v>
      </c>
      <c r="R159" s="5">
        <f t="shared" si="337"/>
        <v>0</v>
      </c>
      <c r="S159" s="5">
        <f t="shared" si="337"/>
        <v>-6.6641256601398082E-4</v>
      </c>
      <c r="T159" s="5">
        <f t="shared" ref="T159:X159" si="346">LN(T708/T709)</f>
        <v>1.3708151840823597E-2</v>
      </c>
      <c r="U159" s="5">
        <f t="shared" si="346"/>
        <v>6.0167285666442635E-3</v>
      </c>
      <c r="V159" s="5">
        <f t="shared" si="346"/>
        <v>4.4955751160302738E-3</v>
      </c>
      <c r="W159" s="5">
        <f t="shared" si="346"/>
        <v>7.4783602833368139E-3</v>
      </c>
      <c r="X159" s="5">
        <f t="shared" si="346"/>
        <v>9.671833143196449E-3</v>
      </c>
      <c r="Z159" s="4">
        <v>45867</v>
      </c>
      <c r="AA159">
        <f>B159*B$3</f>
        <v>0</v>
      </c>
      <c r="AB159">
        <f>C159*C$3</f>
        <v>0</v>
      </c>
      <c r="AC159">
        <f>D159*D$3</f>
        <v>0</v>
      </c>
      <c r="AD159">
        <f>E159*E$3</f>
        <v>2427.9999999999482</v>
      </c>
      <c r="AE159">
        <f>F159*F$3</f>
        <v>-24855.999999999469</v>
      </c>
      <c r="AF159">
        <f>G159*G$3</f>
        <v>-31255.999999999334</v>
      </c>
      <c r="AG159">
        <f>H159*H$3</f>
        <v>-141080.00000000076</v>
      </c>
      <c r="AH159">
        <f>I159*I$3</f>
        <v>-92280.000000000495</v>
      </c>
      <c r="AI159">
        <f>J159*J$3</f>
        <v>-306309.00000000029</v>
      </c>
      <c r="AJ159">
        <f>K159*K$3</f>
        <v>-627160.00000000058</v>
      </c>
      <c r="AK159">
        <f>L159*L$3</f>
        <v>248032.00000000023</v>
      </c>
      <c r="AL159">
        <f>M159*M$3</f>
        <v>288656.99999999953</v>
      </c>
      <c r="AM159">
        <f>N159*N$3</f>
        <v>0</v>
      </c>
      <c r="AN159">
        <f>O159*O$3</f>
        <v>0</v>
      </c>
      <c r="AO159">
        <f>P159*P$3</f>
        <v>25273.853308120302</v>
      </c>
      <c r="AP159">
        <f>Q159*Q$3</f>
        <v>148541.24932230121</v>
      </c>
      <c r="AQ159">
        <f>R159*R$3</f>
        <v>0</v>
      </c>
      <c r="AR159" s="1">
        <f>S159*S$3</f>
        <v>4664.887962097866</v>
      </c>
      <c r="AS159" s="1">
        <f t="shared" si="325"/>
        <v>54832.607363294388</v>
      </c>
      <c r="AT159" s="1">
        <f t="shared" si="325"/>
        <v>48133.828533154105</v>
      </c>
      <c r="AU159" s="1">
        <f t="shared" si="325"/>
        <v>0</v>
      </c>
      <c r="AV159" s="1">
        <f t="shared" si="325"/>
        <v>0</v>
      </c>
      <c r="AW159" s="1">
        <f t="shared" si="325"/>
        <v>0</v>
      </c>
      <c r="AX159" s="1">
        <f t="shared" si="290"/>
        <v>-402377.57351103326</v>
      </c>
      <c r="AY159" s="1">
        <f t="shared" si="291"/>
        <v>281446.42648896785</v>
      </c>
      <c r="AZ159" s="1">
        <f t="shared" si="292"/>
        <v>-683824.00000000116</v>
      </c>
    </row>
    <row r="160" spans="1:52" x14ac:dyDescent="0.25">
      <c r="A160" s="4">
        <v>45866</v>
      </c>
      <c r="B160">
        <f t="shared" ref="B160:N160" si="347">(B710-B709)*100</f>
        <v>-3.0000000000000249</v>
      </c>
      <c r="C160">
        <f t="shared" si="347"/>
        <v>0.99999999999997868</v>
      </c>
      <c r="D160">
        <f t="shared" si="347"/>
        <v>1.9999999999999574</v>
      </c>
      <c r="E160">
        <f t="shared" si="347"/>
        <v>0</v>
      </c>
      <c r="F160">
        <f t="shared" si="347"/>
        <v>0.99999999999997868</v>
      </c>
      <c r="G160">
        <f t="shared" si="347"/>
        <v>0</v>
      </c>
      <c r="H160">
        <f t="shared" si="347"/>
        <v>0</v>
      </c>
      <c r="I160">
        <f t="shared" si="347"/>
        <v>-1.0000000000000231</v>
      </c>
      <c r="J160">
        <f t="shared" si="347"/>
        <v>-0.99999999999997868</v>
      </c>
      <c r="K160">
        <f t="shared" si="347"/>
        <v>-2.9999999999999361</v>
      </c>
      <c r="L160">
        <f t="shared" si="347"/>
        <v>-1.9999999999999574</v>
      </c>
      <c r="M160">
        <f t="shared" si="347"/>
        <v>-3.0000000000000249</v>
      </c>
      <c r="N160">
        <f t="shared" si="347"/>
        <v>-4.0000000000000036</v>
      </c>
      <c r="O160" s="5">
        <f t="shared" si="337"/>
        <v>8.1044856298305695E-3</v>
      </c>
      <c r="P160" s="5">
        <f t="shared" si="337"/>
        <v>5.7789710553758158E-3</v>
      </c>
      <c r="Q160" s="5">
        <f t="shared" si="337"/>
        <v>6.8619349545288432E-3</v>
      </c>
      <c r="R160" s="5">
        <f t="shared" si="337"/>
        <v>0</v>
      </c>
      <c r="S160" s="5">
        <f t="shared" si="337"/>
        <v>1.1605504645409999E-2</v>
      </c>
      <c r="T160" s="5">
        <f t="shared" ref="T160:X160" si="348">LN(T709/T710)</f>
        <v>-5.8709918012904196E-5</v>
      </c>
      <c r="U160" s="5">
        <f t="shared" si="348"/>
        <v>5.1341103791747783E-3</v>
      </c>
      <c r="V160" s="5">
        <f t="shared" si="348"/>
        <v>5.4813522728145835E-3</v>
      </c>
      <c r="W160" s="5">
        <f t="shared" si="348"/>
        <v>3.6743582752636248E-3</v>
      </c>
      <c r="X160" s="5">
        <f t="shared" si="348"/>
        <v>6.2879034148466536E-4</v>
      </c>
      <c r="Z160" s="4">
        <v>45866</v>
      </c>
      <c r="AA160">
        <f>B160*B$3</f>
        <v>2949.0000000000246</v>
      </c>
      <c r="AB160">
        <f>C160*C$3</f>
        <v>-2583.999999999945</v>
      </c>
      <c r="AC160">
        <f>D160*D$3</f>
        <v>32285.999999999312</v>
      </c>
      <c r="AD160">
        <f>E160*E$3</f>
        <v>0</v>
      </c>
      <c r="AE160">
        <f>F160*F$3</f>
        <v>-12427.999999999734</v>
      </c>
      <c r="AF160">
        <f>G160*G$3</f>
        <v>0</v>
      </c>
      <c r="AG160">
        <f>H160*H$3</f>
        <v>0</v>
      </c>
      <c r="AH160">
        <f>I160*I$3</f>
        <v>18456.000000000426</v>
      </c>
      <c r="AI160">
        <f>J160*J$3</f>
        <v>51051.499999998909</v>
      </c>
      <c r="AJ160">
        <f>K160*K$3</f>
        <v>235184.99999999499</v>
      </c>
      <c r="AK160">
        <f>L160*L$3</f>
        <v>-62007.999999998676</v>
      </c>
      <c r="AL160">
        <f>M160*M$3</f>
        <v>-96219.0000000008</v>
      </c>
      <c r="AM160">
        <f>N160*N$3</f>
        <v>0</v>
      </c>
      <c r="AN160">
        <f>O160*O$3</f>
        <v>0</v>
      </c>
      <c r="AO160">
        <f>P160*P$3</f>
        <v>-28894.85527687908</v>
      </c>
      <c r="AP160">
        <f>Q160*Q$3</f>
        <v>82343.219454346123</v>
      </c>
      <c r="AQ160">
        <f>R160*R$3</f>
        <v>0</v>
      </c>
      <c r="AR160" s="1">
        <f>S160*S$3</f>
        <v>-81238.532517869986</v>
      </c>
      <c r="AS160" s="1">
        <f t="shared" si="325"/>
        <v>-234.83967205161679</v>
      </c>
      <c r="AT160" s="1">
        <f t="shared" si="325"/>
        <v>41072.883033398226</v>
      </c>
      <c r="AU160" s="1">
        <f t="shared" si="325"/>
        <v>0</v>
      </c>
      <c r="AV160" s="1">
        <f t="shared" si="325"/>
        <v>0</v>
      </c>
      <c r="AW160" s="1">
        <f t="shared" si="325"/>
        <v>0</v>
      </c>
      <c r="AX160" s="1">
        <f t="shared" si="290"/>
        <v>179736.37502093823</v>
      </c>
      <c r="AY160" s="1">
        <f t="shared" si="291"/>
        <v>13047.875020943662</v>
      </c>
      <c r="AZ160" s="1">
        <f t="shared" si="292"/>
        <v>166688.49999999456</v>
      </c>
    </row>
    <row r="161" spans="1:52" x14ac:dyDescent="0.25">
      <c r="A161" s="4">
        <v>45863</v>
      </c>
      <c r="B161">
        <f t="shared" ref="B161:N161" si="349">(B711-B710)*100</f>
        <v>0</v>
      </c>
      <c r="C161">
        <f t="shared" si="349"/>
        <v>0</v>
      </c>
      <c r="D161">
        <f t="shared" si="349"/>
        <v>0</v>
      </c>
      <c r="E161">
        <f t="shared" si="349"/>
        <v>0</v>
      </c>
      <c r="F161">
        <f t="shared" si="349"/>
        <v>1.0000000000000675</v>
      </c>
      <c r="G161">
        <f t="shared" si="349"/>
        <v>0.99999999999997868</v>
      </c>
      <c r="H161">
        <f t="shared" si="349"/>
        <v>0</v>
      </c>
      <c r="I161">
        <f t="shared" si="349"/>
        <v>1.0000000000000231</v>
      </c>
      <c r="J161">
        <f t="shared" si="349"/>
        <v>2.9999999999999805</v>
      </c>
      <c r="K161">
        <f t="shared" si="349"/>
        <v>2.9999999999999361</v>
      </c>
      <c r="L161">
        <f t="shared" si="349"/>
        <v>2.9999999999999361</v>
      </c>
      <c r="M161">
        <f t="shared" si="349"/>
        <v>3.0000000000000249</v>
      </c>
      <c r="N161">
        <f t="shared" si="349"/>
        <v>4.0000000000000036</v>
      </c>
      <c r="O161" s="5">
        <f t="shared" si="337"/>
        <v>3.3797554289200166E-3</v>
      </c>
      <c r="P161" s="5">
        <f t="shared" si="337"/>
        <v>1.6314441351912207E-2</v>
      </c>
      <c r="Q161" s="5">
        <f t="shared" si="337"/>
        <v>2.4628998872179421E-3</v>
      </c>
      <c r="R161" s="5">
        <f t="shared" si="337"/>
        <v>8.4685961306785271E-4</v>
      </c>
      <c r="S161" s="5">
        <f t="shared" si="337"/>
        <v>-4.2585650357751498E-4</v>
      </c>
      <c r="T161" s="5">
        <f t="shared" ref="T161:X161" si="350">LN(T710/T711)</f>
        <v>1.5412344485053434E-3</v>
      </c>
      <c r="U161" s="5">
        <f t="shared" si="350"/>
        <v>5.1335196315867634E-3</v>
      </c>
      <c r="V161" s="5">
        <f t="shared" si="350"/>
        <v>4.4724595140387732E-3</v>
      </c>
      <c r="W161" s="5">
        <f t="shared" si="350"/>
        <v>1.0336873987858825E-3</v>
      </c>
      <c r="X161" s="5">
        <f t="shared" si="350"/>
        <v>3.5578396194330271E-3</v>
      </c>
      <c r="Z161" s="4">
        <v>45863</v>
      </c>
      <c r="AA161">
        <f>B161*B$3</f>
        <v>0</v>
      </c>
      <c r="AB161">
        <f>C161*C$3</f>
        <v>0</v>
      </c>
      <c r="AC161">
        <f>D161*D$3</f>
        <v>0</v>
      </c>
      <c r="AD161">
        <f>E161*E$3</f>
        <v>0</v>
      </c>
      <c r="AE161">
        <f>F161*F$3</f>
        <v>-12428.000000000839</v>
      </c>
      <c r="AF161">
        <f>G161*G$3</f>
        <v>-15627.999999999667</v>
      </c>
      <c r="AG161">
        <f>H161*H$3</f>
        <v>0</v>
      </c>
      <c r="AH161">
        <f>I161*I$3</f>
        <v>-18456.000000000426</v>
      </c>
      <c r="AI161">
        <f>J161*J$3</f>
        <v>-153154.49999999901</v>
      </c>
      <c r="AJ161">
        <f>K161*K$3</f>
        <v>-235184.99999999499</v>
      </c>
      <c r="AK161">
        <f>L161*L$3</f>
        <v>93011.999999998021</v>
      </c>
      <c r="AL161">
        <f>M161*M$3</f>
        <v>96219.0000000008</v>
      </c>
      <c r="AM161">
        <f>N161*N$3</f>
        <v>0</v>
      </c>
      <c r="AN161">
        <f>O161*O$3</f>
        <v>0</v>
      </c>
      <c r="AO161">
        <f>P161*P$3</f>
        <v>-81572.206759561028</v>
      </c>
      <c r="AP161">
        <f>Q161*Q$3</f>
        <v>29554.798646615305</v>
      </c>
      <c r="AQ161">
        <f>R161*R$3</f>
        <v>-12702.894196017791</v>
      </c>
      <c r="AR161" s="1">
        <f>S161*S$3</f>
        <v>2980.9955250426051</v>
      </c>
      <c r="AS161" s="1">
        <f t="shared" si="325"/>
        <v>6164.9377940213735</v>
      </c>
      <c r="AT161" s="1">
        <f t="shared" si="325"/>
        <v>41068.157052694107</v>
      </c>
      <c r="AU161" s="1">
        <f t="shared" si="325"/>
        <v>0</v>
      </c>
      <c r="AV161" s="1">
        <f t="shared" si="325"/>
        <v>0</v>
      </c>
      <c r="AW161" s="1">
        <f t="shared" si="325"/>
        <v>0</v>
      </c>
      <c r="AX161" s="1">
        <f t="shared" si="290"/>
        <v>-260126.71193720156</v>
      </c>
      <c r="AY161" s="1">
        <f t="shared" si="291"/>
        <v>-14506.211937205422</v>
      </c>
      <c r="AZ161" s="1">
        <f t="shared" si="292"/>
        <v>-245620.49999999613</v>
      </c>
    </row>
    <row r="162" spans="1:52" x14ac:dyDescent="0.25">
      <c r="A162" s="4">
        <v>45862</v>
      </c>
      <c r="B162">
        <f t="shared" ref="B162:N162" si="351">(B712-B711)*100</f>
        <v>0</v>
      </c>
      <c r="C162">
        <f t="shared" si="351"/>
        <v>-0.99999999999997868</v>
      </c>
      <c r="D162">
        <f t="shared" si="351"/>
        <v>-0.99999999999997868</v>
      </c>
      <c r="E162">
        <f t="shared" si="351"/>
        <v>0</v>
      </c>
      <c r="F162">
        <f t="shared" si="351"/>
        <v>-1.0000000000000675</v>
      </c>
      <c r="G162">
        <f t="shared" si="351"/>
        <v>-1.9999999999999574</v>
      </c>
      <c r="H162">
        <f t="shared" si="351"/>
        <v>-3.0000000000000249</v>
      </c>
      <c r="I162">
        <f t="shared" si="351"/>
        <v>-3.0000000000000249</v>
      </c>
      <c r="J162">
        <f t="shared" si="351"/>
        <v>-4.0000000000000036</v>
      </c>
      <c r="K162">
        <f t="shared" si="351"/>
        <v>-2.9999999999999361</v>
      </c>
      <c r="L162">
        <f t="shared" si="351"/>
        <v>-2.9999999999999361</v>
      </c>
      <c r="M162">
        <f t="shared" si="351"/>
        <v>-2.0000000000000462</v>
      </c>
      <c r="N162">
        <f t="shared" si="351"/>
        <v>-0.99999999999997868</v>
      </c>
      <c r="O162" s="5">
        <f t="shared" si="337"/>
        <v>-5.3805311713916518E-3</v>
      </c>
      <c r="P162" s="5">
        <f t="shared" si="337"/>
        <v>7.1338961649067426E-3</v>
      </c>
      <c r="Q162" s="5">
        <f t="shared" si="337"/>
        <v>-4.699508735920576E-3</v>
      </c>
      <c r="R162" s="5">
        <f t="shared" si="337"/>
        <v>-3.6645566026928785E-3</v>
      </c>
      <c r="S162" s="5">
        <f t="shared" si="337"/>
        <v>1.1809846685220356E-3</v>
      </c>
      <c r="T162" s="5">
        <f t="shared" ref="T162:X162" si="352">LN(T711/T712)</f>
        <v>-2.9862395798765243E-3</v>
      </c>
      <c r="U162" s="5">
        <f t="shared" si="352"/>
        <v>-4.2819489571154154E-3</v>
      </c>
      <c r="V162" s="5">
        <f t="shared" si="352"/>
        <v>-2.9747825650155409E-3</v>
      </c>
      <c r="W162" s="5">
        <f t="shared" si="352"/>
        <v>-7.4912064754556465E-3</v>
      </c>
      <c r="X162" s="5">
        <f t="shared" si="352"/>
        <v>-1.9965991234744103E-3</v>
      </c>
      <c r="Z162" s="4">
        <v>45862</v>
      </c>
      <c r="AA162">
        <f>B162*B$3</f>
        <v>0</v>
      </c>
      <c r="AB162">
        <f>C162*C$3</f>
        <v>2583.999999999945</v>
      </c>
      <c r="AC162">
        <f>D162*D$3</f>
        <v>-16142.999999999656</v>
      </c>
      <c r="AD162">
        <f>E162*E$3</f>
        <v>0</v>
      </c>
      <c r="AE162">
        <f>F162*F$3</f>
        <v>12428.000000000839</v>
      </c>
      <c r="AF162">
        <f>G162*G$3</f>
        <v>31255.999999999334</v>
      </c>
      <c r="AG162">
        <f>H162*H$3</f>
        <v>84648.000000000698</v>
      </c>
      <c r="AH162">
        <f>I162*I$3</f>
        <v>55368.000000000458</v>
      </c>
      <c r="AI162">
        <f>J162*J$3</f>
        <v>204206.00000000017</v>
      </c>
      <c r="AJ162">
        <f>K162*K$3</f>
        <v>235184.99999999499</v>
      </c>
      <c r="AK162">
        <f>L162*L$3</f>
        <v>-93011.999999998021</v>
      </c>
      <c r="AL162">
        <f>M162*M$3</f>
        <v>-64146.000000001484</v>
      </c>
      <c r="AM162">
        <f>N162*N$3</f>
        <v>0</v>
      </c>
      <c r="AN162">
        <f>O162*O$3</f>
        <v>0</v>
      </c>
      <c r="AO162">
        <f>P162*P$3</f>
        <v>-35669.480824533712</v>
      </c>
      <c r="AP162">
        <f>Q162*Q$3</f>
        <v>-56394.104831046912</v>
      </c>
      <c r="AQ162">
        <f>R162*R$3</f>
        <v>54968.349040393179</v>
      </c>
      <c r="AR162" s="1">
        <f>S162*S$3</f>
        <v>-8266.8926796542492</v>
      </c>
      <c r="AS162" s="1">
        <f t="shared" si="325"/>
        <v>-11944.958319506097</v>
      </c>
      <c r="AT162" s="1">
        <f t="shared" si="325"/>
        <v>-34255.591656923323</v>
      </c>
      <c r="AU162" s="1">
        <f t="shared" si="325"/>
        <v>0</v>
      </c>
      <c r="AV162" s="1">
        <f t="shared" si="325"/>
        <v>0</v>
      </c>
      <c r="AW162" s="1">
        <f t="shared" si="325"/>
        <v>0</v>
      </c>
      <c r="AX162" s="1">
        <f t="shared" si="290"/>
        <v>360811.3207287261</v>
      </c>
      <c r="AY162" s="1">
        <f t="shared" si="291"/>
        <v>-91562.679271271118</v>
      </c>
      <c r="AZ162" s="1">
        <f t="shared" si="292"/>
        <v>452373.99999999721</v>
      </c>
    </row>
    <row r="163" spans="1:52" x14ac:dyDescent="0.25">
      <c r="A163" s="4">
        <v>45861</v>
      </c>
      <c r="B163">
        <f t="shared" ref="B163:N163" si="353">(B713-B712)*100</f>
        <v>0</v>
      </c>
      <c r="C163">
        <f t="shared" si="353"/>
        <v>0</v>
      </c>
      <c r="D163">
        <f t="shared" si="353"/>
        <v>0</v>
      </c>
      <c r="E163">
        <f t="shared" si="353"/>
        <v>0</v>
      </c>
      <c r="F163">
        <f t="shared" si="353"/>
        <v>-0.99999999999997868</v>
      </c>
      <c r="G163">
        <f t="shared" si="353"/>
        <v>-3.0000000000000249</v>
      </c>
      <c r="H163">
        <f t="shared" si="353"/>
        <v>-4.9999999999999822</v>
      </c>
      <c r="I163">
        <f t="shared" si="353"/>
        <v>-6.999999999999984</v>
      </c>
      <c r="J163">
        <f t="shared" si="353"/>
        <v>-6.0000000000000053</v>
      </c>
      <c r="K163">
        <f t="shared" si="353"/>
        <v>-6.0000000000000497</v>
      </c>
      <c r="L163">
        <f t="shared" si="353"/>
        <v>-5.0000000000000711</v>
      </c>
      <c r="M163">
        <f t="shared" si="353"/>
        <v>-2.9999999999999361</v>
      </c>
      <c r="N163">
        <f t="shared" si="353"/>
        <v>-4.9999999999999822</v>
      </c>
      <c r="O163" s="5">
        <f t="shared" si="337"/>
        <v>-3.0924152655538127E-3</v>
      </c>
      <c r="P163" s="5">
        <f t="shared" si="337"/>
        <v>-7.3817796462147169E-3</v>
      </c>
      <c r="Q163" s="5">
        <f t="shared" si="337"/>
        <v>-3.4030555602865089E-3</v>
      </c>
      <c r="R163" s="5">
        <f t="shared" si="337"/>
        <v>0</v>
      </c>
      <c r="S163" s="5">
        <f t="shared" si="337"/>
        <v>-5.67107236146123E-3</v>
      </c>
      <c r="T163" s="5">
        <f t="shared" ref="T163:X163" si="354">LN(T712/T713)</f>
        <v>-3.8079958892344159E-3</v>
      </c>
      <c r="U163" s="5">
        <f t="shared" si="354"/>
        <v>-2.3769485859719986E-3</v>
      </c>
      <c r="V163" s="5">
        <f t="shared" si="354"/>
        <v>-4.2420569769316989E-3</v>
      </c>
      <c r="W163" s="5">
        <f t="shared" si="354"/>
        <v>-4.0687438071553578E-3</v>
      </c>
      <c r="X163" s="5">
        <f t="shared" si="354"/>
        <v>-5.5965182717009577E-3</v>
      </c>
      <c r="Z163" s="4">
        <v>45861</v>
      </c>
      <c r="AA163">
        <f>B163*B$3</f>
        <v>0</v>
      </c>
      <c r="AB163">
        <f>C163*C$3</f>
        <v>0</v>
      </c>
      <c r="AC163">
        <f>D163*D$3</f>
        <v>0</v>
      </c>
      <c r="AD163">
        <f>E163*E$3</f>
        <v>0</v>
      </c>
      <c r="AE163">
        <f>F163*F$3</f>
        <v>12427.999999999734</v>
      </c>
      <c r="AF163">
        <f>G163*G$3</f>
        <v>46884.000000000386</v>
      </c>
      <c r="AG163">
        <f>H163*H$3</f>
        <v>141079.99999999951</v>
      </c>
      <c r="AH163">
        <f>I163*I$3</f>
        <v>129191.99999999971</v>
      </c>
      <c r="AI163">
        <f>J163*J$3</f>
        <v>306309.00000000029</v>
      </c>
      <c r="AJ163">
        <f>K163*K$3</f>
        <v>470370.0000000039</v>
      </c>
      <c r="AK163">
        <f>L163*L$3</f>
        <v>-155020.00000000221</v>
      </c>
      <c r="AL163">
        <f>M163*M$3</f>
        <v>-96218.999999997948</v>
      </c>
      <c r="AM163">
        <f>N163*N$3</f>
        <v>0</v>
      </c>
      <c r="AN163">
        <f>O163*O$3</f>
        <v>0</v>
      </c>
      <c r="AO163">
        <f>P163*P$3</f>
        <v>36908.898231073588</v>
      </c>
      <c r="AP163">
        <f>Q163*Q$3</f>
        <v>-40836.666723438109</v>
      </c>
      <c r="AQ163">
        <f>R163*R$3</f>
        <v>0</v>
      </c>
      <c r="AR163" s="1">
        <f>S163*S$3</f>
        <v>39697.506530228609</v>
      </c>
      <c r="AS163" s="1">
        <f t="shared" si="325"/>
        <v>-15231.983556937663</v>
      </c>
      <c r="AT163" s="1">
        <f t="shared" si="325"/>
        <v>-19015.588687775988</v>
      </c>
      <c r="AU163" s="1">
        <f t="shared" si="325"/>
        <v>0</v>
      </c>
      <c r="AV163" s="1">
        <f t="shared" si="325"/>
        <v>0</v>
      </c>
      <c r="AW163" s="1">
        <f t="shared" si="325"/>
        <v>0</v>
      </c>
      <c r="AX163" s="1">
        <f t="shared" si="290"/>
        <v>856546.16579315392</v>
      </c>
      <c r="AY163" s="1">
        <f t="shared" si="291"/>
        <v>1522.1657931504378</v>
      </c>
      <c r="AZ163" s="1">
        <f t="shared" si="292"/>
        <v>855024.00000000349</v>
      </c>
    </row>
    <row r="164" spans="1:52" x14ac:dyDescent="0.25">
      <c r="A164" s="4">
        <v>45860</v>
      </c>
      <c r="B164">
        <f t="shared" ref="B164:N164" si="355">(B714-B713)*100</f>
        <v>-2.0000000000000462</v>
      </c>
      <c r="C164">
        <f t="shared" si="355"/>
        <v>0.99999999999997868</v>
      </c>
      <c r="D164">
        <f t="shared" si="355"/>
        <v>0</v>
      </c>
      <c r="E164">
        <f t="shared" si="355"/>
        <v>0</v>
      </c>
      <c r="F164">
        <f t="shared" si="355"/>
        <v>0</v>
      </c>
      <c r="G164">
        <f t="shared" si="355"/>
        <v>0.99999999999997868</v>
      </c>
      <c r="H164">
        <f t="shared" si="355"/>
        <v>2.0000000000000018</v>
      </c>
      <c r="I164">
        <f t="shared" si="355"/>
        <v>4.0000000000000036</v>
      </c>
      <c r="J164">
        <f t="shared" si="355"/>
        <v>3.0000000000000249</v>
      </c>
      <c r="K164">
        <f t="shared" si="355"/>
        <v>4.0000000000000036</v>
      </c>
      <c r="L164">
        <f t="shared" si="355"/>
        <v>3.0000000000000249</v>
      </c>
      <c r="M164">
        <f t="shared" si="355"/>
        <v>2.9999999999999361</v>
      </c>
      <c r="N164">
        <f t="shared" si="355"/>
        <v>4.0000000000000036</v>
      </c>
      <c r="O164" s="5">
        <f t="shared" si="337"/>
        <v>1.5090546123296934E-3</v>
      </c>
      <c r="P164" s="5">
        <f t="shared" si="337"/>
        <v>7.488088587514913E-3</v>
      </c>
      <c r="Q164" s="5">
        <f t="shared" si="337"/>
        <v>-5.1089674258445834E-3</v>
      </c>
      <c r="R164" s="5">
        <f t="shared" si="337"/>
        <v>-1.4058767955961277E-3</v>
      </c>
      <c r="S164" s="5">
        <f t="shared" si="337"/>
        <v>-1.254691853608037E-3</v>
      </c>
      <c r="T164" s="5">
        <f t="shared" ref="T164:X164" si="356">LN(T713/T714)</f>
        <v>-5.4698261508929783E-3</v>
      </c>
      <c r="U164" s="5">
        <f t="shared" si="356"/>
        <v>-5.4617992437687455E-3</v>
      </c>
      <c r="V164" s="5">
        <f t="shared" si="356"/>
        <v>-6.9091891027626444E-3</v>
      </c>
      <c r="W164" s="5">
        <f t="shared" si="356"/>
        <v>-2.4515228381807369E-3</v>
      </c>
      <c r="X164" s="5">
        <f t="shared" si="356"/>
        <v>-3.8717663584518797E-3</v>
      </c>
      <c r="Z164" s="4">
        <v>45860</v>
      </c>
      <c r="AA164">
        <f>B164*B$3</f>
        <v>1966.0000000000455</v>
      </c>
      <c r="AB164">
        <f>C164*C$3</f>
        <v>-2583.999999999945</v>
      </c>
      <c r="AC164">
        <f>D164*D$3</f>
        <v>0</v>
      </c>
      <c r="AD164">
        <f>E164*E$3</f>
        <v>0</v>
      </c>
      <c r="AE164">
        <f>F164*F$3</f>
        <v>0</v>
      </c>
      <c r="AF164">
        <f>G164*G$3</f>
        <v>-15627.999999999667</v>
      </c>
      <c r="AG164">
        <f>H164*H$3</f>
        <v>-56432.000000000051</v>
      </c>
      <c r="AH164">
        <f>I164*I$3</f>
        <v>-73824.000000000073</v>
      </c>
      <c r="AI164">
        <f>J164*J$3</f>
        <v>-153154.50000000128</v>
      </c>
      <c r="AJ164">
        <f>K164*K$3</f>
        <v>-313580.00000000029</v>
      </c>
      <c r="AK164">
        <f>L164*L$3</f>
        <v>93012.000000000771</v>
      </c>
      <c r="AL164">
        <f>M164*M$3</f>
        <v>96218.999999997948</v>
      </c>
      <c r="AM164">
        <f>N164*N$3</f>
        <v>0</v>
      </c>
      <c r="AN164">
        <f>O164*O$3</f>
        <v>0</v>
      </c>
      <c r="AO164">
        <f>P164*P$3</f>
        <v>-37440.442937574568</v>
      </c>
      <c r="AP164">
        <f>Q164*Q$3</f>
        <v>-61307.609110135003</v>
      </c>
      <c r="AQ164">
        <f>R164*R$3</f>
        <v>21088.151933941917</v>
      </c>
      <c r="AR164" s="1">
        <f>S164*S$3</f>
        <v>8782.8429752562588</v>
      </c>
      <c r="AS164" s="1">
        <f t="shared" si="325"/>
        <v>-21879.304603571913</v>
      </c>
      <c r="AT164" s="1">
        <f t="shared" si="325"/>
        <v>-43694.393950149963</v>
      </c>
      <c r="AU164" s="1">
        <f t="shared" si="325"/>
        <v>0</v>
      </c>
      <c r="AV164" s="1">
        <f t="shared" si="325"/>
        <v>0</v>
      </c>
      <c r="AW164" s="1">
        <f t="shared" si="325"/>
        <v>0</v>
      </c>
      <c r="AX164" s="1">
        <f t="shared" si="290"/>
        <v>-558456.25569223578</v>
      </c>
      <c r="AY164" s="1">
        <f t="shared" si="291"/>
        <v>-134450.75569223327</v>
      </c>
      <c r="AZ164" s="1">
        <f t="shared" si="292"/>
        <v>-424005.5000000025</v>
      </c>
    </row>
    <row r="165" spans="1:52" x14ac:dyDescent="0.25">
      <c r="A165" s="4">
        <v>45859</v>
      </c>
      <c r="B165">
        <f t="shared" ref="B165:N165" si="357">(B715-B714)*100</f>
        <v>0</v>
      </c>
      <c r="C165">
        <f t="shared" si="357"/>
        <v>0</v>
      </c>
      <c r="D165">
        <f t="shared" si="357"/>
        <v>-0.99999999999997868</v>
      </c>
      <c r="E165">
        <f t="shared" si="357"/>
        <v>0</v>
      </c>
      <c r="F165">
        <f t="shared" si="357"/>
        <v>0</v>
      </c>
      <c r="G165">
        <f t="shared" si="357"/>
        <v>2.0000000000000462</v>
      </c>
      <c r="H165">
        <f t="shared" si="357"/>
        <v>2.9999999999999805</v>
      </c>
      <c r="I165">
        <f t="shared" si="357"/>
        <v>2.9999999999999805</v>
      </c>
      <c r="J165">
        <f t="shared" si="357"/>
        <v>4.9999999999999822</v>
      </c>
      <c r="K165">
        <f t="shared" si="357"/>
        <v>4.9999999999999822</v>
      </c>
      <c r="L165">
        <f t="shared" si="357"/>
        <v>6.0000000000000497</v>
      </c>
      <c r="M165">
        <f t="shared" si="357"/>
        <v>6.0000000000000497</v>
      </c>
      <c r="N165">
        <f t="shared" si="357"/>
        <v>5.9999999999999609</v>
      </c>
      <c r="O165" s="5">
        <f t="shared" ref="O165:S174" si="358">LN(O714/O715)</f>
        <v>2.862674683035347E-3</v>
      </c>
      <c r="P165" s="5">
        <f t="shared" si="358"/>
        <v>6.8597499054575415E-3</v>
      </c>
      <c r="Q165" s="5">
        <f t="shared" si="358"/>
        <v>-5.424396056676402E-3</v>
      </c>
      <c r="R165" s="5">
        <f t="shared" si="358"/>
        <v>-1.6844473382035578E-3</v>
      </c>
      <c r="S165" s="5">
        <f t="shared" si="358"/>
        <v>-3.7172875080854102E-3</v>
      </c>
      <c r="T165" s="5">
        <f t="shared" ref="T165:X165" si="359">LN(T714/T715)</f>
        <v>-1.3133100172197341E-3</v>
      </c>
      <c r="U165" s="5">
        <f t="shared" si="359"/>
        <v>1.2350493396168279E-3</v>
      </c>
      <c r="V165" s="5">
        <f t="shared" si="359"/>
        <v>-7.4116453017491609E-5</v>
      </c>
      <c r="W165" s="5">
        <f t="shared" si="359"/>
        <v>-2.1402204812983592E-3</v>
      </c>
      <c r="X165" s="5">
        <f t="shared" si="359"/>
        <v>-2.1196024041814504E-3</v>
      </c>
      <c r="Z165" s="4">
        <v>45859</v>
      </c>
      <c r="AA165">
        <f>B165*B$3</f>
        <v>0</v>
      </c>
      <c r="AB165">
        <f>C165*C$3</f>
        <v>0</v>
      </c>
      <c r="AC165">
        <f>D165*D$3</f>
        <v>-16142.999999999656</v>
      </c>
      <c r="AD165">
        <f>E165*E$3</f>
        <v>0</v>
      </c>
      <c r="AE165">
        <f>F165*F$3</f>
        <v>0</v>
      </c>
      <c r="AF165">
        <f>G165*G$3</f>
        <v>-31256.00000000072</v>
      </c>
      <c r="AG165">
        <f>H165*H$3</f>
        <v>-84647.999999999447</v>
      </c>
      <c r="AH165">
        <f>I165*I$3</f>
        <v>-55367.999999999636</v>
      </c>
      <c r="AI165">
        <f>J165*J$3</f>
        <v>-255257.4999999991</v>
      </c>
      <c r="AJ165">
        <f>K165*K$3</f>
        <v>-391974.9999999986</v>
      </c>
      <c r="AK165">
        <f>L165*L$3</f>
        <v>186024.00000000154</v>
      </c>
      <c r="AL165">
        <f>M165*M$3</f>
        <v>192438.0000000016</v>
      </c>
      <c r="AM165">
        <f>N165*N$3</f>
        <v>0</v>
      </c>
      <c r="AN165">
        <f>O165*O$3</f>
        <v>0</v>
      </c>
      <c r="AO165">
        <f>P165*P$3</f>
        <v>-34298.749527287706</v>
      </c>
      <c r="AP165">
        <f>Q165*Q$3</f>
        <v>-65092.752680116828</v>
      </c>
      <c r="AQ165">
        <f>R165*R$3</f>
        <v>25266.710073053368</v>
      </c>
      <c r="AR165" s="1">
        <f>S165*S$3</f>
        <v>26021.012556597871</v>
      </c>
      <c r="AS165" s="1">
        <f t="shared" ref="AS165:AW180" si="360">T165*T$3</f>
        <v>-5253.2400688789367</v>
      </c>
      <c r="AT165" s="1">
        <f t="shared" si="360"/>
        <v>9880.3947169346229</v>
      </c>
      <c r="AU165" s="1">
        <f t="shared" si="360"/>
        <v>0</v>
      </c>
      <c r="AV165" s="1">
        <f t="shared" si="360"/>
        <v>0</v>
      </c>
      <c r="AW165" s="1">
        <f t="shared" si="360"/>
        <v>0</v>
      </c>
      <c r="AX165" s="1">
        <f t="shared" si="290"/>
        <v>-499662.12492969166</v>
      </c>
      <c r="AY165" s="1">
        <f t="shared" si="291"/>
        <v>-43476.624929697602</v>
      </c>
      <c r="AZ165" s="1">
        <f t="shared" si="292"/>
        <v>-456185.49999999406</v>
      </c>
    </row>
    <row r="166" spans="1:52" x14ac:dyDescent="0.25">
      <c r="A166" s="4">
        <v>45856</v>
      </c>
      <c r="B166">
        <f t="shared" ref="B166:N166" si="361">(B716-B715)*100</f>
        <v>1.0000000000000675</v>
      </c>
      <c r="C166">
        <f t="shared" si="361"/>
        <v>0.99999999999997868</v>
      </c>
      <c r="D166">
        <f t="shared" si="361"/>
        <v>0.99999999999997868</v>
      </c>
      <c r="E166">
        <f t="shared" si="361"/>
        <v>0</v>
      </c>
      <c r="F166">
        <f t="shared" si="361"/>
        <v>0.99999999999997868</v>
      </c>
      <c r="G166">
        <f t="shared" si="361"/>
        <v>1.9999999999999574</v>
      </c>
      <c r="H166">
        <f t="shared" si="361"/>
        <v>3.0000000000000249</v>
      </c>
      <c r="I166">
        <f t="shared" si="361"/>
        <v>5.0000000000000266</v>
      </c>
      <c r="J166">
        <f t="shared" si="361"/>
        <v>4.9999999999999822</v>
      </c>
      <c r="K166">
        <f t="shared" si="361"/>
        <v>4.0000000000000036</v>
      </c>
      <c r="L166">
        <f t="shared" si="361"/>
        <v>2.9999999999999361</v>
      </c>
      <c r="M166">
        <f t="shared" si="361"/>
        <v>1.9999999999999574</v>
      </c>
      <c r="N166">
        <f t="shared" si="361"/>
        <v>0.99999999999997868</v>
      </c>
      <c r="O166" s="5">
        <f t="shared" si="358"/>
        <v>-4.8742418687537639E-3</v>
      </c>
      <c r="P166" s="5">
        <f t="shared" si="358"/>
        <v>-1.3691042967706955E-4</v>
      </c>
      <c r="Q166" s="5">
        <f t="shared" si="358"/>
        <v>1.1695120949243641E-3</v>
      </c>
      <c r="R166" s="5">
        <f t="shared" si="358"/>
        <v>1.9654646226159342E-3</v>
      </c>
      <c r="S166" s="5">
        <f t="shared" si="358"/>
        <v>-1.3711019777563594E-3</v>
      </c>
      <c r="T166" s="5">
        <f t="shared" ref="T166:X166" si="362">LN(T715/T716)</f>
        <v>1.7437986838318316E-3</v>
      </c>
      <c r="U166" s="5">
        <f t="shared" si="362"/>
        <v>-1.5985373388725692E-3</v>
      </c>
      <c r="V166" s="5">
        <f t="shared" si="362"/>
        <v>2.9617343614002072E-3</v>
      </c>
      <c r="W166" s="5">
        <f t="shared" si="362"/>
        <v>4.1173024532800261E-3</v>
      </c>
      <c r="X166" s="5">
        <f t="shared" si="362"/>
        <v>2.4441707337602117E-3</v>
      </c>
      <c r="Z166" s="4">
        <v>45856</v>
      </c>
      <c r="AA166">
        <f>B166*B$3</f>
        <v>-983.00000000006639</v>
      </c>
      <c r="AB166">
        <f>C166*C$3</f>
        <v>-2583.999999999945</v>
      </c>
      <c r="AC166">
        <f>D166*D$3</f>
        <v>16142.999999999656</v>
      </c>
      <c r="AD166">
        <f>E166*E$3</f>
        <v>0</v>
      </c>
      <c r="AE166">
        <f>F166*F$3</f>
        <v>-12427.999999999734</v>
      </c>
      <c r="AF166">
        <f>G166*G$3</f>
        <v>-31255.999999999334</v>
      </c>
      <c r="AG166">
        <f>H166*H$3</f>
        <v>-84648.000000000698</v>
      </c>
      <c r="AH166">
        <f>I166*I$3</f>
        <v>-92280.000000000495</v>
      </c>
      <c r="AI166">
        <f>J166*J$3</f>
        <v>-255257.4999999991</v>
      </c>
      <c r="AJ166">
        <f>K166*K$3</f>
        <v>-313580.00000000029</v>
      </c>
      <c r="AK166">
        <f>L166*L$3</f>
        <v>93011.999999998021</v>
      </c>
      <c r="AL166">
        <f>M166*M$3</f>
        <v>64145.999999998632</v>
      </c>
      <c r="AM166">
        <f>N166*N$3</f>
        <v>0</v>
      </c>
      <c r="AN166">
        <f>O166*O$3</f>
        <v>0</v>
      </c>
      <c r="AO166">
        <f>P166*P$3</f>
        <v>684.55214838534778</v>
      </c>
      <c r="AP166">
        <f>Q166*Q$3</f>
        <v>14034.145139092368</v>
      </c>
      <c r="AQ166">
        <f>R166*R$3</f>
        <v>-29481.969339239011</v>
      </c>
      <c r="AR166" s="1">
        <f>S166*S$3</f>
        <v>9597.7138442945161</v>
      </c>
      <c r="AS166" s="1">
        <f t="shared" si="360"/>
        <v>6975.1947353273263</v>
      </c>
      <c r="AT166" s="1">
        <f t="shared" si="360"/>
        <v>-12788.298710980554</v>
      </c>
      <c r="AU166" s="1">
        <f t="shared" si="360"/>
        <v>0</v>
      </c>
      <c r="AV166" s="1">
        <f t="shared" si="360"/>
        <v>0</v>
      </c>
      <c r="AW166" s="1">
        <f t="shared" si="360"/>
        <v>0</v>
      </c>
      <c r="AX166" s="1">
        <f t="shared" si="290"/>
        <v>-630694.16218312352</v>
      </c>
      <c r="AY166" s="1">
        <f t="shared" si="291"/>
        <v>-10978.662183120006</v>
      </c>
      <c r="AZ166" s="1">
        <f t="shared" si="292"/>
        <v>-619715.50000000349</v>
      </c>
    </row>
    <row r="167" spans="1:52" x14ac:dyDescent="0.25">
      <c r="A167" s="4">
        <v>45855</v>
      </c>
      <c r="B167">
        <f t="shared" ref="B167:N167" si="363">(B717-B716)*100</f>
        <v>0</v>
      </c>
      <c r="C167">
        <f t="shared" si="363"/>
        <v>-1.9999999999999574</v>
      </c>
      <c r="D167">
        <f t="shared" si="363"/>
        <v>0</v>
      </c>
      <c r="E167">
        <f t="shared" si="363"/>
        <v>0</v>
      </c>
      <c r="F167">
        <f t="shared" si="363"/>
        <v>0</v>
      </c>
      <c r="G167">
        <f t="shared" si="363"/>
        <v>-1.9999999999999574</v>
      </c>
      <c r="H167">
        <f t="shared" si="363"/>
        <v>-3.0000000000000249</v>
      </c>
      <c r="I167">
        <f t="shared" si="363"/>
        <v>-3.0000000000000249</v>
      </c>
      <c r="J167">
        <f t="shared" si="363"/>
        <v>-1.9999999999999574</v>
      </c>
      <c r="K167">
        <f t="shared" si="363"/>
        <v>-0.99999999999997868</v>
      </c>
      <c r="L167">
        <f t="shared" si="363"/>
        <v>-0.99999999999997868</v>
      </c>
      <c r="M167">
        <f t="shared" si="363"/>
        <v>0</v>
      </c>
      <c r="N167">
        <f t="shared" si="363"/>
        <v>0</v>
      </c>
      <c r="O167" s="5">
        <f t="shared" si="358"/>
        <v>2.6917176012437703E-4</v>
      </c>
      <c r="P167" s="5">
        <f t="shared" si="358"/>
        <v>8.7156825538424638E-4</v>
      </c>
      <c r="Q167" s="5">
        <f t="shared" si="358"/>
        <v>-1.624527614667271E-3</v>
      </c>
      <c r="R167" s="5">
        <f t="shared" si="358"/>
        <v>2.8145247963103563E-3</v>
      </c>
      <c r="S167" s="5">
        <f t="shared" si="358"/>
        <v>1.5739926364055166E-3</v>
      </c>
      <c r="T167" s="5">
        <f t="shared" ref="T167:X167" si="364">LN(T716/T717)</f>
        <v>-2.4404861817704047E-3</v>
      </c>
      <c r="U167" s="5">
        <f t="shared" si="364"/>
        <v>-1.3254948863517248E-3</v>
      </c>
      <c r="V167" s="5">
        <f t="shared" si="364"/>
        <v>-5.1084176956811339E-3</v>
      </c>
      <c r="W167" s="5">
        <f t="shared" si="364"/>
        <v>-9.2157886386523091E-4</v>
      </c>
      <c r="X167" s="5">
        <f t="shared" si="364"/>
        <v>-6.2404206586563966E-4</v>
      </c>
      <c r="Z167" s="4">
        <v>45855</v>
      </c>
      <c r="AA167">
        <f>B167*B$3</f>
        <v>0</v>
      </c>
      <c r="AB167">
        <f>C167*C$3</f>
        <v>5167.99999999989</v>
      </c>
      <c r="AC167">
        <f>D167*D$3</f>
        <v>0</v>
      </c>
      <c r="AD167">
        <f>E167*E$3</f>
        <v>0</v>
      </c>
      <c r="AE167">
        <f>F167*F$3</f>
        <v>0</v>
      </c>
      <c r="AF167">
        <f>G167*G$3</f>
        <v>31255.999999999334</v>
      </c>
      <c r="AG167">
        <f>H167*H$3</f>
        <v>84648.000000000698</v>
      </c>
      <c r="AH167">
        <f>I167*I$3</f>
        <v>55368.000000000458</v>
      </c>
      <c r="AI167">
        <f>J167*J$3</f>
        <v>102102.99999999782</v>
      </c>
      <c r="AJ167">
        <f>K167*K$3</f>
        <v>78394.999999998327</v>
      </c>
      <c r="AK167">
        <f>L167*L$3</f>
        <v>-31003.999999999338</v>
      </c>
      <c r="AL167">
        <f>M167*M$3</f>
        <v>0</v>
      </c>
      <c r="AM167">
        <f>N167*N$3</f>
        <v>0</v>
      </c>
      <c r="AN167">
        <f>O167*O$3</f>
        <v>0</v>
      </c>
      <c r="AO167">
        <f>P167*P$3</f>
        <v>-4357.8412769212318</v>
      </c>
      <c r="AP167">
        <f>Q167*Q$3</f>
        <v>-19494.331376007252</v>
      </c>
      <c r="AQ167">
        <f>R167*R$3</f>
        <v>-42217.871944655344</v>
      </c>
      <c r="AR167" s="1">
        <f>S167*S$3</f>
        <v>-11017.948454838615</v>
      </c>
      <c r="AS167" s="1">
        <f t="shared" si="360"/>
        <v>-9761.9447270816181</v>
      </c>
      <c r="AT167" s="1">
        <f t="shared" si="360"/>
        <v>-10603.959090813798</v>
      </c>
      <c r="AU167" s="1">
        <f t="shared" si="360"/>
        <v>0</v>
      </c>
      <c r="AV167" s="1">
        <f t="shared" si="360"/>
        <v>0</v>
      </c>
      <c r="AW167" s="1">
        <f t="shared" si="360"/>
        <v>0</v>
      </c>
      <c r="AX167" s="1">
        <f t="shared" si="290"/>
        <v>228480.10312967931</v>
      </c>
      <c r="AY167" s="1">
        <f t="shared" si="291"/>
        <v>-97453.89687031784</v>
      </c>
      <c r="AZ167" s="1">
        <f t="shared" si="292"/>
        <v>325933.99999999715</v>
      </c>
    </row>
    <row r="168" spans="1:52" x14ac:dyDescent="0.25">
      <c r="A168" s="4">
        <v>45854</v>
      </c>
      <c r="B168">
        <f t="shared" ref="B168:N168" si="365">(B718-B717)*100</f>
        <v>0</v>
      </c>
      <c r="C168">
        <f t="shared" si="365"/>
        <v>0.99999999999997868</v>
      </c>
      <c r="D168">
        <f t="shared" si="365"/>
        <v>0.99999999999997868</v>
      </c>
      <c r="E168">
        <f t="shared" si="365"/>
        <v>0.99999999999997868</v>
      </c>
      <c r="F168">
        <f t="shared" si="365"/>
        <v>2.0000000000000462</v>
      </c>
      <c r="G168">
        <f t="shared" si="365"/>
        <v>4.0000000000000036</v>
      </c>
      <c r="H168">
        <f t="shared" si="365"/>
        <v>7.0000000000000284</v>
      </c>
      <c r="I168">
        <f t="shared" si="365"/>
        <v>7.0000000000000284</v>
      </c>
      <c r="J168">
        <f t="shared" si="365"/>
        <v>5.9999999999999609</v>
      </c>
      <c r="K168">
        <f t="shared" si="365"/>
        <v>4.9999999999999822</v>
      </c>
      <c r="L168">
        <f t="shared" si="365"/>
        <v>4.0000000000000036</v>
      </c>
      <c r="M168">
        <f t="shared" si="365"/>
        <v>0.99999999999997868</v>
      </c>
      <c r="N168">
        <f t="shared" si="365"/>
        <v>0</v>
      </c>
      <c r="O168" s="5">
        <f t="shared" si="358"/>
        <v>2.6327272903867195E-3</v>
      </c>
      <c r="P168" s="5">
        <f t="shared" si="358"/>
        <v>-3.4817244821695025E-3</v>
      </c>
      <c r="Q168" s="5">
        <f t="shared" si="358"/>
        <v>0</v>
      </c>
      <c r="R168" s="5">
        <f t="shared" si="358"/>
        <v>-3.0955420807225525E-3</v>
      </c>
      <c r="S168" s="5">
        <f t="shared" si="358"/>
        <v>-4.8686780843651377E-3</v>
      </c>
      <c r="T168" s="5">
        <f t="shared" ref="T168:X168" si="366">LN(T717/T718)</f>
        <v>5.0620425695058636E-3</v>
      </c>
      <c r="U168" s="5">
        <f t="shared" si="366"/>
        <v>2.5882476674048997E-3</v>
      </c>
      <c r="V168" s="5">
        <f t="shared" si="366"/>
        <v>6.5350717051503495E-3</v>
      </c>
      <c r="W168" s="5">
        <f t="shared" si="366"/>
        <v>3.9386357472121656E-3</v>
      </c>
      <c r="X168" s="5">
        <f t="shared" si="366"/>
        <v>4.4394687285776134E-3</v>
      </c>
      <c r="Z168" s="4">
        <v>45854</v>
      </c>
      <c r="AA168">
        <f>B168*B$3</f>
        <v>0</v>
      </c>
      <c r="AB168">
        <f>C168*C$3</f>
        <v>-2583.999999999945</v>
      </c>
      <c r="AC168">
        <f>D168*D$3</f>
        <v>16142.999999999656</v>
      </c>
      <c r="AD168">
        <f>E168*E$3</f>
        <v>2427.9999999999482</v>
      </c>
      <c r="AE168">
        <f>F168*F$3</f>
        <v>-24856.000000000575</v>
      </c>
      <c r="AF168">
        <f>G168*G$3</f>
        <v>-62512.000000000058</v>
      </c>
      <c r="AG168">
        <f>H168*H$3</f>
        <v>-197512.00000000081</v>
      </c>
      <c r="AH168">
        <f>I168*I$3</f>
        <v>-129192.00000000052</v>
      </c>
      <c r="AI168">
        <f>J168*J$3</f>
        <v>-306308.99999999802</v>
      </c>
      <c r="AJ168">
        <f>K168*K$3</f>
        <v>-391974.9999999986</v>
      </c>
      <c r="AK168">
        <f>L168*L$3</f>
        <v>124016.00000000012</v>
      </c>
      <c r="AL168">
        <f>M168*M$3</f>
        <v>32072.999999999316</v>
      </c>
      <c r="AM168">
        <f>N168*N$3</f>
        <v>0</v>
      </c>
      <c r="AN168">
        <f>O168*O$3</f>
        <v>0</v>
      </c>
      <c r="AO168">
        <f>P168*P$3</f>
        <v>17408.622410847514</v>
      </c>
      <c r="AP168">
        <f>Q168*Q$3</f>
        <v>0</v>
      </c>
      <c r="AQ168">
        <f>R168*R$3</f>
        <v>46433.131210838284</v>
      </c>
      <c r="AR168" s="1">
        <f>S168*S$3</f>
        <v>34080.746590555966</v>
      </c>
      <c r="AS168" s="1">
        <f t="shared" si="360"/>
        <v>20248.170278023455</v>
      </c>
      <c r="AT168" s="1">
        <f t="shared" si="360"/>
        <v>20705.981339239199</v>
      </c>
      <c r="AU168" s="1">
        <f t="shared" si="360"/>
        <v>0</v>
      </c>
      <c r="AV168" s="1">
        <f t="shared" si="360"/>
        <v>0</v>
      </c>
      <c r="AW168" s="1">
        <f t="shared" si="360"/>
        <v>0</v>
      </c>
      <c r="AX168" s="1">
        <f t="shared" si="290"/>
        <v>-801403.34817049524</v>
      </c>
      <c r="AY168" s="1">
        <f t="shared" si="291"/>
        <v>138876.65182950441</v>
      </c>
      <c r="AZ168" s="1">
        <f t="shared" si="292"/>
        <v>-940279.99999999965</v>
      </c>
    </row>
    <row r="169" spans="1:52" x14ac:dyDescent="0.25">
      <c r="A169" s="4">
        <v>45853</v>
      </c>
      <c r="B169">
        <f t="shared" ref="B169:N169" si="367">(B719-B718)*100</f>
        <v>0.99999999999997868</v>
      </c>
      <c r="C169">
        <f t="shared" si="367"/>
        <v>0</v>
      </c>
      <c r="D169">
        <f t="shared" si="367"/>
        <v>0</v>
      </c>
      <c r="E169">
        <f t="shared" si="367"/>
        <v>-0.99999999999997868</v>
      </c>
      <c r="F169">
        <f t="shared" si="367"/>
        <v>-2.0000000000000462</v>
      </c>
      <c r="G169">
        <f t="shared" si="367"/>
        <v>-4.0000000000000036</v>
      </c>
      <c r="H169">
        <f t="shared" si="367"/>
        <v>-5.0000000000000266</v>
      </c>
      <c r="I169">
        <f t="shared" si="367"/>
        <v>-7.0000000000000284</v>
      </c>
      <c r="J169">
        <f t="shared" si="367"/>
        <v>-6.999999999999984</v>
      </c>
      <c r="K169">
        <f t="shared" si="367"/>
        <v>-6.9999999999999396</v>
      </c>
      <c r="L169">
        <f t="shared" si="367"/>
        <v>-7.0000000000000284</v>
      </c>
      <c r="M169">
        <f t="shared" si="367"/>
        <v>-4.9999999999999822</v>
      </c>
      <c r="N169">
        <f t="shared" si="367"/>
        <v>-4.0000000000000036</v>
      </c>
      <c r="O169" s="5">
        <f t="shared" si="358"/>
        <v>-3.5083142909843914E-4</v>
      </c>
      <c r="P169" s="5">
        <f t="shared" si="358"/>
        <v>7.0131144395679306E-3</v>
      </c>
      <c r="Q169" s="5">
        <f t="shared" si="358"/>
        <v>1.1950530950070305E-2</v>
      </c>
      <c r="R169" s="5">
        <f t="shared" si="358"/>
        <v>-1.9649129128928989E-3</v>
      </c>
      <c r="S169" s="5">
        <f t="shared" si="358"/>
        <v>4.7672276094631967E-3</v>
      </c>
      <c r="T169" s="5">
        <f t="shared" ref="T169:X169" si="368">LN(T718/T719)</f>
        <v>1.3541264909105234E-3</v>
      </c>
      <c r="U169" s="5">
        <f t="shared" si="368"/>
        <v>4.8863662438672142E-3</v>
      </c>
      <c r="V169" s="5">
        <f t="shared" si="368"/>
        <v>3.3685641038693603E-3</v>
      </c>
      <c r="W169" s="5">
        <f t="shared" si="368"/>
        <v>5.0851288621733869E-3</v>
      </c>
      <c r="X169" s="5">
        <f t="shared" si="368"/>
        <v>1.3544915336935835E-3</v>
      </c>
      <c r="Z169" s="4">
        <v>45853</v>
      </c>
      <c r="AA169">
        <f>B169*B$3</f>
        <v>-982.99999999997908</v>
      </c>
      <c r="AB169">
        <f>C169*C$3</f>
        <v>0</v>
      </c>
      <c r="AC169">
        <f>D169*D$3</f>
        <v>0</v>
      </c>
      <c r="AD169">
        <f>E169*E$3</f>
        <v>-2427.9999999999482</v>
      </c>
      <c r="AE169">
        <f>F169*F$3</f>
        <v>24856.000000000575</v>
      </c>
      <c r="AF169">
        <f>G169*G$3</f>
        <v>62512.000000000058</v>
      </c>
      <c r="AG169">
        <f>H169*H$3</f>
        <v>141080.00000000076</v>
      </c>
      <c r="AH169">
        <f>I169*I$3</f>
        <v>129192.00000000052</v>
      </c>
      <c r="AI169">
        <f>J169*J$3</f>
        <v>357360.49999999919</v>
      </c>
      <c r="AJ169">
        <f>K169*K$3</f>
        <v>548764.99999999523</v>
      </c>
      <c r="AK169">
        <f>L169*L$3</f>
        <v>-217028.00000000087</v>
      </c>
      <c r="AL169">
        <f>M169*M$3</f>
        <v>-160364.99999999942</v>
      </c>
      <c r="AM169">
        <f>N169*N$3</f>
        <v>0</v>
      </c>
      <c r="AN169">
        <f>O169*O$3</f>
        <v>0</v>
      </c>
      <c r="AO169">
        <f>P169*P$3</f>
        <v>-35065.572197839654</v>
      </c>
      <c r="AP169">
        <f>Q169*Q$3</f>
        <v>143406.37140084367</v>
      </c>
      <c r="AQ169">
        <f>R169*R$3</f>
        <v>29473.693693393485</v>
      </c>
      <c r="AR169" s="1">
        <f>S169*S$3</f>
        <v>-33370.59326624238</v>
      </c>
      <c r="AS169" s="1">
        <f t="shared" si="360"/>
        <v>5416.5059636420938</v>
      </c>
      <c r="AT169" s="1">
        <f t="shared" si="360"/>
        <v>39090.929950937716</v>
      </c>
      <c r="AU169" s="1">
        <f t="shared" si="360"/>
        <v>0</v>
      </c>
      <c r="AV169" s="1">
        <f t="shared" si="360"/>
        <v>0</v>
      </c>
      <c r="AW169" s="1">
        <f t="shared" si="360"/>
        <v>0</v>
      </c>
      <c r="AX169" s="1">
        <f t="shared" si="290"/>
        <v>1031912.835544731</v>
      </c>
      <c r="AY169" s="1">
        <f t="shared" si="291"/>
        <v>148951.33554473493</v>
      </c>
      <c r="AZ169" s="1">
        <f t="shared" si="292"/>
        <v>882961.49999999604</v>
      </c>
    </row>
    <row r="170" spans="1:52" x14ac:dyDescent="0.25">
      <c r="A170" s="4">
        <v>45852</v>
      </c>
      <c r="B170">
        <f t="shared" ref="B170:N170" si="369">(B720-B719)*100</f>
        <v>0</v>
      </c>
      <c r="C170">
        <f t="shared" si="369"/>
        <v>0.99999999999997868</v>
      </c>
      <c r="D170">
        <f t="shared" si="369"/>
        <v>-0.99999999999997868</v>
      </c>
      <c r="E170">
        <f t="shared" si="369"/>
        <v>0</v>
      </c>
      <c r="F170">
        <f t="shared" si="369"/>
        <v>0</v>
      </c>
      <c r="G170">
        <f t="shared" si="369"/>
        <v>0.99999999999997868</v>
      </c>
      <c r="H170">
        <f t="shared" si="369"/>
        <v>0</v>
      </c>
      <c r="I170">
        <f t="shared" si="369"/>
        <v>0</v>
      </c>
      <c r="J170">
        <f t="shared" si="369"/>
        <v>1.0000000000000231</v>
      </c>
      <c r="K170">
        <f t="shared" si="369"/>
        <v>0</v>
      </c>
      <c r="L170">
        <f t="shared" si="369"/>
        <v>0</v>
      </c>
      <c r="M170">
        <f t="shared" si="369"/>
        <v>-0.99999999999997868</v>
      </c>
      <c r="N170">
        <f t="shared" si="369"/>
        <v>-0.99999999999997868</v>
      </c>
      <c r="O170" s="5">
        <f t="shared" si="358"/>
        <v>-2.2818958612883292E-3</v>
      </c>
      <c r="P170" s="5">
        <f t="shared" si="358"/>
        <v>9.0043902483397391E-4</v>
      </c>
      <c r="Q170" s="5">
        <f t="shared" si="358"/>
        <v>5.5609326164440444E-3</v>
      </c>
      <c r="R170" s="5">
        <f t="shared" si="358"/>
        <v>3.3707897084889957E-3</v>
      </c>
      <c r="S170" s="5">
        <f t="shared" si="358"/>
        <v>4.5433096557049944E-3</v>
      </c>
      <c r="T170" s="5">
        <f t="shared" ref="T170:X170" si="370">LN(T719/T720)</f>
        <v>1.7655424559011573E-3</v>
      </c>
      <c r="U170" s="5">
        <f t="shared" si="370"/>
        <v>6.3350657611913391E-3</v>
      </c>
      <c r="V170" s="5">
        <f t="shared" si="370"/>
        <v>6.8601230926821685E-3</v>
      </c>
      <c r="W170" s="5">
        <f t="shared" si="370"/>
        <v>2.4170241061907943E-3</v>
      </c>
      <c r="X170" s="5">
        <f t="shared" si="370"/>
        <v>8.7826058975251382E-5</v>
      </c>
      <c r="Z170" s="4">
        <v>45852</v>
      </c>
      <c r="AA170">
        <f>B170*B$3</f>
        <v>0</v>
      </c>
      <c r="AB170">
        <f>C170*C$3</f>
        <v>-2583.999999999945</v>
      </c>
      <c r="AC170">
        <f>D170*D$3</f>
        <v>-16142.999999999656</v>
      </c>
      <c r="AD170">
        <f>E170*E$3</f>
        <v>0</v>
      </c>
      <c r="AE170">
        <f>F170*F$3</f>
        <v>0</v>
      </c>
      <c r="AF170">
        <f>G170*G$3</f>
        <v>-15627.999999999667</v>
      </c>
      <c r="AG170">
        <f>H170*H$3</f>
        <v>0</v>
      </c>
      <c r="AH170">
        <f>I170*I$3</f>
        <v>0</v>
      </c>
      <c r="AI170">
        <f>J170*J$3</f>
        <v>-51051.500000001179</v>
      </c>
      <c r="AJ170">
        <f>K170*K$3</f>
        <v>0</v>
      </c>
      <c r="AK170">
        <f>L170*L$3</f>
        <v>0</v>
      </c>
      <c r="AL170">
        <f>M170*M$3</f>
        <v>-32072.999999999316</v>
      </c>
      <c r="AM170">
        <f>N170*N$3</f>
        <v>0</v>
      </c>
      <c r="AN170">
        <f>O170*O$3</f>
        <v>0</v>
      </c>
      <c r="AO170">
        <f>P170*P$3</f>
        <v>-4502.1951241698698</v>
      </c>
      <c r="AP170">
        <f>Q170*Q$3</f>
        <v>66731.191397328526</v>
      </c>
      <c r="AQ170">
        <f>R170*R$3</f>
        <v>-50561.845627334937</v>
      </c>
      <c r="AR170" s="1">
        <f>S170*S$3</f>
        <v>-31803.167589934961</v>
      </c>
      <c r="AS170" s="1">
        <f t="shared" si="360"/>
        <v>7062.1698236046286</v>
      </c>
      <c r="AT170" s="1">
        <f t="shared" si="360"/>
        <v>50680.526089530715</v>
      </c>
      <c r="AU170" s="1">
        <f t="shared" si="360"/>
        <v>0</v>
      </c>
      <c r="AV170" s="1">
        <f t="shared" si="360"/>
        <v>0</v>
      </c>
      <c r="AW170" s="1">
        <f t="shared" si="360"/>
        <v>0</v>
      </c>
      <c r="AX170" s="1">
        <f t="shared" si="290"/>
        <v>-79872.821030975625</v>
      </c>
      <c r="AY170" s="1">
        <f t="shared" si="291"/>
        <v>37606.678969024098</v>
      </c>
      <c r="AZ170" s="1">
        <f t="shared" si="292"/>
        <v>-117479.49999999972</v>
      </c>
    </row>
    <row r="171" spans="1:52" x14ac:dyDescent="0.25">
      <c r="A171" s="4">
        <v>45849</v>
      </c>
      <c r="B171">
        <f t="shared" ref="B171:N171" si="371">(B721-B720)*100</f>
        <v>-0.99999999999997868</v>
      </c>
      <c r="C171">
        <f t="shared" si="371"/>
        <v>0</v>
      </c>
      <c r="D171">
        <f t="shared" si="371"/>
        <v>0.99999999999997868</v>
      </c>
      <c r="E171">
        <f t="shared" si="371"/>
        <v>0</v>
      </c>
      <c r="F171">
        <f t="shared" si="371"/>
        <v>0</v>
      </c>
      <c r="G171">
        <f t="shared" si="371"/>
        <v>-1.9999999999999574</v>
      </c>
      <c r="H171">
        <f t="shared" si="371"/>
        <v>-4.0000000000000036</v>
      </c>
      <c r="I171">
        <f t="shared" si="371"/>
        <v>-4.0000000000000036</v>
      </c>
      <c r="J171">
        <f t="shared" si="371"/>
        <v>-6.0000000000000053</v>
      </c>
      <c r="K171">
        <f t="shared" si="371"/>
        <v>-7.0000000000000284</v>
      </c>
      <c r="L171">
        <f t="shared" si="371"/>
        <v>-8.0000000000000071</v>
      </c>
      <c r="M171">
        <f t="shared" si="371"/>
        <v>-8.9999999999999858</v>
      </c>
      <c r="N171">
        <f t="shared" si="371"/>
        <v>-9.9999999999999645</v>
      </c>
      <c r="O171" s="5">
        <f t="shared" si="358"/>
        <v>5.2002384416011552E-3</v>
      </c>
      <c r="P171" s="5">
        <f t="shared" si="358"/>
        <v>-3.8337428400019901E-3</v>
      </c>
      <c r="Q171" s="5">
        <f t="shared" si="358"/>
        <v>2.2119708191055999E-3</v>
      </c>
      <c r="R171" s="5">
        <f t="shared" si="358"/>
        <v>2.5355697483688093E-3</v>
      </c>
      <c r="S171" s="5">
        <f t="shared" si="358"/>
        <v>1.4760625631951899E-3</v>
      </c>
      <c r="T171" s="5">
        <f t="shared" ref="T171:X171" si="372">LN(T720/T721)</f>
        <v>2.4255019929678261E-3</v>
      </c>
      <c r="U171" s="5">
        <f t="shared" si="372"/>
        <v>9.9183777651064568E-4</v>
      </c>
      <c r="V171" s="5">
        <f t="shared" si="372"/>
        <v>1.1901149547720561E-3</v>
      </c>
      <c r="W171" s="5">
        <f t="shared" si="372"/>
        <v>-8.849391104262307E-3</v>
      </c>
      <c r="X171" s="5">
        <f t="shared" si="372"/>
        <v>4.7683805123789136E-3</v>
      </c>
      <c r="Z171" s="4">
        <v>45849</v>
      </c>
      <c r="AA171">
        <f>B171*B$3</f>
        <v>982.99999999997908</v>
      </c>
      <c r="AB171">
        <f>C171*C$3</f>
        <v>0</v>
      </c>
      <c r="AC171">
        <f>D171*D$3</f>
        <v>16142.999999999656</v>
      </c>
      <c r="AD171">
        <f>E171*E$3</f>
        <v>0</v>
      </c>
      <c r="AE171">
        <f>F171*F$3</f>
        <v>0</v>
      </c>
      <c r="AF171">
        <f>G171*G$3</f>
        <v>31255.999999999334</v>
      </c>
      <c r="AG171">
        <f>H171*H$3</f>
        <v>112864.0000000001</v>
      </c>
      <c r="AH171">
        <f>I171*I$3</f>
        <v>73824.000000000073</v>
      </c>
      <c r="AI171">
        <f>J171*J$3</f>
        <v>306309.00000000029</v>
      </c>
      <c r="AJ171">
        <f>K171*K$3</f>
        <v>548765.00000000221</v>
      </c>
      <c r="AK171">
        <f>L171*L$3</f>
        <v>-248032.00000000023</v>
      </c>
      <c r="AL171">
        <f>M171*M$3</f>
        <v>-288656.99999999953</v>
      </c>
      <c r="AM171">
        <f>N171*N$3</f>
        <v>0</v>
      </c>
      <c r="AN171">
        <f>O171*O$3</f>
        <v>0</v>
      </c>
      <c r="AO171">
        <f>P171*P$3</f>
        <v>19168.714200009952</v>
      </c>
      <c r="AP171">
        <f>Q171*Q$3</f>
        <v>26543.6498292672</v>
      </c>
      <c r="AQ171">
        <f>R171*R$3</f>
        <v>-38033.54622553214</v>
      </c>
      <c r="AR171" s="1">
        <f>S171*S$3</f>
        <v>-10332.437942366329</v>
      </c>
      <c r="AS171" s="1">
        <f t="shared" si="360"/>
        <v>9702.0079718713041</v>
      </c>
      <c r="AT171" s="1">
        <f t="shared" si="360"/>
        <v>7934.7022120851652</v>
      </c>
      <c r="AU171" s="1">
        <f t="shared" si="360"/>
        <v>0</v>
      </c>
      <c r="AV171" s="1">
        <f t="shared" si="360"/>
        <v>0</v>
      </c>
      <c r="AW171" s="1">
        <f t="shared" si="360"/>
        <v>0</v>
      </c>
      <c r="AX171" s="1">
        <f t="shared" si="290"/>
        <v>568438.09004533687</v>
      </c>
      <c r="AY171" s="1">
        <f t="shared" si="291"/>
        <v>14983.090045335153</v>
      </c>
      <c r="AZ171" s="1">
        <f t="shared" si="292"/>
        <v>553455.00000000175</v>
      </c>
    </row>
    <row r="172" spans="1:52" x14ac:dyDescent="0.25">
      <c r="A172" s="4">
        <v>45848</v>
      </c>
      <c r="B172">
        <f t="shared" ref="B172:N172" si="373">(B722-B721)*100</f>
        <v>0</v>
      </c>
      <c r="C172">
        <f t="shared" si="373"/>
        <v>-1.9999999999999574</v>
      </c>
      <c r="D172">
        <f t="shared" si="373"/>
        <v>0</v>
      </c>
      <c r="E172">
        <f t="shared" si="373"/>
        <v>0</v>
      </c>
      <c r="F172">
        <f t="shared" si="373"/>
        <v>0</v>
      </c>
      <c r="G172">
        <f t="shared" si="373"/>
        <v>0</v>
      </c>
      <c r="H172">
        <f t="shared" si="373"/>
        <v>0</v>
      </c>
      <c r="I172">
        <f t="shared" si="373"/>
        <v>-2.0000000000000018</v>
      </c>
      <c r="J172">
        <f t="shared" si="373"/>
        <v>-1.0000000000000231</v>
      </c>
      <c r="K172">
        <f t="shared" si="373"/>
        <v>-0.99999999999997868</v>
      </c>
      <c r="L172">
        <f t="shared" si="373"/>
        <v>-0.99999999999997868</v>
      </c>
      <c r="M172">
        <f t="shared" si="373"/>
        <v>0</v>
      </c>
      <c r="N172">
        <f t="shared" si="373"/>
        <v>0.99999999999997868</v>
      </c>
      <c r="O172" s="5">
        <f t="shared" si="358"/>
        <v>1.4665923958552644E-2</v>
      </c>
      <c r="P172" s="5">
        <f t="shared" si="358"/>
        <v>8.9780044935258826E-4</v>
      </c>
      <c r="Q172" s="5">
        <f t="shared" si="358"/>
        <v>3.1050021777815151E-3</v>
      </c>
      <c r="R172" s="5">
        <f t="shared" si="358"/>
        <v>-1.1277136802686164E-3</v>
      </c>
      <c r="S172" s="5">
        <f t="shared" si="358"/>
        <v>-6.1752760028509104E-4</v>
      </c>
      <c r="T172" s="5">
        <f t="shared" ref="T172:X172" si="374">LN(T721/T722)</f>
        <v>-5.6301817848493677E-4</v>
      </c>
      <c r="U172" s="5">
        <f t="shared" si="374"/>
        <v>-5.7073055672543288E-4</v>
      </c>
      <c r="V172" s="5">
        <f t="shared" si="374"/>
        <v>-5.01771321909313E-3</v>
      </c>
      <c r="W172" s="5">
        <f t="shared" si="374"/>
        <v>-1.7436307443032283E-3</v>
      </c>
      <c r="X172" s="5">
        <f t="shared" si="374"/>
        <v>-3.7009094097008883E-3</v>
      </c>
      <c r="Z172" s="4">
        <v>45848</v>
      </c>
      <c r="AA172">
        <f>B172*B$3</f>
        <v>0</v>
      </c>
      <c r="AB172">
        <f>C172*C$3</f>
        <v>5167.99999999989</v>
      </c>
      <c r="AC172">
        <f>D172*D$3</f>
        <v>0</v>
      </c>
      <c r="AD172">
        <f>E172*E$3</f>
        <v>0</v>
      </c>
      <c r="AE172">
        <f>F172*F$3</f>
        <v>0</v>
      </c>
      <c r="AF172">
        <f>G172*G$3</f>
        <v>0</v>
      </c>
      <c r="AG172">
        <f>H172*H$3</f>
        <v>0</v>
      </c>
      <c r="AH172">
        <f>I172*I$3</f>
        <v>36912.000000000036</v>
      </c>
      <c r="AI172">
        <f>J172*J$3</f>
        <v>51051.500000001179</v>
      </c>
      <c r="AJ172">
        <f>K172*K$3</f>
        <v>78394.999999998327</v>
      </c>
      <c r="AK172">
        <f>L172*L$3</f>
        <v>-31003.999999999338</v>
      </c>
      <c r="AL172">
        <f>M172*M$3</f>
        <v>0</v>
      </c>
      <c r="AM172">
        <f>N172*N$3</f>
        <v>0</v>
      </c>
      <c r="AN172">
        <f>O172*O$3</f>
        <v>0</v>
      </c>
      <c r="AO172">
        <f>P172*P$3</f>
        <v>-4489.0022467629415</v>
      </c>
      <c r="AP172">
        <f>Q172*Q$3</f>
        <v>37260.026133378182</v>
      </c>
      <c r="AQ172">
        <f>R172*R$3</f>
        <v>16915.705204029247</v>
      </c>
      <c r="AR172" s="1">
        <f>S172*S$3</f>
        <v>4322.6932019956375</v>
      </c>
      <c r="AS172" s="1">
        <f t="shared" si="360"/>
        <v>-2252.0727139397472</v>
      </c>
      <c r="AT172" s="1">
        <f t="shared" si="360"/>
        <v>-4565.8444538034628</v>
      </c>
      <c r="AU172" s="1">
        <f t="shared" si="360"/>
        <v>0</v>
      </c>
      <c r="AV172" s="1">
        <f t="shared" si="360"/>
        <v>0</v>
      </c>
      <c r="AW172" s="1">
        <f t="shared" si="360"/>
        <v>0</v>
      </c>
      <c r="AX172" s="1">
        <f t="shared" si="290"/>
        <v>187714.005124897</v>
      </c>
      <c r="AY172" s="1">
        <f t="shared" si="291"/>
        <v>47191.505124896918</v>
      </c>
      <c r="AZ172" s="1">
        <f t="shared" si="292"/>
        <v>140522.50000000009</v>
      </c>
    </row>
    <row r="173" spans="1:52" x14ac:dyDescent="0.25">
      <c r="A173" s="4">
        <v>45847</v>
      </c>
      <c r="B173">
        <f t="shared" ref="B173:N173" si="375">(B723-B722)*100</f>
        <v>0</v>
      </c>
      <c r="C173">
        <f t="shared" si="375"/>
        <v>0.99999999999997868</v>
      </c>
      <c r="D173">
        <f t="shared" si="375"/>
        <v>0</v>
      </c>
      <c r="E173">
        <f t="shared" si="375"/>
        <v>0</v>
      </c>
      <c r="F173">
        <f t="shared" si="375"/>
        <v>3.0000000000000249</v>
      </c>
      <c r="G173">
        <f t="shared" si="375"/>
        <v>4.0000000000000036</v>
      </c>
      <c r="H173">
        <f t="shared" si="375"/>
        <v>4.0000000000000036</v>
      </c>
      <c r="I173">
        <f t="shared" si="375"/>
        <v>6.0000000000000053</v>
      </c>
      <c r="J173">
        <f t="shared" si="375"/>
        <v>7.0000000000000284</v>
      </c>
      <c r="K173">
        <f t="shared" si="375"/>
        <v>6.9999999999999396</v>
      </c>
      <c r="L173">
        <f t="shared" si="375"/>
        <v>8.0000000000000071</v>
      </c>
      <c r="M173">
        <f t="shared" si="375"/>
        <v>8.0000000000000071</v>
      </c>
      <c r="N173">
        <f t="shared" si="375"/>
        <v>7.0000000000000284</v>
      </c>
      <c r="O173" s="5">
        <f t="shared" si="358"/>
        <v>1.0074091207424121E-3</v>
      </c>
      <c r="P173" s="5">
        <f t="shared" si="358"/>
        <v>-1.0399825673022839E-2</v>
      </c>
      <c r="Q173" s="5">
        <f t="shared" si="358"/>
        <v>5.4198375205569225E-3</v>
      </c>
      <c r="R173" s="5">
        <f t="shared" si="358"/>
        <v>1.1277136802686375E-3</v>
      </c>
      <c r="S173" s="5">
        <f t="shared" si="358"/>
        <v>1.8322158005473232E-3</v>
      </c>
      <c r="T173" s="5">
        <f t="shared" ref="T173:X173" si="376">LN(T722/T723)</f>
        <v>1.0205990022111829E-3</v>
      </c>
      <c r="U173" s="5">
        <f t="shared" si="376"/>
        <v>2.8161008200756421E-3</v>
      </c>
      <c r="V173" s="5">
        <f t="shared" si="376"/>
        <v>6.538231066995504E-3</v>
      </c>
      <c r="W173" s="5">
        <f t="shared" si="376"/>
        <v>-2.8275896555301416E-3</v>
      </c>
      <c r="X173" s="5">
        <f t="shared" si="376"/>
        <v>-1.6195847913878737E-3</v>
      </c>
      <c r="Z173" s="4">
        <v>45847</v>
      </c>
      <c r="AA173">
        <f>B173*B$3</f>
        <v>0</v>
      </c>
      <c r="AB173">
        <f>C173*C$3</f>
        <v>-2583.999999999945</v>
      </c>
      <c r="AC173">
        <f>D173*D$3</f>
        <v>0</v>
      </c>
      <c r="AD173">
        <f>E173*E$3</f>
        <v>0</v>
      </c>
      <c r="AE173">
        <f>F173*F$3</f>
        <v>-37284.000000000306</v>
      </c>
      <c r="AF173">
        <f>G173*G$3</f>
        <v>-62512.000000000058</v>
      </c>
      <c r="AG173">
        <f>H173*H$3</f>
        <v>-112864.0000000001</v>
      </c>
      <c r="AH173">
        <f>I173*I$3</f>
        <v>-110736.0000000001</v>
      </c>
      <c r="AI173">
        <f>J173*J$3</f>
        <v>-357360.50000000146</v>
      </c>
      <c r="AJ173">
        <f>K173*K$3</f>
        <v>-548764.99999999523</v>
      </c>
      <c r="AK173">
        <f>L173*L$3</f>
        <v>248032.00000000023</v>
      </c>
      <c r="AL173">
        <f>M173*M$3</f>
        <v>256584.00000000023</v>
      </c>
      <c r="AM173">
        <f>N173*N$3</f>
        <v>0</v>
      </c>
      <c r="AN173">
        <f>O173*O$3</f>
        <v>0</v>
      </c>
      <c r="AO173">
        <f>P173*P$3</f>
        <v>51999.128365114193</v>
      </c>
      <c r="AP173">
        <f>Q173*Q$3</f>
        <v>65038.050246683073</v>
      </c>
      <c r="AQ173">
        <f>R173*R$3</f>
        <v>-16915.70520402956</v>
      </c>
      <c r="AR173" s="1">
        <f>S173*S$3</f>
        <v>-12825.510603831262</v>
      </c>
      <c r="AS173" s="1">
        <f t="shared" si="360"/>
        <v>4082.3960088447316</v>
      </c>
      <c r="AT173" s="1">
        <f t="shared" si="360"/>
        <v>22528.806560605139</v>
      </c>
      <c r="AU173" s="1">
        <f t="shared" si="360"/>
        <v>0</v>
      </c>
      <c r="AV173" s="1">
        <f t="shared" si="360"/>
        <v>0</v>
      </c>
      <c r="AW173" s="1">
        <f t="shared" si="360"/>
        <v>0</v>
      </c>
      <c r="AX173" s="1">
        <f t="shared" si="290"/>
        <v>-613582.33462661039</v>
      </c>
      <c r="AY173" s="1">
        <f t="shared" si="291"/>
        <v>113907.16537338632</v>
      </c>
      <c r="AZ173" s="1">
        <f t="shared" si="292"/>
        <v>-727489.49999999674</v>
      </c>
    </row>
    <row r="174" spans="1:52" x14ac:dyDescent="0.25">
      <c r="A174" s="4">
        <v>45846</v>
      </c>
      <c r="B174">
        <f t="shared" ref="B174:N174" si="377">(B724-B723)*100</f>
        <v>0.99999999999997868</v>
      </c>
      <c r="C174">
        <f t="shared" si="377"/>
        <v>-0.99999999999997868</v>
      </c>
      <c r="D174">
        <f t="shared" si="377"/>
        <v>0</v>
      </c>
      <c r="E174">
        <f t="shared" si="377"/>
        <v>-0.99999999999997868</v>
      </c>
      <c r="F174">
        <f t="shared" si="377"/>
        <v>-0.99999999999997868</v>
      </c>
      <c r="G174">
        <f t="shared" si="377"/>
        <v>-3.0000000000000249</v>
      </c>
      <c r="H174">
        <f t="shared" si="377"/>
        <v>0</v>
      </c>
      <c r="I174">
        <f t="shared" si="377"/>
        <v>-0.99999999999997868</v>
      </c>
      <c r="J174">
        <f t="shared" si="377"/>
        <v>-3.0000000000000249</v>
      </c>
      <c r="K174">
        <f t="shared" si="377"/>
        <v>-1.9999999999999574</v>
      </c>
      <c r="L174">
        <f t="shared" si="377"/>
        <v>-1.9999999999999574</v>
      </c>
      <c r="M174">
        <f t="shared" si="377"/>
        <v>-2.0000000000000462</v>
      </c>
      <c r="N174">
        <f t="shared" si="377"/>
        <v>-2.0000000000000462</v>
      </c>
      <c r="O174" s="5">
        <f t="shared" si="358"/>
        <v>3.4825004705091073E-4</v>
      </c>
      <c r="P174" s="5">
        <f t="shared" si="358"/>
        <v>1.9525704741573096E-3</v>
      </c>
      <c r="Q174" s="5">
        <f t="shared" si="358"/>
        <v>8.480148222619532E-3</v>
      </c>
      <c r="R174" s="5">
        <f t="shared" si="358"/>
        <v>-5.0647266396081922E-3</v>
      </c>
      <c r="S174" s="5">
        <f t="shared" si="358"/>
        <v>-2.642477731177411E-3</v>
      </c>
      <c r="T174" s="5">
        <f t="shared" ref="T174:X174" si="378">LN(T723/T724)</f>
        <v>3.7627227491737834E-3</v>
      </c>
      <c r="U174" s="5">
        <f t="shared" si="378"/>
        <v>2.0456281170232208E-3</v>
      </c>
      <c r="V174" s="5">
        <f t="shared" si="378"/>
        <v>9.6009360052531946E-3</v>
      </c>
      <c r="W174" s="5">
        <f t="shared" si="378"/>
        <v>6.9990012059475059E-3</v>
      </c>
      <c r="X174" s="5">
        <f t="shared" si="378"/>
        <v>3.9215799698081302E-3</v>
      </c>
      <c r="Z174" s="4">
        <v>45846</v>
      </c>
      <c r="AA174">
        <f>B174*B$3</f>
        <v>-982.99999999997908</v>
      </c>
      <c r="AB174">
        <f>C174*C$3</f>
        <v>2583.999999999945</v>
      </c>
      <c r="AC174">
        <f>D174*D$3</f>
        <v>0</v>
      </c>
      <c r="AD174">
        <f>E174*E$3</f>
        <v>-2427.9999999999482</v>
      </c>
      <c r="AE174">
        <f>F174*F$3</f>
        <v>12427.999999999734</v>
      </c>
      <c r="AF174">
        <f>G174*G$3</f>
        <v>46884.000000000386</v>
      </c>
      <c r="AG174">
        <f>H174*H$3</f>
        <v>0</v>
      </c>
      <c r="AH174">
        <f>I174*I$3</f>
        <v>18455.999999999607</v>
      </c>
      <c r="AI174">
        <f>J174*J$3</f>
        <v>153154.50000000128</v>
      </c>
      <c r="AJ174">
        <f>K174*K$3</f>
        <v>156789.99999999665</v>
      </c>
      <c r="AK174">
        <f>L174*L$3</f>
        <v>-62007.999999998676</v>
      </c>
      <c r="AL174">
        <f>M174*M$3</f>
        <v>-64146.000000001484</v>
      </c>
      <c r="AM174">
        <f>N174*N$3</f>
        <v>0</v>
      </c>
      <c r="AN174">
        <f>O174*O$3</f>
        <v>0</v>
      </c>
      <c r="AO174">
        <f>P174*P$3</f>
        <v>-9762.8523707865479</v>
      </c>
      <c r="AP174">
        <f>Q174*Q$3</f>
        <v>101761.77867143438</v>
      </c>
      <c r="AQ174">
        <f>R174*R$3</f>
        <v>75970.899594122879</v>
      </c>
      <c r="AR174" s="1">
        <f>S174*S$3</f>
        <v>18497.344118241876</v>
      </c>
      <c r="AS174" s="1">
        <f t="shared" si="360"/>
        <v>15050.890996695134</v>
      </c>
      <c r="AT174" s="1">
        <f t="shared" si="360"/>
        <v>16365.024936185766</v>
      </c>
      <c r="AU174" s="1">
        <f t="shared" si="360"/>
        <v>0</v>
      </c>
      <c r="AV174" s="1">
        <f t="shared" si="360"/>
        <v>0</v>
      </c>
      <c r="AW174" s="1">
        <f t="shared" si="360"/>
        <v>0</v>
      </c>
      <c r="AX174" s="1">
        <f t="shared" si="290"/>
        <v>478614.58594589098</v>
      </c>
      <c r="AY174" s="1">
        <f t="shared" si="291"/>
        <v>217883.08594589352</v>
      </c>
      <c r="AZ174" s="1">
        <f t="shared" si="292"/>
        <v>260731.49999999747</v>
      </c>
    </row>
    <row r="175" spans="1:52" x14ac:dyDescent="0.25">
      <c r="A175" s="4">
        <v>45845</v>
      </c>
      <c r="B175">
        <f t="shared" ref="B175:N175" si="379">(B725-B724)*100</f>
        <v>-2.0000000000000462</v>
      </c>
      <c r="C175">
        <f t="shared" si="379"/>
        <v>4.9999999999999822</v>
      </c>
      <c r="D175">
        <f t="shared" si="379"/>
        <v>0</v>
      </c>
      <c r="E175">
        <f t="shared" si="379"/>
        <v>0</v>
      </c>
      <c r="F175">
        <f t="shared" si="379"/>
        <v>0.99999999999997868</v>
      </c>
      <c r="G175">
        <f t="shared" si="379"/>
        <v>-0.99999999999997868</v>
      </c>
      <c r="H175">
        <f t="shared" si="379"/>
        <v>-2.0000000000000018</v>
      </c>
      <c r="I175">
        <f t="shared" si="379"/>
        <v>-1.0000000000000231</v>
      </c>
      <c r="J175">
        <f t="shared" si="379"/>
        <v>-2.0000000000000018</v>
      </c>
      <c r="K175">
        <f t="shared" si="379"/>
        <v>-4.0000000000000036</v>
      </c>
      <c r="L175">
        <f t="shared" si="379"/>
        <v>-5.0000000000000711</v>
      </c>
      <c r="M175">
        <f t="shared" si="379"/>
        <v>-5.9999999999999609</v>
      </c>
      <c r="N175">
        <f t="shared" si="379"/>
        <v>-5.9999999999999609</v>
      </c>
      <c r="O175" s="5">
        <f t="shared" ref="O175:S184" si="380">LN(O724/O725)</f>
        <v>6.3262251921125095E-3</v>
      </c>
      <c r="P175" s="5">
        <f t="shared" si="380"/>
        <v>1.3700550582211389E-2</v>
      </c>
      <c r="Q175" s="5">
        <f t="shared" si="380"/>
        <v>6.2727160513816856E-3</v>
      </c>
      <c r="R175" s="5">
        <f t="shared" si="380"/>
        <v>5.346853880864485E-3</v>
      </c>
      <c r="S175" s="5">
        <f t="shared" si="380"/>
        <v>-1.0400361197386188E-3</v>
      </c>
      <c r="T175" s="5">
        <f t="shared" ref="T175:X175" si="381">LN(T724/T725)</f>
        <v>1.6506585755073013E-3</v>
      </c>
      <c r="U175" s="5">
        <f t="shared" si="381"/>
        <v>-1.0915994274131113E-4</v>
      </c>
      <c r="V175" s="5">
        <f t="shared" si="381"/>
        <v>6.7494639685639138E-3</v>
      </c>
      <c r="W175" s="5">
        <f t="shared" si="381"/>
        <v>4.7369983033232954E-3</v>
      </c>
      <c r="X175" s="5">
        <f t="shared" si="381"/>
        <v>3.2040240113497208E-3</v>
      </c>
      <c r="Z175" s="4">
        <v>45845</v>
      </c>
      <c r="AA175">
        <f>B175*B$3</f>
        <v>1966.0000000000455</v>
      </c>
      <c r="AB175">
        <f>C175*C$3</f>
        <v>-12919.999999999955</v>
      </c>
      <c r="AC175">
        <f>D175*D$3</f>
        <v>0</v>
      </c>
      <c r="AD175">
        <f>E175*E$3</f>
        <v>0</v>
      </c>
      <c r="AE175">
        <f>F175*F$3</f>
        <v>-12427.999999999734</v>
      </c>
      <c r="AF175">
        <f>G175*G$3</f>
        <v>15627.999999999667</v>
      </c>
      <c r="AG175">
        <f>H175*H$3</f>
        <v>56432.000000000051</v>
      </c>
      <c r="AH175">
        <f>I175*I$3</f>
        <v>18456.000000000426</v>
      </c>
      <c r="AI175">
        <f>J175*J$3</f>
        <v>102103.00000000009</v>
      </c>
      <c r="AJ175">
        <f>K175*K$3</f>
        <v>313580.00000000029</v>
      </c>
      <c r="AK175">
        <f>L175*L$3</f>
        <v>-155020.00000000221</v>
      </c>
      <c r="AL175">
        <f>M175*M$3</f>
        <v>-192437.99999999875</v>
      </c>
      <c r="AM175">
        <f>N175*N$3</f>
        <v>0</v>
      </c>
      <c r="AN175">
        <f>O175*O$3</f>
        <v>0</v>
      </c>
      <c r="AO175">
        <f>P175*P$3</f>
        <v>-68502.752911056945</v>
      </c>
      <c r="AP175">
        <f>Q175*Q$3</f>
        <v>75272.592616580223</v>
      </c>
      <c r="AQ175">
        <f>R175*R$3</f>
        <v>-80202.808212967269</v>
      </c>
      <c r="AR175" s="1">
        <f>S175*S$3</f>
        <v>7280.2528381703314</v>
      </c>
      <c r="AS175" s="1">
        <f t="shared" si="360"/>
        <v>6602.6343020292052</v>
      </c>
      <c r="AT175" s="1">
        <f t="shared" si="360"/>
        <v>-873.27954193048902</v>
      </c>
      <c r="AU175" s="1">
        <f t="shared" si="360"/>
        <v>0</v>
      </c>
      <c r="AV175" s="1">
        <f t="shared" si="360"/>
        <v>0</v>
      </c>
      <c r="AW175" s="1">
        <f t="shared" si="360"/>
        <v>0</v>
      </c>
      <c r="AX175" s="1">
        <f t="shared" si="290"/>
        <v>74935.639090824974</v>
      </c>
      <c r="AY175" s="1">
        <f t="shared" si="291"/>
        <v>-60423.360909174946</v>
      </c>
      <c r="AZ175" s="1">
        <f t="shared" si="292"/>
        <v>135358.99999999991</v>
      </c>
    </row>
    <row r="176" spans="1:52" x14ac:dyDescent="0.25">
      <c r="A176" s="4">
        <v>45841</v>
      </c>
      <c r="B176">
        <f t="shared" ref="B176:N176" si="382">(B726-B725)*100</f>
        <v>-1.9999999999999574</v>
      </c>
      <c r="C176">
        <f t="shared" si="382"/>
        <v>-7.0000000000000284</v>
      </c>
      <c r="D176">
        <f t="shared" si="382"/>
        <v>-0.99999999999997868</v>
      </c>
      <c r="E176">
        <f t="shared" si="382"/>
        <v>-4.0000000000000036</v>
      </c>
      <c r="F176">
        <f t="shared" si="382"/>
        <v>-5.9999999999999609</v>
      </c>
      <c r="G176">
        <f t="shared" si="382"/>
        <v>-8.0000000000000071</v>
      </c>
      <c r="H176">
        <f t="shared" si="382"/>
        <v>-10.000000000000009</v>
      </c>
      <c r="I176">
        <f t="shared" si="382"/>
        <v>-6.999999999999984</v>
      </c>
      <c r="J176">
        <f t="shared" si="382"/>
        <v>-6.999999999999984</v>
      </c>
      <c r="K176">
        <f t="shared" si="382"/>
        <v>-6.0000000000000497</v>
      </c>
      <c r="L176">
        <f t="shared" si="382"/>
        <v>-4.9999999999999822</v>
      </c>
      <c r="M176">
        <f t="shared" si="382"/>
        <v>-3.0000000000000249</v>
      </c>
      <c r="N176">
        <f t="shared" si="382"/>
        <v>-4.0000000000000036</v>
      </c>
      <c r="O176" s="5">
        <f t="shared" si="380"/>
        <v>-5.5926705369073147E-3</v>
      </c>
      <c r="P176" s="5">
        <f t="shared" si="380"/>
        <v>-1.3284375269584827E-3</v>
      </c>
      <c r="Q176" s="5">
        <f t="shared" si="380"/>
        <v>-1.1871806093391832E-4</v>
      </c>
      <c r="R176" s="5">
        <f t="shared" si="380"/>
        <v>-1.4098409215248459E-3</v>
      </c>
      <c r="S176" s="5">
        <f t="shared" si="380"/>
        <v>-5.6210241238911643E-3</v>
      </c>
      <c r="T176" s="5">
        <f t="shared" ref="T176:X176" si="383">LN(T725/T726)</f>
        <v>4.485413064737793E-4</v>
      </c>
      <c r="U176" s="5">
        <f t="shared" si="383"/>
        <v>7.0957879601661576E-3</v>
      </c>
      <c r="V176" s="5">
        <f t="shared" si="383"/>
        <v>8.6438541461859658E-4</v>
      </c>
      <c r="W176" s="5">
        <f t="shared" si="383"/>
        <v>3.096578760317727E-5</v>
      </c>
      <c r="X176" s="5">
        <f t="shared" si="383"/>
        <v>1.0238563008184774E-3</v>
      </c>
      <c r="Z176" s="4">
        <v>45841</v>
      </c>
      <c r="AA176">
        <f>B176*B$3</f>
        <v>1965.9999999999582</v>
      </c>
      <c r="AB176">
        <f>C176*C$3</f>
        <v>18088.000000000073</v>
      </c>
      <c r="AC176">
        <f>D176*D$3</f>
        <v>-16142.999999999656</v>
      </c>
      <c r="AD176">
        <f>E176*E$3</f>
        <v>-9712.0000000000091</v>
      </c>
      <c r="AE176">
        <f>F176*F$3</f>
        <v>74567.99999999952</v>
      </c>
      <c r="AF176">
        <f>G176*G$3</f>
        <v>125024.00000000012</v>
      </c>
      <c r="AG176">
        <f>H176*H$3</f>
        <v>282160.00000000023</v>
      </c>
      <c r="AH176">
        <f>I176*I$3</f>
        <v>129191.99999999971</v>
      </c>
      <c r="AI176">
        <f>J176*J$3</f>
        <v>357360.49999999919</v>
      </c>
      <c r="AJ176">
        <f>K176*K$3</f>
        <v>470370.0000000039</v>
      </c>
      <c r="AK176">
        <f>L176*L$3</f>
        <v>-155019.99999999945</v>
      </c>
      <c r="AL176">
        <f>M176*M$3</f>
        <v>-96219.0000000008</v>
      </c>
      <c r="AM176">
        <f>N176*N$3</f>
        <v>0</v>
      </c>
      <c r="AN176">
        <f>O176*O$3</f>
        <v>0</v>
      </c>
      <c r="AO176">
        <f>P176*P$3</f>
        <v>6642.1876347924135</v>
      </c>
      <c r="AP176">
        <f>Q176*Q$3</f>
        <v>-1424.6167312070199</v>
      </c>
      <c r="AQ176">
        <f>R176*R$3</f>
        <v>21147.613822872689</v>
      </c>
      <c r="AR176" s="1">
        <f>S176*S$3</f>
        <v>39347.16886723815</v>
      </c>
      <c r="AS176" s="1">
        <f t="shared" si="360"/>
        <v>1794.1652258951171</v>
      </c>
      <c r="AT176" s="1">
        <f t="shared" si="360"/>
        <v>56766.303681329264</v>
      </c>
      <c r="AU176" s="1">
        <f t="shared" si="360"/>
        <v>0</v>
      </c>
      <c r="AV176" s="1">
        <f t="shared" si="360"/>
        <v>0</v>
      </c>
      <c r="AW176" s="1">
        <f t="shared" si="360"/>
        <v>0</v>
      </c>
      <c r="AX176" s="1">
        <f t="shared" si="290"/>
        <v>1305907.3225009234</v>
      </c>
      <c r="AY176" s="1">
        <f t="shared" si="291"/>
        <v>124272.82250092062</v>
      </c>
      <c r="AZ176" s="1">
        <f t="shared" si="292"/>
        <v>1181634.5000000028</v>
      </c>
    </row>
    <row r="177" spans="1:52" x14ac:dyDescent="0.25">
      <c r="A177" s="4">
        <v>45840</v>
      </c>
      <c r="B177">
        <f t="shared" ref="B177:N177" si="384">(B727-B726)*100</f>
        <v>-0.99999999999997868</v>
      </c>
      <c r="C177">
        <f t="shared" si="384"/>
        <v>-0.99999999999997868</v>
      </c>
      <c r="D177">
        <f t="shared" si="384"/>
        <v>-0.99999999999997868</v>
      </c>
      <c r="E177">
        <f t="shared" si="384"/>
        <v>-2.0000000000000462</v>
      </c>
      <c r="F177">
        <f t="shared" si="384"/>
        <v>0.99999999999997868</v>
      </c>
      <c r="G177">
        <f t="shared" si="384"/>
        <v>-1.0000000000000231</v>
      </c>
      <c r="H177">
        <f t="shared" si="384"/>
        <v>0</v>
      </c>
      <c r="I177">
        <f t="shared" si="384"/>
        <v>-2.0000000000000018</v>
      </c>
      <c r="J177">
        <f t="shared" si="384"/>
        <v>-3.0000000000000249</v>
      </c>
      <c r="K177">
        <f t="shared" si="384"/>
        <v>-2.9999999999999361</v>
      </c>
      <c r="L177">
        <f t="shared" si="384"/>
        <v>-4.0000000000000036</v>
      </c>
      <c r="M177">
        <f t="shared" si="384"/>
        <v>-4.9999999999999822</v>
      </c>
      <c r="N177">
        <f t="shared" si="384"/>
        <v>-4.0000000000000036</v>
      </c>
      <c r="O177" s="5">
        <f t="shared" si="380"/>
        <v>1.8345762587933821E-5</v>
      </c>
      <c r="P177" s="5">
        <f t="shared" si="380"/>
        <v>-8.4554971564145109E-3</v>
      </c>
      <c r="Q177" s="5">
        <f t="shared" si="380"/>
        <v>-7.311703290835146E-3</v>
      </c>
      <c r="R177" s="5">
        <f t="shared" si="380"/>
        <v>-3.0946711995797193E-3</v>
      </c>
      <c r="S177" s="5">
        <f t="shared" si="380"/>
        <v>1.9947311594540129E-3</v>
      </c>
      <c r="T177" s="5">
        <f t="shared" ref="T177:X177" si="385">LN(T726/T727)</f>
        <v>-1.5571728454567035E-3</v>
      </c>
      <c r="U177" s="5">
        <f t="shared" si="385"/>
        <v>-1.2090204417023629E-3</v>
      </c>
      <c r="V177" s="5">
        <f t="shared" si="385"/>
        <v>-2.7716416630139745E-3</v>
      </c>
      <c r="W177" s="5">
        <f t="shared" si="385"/>
        <v>-7.6337789896911863E-4</v>
      </c>
      <c r="X177" s="5">
        <f t="shared" si="385"/>
        <v>-2.5641066715315244E-3</v>
      </c>
      <c r="Z177" s="4">
        <v>45840</v>
      </c>
      <c r="AA177">
        <f>B177*B$3</f>
        <v>982.99999999997908</v>
      </c>
      <c r="AB177">
        <f>C177*C$3</f>
        <v>2583.999999999945</v>
      </c>
      <c r="AC177">
        <f>D177*D$3</f>
        <v>-16142.999999999656</v>
      </c>
      <c r="AD177">
        <f>E177*E$3</f>
        <v>-4856.0000000001119</v>
      </c>
      <c r="AE177">
        <f>F177*F$3</f>
        <v>-12427.999999999734</v>
      </c>
      <c r="AF177">
        <f>G177*G$3</f>
        <v>15628.00000000036</v>
      </c>
      <c r="AG177">
        <f>H177*H$3</f>
        <v>0</v>
      </c>
      <c r="AH177">
        <f>I177*I$3</f>
        <v>36912.000000000036</v>
      </c>
      <c r="AI177">
        <f>J177*J$3</f>
        <v>153154.50000000128</v>
      </c>
      <c r="AJ177">
        <f>K177*K$3</f>
        <v>235184.99999999499</v>
      </c>
      <c r="AK177">
        <f>L177*L$3</f>
        <v>-124016.00000000012</v>
      </c>
      <c r="AL177">
        <f>M177*M$3</f>
        <v>-160364.99999999942</v>
      </c>
      <c r="AM177">
        <f>N177*N$3</f>
        <v>0</v>
      </c>
      <c r="AN177">
        <f>O177*O$3</f>
        <v>0</v>
      </c>
      <c r="AO177">
        <f>P177*P$3</f>
        <v>42277.485782072552</v>
      </c>
      <c r="AP177">
        <f>Q177*Q$3</f>
        <v>-87740.439490021759</v>
      </c>
      <c r="AQ177">
        <f>R177*R$3</f>
        <v>46420.067993695789</v>
      </c>
      <c r="AR177" s="1">
        <f>S177*S$3</f>
        <v>-13963.118116178091</v>
      </c>
      <c r="AS177" s="1">
        <f t="shared" si="360"/>
        <v>-6228.691381826814</v>
      </c>
      <c r="AT177" s="1">
        <f t="shared" si="360"/>
        <v>-9672.1635336189029</v>
      </c>
      <c r="AU177" s="1">
        <f t="shared" si="360"/>
        <v>0</v>
      </c>
      <c r="AV177" s="1">
        <f t="shared" si="360"/>
        <v>0</v>
      </c>
      <c r="AW177" s="1">
        <f t="shared" si="360"/>
        <v>0</v>
      </c>
      <c r="AX177" s="1">
        <f t="shared" si="290"/>
        <v>97731.641254120346</v>
      </c>
      <c r="AY177" s="1">
        <f t="shared" si="291"/>
        <v>-28906.858745877227</v>
      </c>
      <c r="AZ177" s="1">
        <f t="shared" si="292"/>
        <v>126638.49999999757</v>
      </c>
    </row>
    <row r="178" spans="1:52" x14ac:dyDescent="0.25">
      <c r="A178" s="4">
        <v>45839</v>
      </c>
      <c r="B178">
        <f t="shared" ref="B178:N178" si="386">(B728-B727)*100</f>
        <v>-4.0000000000000036</v>
      </c>
      <c r="C178">
        <f t="shared" si="386"/>
        <v>3.0000000000000249</v>
      </c>
      <c r="D178">
        <f t="shared" si="386"/>
        <v>0.99999999999997868</v>
      </c>
      <c r="E178">
        <f t="shared" si="386"/>
        <v>1.0000000000000675</v>
      </c>
      <c r="F178">
        <f t="shared" si="386"/>
        <v>0</v>
      </c>
      <c r="G178">
        <f t="shared" si="386"/>
        <v>-2.0000000000000018</v>
      </c>
      <c r="H178">
        <f t="shared" si="386"/>
        <v>-5.9999999999999609</v>
      </c>
      <c r="I178">
        <f t="shared" si="386"/>
        <v>-6.999999999999984</v>
      </c>
      <c r="J178">
        <f t="shared" si="386"/>
        <v>-4.9999999999999822</v>
      </c>
      <c r="K178">
        <f t="shared" si="386"/>
        <v>-5.0000000000000266</v>
      </c>
      <c r="L178">
        <f t="shared" si="386"/>
        <v>-1.9999999999999574</v>
      </c>
      <c r="M178">
        <f t="shared" si="386"/>
        <v>0</v>
      </c>
      <c r="N178">
        <f t="shared" si="386"/>
        <v>0</v>
      </c>
      <c r="O178" s="5">
        <f t="shared" si="380"/>
        <v>-1.1001504648439258E-3</v>
      </c>
      <c r="P178" s="5">
        <f t="shared" si="380"/>
        <v>-1.8651656567597985E-2</v>
      </c>
      <c r="Q178" s="5">
        <f t="shared" si="380"/>
        <v>-2.4823997853362814E-3</v>
      </c>
      <c r="R178" s="5">
        <f t="shared" si="380"/>
        <v>5.3513717341725315E-3</v>
      </c>
      <c r="S178" s="5">
        <f t="shared" si="380"/>
        <v>-1.8508596843901379E-3</v>
      </c>
      <c r="T178" s="5">
        <f t="shared" ref="T178:X178" si="387">LN(T727/T728)</f>
        <v>-5.079122744652215E-3</v>
      </c>
      <c r="U178" s="5">
        <f t="shared" si="387"/>
        <v>-7.9602317473597025E-4</v>
      </c>
      <c r="V178" s="5">
        <f t="shared" si="387"/>
        <v>-4.9736693567650142E-3</v>
      </c>
      <c r="W178" s="5">
        <f t="shared" si="387"/>
        <v>-6.8440179197103062E-3</v>
      </c>
      <c r="X178" s="5">
        <f t="shared" si="387"/>
        <v>-6.9517613365438682E-3</v>
      </c>
      <c r="Z178" s="4">
        <v>45839</v>
      </c>
      <c r="AA178">
        <f>B178*B$3</f>
        <v>3932.0000000000036</v>
      </c>
      <c r="AB178">
        <f>C178*C$3</f>
        <v>-7752.0000000000646</v>
      </c>
      <c r="AC178">
        <f>D178*D$3</f>
        <v>16142.999999999656</v>
      </c>
      <c r="AD178">
        <f>E178*E$3</f>
        <v>2428.0000000001637</v>
      </c>
      <c r="AE178">
        <f>F178*F$3</f>
        <v>0</v>
      </c>
      <c r="AF178">
        <f>G178*G$3</f>
        <v>31256.000000000029</v>
      </c>
      <c r="AG178">
        <f>H178*H$3</f>
        <v>169295.99999999889</v>
      </c>
      <c r="AH178">
        <f>I178*I$3</f>
        <v>129191.99999999971</v>
      </c>
      <c r="AI178">
        <f>J178*J$3</f>
        <v>255257.4999999991</v>
      </c>
      <c r="AJ178">
        <f>K178*K$3</f>
        <v>391975.0000000021</v>
      </c>
      <c r="AK178">
        <f>L178*L$3</f>
        <v>-62007.999999998676</v>
      </c>
      <c r="AL178">
        <f>M178*M$3</f>
        <v>0</v>
      </c>
      <c r="AM178">
        <f>N178*N$3</f>
        <v>0</v>
      </c>
      <c r="AN178">
        <f>O178*O$3</f>
        <v>0</v>
      </c>
      <c r="AO178">
        <f>P178*P$3</f>
        <v>93258.282837989929</v>
      </c>
      <c r="AP178">
        <f>Q178*Q$3</f>
        <v>-29788.797424035376</v>
      </c>
      <c r="AQ178">
        <f>R178*R$3</f>
        <v>-80270.576012587975</v>
      </c>
      <c r="AR178" s="1">
        <f>S178*S$3</f>
        <v>12956.017790730966</v>
      </c>
      <c r="AS178" s="1">
        <f t="shared" si="360"/>
        <v>-20316.490978608861</v>
      </c>
      <c r="AT178" s="1">
        <f t="shared" si="360"/>
        <v>-6368.1853978877616</v>
      </c>
      <c r="AU178" s="1">
        <f t="shared" si="360"/>
        <v>0</v>
      </c>
      <c r="AV178" s="1">
        <f t="shared" si="360"/>
        <v>0</v>
      </c>
      <c r="AW178" s="1">
        <f t="shared" si="360"/>
        <v>0</v>
      </c>
      <c r="AX178" s="1">
        <f t="shared" si="290"/>
        <v>899189.75081560179</v>
      </c>
      <c r="AY178" s="1">
        <f t="shared" si="291"/>
        <v>-30529.749184399083</v>
      </c>
      <c r="AZ178" s="1">
        <f t="shared" si="292"/>
        <v>929719.50000000081</v>
      </c>
    </row>
    <row r="179" spans="1:52" x14ac:dyDescent="0.25">
      <c r="A179" s="4">
        <v>45838</v>
      </c>
      <c r="B179">
        <f t="shared" ref="B179:N179" si="388">(B729-B728)*100</f>
        <v>-8.9999999999999858</v>
      </c>
      <c r="C179">
        <f t="shared" si="388"/>
        <v>4.0000000000000036</v>
      </c>
      <c r="D179">
        <f t="shared" si="388"/>
        <v>-2.0000000000000462</v>
      </c>
      <c r="E179">
        <f t="shared" si="388"/>
        <v>0</v>
      </c>
      <c r="F179">
        <f t="shared" si="388"/>
        <v>-3.0000000000000249</v>
      </c>
      <c r="G179">
        <f t="shared" si="388"/>
        <v>1.0000000000000231</v>
      </c>
      <c r="H179">
        <f t="shared" si="388"/>
        <v>0.99999999999997868</v>
      </c>
      <c r="I179">
        <f t="shared" si="388"/>
        <v>4.0000000000000036</v>
      </c>
      <c r="J179">
        <f t="shared" si="388"/>
        <v>4.0000000000000036</v>
      </c>
      <c r="K179">
        <f t="shared" si="388"/>
        <v>5.0000000000000266</v>
      </c>
      <c r="L179">
        <f t="shared" si="388"/>
        <v>4.9999999999999822</v>
      </c>
      <c r="M179">
        <f t="shared" si="388"/>
        <v>5.9999999999999609</v>
      </c>
      <c r="N179">
        <f t="shared" si="388"/>
        <v>6.9999999999999396</v>
      </c>
      <c r="O179" s="5">
        <f t="shared" si="380"/>
        <v>-3.4393213808475097E-3</v>
      </c>
      <c r="P179" s="5">
        <f t="shared" si="380"/>
        <v>0</v>
      </c>
      <c r="Q179" s="5">
        <f t="shared" si="380"/>
        <v>5.4329032427910089E-3</v>
      </c>
      <c r="R179" s="5">
        <f t="shared" si="380"/>
        <v>-2.2567005345927788E-3</v>
      </c>
      <c r="S179" s="5">
        <f t="shared" si="380"/>
        <v>-4.6519995746555857E-3</v>
      </c>
      <c r="T179" s="5">
        <f t="shared" ref="T179:X179" si="389">LN(T728/T729)</f>
        <v>-3.0093924011484049E-3</v>
      </c>
      <c r="U179" s="5">
        <f t="shared" si="389"/>
        <v>3.7042719609349962E-4</v>
      </c>
      <c r="V179" s="5">
        <f t="shared" si="389"/>
        <v>-1.2240334988714513E-3</v>
      </c>
      <c r="W179" s="5">
        <f t="shared" si="389"/>
        <v>2.0011136934811229E-3</v>
      </c>
      <c r="X179" s="5">
        <f t="shared" si="389"/>
        <v>-3.3017887683505763E-3</v>
      </c>
      <c r="Z179" s="4">
        <v>45838</v>
      </c>
      <c r="AA179">
        <f>B179*B$3</f>
        <v>8846.9999999999854</v>
      </c>
      <c r="AB179">
        <f>C179*C$3</f>
        <v>-10336.000000000009</v>
      </c>
      <c r="AC179">
        <f>D179*D$3</f>
        <v>-32286.000000000746</v>
      </c>
      <c r="AD179">
        <f>E179*E$3</f>
        <v>0</v>
      </c>
      <c r="AE179">
        <f>F179*F$3</f>
        <v>37284.000000000306</v>
      </c>
      <c r="AF179">
        <f>G179*G$3</f>
        <v>-15628.00000000036</v>
      </c>
      <c r="AG179">
        <f>H179*H$3</f>
        <v>-28215.9999999994</v>
      </c>
      <c r="AH179">
        <f>I179*I$3</f>
        <v>-73824.000000000073</v>
      </c>
      <c r="AI179">
        <f>J179*J$3</f>
        <v>-204206.00000000017</v>
      </c>
      <c r="AJ179">
        <f>K179*K$3</f>
        <v>-391975.0000000021</v>
      </c>
      <c r="AK179">
        <f>L179*L$3</f>
        <v>155019.99999999945</v>
      </c>
      <c r="AL179">
        <f>M179*M$3</f>
        <v>192437.99999999875</v>
      </c>
      <c r="AM179">
        <f>N179*N$3</f>
        <v>0</v>
      </c>
      <c r="AN179">
        <f>O179*O$3</f>
        <v>0</v>
      </c>
      <c r="AO179">
        <f>P179*P$3</f>
        <v>0</v>
      </c>
      <c r="AP179">
        <f>Q179*Q$3</f>
        <v>65194.838913492109</v>
      </c>
      <c r="AQ179">
        <f>R179*R$3</f>
        <v>33850.508018891684</v>
      </c>
      <c r="AR179" s="1">
        <f>S179*S$3</f>
        <v>32563.997022589101</v>
      </c>
      <c r="AS179" s="1">
        <f t="shared" si="360"/>
        <v>-12037.56960459362</v>
      </c>
      <c r="AT179" s="1">
        <f t="shared" si="360"/>
        <v>2963.4175687479969</v>
      </c>
      <c r="AU179" s="1">
        <f t="shared" si="360"/>
        <v>0</v>
      </c>
      <c r="AV179" s="1">
        <f t="shared" si="360"/>
        <v>0</v>
      </c>
      <c r="AW179" s="1">
        <f t="shared" si="360"/>
        <v>0</v>
      </c>
      <c r="AX179" s="1">
        <f t="shared" si="290"/>
        <v>-240346.80808087718</v>
      </c>
      <c r="AY179" s="1">
        <f t="shared" si="291"/>
        <v>122535.19191912728</v>
      </c>
      <c r="AZ179" s="1">
        <f t="shared" si="292"/>
        <v>-362882.00000000442</v>
      </c>
    </row>
    <row r="180" spans="1:52" x14ac:dyDescent="0.25">
      <c r="A180" s="4">
        <v>45835</v>
      </c>
      <c r="B180">
        <f t="shared" ref="B180:N180" si="390">(B730-B729)*100</f>
        <v>-8.0000000000000071</v>
      </c>
      <c r="C180">
        <f t="shared" si="390"/>
        <v>0</v>
      </c>
      <c r="D180">
        <f t="shared" si="390"/>
        <v>0</v>
      </c>
      <c r="E180">
        <f t="shared" si="390"/>
        <v>0</v>
      </c>
      <c r="F180">
        <f t="shared" si="390"/>
        <v>0</v>
      </c>
      <c r="G180">
        <f t="shared" si="390"/>
        <v>-1.0000000000000231</v>
      </c>
      <c r="H180">
        <f t="shared" si="390"/>
        <v>-2.9999999999999805</v>
      </c>
      <c r="I180">
        <f t="shared" si="390"/>
        <v>-4.0000000000000036</v>
      </c>
      <c r="J180">
        <f t="shared" si="390"/>
        <v>-4.0000000000000036</v>
      </c>
      <c r="K180">
        <f t="shared" si="390"/>
        <v>-3.0000000000000249</v>
      </c>
      <c r="L180">
        <f t="shared" si="390"/>
        <v>-3.0000000000000249</v>
      </c>
      <c r="M180">
        <f t="shared" si="390"/>
        <v>-4.0000000000000036</v>
      </c>
      <c r="N180">
        <f t="shared" si="390"/>
        <v>-4.0000000000000036</v>
      </c>
      <c r="O180" s="5">
        <f t="shared" si="380"/>
        <v>-7.0247245139910836E-3</v>
      </c>
      <c r="P180" s="5">
        <f t="shared" si="380"/>
        <v>1.5229967677130181E-2</v>
      </c>
      <c r="Q180" s="5">
        <f t="shared" si="380"/>
        <v>-6.0205006806791569E-3</v>
      </c>
      <c r="R180" s="5">
        <f t="shared" si="380"/>
        <v>2.8180921702627179E-4</v>
      </c>
      <c r="S180" s="5">
        <f t="shared" si="380"/>
        <v>-4.9847277461810796E-4</v>
      </c>
      <c r="T180" s="5">
        <f t="shared" ref="T180:X180" si="391">LN(T729/T730)</f>
        <v>-7.2466080912836925E-4</v>
      </c>
      <c r="U180" s="5">
        <f t="shared" si="391"/>
        <v>-2.3989145520633506E-3</v>
      </c>
      <c r="V180" s="5">
        <f t="shared" si="391"/>
        <v>-1.4503328438459275E-3</v>
      </c>
      <c r="W180" s="5">
        <f t="shared" si="391"/>
        <v>-3.5483487149868664E-3</v>
      </c>
      <c r="X180" s="5">
        <f t="shared" si="391"/>
        <v>-3.5397606974365207E-3</v>
      </c>
      <c r="Z180" s="4">
        <v>45835</v>
      </c>
      <c r="AA180">
        <f>B180*B$3</f>
        <v>7864.0000000000073</v>
      </c>
      <c r="AB180">
        <f>C180*C$3</f>
        <v>0</v>
      </c>
      <c r="AC180">
        <f>D180*D$3</f>
        <v>0</v>
      </c>
      <c r="AD180">
        <f>E180*E$3</f>
        <v>0</v>
      </c>
      <c r="AE180">
        <f>F180*F$3</f>
        <v>0</v>
      </c>
      <c r="AF180">
        <f>G180*G$3</f>
        <v>15628.00000000036</v>
      </c>
      <c r="AG180">
        <f>H180*H$3</f>
        <v>84647.999999999447</v>
      </c>
      <c r="AH180">
        <f>I180*I$3</f>
        <v>73824.000000000073</v>
      </c>
      <c r="AI180">
        <f>J180*J$3</f>
        <v>204206.00000000017</v>
      </c>
      <c r="AJ180">
        <f>K180*K$3</f>
        <v>235185.00000000195</v>
      </c>
      <c r="AK180">
        <f>L180*L$3</f>
        <v>-93012.000000000771</v>
      </c>
      <c r="AL180">
        <f>M180*M$3</f>
        <v>-128292.00000000012</v>
      </c>
      <c r="AM180">
        <f>N180*N$3</f>
        <v>0</v>
      </c>
      <c r="AN180">
        <f>O180*O$3</f>
        <v>0</v>
      </c>
      <c r="AO180">
        <f>P180*P$3</f>
        <v>-76149.838385650903</v>
      </c>
      <c r="AP180">
        <f>Q180*Q$3</f>
        <v>-72246.008168149885</v>
      </c>
      <c r="AQ180">
        <f>R180*R$3</f>
        <v>-4227.1382553940766</v>
      </c>
      <c r="AR180" s="1">
        <f>S180*S$3</f>
        <v>3489.3094223267558</v>
      </c>
      <c r="AS180" s="1">
        <f t="shared" si="360"/>
        <v>-2898.6432365134769</v>
      </c>
      <c r="AT180" s="1">
        <f t="shared" si="360"/>
        <v>-19191.316416506805</v>
      </c>
      <c r="AU180" s="1">
        <f t="shared" si="360"/>
        <v>0</v>
      </c>
      <c r="AV180" s="1">
        <f t="shared" si="360"/>
        <v>0</v>
      </c>
      <c r="AW180" s="1">
        <f t="shared" si="360"/>
        <v>0</v>
      </c>
      <c r="AX180" s="1">
        <f t="shared" si="290"/>
        <v>228827.3649601127</v>
      </c>
      <c r="AY180" s="1">
        <f t="shared" si="291"/>
        <v>-171223.63503988838</v>
      </c>
      <c r="AZ180" s="1">
        <f t="shared" si="292"/>
        <v>400051.00000000105</v>
      </c>
    </row>
    <row r="181" spans="1:52" x14ac:dyDescent="0.25">
      <c r="A181" s="4">
        <v>45834</v>
      </c>
      <c r="B181">
        <f t="shared" ref="B181:N181" si="392">(B731-B730)*100</f>
        <v>9.9999999999999645</v>
      </c>
      <c r="C181">
        <f t="shared" si="392"/>
        <v>-6.0000000000000497</v>
      </c>
      <c r="D181">
        <f t="shared" si="392"/>
        <v>-0.99999999999997868</v>
      </c>
      <c r="E181">
        <f t="shared" si="392"/>
        <v>0</v>
      </c>
      <c r="F181">
        <f t="shared" si="392"/>
        <v>0</v>
      </c>
      <c r="G181">
        <f t="shared" si="392"/>
        <v>3.0000000000000249</v>
      </c>
      <c r="H181">
        <f t="shared" si="392"/>
        <v>4.0000000000000036</v>
      </c>
      <c r="I181">
        <f t="shared" si="392"/>
        <v>6.0000000000000053</v>
      </c>
      <c r="J181">
        <f t="shared" si="392"/>
        <v>4.0000000000000036</v>
      </c>
      <c r="K181">
        <f t="shared" si="392"/>
        <v>4.9999999999999822</v>
      </c>
      <c r="L181">
        <f t="shared" si="392"/>
        <v>3.0000000000000249</v>
      </c>
      <c r="M181">
        <f t="shared" si="392"/>
        <v>2.0000000000000462</v>
      </c>
      <c r="N181">
        <f t="shared" si="392"/>
        <v>2.0000000000000462</v>
      </c>
      <c r="O181" s="5">
        <f t="shared" si="380"/>
        <v>-5.1010366927130351E-3</v>
      </c>
      <c r="P181" s="5">
        <f t="shared" si="380"/>
        <v>-4.9358185833619818E-3</v>
      </c>
      <c r="Q181" s="5">
        <f t="shared" si="380"/>
        <v>-1.707413790245972E-3</v>
      </c>
      <c r="R181" s="5">
        <f t="shared" si="380"/>
        <v>-6.4616041649783428E-3</v>
      </c>
      <c r="S181" s="5">
        <f t="shared" si="380"/>
        <v>-3.2868737364364405E-3</v>
      </c>
      <c r="T181" s="5">
        <f t="shared" ref="T181:X181" si="393">LN(T730/T731)</f>
        <v>-6.1384616761332618E-3</v>
      </c>
      <c r="U181" s="5">
        <f t="shared" si="393"/>
        <v>-5.6388321245574875E-3</v>
      </c>
      <c r="V181" s="5">
        <f t="shared" si="393"/>
        <v>-3.6564956029574904E-4</v>
      </c>
      <c r="W181" s="5">
        <f t="shared" si="393"/>
        <v>-4.1654731903934894E-3</v>
      </c>
      <c r="X181" s="5">
        <f t="shared" si="393"/>
        <v>-1.7651556807252251E-3</v>
      </c>
      <c r="Z181" s="4">
        <v>45834</v>
      </c>
      <c r="AA181">
        <f>B181*B$3</f>
        <v>-9829.9999999999654</v>
      </c>
      <c r="AB181">
        <f>C181*C$3</f>
        <v>15504.000000000129</v>
      </c>
      <c r="AC181">
        <f>D181*D$3</f>
        <v>-16142.999999999656</v>
      </c>
      <c r="AD181">
        <f>E181*E$3</f>
        <v>0</v>
      </c>
      <c r="AE181">
        <f>F181*F$3</f>
        <v>0</v>
      </c>
      <c r="AF181">
        <f>G181*G$3</f>
        <v>-46884.000000000386</v>
      </c>
      <c r="AG181">
        <f>H181*H$3</f>
        <v>-112864.0000000001</v>
      </c>
      <c r="AH181">
        <f>I181*I$3</f>
        <v>-110736.0000000001</v>
      </c>
      <c r="AI181">
        <f>J181*J$3</f>
        <v>-204206.00000000017</v>
      </c>
      <c r="AJ181">
        <f>K181*K$3</f>
        <v>-391974.9999999986</v>
      </c>
      <c r="AK181">
        <f>L181*L$3</f>
        <v>93012.000000000771</v>
      </c>
      <c r="AL181">
        <f>M181*M$3</f>
        <v>64146.000000001484</v>
      </c>
      <c r="AM181">
        <f>N181*N$3</f>
        <v>0</v>
      </c>
      <c r="AN181">
        <f>O181*O$3</f>
        <v>0</v>
      </c>
      <c r="AO181">
        <f>P181*P$3</f>
        <v>24679.09291680991</v>
      </c>
      <c r="AP181">
        <f>Q181*Q$3</f>
        <v>-20488.965482951666</v>
      </c>
      <c r="AQ181">
        <f>R181*R$3</f>
        <v>96924.062474675142</v>
      </c>
      <c r="AR181" s="1">
        <f>S181*S$3</f>
        <v>23008.116155055082</v>
      </c>
      <c r="AS181" s="1">
        <f t="shared" ref="AS181:AW196" si="394">T181*T$3</f>
        <v>-24553.846704533047</v>
      </c>
      <c r="AT181" s="1">
        <f t="shared" si="394"/>
        <v>-45110.656996459897</v>
      </c>
      <c r="AU181" s="1">
        <f t="shared" si="394"/>
        <v>0</v>
      </c>
      <c r="AV181" s="1">
        <f t="shared" si="394"/>
        <v>0</v>
      </c>
      <c r="AW181" s="1">
        <f t="shared" si="394"/>
        <v>0</v>
      </c>
      <c r="AX181" s="1">
        <f t="shared" si="290"/>
        <v>-665518.19763740094</v>
      </c>
      <c r="AY181" s="1">
        <f t="shared" si="291"/>
        <v>54457.802362595532</v>
      </c>
      <c r="AZ181" s="1">
        <f t="shared" si="292"/>
        <v>-719975.99999999651</v>
      </c>
    </row>
    <row r="182" spans="1:52" x14ac:dyDescent="0.25">
      <c r="A182" s="4">
        <v>45833</v>
      </c>
      <c r="B182">
        <f t="shared" ref="B182:N182" si="395">(B732-B731)*100</f>
        <v>0</v>
      </c>
      <c r="C182">
        <f t="shared" si="395"/>
        <v>1.0000000000000675</v>
      </c>
      <c r="D182">
        <f t="shared" si="395"/>
        <v>0</v>
      </c>
      <c r="E182">
        <f t="shared" si="395"/>
        <v>0.99999999999997868</v>
      </c>
      <c r="F182">
        <f t="shared" si="395"/>
        <v>0.99999999999997868</v>
      </c>
      <c r="G182">
        <f t="shared" si="395"/>
        <v>0</v>
      </c>
      <c r="H182">
        <f t="shared" si="395"/>
        <v>0.99999999999997868</v>
      </c>
      <c r="I182">
        <f t="shared" si="395"/>
        <v>0.99999999999997868</v>
      </c>
      <c r="J182">
        <f t="shared" si="395"/>
        <v>2.9999999999999805</v>
      </c>
      <c r="K182">
        <f t="shared" si="395"/>
        <v>0.99999999999997868</v>
      </c>
      <c r="L182">
        <f t="shared" si="395"/>
        <v>0.99999999999997868</v>
      </c>
      <c r="M182">
        <f t="shared" si="395"/>
        <v>0</v>
      </c>
      <c r="N182">
        <f t="shared" si="395"/>
        <v>0</v>
      </c>
      <c r="O182" s="5">
        <f t="shared" si="380"/>
        <v>8.8620447871256541E-3</v>
      </c>
      <c r="P182" s="5">
        <f t="shared" si="380"/>
        <v>-4.548763202077386E-3</v>
      </c>
      <c r="Q182" s="5">
        <f t="shared" si="380"/>
        <v>-1.2997720125429345E-2</v>
      </c>
      <c r="R182" s="5">
        <f t="shared" si="380"/>
        <v>-1.9583164742158782E-3</v>
      </c>
      <c r="S182" s="5">
        <f t="shared" si="380"/>
        <v>-3.6183955042844466E-3</v>
      </c>
      <c r="T182" s="5">
        <f t="shared" ref="T182:X182" si="396">LN(T731/T732)</f>
        <v>-1.1372788709154351E-3</v>
      </c>
      <c r="U182" s="5">
        <f t="shared" si="396"/>
        <v>-5.1196424692659002E-3</v>
      </c>
      <c r="V182" s="5">
        <f t="shared" si="396"/>
        <v>-6.6761549536172903E-3</v>
      </c>
      <c r="W182" s="5">
        <f t="shared" si="396"/>
        <v>-2.8055156354241952E-3</v>
      </c>
      <c r="X182" s="5">
        <f t="shared" si="396"/>
        <v>-9.1857966585490204E-3</v>
      </c>
      <c r="Z182" s="4">
        <v>45833</v>
      </c>
      <c r="AA182">
        <f>B182*B$3</f>
        <v>0</v>
      </c>
      <c r="AB182">
        <f>C182*C$3</f>
        <v>-2584.0000000001746</v>
      </c>
      <c r="AC182">
        <f>D182*D$3</f>
        <v>0</v>
      </c>
      <c r="AD182">
        <f>E182*E$3</f>
        <v>2427.9999999999482</v>
      </c>
      <c r="AE182">
        <f>F182*F$3</f>
        <v>-12427.999999999734</v>
      </c>
      <c r="AF182">
        <f>G182*G$3</f>
        <v>0</v>
      </c>
      <c r="AG182">
        <f>H182*H$3</f>
        <v>-28215.9999999994</v>
      </c>
      <c r="AH182">
        <f>I182*I$3</f>
        <v>-18455.999999999607</v>
      </c>
      <c r="AI182">
        <f>J182*J$3</f>
        <v>-153154.49999999901</v>
      </c>
      <c r="AJ182">
        <f>K182*K$3</f>
        <v>-78394.999999998327</v>
      </c>
      <c r="AK182">
        <f>L182*L$3</f>
        <v>31003.999999999338</v>
      </c>
      <c r="AL182">
        <f>M182*M$3</f>
        <v>0</v>
      </c>
      <c r="AM182">
        <f>N182*N$3</f>
        <v>0</v>
      </c>
      <c r="AN182">
        <f>O182*O$3</f>
        <v>0</v>
      </c>
      <c r="AO182">
        <f>P182*P$3</f>
        <v>22743.81601038693</v>
      </c>
      <c r="AP182">
        <f>Q182*Q$3</f>
        <v>-155972.64150515213</v>
      </c>
      <c r="AQ182">
        <f>R182*R$3</f>
        <v>29374.747113238172</v>
      </c>
      <c r="AR182" s="1">
        <f>S182*S$3</f>
        <v>25328.768529991125</v>
      </c>
      <c r="AS182" s="1">
        <f t="shared" si="394"/>
        <v>-4549.1154836617407</v>
      </c>
      <c r="AT182" s="1">
        <f t="shared" si="394"/>
        <v>-40957.139754127202</v>
      </c>
      <c r="AU182" s="1">
        <f t="shared" si="394"/>
        <v>0</v>
      </c>
      <c r="AV182" s="1">
        <f t="shared" si="394"/>
        <v>0</v>
      </c>
      <c r="AW182" s="1">
        <f t="shared" si="394"/>
        <v>0</v>
      </c>
      <c r="AX182" s="1">
        <f t="shared" si="290"/>
        <v>-383833.06508932187</v>
      </c>
      <c r="AY182" s="1">
        <f t="shared" si="291"/>
        <v>-124031.56508932482</v>
      </c>
      <c r="AZ182" s="1">
        <f t="shared" si="292"/>
        <v>-259801.49999999703</v>
      </c>
    </row>
    <row r="183" spans="1:52" x14ac:dyDescent="0.25">
      <c r="A183" s="4">
        <v>45832</v>
      </c>
      <c r="B183">
        <f t="shared" ref="B183:N183" si="397">(B733-B732)*100</f>
        <v>-0.99999999999997868</v>
      </c>
      <c r="C183">
        <f t="shared" si="397"/>
        <v>7.9999999999999183</v>
      </c>
      <c r="D183">
        <f t="shared" si="397"/>
        <v>0</v>
      </c>
      <c r="E183">
        <f t="shared" si="397"/>
        <v>0</v>
      </c>
      <c r="F183">
        <f t="shared" si="397"/>
        <v>1.0000000000000675</v>
      </c>
      <c r="G183">
        <f t="shared" si="397"/>
        <v>0.99999999999997868</v>
      </c>
      <c r="H183">
        <f t="shared" si="397"/>
        <v>8.9999999999999858</v>
      </c>
      <c r="I183">
        <f t="shared" si="397"/>
        <v>4.9999999999999822</v>
      </c>
      <c r="J183">
        <f t="shared" si="397"/>
        <v>5.0000000000000266</v>
      </c>
      <c r="K183">
        <f t="shared" si="397"/>
        <v>4.0000000000000036</v>
      </c>
      <c r="L183">
        <f t="shared" si="397"/>
        <v>4.0000000000000036</v>
      </c>
      <c r="M183">
        <f t="shared" si="397"/>
        <v>4.0000000000000036</v>
      </c>
      <c r="N183">
        <f t="shared" si="397"/>
        <v>4.0000000000000036</v>
      </c>
      <c r="O183" s="5">
        <f t="shared" si="380"/>
        <v>-4.9934281431089607E-3</v>
      </c>
      <c r="P183" s="5">
        <f t="shared" si="380"/>
        <v>-3.7932134805997502E-3</v>
      </c>
      <c r="Q183" s="5">
        <f t="shared" si="380"/>
        <v>3.299619795402769E-3</v>
      </c>
      <c r="R183" s="5">
        <f t="shared" si="380"/>
        <v>-3.3482174136600595E-3</v>
      </c>
      <c r="S183" s="5">
        <f t="shared" si="380"/>
        <v>-7.9867644640863929E-3</v>
      </c>
      <c r="T183" s="5">
        <f t="shared" ref="T183:X183" si="398">LN(T732/T733)</f>
        <v>-8.5006880324839367E-3</v>
      </c>
      <c r="U183" s="5">
        <f t="shared" si="398"/>
        <v>-8.1079035521664736E-3</v>
      </c>
      <c r="V183" s="5">
        <f t="shared" si="398"/>
        <v>-2.0263791287308793E-3</v>
      </c>
      <c r="W183" s="5">
        <f t="shared" si="398"/>
        <v>-4.8118217955694818E-3</v>
      </c>
      <c r="X183" s="5">
        <f t="shared" si="398"/>
        <v>-6.3422805378424022E-3</v>
      </c>
      <c r="Z183" s="4">
        <v>45832</v>
      </c>
      <c r="AA183">
        <f>B183*B$3</f>
        <v>982.99999999997908</v>
      </c>
      <c r="AB183">
        <f>C183*C$3</f>
        <v>-20671.999999999789</v>
      </c>
      <c r="AC183">
        <f>D183*D$3</f>
        <v>0</v>
      </c>
      <c r="AD183">
        <f>E183*E$3</f>
        <v>0</v>
      </c>
      <c r="AE183">
        <f>F183*F$3</f>
        <v>-12428.000000000839</v>
      </c>
      <c r="AF183">
        <f>G183*G$3</f>
        <v>-15627.999999999667</v>
      </c>
      <c r="AG183">
        <f>H183*H$3</f>
        <v>-253943.99999999959</v>
      </c>
      <c r="AH183">
        <f>I183*I$3</f>
        <v>-92279.999999999665</v>
      </c>
      <c r="AI183">
        <f>J183*J$3</f>
        <v>-255257.50000000137</v>
      </c>
      <c r="AJ183">
        <f>K183*K$3</f>
        <v>-313580.00000000029</v>
      </c>
      <c r="AK183">
        <f>L183*L$3</f>
        <v>124016.00000000012</v>
      </c>
      <c r="AL183">
        <f>M183*M$3</f>
        <v>128292.00000000012</v>
      </c>
      <c r="AM183">
        <f>N183*N$3</f>
        <v>0</v>
      </c>
      <c r="AN183">
        <f>O183*O$3</f>
        <v>0</v>
      </c>
      <c r="AO183">
        <f>P183*P$3</f>
        <v>18966.067402998749</v>
      </c>
      <c r="AP183">
        <f>Q183*Q$3</f>
        <v>39595.437544833228</v>
      </c>
      <c r="AQ183">
        <f>R183*R$3</f>
        <v>50223.261204900889</v>
      </c>
      <c r="AR183" s="1">
        <f>S183*S$3</f>
        <v>55907.351248604748</v>
      </c>
      <c r="AS183" s="1">
        <f t="shared" si="394"/>
        <v>-34002.752129935747</v>
      </c>
      <c r="AT183" s="1">
        <f t="shared" si="394"/>
        <v>-64863.228417331789</v>
      </c>
      <c r="AU183" s="1">
        <f t="shared" si="394"/>
        <v>0</v>
      </c>
      <c r="AV183" s="1">
        <f t="shared" si="394"/>
        <v>0</v>
      </c>
      <c r="AW183" s="1">
        <f t="shared" si="394"/>
        <v>0</v>
      </c>
      <c r="AX183" s="1">
        <f t="shared" si="290"/>
        <v>-644672.36314593081</v>
      </c>
      <c r="AY183" s="1">
        <f t="shared" si="291"/>
        <v>65826.136854070064</v>
      </c>
      <c r="AZ183" s="1">
        <f t="shared" si="292"/>
        <v>-710498.50000000093</v>
      </c>
    </row>
    <row r="184" spans="1:52" x14ac:dyDescent="0.25">
      <c r="A184" s="4">
        <v>45831</v>
      </c>
      <c r="B184">
        <f t="shared" ref="B184:N184" si="399">(B734-B733)*100</f>
        <v>0</v>
      </c>
      <c r="C184">
        <f t="shared" si="399"/>
        <v>3.0000000000000249</v>
      </c>
      <c r="D184">
        <f t="shared" si="399"/>
        <v>0.99999999999997868</v>
      </c>
      <c r="E184">
        <f t="shared" si="399"/>
        <v>3.0000000000000249</v>
      </c>
      <c r="F184">
        <f t="shared" si="399"/>
        <v>0.99999999999997868</v>
      </c>
      <c r="G184">
        <f t="shared" si="399"/>
        <v>7.0000000000000284</v>
      </c>
      <c r="H184">
        <f t="shared" si="399"/>
        <v>6.0000000000000053</v>
      </c>
      <c r="I184">
        <f t="shared" si="399"/>
        <v>6.0000000000000053</v>
      </c>
      <c r="J184">
        <f t="shared" si="399"/>
        <v>4.9999999999999822</v>
      </c>
      <c r="K184">
        <f t="shared" si="399"/>
        <v>6.0000000000000497</v>
      </c>
      <c r="L184">
        <f t="shared" si="399"/>
        <v>4.0000000000000036</v>
      </c>
      <c r="M184">
        <f t="shared" si="399"/>
        <v>3.0000000000000249</v>
      </c>
      <c r="N184">
        <f t="shared" si="399"/>
        <v>1.9999999999999574</v>
      </c>
      <c r="O184" s="5">
        <f t="shared" si="380"/>
        <v>4.6476246470476624E-3</v>
      </c>
      <c r="P184" s="5">
        <f t="shared" si="380"/>
        <v>0</v>
      </c>
      <c r="Q184" s="5">
        <f t="shared" si="380"/>
        <v>3.8828015497196985E-3</v>
      </c>
      <c r="R184" s="5">
        <f t="shared" si="380"/>
        <v>-2.781642961876914E-3</v>
      </c>
      <c r="S184" s="5">
        <f t="shared" si="380"/>
        <v>-1.2006182015182568E-3</v>
      </c>
      <c r="T184" s="5">
        <f t="shared" ref="T184:X184" si="400">LN(T733/T734)</f>
        <v>1.03557374658256E-3</v>
      </c>
      <c r="U184" s="5">
        <f t="shared" si="400"/>
        <v>3.0277285943554463E-3</v>
      </c>
      <c r="V184" s="5">
        <f t="shared" si="400"/>
        <v>6.9036082303249912E-3</v>
      </c>
      <c r="W184" s="5">
        <f t="shared" si="400"/>
        <v>6.5064738802485629E-3</v>
      </c>
      <c r="X184" s="5">
        <f t="shared" si="400"/>
        <v>1.6644834974295793E-3</v>
      </c>
      <c r="Z184" s="4">
        <v>45831</v>
      </c>
      <c r="AA184">
        <f>B184*B$3</f>
        <v>0</v>
      </c>
      <c r="AB184">
        <f>C184*C$3</f>
        <v>-7752.0000000000646</v>
      </c>
      <c r="AC184">
        <f>D184*D$3</f>
        <v>16142.999999999656</v>
      </c>
      <c r="AD184">
        <f>E184*E$3</f>
        <v>7284.00000000006</v>
      </c>
      <c r="AE184">
        <f>F184*F$3</f>
        <v>-12427.999999999734</v>
      </c>
      <c r="AF184">
        <f>G184*G$3</f>
        <v>-109396.00000000045</v>
      </c>
      <c r="AG184">
        <f>H184*H$3</f>
        <v>-169296.00000000015</v>
      </c>
      <c r="AH184">
        <f>I184*I$3</f>
        <v>-110736.0000000001</v>
      </c>
      <c r="AI184">
        <f>J184*J$3</f>
        <v>-255257.4999999991</v>
      </c>
      <c r="AJ184">
        <f>K184*K$3</f>
        <v>-470370.0000000039</v>
      </c>
      <c r="AK184">
        <f>L184*L$3</f>
        <v>124016.00000000012</v>
      </c>
      <c r="AL184">
        <f>M184*M$3</f>
        <v>96219.0000000008</v>
      </c>
      <c r="AM184">
        <f>N184*N$3</f>
        <v>0</v>
      </c>
      <c r="AN184">
        <f>O184*O$3</f>
        <v>0</v>
      </c>
      <c r="AO184">
        <f>P184*P$3</f>
        <v>0</v>
      </c>
      <c r="AP184">
        <f>Q184*Q$3</f>
        <v>46593.618596636385</v>
      </c>
      <c r="AQ184">
        <f>R184*R$3</f>
        <v>41724.644428153711</v>
      </c>
      <c r="AR184" s="1">
        <f>S184*S$3</f>
        <v>8404.3274106277968</v>
      </c>
      <c r="AS184" s="1">
        <f t="shared" si="394"/>
        <v>4142.2949863302401</v>
      </c>
      <c r="AT184" s="1">
        <f t="shared" si="394"/>
        <v>24221.828754843569</v>
      </c>
      <c r="AU184" s="1">
        <f t="shared" si="394"/>
        <v>0</v>
      </c>
      <c r="AV184" s="1">
        <f t="shared" si="394"/>
        <v>0</v>
      </c>
      <c r="AW184" s="1">
        <f t="shared" si="394"/>
        <v>0</v>
      </c>
      <c r="AX184" s="1">
        <f t="shared" si="290"/>
        <v>-766486.78582341119</v>
      </c>
      <c r="AY184" s="1">
        <f t="shared" si="291"/>
        <v>125086.71417659169</v>
      </c>
      <c r="AZ184" s="1">
        <f t="shared" si="292"/>
        <v>-891573.50000000291</v>
      </c>
    </row>
    <row r="185" spans="1:52" x14ac:dyDescent="0.25">
      <c r="A185" s="4">
        <v>45828</v>
      </c>
      <c r="B185">
        <f t="shared" ref="B185:N185" si="401">(B735-B734)*100</f>
        <v>0</v>
      </c>
      <c r="C185">
        <f t="shared" si="401"/>
        <v>3.0000000000000249</v>
      </c>
      <c r="D185">
        <f t="shared" si="401"/>
        <v>3.0000000000000249</v>
      </c>
      <c r="E185">
        <f t="shared" si="401"/>
        <v>0.99999999999997868</v>
      </c>
      <c r="F185">
        <f t="shared" si="401"/>
        <v>4.0000000000000036</v>
      </c>
      <c r="G185">
        <f t="shared" si="401"/>
        <v>2.9999999999999361</v>
      </c>
      <c r="H185">
        <f t="shared" si="401"/>
        <v>4.0000000000000036</v>
      </c>
      <c r="I185">
        <f t="shared" si="401"/>
        <v>3.0000000000000249</v>
      </c>
      <c r="J185">
        <f t="shared" si="401"/>
        <v>2.0000000000000018</v>
      </c>
      <c r="K185">
        <f t="shared" si="401"/>
        <v>0.99999999999997868</v>
      </c>
      <c r="L185">
        <f t="shared" si="401"/>
        <v>0</v>
      </c>
      <c r="M185">
        <f t="shared" si="401"/>
        <v>-1.0000000000000675</v>
      </c>
      <c r="N185">
        <f t="shared" si="401"/>
        <v>-0.99999999999997868</v>
      </c>
      <c r="O185" s="5">
        <f t="shared" ref="O185:S194" si="402">LN(O734/O735)</f>
        <v>1.4203771849870938E-3</v>
      </c>
      <c r="P185" s="5">
        <f t="shared" si="402"/>
        <v>6.2481060845228694E-3</v>
      </c>
      <c r="Q185" s="5">
        <f t="shared" si="402"/>
        <v>4.3236994029770479E-3</v>
      </c>
      <c r="R185" s="5">
        <f t="shared" si="402"/>
        <v>6.1298603755370095E-3</v>
      </c>
      <c r="S185" s="5">
        <f t="shared" si="402"/>
        <v>6.9522160040712717E-3</v>
      </c>
      <c r="T185" s="5">
        <f t="shared" ref="T185:X185" si="403">LN(T734/T735)</f>
        <v>-2.6214696499035923E-3</v>
      </c>
      <c r="U185" s="5">
        <f t="shared" si="403"/>
        <v>-3.4710027156246012E-3</v>
      </c>
      <c r="V185" s="5">
        <f t="shared" si="403"/>
        <v>-1.0874606578473163E-3</v>
      </c>
      <c r="W185" s="5">
        <f t="shared" si="403"/>
        <v>-1.3862696648512523E-3</v>
      </c>
      <c r="X185" s="5">
        <f t="shared" si="403"/>
        <v>-5.8777687849056136E-4</v>
      </c>
      <c r="Z185" s="4">
        <v>45828</v>
      </c>
      <c r="AA185">
        <f>B185*B$3</f>
        <v>0</v>
      </c>
      <c r="AB185">
        <f>C185*C$3</f>
        <v>-7752.0000000000646</v>
      </c>
      <c r="AC185">
        <f>D185*D$3</f>
        <v>48429.0000000004</v>
      </c>
      <c r="AD185">
        <f>E185*E$3</f>
        <v>2427.9999999999482</v>
      </c>
      <c r="AE185">
        <f>F185*F$3</f>
        <v>-49712.000000000044</v>
      </c>
      <c r="AF185">
        <f>G185*G$3</f>
        <v>-46883.999999999003</v>
      </c>
      <c r="AG185">
        <f>H185*H$3</f>
        <v>-112864.0000000001</v>
      </c>
      <c r="AH185">
        <f>I185*I$3</f>
        <v>-55368.000000000458</v>
      </c>
      <c r="AI185">
        <f>J185*J$3</f>
        <v>-102103.00000000009</v>
      </c>
      <c r="AJ185">
        <f>K185*K$3</f>
        <v>-78394.999999998327</v>
      </c>
      <c r="AK185">
        <f>L185*L$3</f>
        <v>0</v>
      </c>
      <c r="AL185">
        <f>M185*M$3</f>
        <v>-32073.000000002165</v>
      </c>
      <c r="AM185">
        <f>N185*N$3</f>
        <v>0</v>
      </c>
      <c r="AN185">
        <f>O185*O$3</f>
        <v>0</v>
      </c>
      <c r="AO185">
        <f>P185*P$3</f>
        <v>-31240.530422614345</v>
      </c>
      <c r="AP185">
        <f>Q185*Q$3</f>
        <v>51884.392835724575</v>
      </c>
      <c r="AQ185">
        <f>R185*R$3</f>
        <v>-91947.905633055139</v>
      </c>
      <c r="AR185" s="1">
        <f>S185*S$3</f>
        <v>-48665.512028498903</v>
      </c>
      <c r="AS185" s="1">
        <f t="shared" si="394"/>
        <v>-10485.878599614369</v>
      </c>
      <c r="AT185" s="1">
        <f t="shared" si="394"/>
        <v>-27768.021724996808</v>
      </c>
      <c r="AU185" s="1">
        <f t="shared" si="394"/>
        <v>0</v>
      </c>
      <c r="AV185" s="1">
        <f t="shared" si="394"/>
        <v>0</v>
      </c>
      <c r="AW185" s="1">
        <f t="shared" si="394"/>
        <v>0</v>
      </c>
      <c r="AX185" s="1">
        <f t="shared" si="290"/>
        <v>-592517.45557305496</v>
      </c>
      <c r="AY185" s="1">
        <f t="shared" si="291"/>
        <v>-158223.45557305499</v>
      </c>
      <c r="AZ185" s="1">
        <f t="shared" si="292"/>
        <v>-434294</v>
      </c>
    </row>
    <row r="186" spans="1:52" x14ac:dyDescent="0.25">
      <c r="A186" s="4">
        <v>45826</v>
      </c>
      <c r="B186">
        <f t="shared" ref="B186:N186" si="404">(B736-B735)*100</f>
        <v>3.0000000000000249</v>
      </c>
      <c r="C186">
        <f t="shared" si="404"/>
        <v>-12.000000000000011</v>
      </c>
      <c r="D186">
        <f t="shared" si="404"/>
        <v>0</v>
      </c>
      <c r="E186">
        <f t="shared" si="404"/>
        <v>-2.0000000000000462</v>
      </c>
      <c r="F186">
        <f t="shared" si="404"/>
        <v>-2.0000000000000462</v>
      </c>
      <c r="G186">
        <f t="shared" si="404"/>
        <v>0</v>
      </c>
      <c r="H186">
        <f t="shared" si="404"/>
        <v>0</v>
      </c>
      <c r="I186">
        <f t="shared" si="404"/>
        <v>0.99999999999997868</v>
      </c>
      <c r="J186">
        <f t="shared" si="404"/>
        <v>1.0000000000000231</v>
      </c>
      <c r="K186">
        <f t="shared" si="404"/>
        <v>0</v>
      </c>
      <c r="L186">
        <f t="shared" si="404"/>
        <v>0.99999999999997868</v>
      </c>
      <c r="M186">
        <f t="shared" si="404"/>
        <v>0</v>
      </c>
      <c r="N186">
        <f t="shared" si="404"/>
        <v>0</v>
      </c>
      <c r="O186" s="5">
        <f t="shared" si="402"/>
        <v>1.9334956682883929E-3</v>
      </c>
      <c r="P186" s="5">
        <f t="shared" si="402"/>
        <v>-7.956465255347241E-3</v>
      </c>
      <c r="Q186" s="5">
        <f t="shared" si="402"/>
        <v>4.3531677172806782E-3</v>
      </c>
      <c r="R186" s="5">
        <f t="shared" si="402"/>
        <v>-8.9037872582621389E-3</v>
      </c>
      <c r="S186" s="5">
        <f t="shared" si="402"/>
        <v>1.1038108873689355E-3</v>
      </c>
      <c r="T186" s="5">
        <f t="shared" ref="T186:X186" si="405">LN(T735/T736)</f>
        <v>5.9657652601484033E-3</v>
      </c>
      <c r="U186" s="5">
        <f t="shared" si="405"/>
        <v>1.0042231736887591E-2</v>
      </c>
      <c r="V186" s="5">
        <f t="shared" si="405"/>
        <v>4.4604830806216564E-3</v>
      </c>
      <c r="W186" s="5">
        <f t="shared" si="405"/>
        <v>4.8039672208446994E-3</v>
      </c>
      <c r="X186" s="5">
        <f t="shared" si="405"/>
        <v>3.8759262389649412E-3</v>
      </c>
      <c r="Z186" s="4">
        <v>45826</v>
      </c>
      <c r="AA186">
        <f>B186*B$3</f>
        <v>-2949.0000000000246</v>
      </c>
      <c r="AB186">
        <f>C186*C$3</f>
        <v>31008.000000000029</v>
      </c>
      <c r="AC186">
        <f>D186*D$3</f>
        <v>0</v>
      </c>
      <c r="AD186">
        <f>E186*E$3</f>
        <v>-4856.0000000001119</v>
      </c>
      <c r="AE186">
        <f>F186*F$3</f>
        <v>24856.000000000575</v>
      </c>
      <c r="AF186">
        <f>G186*G$3</f>
        <v>0</v>
      </c>
      <c r="AG186">
        <f>H186*H$3</f>
        <v>0</v>
      </c>
      <c r="AH186">
        <f>I186*I$3</f>
        <v>-18455.999999999607</v>
      </c>
      <c r="AI186">
        <f>J186*J$3</f>
        <v>-51051.500000001179</v>
      </c>
      <c r="AJ186">
        <f>K186*K$3</f>
        <v>0</v>
      </c>
      <c r="AK186">
        <f>L186*L$3</f>
        <v>31003.999999999338</v>
      </c>
      <c r="AL186">
        <f>M186*M$3</f>
        <v>0</v>
      </c>
      <c r="AM186">
        <f>N186*N$3</f>
        <v>0</v>
      </c>
      <c r="AN186">
        <f>O186*O$3</f>
        <v>0</v>
      </c>
      <c r="AO186">
        <f>P186*P$3</f>
        <v>39782.326276736203</v>
      </c>
      <c r="AP186">
        <f>Q186*Q$3</f>
        <v>52238.012607368139</v>
      </c>
      <c r="AQ186">
        <f>R186*R$3</f>
        <v>133556.80887393208</v>
      </c>
      <c r="AR186" s="1">
        <f>S186*S$3</f>
        <v>-7726.6762115825486</v>
      </c>
      <c r="AS186" s="1">
        <f t="shared" si="394"/>
        <v>23863.061040593613</v>
      </c>
      <c r="AT186" s="1">
        <f t="shared" si="394"/>
        <v>80337.853895100736</v>
      </c>
      <c r="AU186" s="1">
        <f t="shared" si="394"/>
        <v>0</v>
      </c>
      <c r="AV186" s="1">
        <f t="shared" si="394"/>
        <v>0</v>
      </c>
      <c r="AW186" s="1">
        <f t="shared" si="394"/>
        <v>0</v>
      </c>
      <c r="AX186" s="1">
        <f t="shared" si="290"/>
        <v>331606.88648214727</v>
      </c>
      <c r="AY186" s="1">
        <f t="shared" si="291"/>
        <v>322051.3864821482</v>
      </c>
      <c r="AZ186" s="1">
        <f t="shared" si="292"/>
        <v>9555.4999999990687</v>
      </c>
    </row>
    <row r="187" spans="1:52" x14ac:dyDescent="0.25">
      <c r="A187" s="4">
        <v>45825</v>
      </c>
      <c r="B187">
        <f t="shared" ref="B187:N187" si="406">(B737-B736)*100</f>
        <v>0.99999999999997868</v>
      </c>
      <c r="C187">
        <f t="shared" si="406"/>
        <v>0.99999999999997868</v>
      </c>
      <c r="D187">
        <f t="shared" si="406"/>
        <v>0.99999999999997868</v>
      </c>
      <c r="E187">
        <f t="shared" si="406"/>
        <v>1.0000000000000675</v>
      </c>
      <c r="F187">
        <f t="shared" si="406"/>
        <v>1.0000000000000675</v>
      </c>
      <c r="G187">
        <f t="shared" si="406"/>
        <v>0</v>
      </c>
      <c r="H187">
        <f t="shared" si="406"/>
        <v>3.0000000000000249</v>
      </c>
      <c r="I187">
        <f t="shared" si="406"/>
        <v>3.0000000000000249</v>
      </c>
      <c r="J187">
        <f t="shared" si="406"/>
        <v>4.9999999999999822</v>
      </c>
      <c r="K187">
        <f t="shared" si="406"/>
        <v>6.0000000000000497</v>
      </c>
      <c r="L187">
        <f t="shared" si="406"/>
        <v>7.0000000000000284</v>
      </c>
      <c r="M187">
        <f t="shared" si="406"/>
        <v>8.0000000000000071</v>
      </c>
      <c r="N187">
        <f t="shared" si="406"/>
        <v>8.0000000000000071</v>
      </c>
      <c r="O187" s="5">
        <f t="shared" si="402"/>
        <v>-6.3700279097730515E-3</v>
      </c>
      <c r="P187" s="5">
        <f t="shared" si="402"/>
        <v>-1.3402377881877403E-3</v>
      </c>
      <c r="Q187" s="5">
        <f t="shared" si="402"/>
        <v>-2.744276918617658E-3</v>
      </c>
      <c r="R187" s="5">
        <f t="shared" si="402"/>
        <v>1.3860016078771529E-3</v>
      </c>
      <c r="S187" s="5">
        <f t="shared" si="402"/>
        <v>5.4369311721773218E-3</v>
      </c>
      <c r="T187" s="5">
        <f t="shared" ref="T187:X187" si="407">LN(T736/T737)</f>
        <v>4.6212368991661586E-4</v>
      </c>
      <c r="U187" s="5">
        <f t="shared" si="407"/>
        <v>-6.3194249343233441E-4</v>
      </c>
      <c r="V187" s="5">
        <f t="shared" si="407"/>
        <v>4.4179870496691125E-3</v>
      </c>
      <c r="W187" s="5">
        <f t="shared" si="407"/>
        <v>-1.6914328594537385E-3</v>
      </c>
      <c r="X187" s="5">
        <f t="shared" si="407"/>
        <v>1.8377107939712245E-3</v>
      </c>
      <c r="Z187" s="4">
        <v>45825</v>
      </c>
      <c r="AA187">
        <f>B187*B$3</f>
        <v>-982.99999999997908</v>
      </c>
      <c r="AB187">
        <f>C187*C$3</f>
        <v>-2583.999999999945</v>
      </c>
      <c r="AC187">
        <f>D187*D$3</f>
        <v>16142.999999999656</v>
      </c>
      <c r="AD187">
        <f>E187*E$3</f>
        <v>2428.0000000001637</v>
      </c>
      <c r="AE187">
        <f>F187*F$3</f>
        <v>-12428.000000000839</v>
      </c>
      <c r="AF187">
        <f>G187*G$3</f>
        <v>0</v>
      </c>
      <c r="AG187">
        <f>H187*H$3</f>
        <v>-84648.000000000698</v>
      </c>
      <c r="AH187">
        <f>I187*I$3</f>
        <v>-55368.000000000458</v>
      </c>
      <c r="AI187">
        <f>J187*J$3</f>
        <v>-255257.4999999991</v>
      </c>
      <c r="AJ187">
        <f>K187*K$3</f>
        <v>-470370.0000000039</v>
      </c>
      <c r="AK187">
        <f>L187*L$3</f>
        <v>217028.00000000087</v>
      </c>
      <c r="AL187">
        <f>M187*M$3</f>
        <v>256584.00000000023</v>
      </c>
      <c r="AM187">
        <f>N187*N$3</f>
        <v>0</v>
      </c>
      <c r="AN187">
        <f>O187*O$3</f>
        <v>0</v>
      </c>
      <c r="AO187">
        <f>P187*P$3</f>
        <v>6701.1889409387013</v>
      </c>
      <c r="AP187">
        <f>Q187*Q$3</f>
        <v>-32931.323023411896</v>
      </c>
      <c r="AQ187">
        <f>R187*R$3</f>
        <v>-20790.024118157293</v>
      </c>
      <c r="AR187" s="1">
        <f>S187*S$3</f>
        <v>-38058.518205241249</v>
      </c>
      <c r="AS187" s="1">
        <f t="shared" si="394"/>
        <v>1848.4947596664633</v>
      </c>
      <c r="AT187" s="1">
        <f t="shared" si="394"/>
        <v>-5055.5399474586757</v>
      </c>
      <c r="AU187" s="1">
        <f t="shared" si="394"/>
        <v>0</v>
      </c>
      <c r="AV187" s="1">
        <f t="shared" si="394"/>
        <v>0</v>
      </c>
      <c r="AW187" s="1">
        <f t="shared" si="394"/>
        <v>0</v>
      </c>
      <c r="AX187" s="1">
        <f t="shared" si="290"/>
        <v>-477741.22159366793</v>
      </c>
      <c r="AY187" s="1">
        <f t="shared" si="291"/>
        <v>-88285.721593663955</v>
      </c>
      <c r="AZ187" s="1">
        <f t="shared" si="292"/>
        <v>-389455.50000000396</v>
      </c>
    </row>
    <row r="188" spans="1:52" x14ac:dyDescent="0.25">
      <c r="A188" s="4">
        <v>45824</v>
      </c>
      <c r="B188">
        <f t="shared" ref="B188:N188" si="408">(B738-B737)*100</f>
        <v>-0.99999999999997868</v>
      </c>
      <c r="C188">
        <f t="shared" si="408"/>
        <v>1.0000000000000675</v>
      </c>
      <c r="D188">
        <f t="shared" si="408"/>
        <v>2.0000000000000462</v>
      </c>
      <c r="E188">
        <f t="shared" si="408"/>
        <v>0</v>
      </c>
      <c r="F188">
        <f t="shared" si="408"/>
        <v>-2.0000000000000462</v>
      </c>
      <c r="G188">
        <f t="shared" si="408"/>
        <v>-0.99999999999997868</v>
      </c>
      <c r="H188">
        <f t="shared" si="408"/>
        <v>-1.0000000000000231</v>
      </c>
      <c r="I188">
        <f t="shared" si="408"/>
        <v>-3.0000000000000249</v>
      </c>
      <c r="J188">
        <f t="shared" si="408"/>
        <v>-2.0000000000000462</v>
      </c>
      <c r="K188">
        <f t="shared" si="408"/>
        <v>-3.0000000000000249</v>
      </c>
      <c r="L188">
        <f t="shared" si="408"/>
        <v>-4.9999999999999822</v>
      </c>
      <c r="M188">
        <f t="shared" si="408"/>
        <v>-4.0000000000000036</v>
      </c>
      <c r="N188">
        <f t="shared" si="408"/>
        <v>-5.9999999999999609</v>
      </c>
      <c r="O188" s="5">
        <f t="shared" si="402"/>
        <v>-9.5514814027665169E-3</v>
      </c>
      <c r="P188" s="5">
        <f t="shared" si="402"/>
        <v>-5.706322774831434E-3</v>
      </c>
      <c r="Q188" s="5">
        <f t="shared" si="402"/>
        <v>8.0620126924902894E-3</v>
      </c>
      <c r="R188" s="5">
        <f t="shared" si="402"/>
        <v>-3.875973844693072E-3</v>
      </c>
      <c r="S188" s="5">
        <f t="shared" si="402"/>
        <v>-1.490053378648268E-3</v>
      </c>
      <c r="T188" s="5">
        <f t="shared" ref="T188:X188" si="409">LN(T737/T738)</f>
        <v>3.7630062634296871E-3</v>
      </c>
      <c r="U188" s="5">
        <f t="shared" si="409"/>
        <v>5.2003747936717514E-3</v>
      </c>
      <c r="V188" s="5">
        <f t="shared" si="409"/>
        <v>6.244712236178296E-3</v>
      </c>
      <c r="W188" s="5">
        <f t="shared" si="409"/>
        <v>4.2986060103084051E-3</v>
      </c>
      <c r="X188" s="5">
        <f t="shared" si="409"/>
        <v>3.9673588576101234E-3</v>
      </c>
      <c r="Z188" s="4">
        <v>45824</v>
      </c>
      <c r="AA188">
        <f>B188*B$3</f>
        <v>982.99999999997908</v>
      </c>
      <c r="AB188">
        <f>C188*C$3</f>
        <v>-2584.0000000001746</v>
      </c>
      <c r="AC188">
        <f>D188*D$3</f>
        <v>32286.000000000746</v>
      </c>
      <c r="AD188">
        <f>E188*E$3</f>
        <v>0</v>
      </c>
      <c r="AE188">
        <f>F188*F$3</f>
        <v>24856.000000000575</v>
      </c>
      <c r="AF188">
        <f>G188*G$3</f>
        <v>15627.999999999667</v>
      </c>
      <c r="AG188">
        <f>H188*H$3</f>
        <v>28216.000000000651</v>
      </c>
      <c r="AH188">
        <f>I188*I$3</f>
        <v>55368.000000000458</v>
      </c>
      <c r="AI188">
        <f>J188*J$3</f>
        <v>102103.00000000236</v>
      </c>
      <c r="AJ188">
        <f>K188*K$3</f>
        <v>235185.00000000195</v>
      </c>
      <c r="AK188">
        <f>L188*L$3</f>
        <v>-155019.99999999945</v>
      </c>
      <c r="AL188">
        <f>M188*M$3</f>
        <v>-128292.00000000012</v>
      </c>
      <c r="AM188">
        <f>N188*N$3</f>
        <v>0</v>
      </c>
      <c r="AN188">
        <f>O188*O$3</f>
        <v>0</v>
      </c>
      <c r="AO188">
        <f>P188*P$3</f>
        <v>28531.61387415717</v>
      </c>
      <c r="AP188">
        <f>Q188*Q$3</f>
        <v>96744.152309883473</v>
      </c>
      <c r="AQ188">
        <f>R188*R$3</f>
        <v>58139.607670396079</v>
      </c>
      <c r="AR188" s="1">
        <f>S188*S$3</f>
        <v>10430.373650537877</v>
      </c>
      <c r="AS188" s="1">
        <f t="shared" si="394"/>
        <v>15052.025053718748</v>
      </c>
      <c r="AT188" s="1">
        <f t="shared" si="394"/>
        <v>41602.998349374015</v>
      </c>
      <c r="AU188" s="1">
        <f t="shared" si="394"/>
        <v>0</v>
      </c>
      <c r="AV188" s="1">
        <f t="shared" si="394"/>
        <v>0</v>
      </c>
      <c r="AW188" s="1">
        <f t="shared" si="394"/>
        <v>0</v>
      </c>
      <c r="AX188" s="1">
        <f t="shared" si="290"/>
        <v>459229.77090807399</v>
      </c>
      <c r="AY188" s="1">
        <f t="shared" si="291"/>
        <v>250500.77090806735</v>
      </c>
      <c r="AZ188" s="1">
        <f t="shared" si="292"/>
        <v>208729.00000000664</v>
      </c>
    </row>
    <row r="189" spans="1:52" x14ac:dyDescent="0.25">
      <c r="A189" s="4">
        <v>45821</v>
      </c>
      <c r="B189">
        <f t="shared" ref="B189:N189" si="410">(B739-B738)*100</f>
        <v>-5.0000000000000711</v>
      </c>
      <c r="C189">
        <f t="shared" si="410"/>
        <v>0.99999999999997868</v>
      </c>
      <c r="D189">
        <f t="shared" si="410"/>
        <v>0.99999999999997868</v>
      </c>
      <c r="E189">
        <f t="shared" si="410"/>
        <v>0</v>
      </c>
      <c r="F189">
        <f t="shared" si="410"/>
        <v>-0.99999999999997868</v>
      </c>
      <c r="G189">
        <f t="shared" si="410"/>
        <v>-3.0000000000000249</v>
      </c>
      <c r="H189">
        <f t="shared" si="410"/>
        <v>-6.0000000000000053</v>
      </c>
      <c r="I189">
        <f t="shared" si="410"/>
        <v>-4.9999999999999822</v>
      </c>
      <c r="J189">
        <f t="shared" si="410"/>
        <v>-4.9999999999999378</v>
      </c>
      <c r="K189">
        <f t="shared" si="410"/>
        <v>-4.9999999999999822</v>
      </c>
      <c r="L189">
        <f t="shared" si="410"/>
        <v>-4.9999999999999822</v>
      </c>
      <c r="M189">
        <f t="shared" si="410"/>
        <v>-6.9999999999999396</v>
      </c>
      <c r="N189">
        <f t="shared" si="410"/>
        <v>-6.0000000000000497</v>
      </c>
      <c r="O189" s="5">
        <f t="shared" si="402"/>
        <v>4.7553091392734358E-3</v>
      </c>
      <c r="P189" s="5">
        <f t="shared" si="402"/>
        <v>-6.7351372069778233E-3</v>
      </c>
      <c r="Q189" s="5">
        <f t="shared" si="402"/>
        <v>-6.5466506899382959E-3</v>
      </c>
      <c r="R189" s="5">
        <f t="shared" si="402"/>
        <v>3.044142381228273E-3</v>
      </c>
      <c r="S189" s="5">
        <f t="shared" si="402"/>
        <v>9.8255186111062564E-4</v>
      </c>
      <c r="T189" s="5">
        <f t="shared" ref="T189:X189" si="411">LN(T738/T739)</f>
        <v>-7.8687159472946733E-3</v>
      </c>
      <c r="U189" s="5">
        <f t="shared" si="411"/>
        <v>-4.4327604669967113E-3</v>
      </c>
      <c r="V189" s="5">
        <f t="shared" si="411"/>
        <v>-7.0216934767692871E-3</v>
      </c>
      <c r="W189" s="5">
        <f t="shared" si="411"/>
        <v>-2.8376172318970798E-3</v>
      </c>
      <c r="X189" s="5">
        <f t="shared" si="411"/>
        <v>-1.1552309714372997E-2</v>
      </c>
      <c r="Z189" s="4">
        <v>45821</v>
      </c>
      <c r="AA189">
        <f>B189*B$3</f>
        <v>4915.00000000007</v>
      </c>
      <c r="AB189">
        <f>C189*C$3</f>
        <v>-2583.999999999945</v>
      </c>
      <c r="AC189">
        <f>D189*D$3</f>
        <v>16142.999999999656</v>
      </c>
      <c r="AD189">
        <f>E189*E$3</f>
        <v>0</v>
      </c>
      <c r="AE189">
        <f>F189*F$3</f>
        <v>12427.999999999734</v>
      </c>
      <c r="AF189">
        <f>G189*G$3</f>
        <v>46884.000000000386</v>
      </c>
      <c r="AG189">
        <f>H189*H$3</f>
        <v>169296.00000000015</v>
      </c>
      <c r="AH189">
        <f>I189*I$3</f>
        <v>92279.999999999665</v>
      </c>
      <c r="AI189">
        <f>J189*J$3</f>
        <v>255257.49999999683</v>
      </c>
      <c r="AJ189">
        <f>K189*K$3</f>
        <v>391974.9999999986</v>
      </c>
      <c r="AK189">
        <f>L189*L$3</f>
        <v>-155019.99999999945</v>
      </c>
      <c r="AL189">
        <f>M189*M$3</f>
        <v>-224510.99999999805</v>
      </c>
      <c r="AM189">
        <f>N189*N$3</f>
        <v>0</v>
      </c>
      <c r="AN189">
        <f>O189*O$3</f>
        <v>0</v>
      </c>
      <c r="AO189">
        <f>P189*P$3</f>
        <v>33675.686034889113</v>
      </c>
      <c r="AP189">
        <f>Q189*Q$3</f>
        <v>-78559.808279259552</v>
      </c>
      <c r="AQ189">
        <f>R189*R$3</f>
        <v>-45662.135718424099</v>
      </c>
      <c r="AR189" s="1">
        <f>S189*S$3</f>
        <v>-6877.8630277743796</v>
      </c>
      <c r="AS189" s="1">
        <f t="shared" si="394"/>
        <v>-31474.863789178693</v>
      </c>
      <c r="AT189" s="1">
        <f t="shared" si="394"/>
        <v>-35462.083735973691</v>
      </c>
      <c r="AU189" s="1">
        <f t="shared" si="394"/>
        <v>0</v>
      </c>
      <c r="AV189" s="1">
        <f t="shared" si="394"/>
        <v>0</v>
      </c>
      <c r="AW189" s="1">
        <f t="shared" si="394"/>
        <v>0</v>
      </c>
      <c r="AX189" s="1">
        <f t="shared" si="290"/>
        <v>442702.43148427631</v>
      </c>
      <c r="AY189" s="1">
        <f t="shared" si="291"/>
        <v>-164361.0685157213</v>
      </c>
      <c r="AZ189" s="1">
        <f t="shared" si="292"/>
        <v>607063.49999999767</v>
      </c>
    </row>
    <row r="190" spans="1:52" x14ac:dyDescent="0.25">
      <c r="A190" s="4">
        <v>45820</v>
      </c>
      <c r="B190">
        <f t="shared" ref="B190:N190" si="412">(B740-B739)*100</f>
        <v>12.000000000000011</v>
      </c>
      <c r="C190">
        <f t="shared" si="412"/>
        <v>-10.000000000000053</v>
      </c>
      <c r="D190">
        <f t="shared" si="412"/>
        <v>-0.99999999999997868</v>
      </c>
      <c r="E190">
        <f t="shared" si="412"/>
        <v>-1.0000000000000675</v>
      </c>
      <c r="F190">
        <f t="shared" si="412"/>
        <v>1.9999999999999574</v>
      </c>
      <c r="G190">
        <f t="shared" si="412"/>
        <v>2.0000000000000462</v>
      </c>
      <c r="H190">
        <f t="shared" si="412"/>
        <v>4.0000000000000036</v>
      </c>
      <c r="I190">
        <f t="shared" si="412"/>
        <v>4.0000000000000036</v>
      </c>
      <c r="J190">
        <f t="shared" si="412"/>
        <v>4.9999999999999378</v>
      </c>
      <c r="K190">
        <f t="shared" si="412"/>
        <v>5.9999999999999609</v>
      </c>
      <c r="L190">
        <f t="shared" si="412"/>
        <v>4.9999999999999822</v>
      </c>
      <c r="M190">
        <f t="shared" si="412"/>
        <v>6.9999999999999396</v>
      </c>
      <c r="N190">
        <f t="shared" si="412"/>
        <v>7.0000000000000284</v>
      </c>
      <c r="O190" s="5">
        <f t="shared" si="402"/>
        <v>-3.6110208359941203E-5</v>
      </c>
      <c r="P190" s="5">
        <f t="shared" si="402"/>
        <v>-6.013757648549189E-3</v>
      </c>
      <c r="Q190" s="5">
        <f t="shared" si="402"/>
        <v>-2.6876575978920405E-3</v>
      </c>
      <c r="R190" s="5">
        <f t="shared" si="402"/>
        <v>-3.872757260844354E-3</v>
      </c>
      <c r="S190" s="5">
        <f t="shared" si="402"/>
        <v>-7.3989123632611174E-5</v>
      </c>
      <c r="T190" s="5">
        <f t="shared" ref="T190:X190" si="413">LN(T739/T740)</f>
        <v>-6.2643957840096305E-3</v>
      </c>
      <c r="U190" s="5">
        <f t="shared" si="413"/>
        <v>-4.3727166728744944E-3</v>
      </c>
      <c r="V190" s="5">
        <f t="shared" si="413"/>
        <v>-4.3938093738137484E-3</v>
      </c>
      <c r="W190" s="5">
        <f t="shared" si="413"/>
        <v>2.7155334599043585E-3</v>
      </c>
      <c r="X190" s="5">
        <f t="shared" si="413"/>
        <v>-4.2917939105541281E-3</v>
      </c>
      <c r="Z190" s="4">
        <v>45820</v>
      </c>
      <c r="AA190">
        <f>B190*B$3</f>
        <v>-11796.000000000011</v>
      </c>
      <c r="AB190">
        <f>C190*C$3</f>
        <v>25840.000000000138</v>
      </c>
      <c r="AC190">
        <f>D190*D$3</f>
        <v>-16142.999999999656</v>
      </c>
      <c r="AD190">
        <f>E190*E$3</f>
        <v>-2428.0000000001637</v>
      </c>
      <c r="AE190">
        <f>F190*F$3</f>
        <v>-24855.999999999469</v>
      </c>
      <c r="AF190">
        <f>G190*G$3</f>
        <v>-31256.00000000072</v>
      </c>
      <c r="AG190">
        <f>H190*H$3</f>
        <v>-112864.0000000001</v>
      </c>
      <c r="AH190">
        <f>I190*I$3</f>
        <v>-73824.000000000073</v>
      </c>
      <c r="AI190">
        <f>J190*J$3</f>
        <v>-255257.49999999683</v>
      </c>
      <c r="AJ190">
        <f>K190*K$3</f>
        <v>-470369.99999999691</v>
      </c>
      <c r="AK190">
        <f>L190*L$3</f>
        <v>155019.99999999945</v>
      </c>
      <c r="AL190">
        <f>M190*M$3</f>
        <v>224510.99999999805</v>
      </c>
      <c r="AM190">
        <f>N190*N$3</f>
        <v>0</v>
      </c>
      <c r="AN190">
        <f>O190*O$3</f>
        <v>0</v>
      </c>
      <c r="AO190">
        <f>P190*P$3</f>
        <v>30068.788242745944</v>
      </c>
      <c r="AP190">
        <f>Q190*Q$3</f>
        <v>-32251.891174704488</v>
      </c>
      <c r="AQ190">
        <f>R190*R$3</f>
        <v>58091.35891266531</v>
      </c>
      <c r="AR190" s="1">
        <f>S190*S$3</f>
        <v>517.92386542827819</v>
      </c>
      <c r="AS190" s="1">
        <f t="shared" si="394"/>
        <v>-25057.583136038524</v>
      </c>
      <c r="AT190" s="1">
        <f t="shared" si="394"/>
        <v>-34981.733382995953</v>
      </c>
      <c r="AU190" s="1">
        <f t="shared" si="394"/>
        <v>0</v>
      </c>
      <c r="AV190" s="1">
        <f t="shared" si="394"/>
        <v>0</v>
      </c>
      <c r="AW190" s="1">
        <f t="shared" si="394"/>
        <v>0</v>
      </c>
      <c r="AX190" s="1">
        <f t="shared" si="290"/>
        <v>-597036.63667289575</v>
      </c>
      <c r="AY190" s="1">
        <f t="shared" si="291"/>
        <v>-3613.136672899429</v>
      </c>
      <c r="AZ190" s="1">
        <f t="shared" si="292"/>
        <v>-593423.49999999627</v>
      </c>
    </row>
    <row r="191" spans="1:52" x14ac:dyDescent="0.25">
      <c r="A191" s="4">
        <v>45819</v>
      </c>
      <c r="B191">
        <f t="shared" ref="B191:N191" si="414">(B741-B740)*100</f>
        <v>-0.99999999999997868</v>
      </c>
      <c r="C191">
        <f t="shared" si="414"/>
        <v>-1.9999999999999574</v>
      </c>
      <c r="D191">
        <f t="shared" si="414"/>
        <v>0</v>
      </c>
      <c r="E191">
        <f t="shared" si="414"/>
        <v>-0.99999999999997868</v>
      </c>
      <c r="F191">
        <f t="shared" si="414"/>
        <v>1.0000000000000675</v>
      </c>
      <c r="G191">
        <f t="shared" si="414"/>
        <v>4.0000000000000036</v>
      </c>
      <c r="H191">
        <f t="shared" si="414"/>
        <v>6.999999999999984</v>
      </c>
      <c r="I191">
        <f t="shared" si="414"/>
        <v>6.0000000000000053</v>
      </c>
      <c r="J191">
        <f t="shared" si="414"/>
        <v>6.0000000000000497</v>
      </c>
      <c r="K191">
        <f t="shared" si="414"/>
        <v>5.9999999999999609</v>
      </c>
      <c r="L191">
        <f t="shared" si="414"/>
        <v>5.9999999999999609</v>
      </c>
      <c r="M191">
        <f t="shared" si="414"/>
        <v>3.0000000000000249</v>
      </c>
      <c r="N191">
        <f t="shared" si="414"/>
        <v>1.9999999999999574</v>
      </c>
      <c r="O191" s="5">
        <f t="shared" si="402"/>
        <v>-3.0106115167089229E-3</v>
      </c>
      <c r="P191" s="5">
        <f t="shared" si="402"/>
        <v>-5.7235027799154674E-3</v>
      </c>
      <c r="Q191" s="5">
        <f t="shared" si="402"/>
        <v>1.9083466614425227E-3</v>
      </c>
      <c r="R191" s="5">
        <f t="shared" si="402"/>
        <v>-3.3076105127577528E-3</v>
      </c>
      <c r="S191" s="5">
        <f t="shared" si="402"/>
        <v>-7.6021972269281835E-3</v>
      </c>
      <c r="T191" s="5">
        <f t="shared" ref="T191:X191" si="415">LN(T740/T741)</f>
        <v>-8.2321141646129071E-4</v>
      </c>
      <c r="U191" s="5">
        <f t="shared" si="415"/>
        <v>3.5861088819737451E-3</v>
      </c>
      <c r="V191" s="5">
        <f t="shared" si="415"/>
        <v>2.0596193580036315E-3</v>
      </c>
      <c r="W191" s="5">
        <f t="shared" si="415"/>
        <v>-1.3952053190953539E-3</v>
      </c>
      <c r="X191" s="5">
        <f t="shared" si="415"/>
        <v>8.7633837374958591E-4</v>
      </c>
      <c r="Z191" s="4">
        <v>45819</v>
      </c>
      <c r="AA191">
        <f>B191*B$3</f>
        <v>982.99999999997908</v>
      </c>
      <c r="AB191">
        <f>C191*C$3</f>
        <v>5167.99999999989</v>
      </c>
      <c r="AC191">
        <f>D191*D$3</f>
        <v>0</v>
      </c>
      <c r="AD191">
        <f>E191*E$3</f>
        <v>-2427.9999999999482</v>
      </c>
      <c r="AE191">
        <f>F191*F$3</f>
        <v>-12428.000000000839</v>
      </c>
      <c r="AF191">
        <f>G191*G$3</f>
        <v>-62512.000000000058</v>
      </c>
      <c r="AG191">
        <f>H191*H$3</f>
        <v>-197511.99999999956</v>
      </c>
      <c r="AH191">
        <f>I191*I$3</f>
        <v>-110736.0000000001</v>
      </c>
      <c r="AI191">
        <f>J191*J$3</f>
        <v>-306309.00000000256</v>
      </c>
      <c r="AJ191">
        <f>K191*K$3</f>
        <v>-470369.99999999691</v>
      </c>
      <c r="AK191">
        <f>L191*L$3</f>
        <v>186023.99999999878</v>
      </c>
      <c r="AL191">
        <f>M191*M$3</f>
        <v>96219.0000000008</v>
      </c>
      <c r="AM191">
        <f>N191*N$3</f>
        <v>0</v>
      </c>
      <c r="AN191">
        <f>O191*O$3</f>
        <v>0</v>
      </c>
      <c r="AO191">
        <f>P191*P$3</f>
        <v>28617.513899577338</v>
      </c>
      <c r="AP191">
        <f>Q191*Q$3</f>
        <v>22900.159937310273</v>
      </c>
      <c r="AQ191">
        <f>R191*R$3</f>
        <v>49614.157691366294</v>
      </c>
      <c r="AR191" s="1">
        <f>S191*S$3</f>
        <v>53215.380588497283</v>
      </c>
      <c r="AS191" s="1">
        <f t="shared" si="394"/>
        <v>-3292.8456658451628</v>
      </c>
      <c r="AT191" s="1">
        <f t="shared" si="394"/>
        <v>28688.871055789961</v>
      </c>
      <c r="AU191" s="1">
        <f t="shared" si="394"/>
        <v>0</v>
      </c>
      <c r="AV191" s="1">
        <f t="shared" si="394"/>
        <v>0</v>
      </c>
      <c r="AW191" s="1">
        <f t="shared" si="394"/>
        <v>0</v>
      </c>
      <c r="AX191" s="1">
        <f t="shared" si="290"/>
        <v>-694157.76249330468</v>
      </c>
      <c r="AY191" s="1">
        <f t="shared" si="291"/>
        <v>179743.23750669596</v>
      </c>
      <c r="AZ191" s="1">
        <f t="shared" si="292"/>
        <v>-873901.0000000007</v>
      </c>
    </row>
    <row r="192" spans="1:52" x14ac:dyDescent="0.25">
      <c r="A192" s="4">
        <v>45818</v>
      </c>
      <c r="B192">
        <f t="shared" ref="B192:N192" si="416">(B742-B741)*100</f>
        <v>0</v>
      </c>
      <c r="C192">
        <f t="shared" si="416"/>
        <v>-0.99999999999997868</v>
      </c>
      <c r="D192">
        <f t="shared" si="416"/>
        <v>-0.99999999999997868</v>
      </c>
      <c r="E192">
        <f t="shared" si="416"/>
        <v>0</v>
      </c>
      <c r="F192">
        <f t="shared" si="416"/>
        <v>0</v>
      </c>
      <c r="G192">
        <f t="shared" si="416"/>
        <v>0.99999999999997868</v>
      </c>
      <c r="H192">
        <f t="shared" si="416"/>
        <v>0</v>
      </c>
      <c r="I192">
        <f t="shared" si="416"/>
        <v>4.0000000000000036</v>
      </c>
      <c r="J192">
        <f t="shared" si="416"/>
        <v>0.99999999999997868</v>
      </c>
      <c r="K192">
        <f t="shared" si="416"/>
        <v>1.0000000000000675</v>
      </c>
      <c r="L192">
        <f t="shared" si="416"/>
        <v>2.0000000000000462</v>
      </c>
      <c r="M192">
        <f t="shared" si="416"/>
        <v>2.0000000000000462</v>
      </c>
      <c r="N192">
        <f t="shared" si="416"/>
        <v>2.0000000000000462</v>
      </c>
      <c r="O192" s="5">
        <f t="shared" si="402"/>
        <v>-3.6474423023151819E-3</v>
      </c>
      <c r="P192" s="5">
        <f t="shared" si="402"/>
        <v>1.4367034728768761E-2</v>
      </c>
      <c r="Q192" s="5">
        <f t="shared" si="402"/>
        <v>3.3992550102160987E-3</v>
      </c>
      <c r="R192" s="5">
        <f t="shared" si="402"/>
        <v>2.7521673491452176E-4</v>
      </c>
      <c r="S192" s="5">
        <f t="shared" si="402"/>
        <v>1.2805308604839959E-3</v>
      </c>
      <c r="T192" s="5">
        <f t="shared" ref="T192:X192" si="417">LN(T741/T742)</f>
        <v>-1.7697730981865512E-3</v>
      </c>
      <c r="U192" s="5">
        <f t="shared" si="417"/>
        <v>-1.3683022430578473E-3</v>
      </c>
      <c r="V192" s="5">
        <f t="shared" si="417"/>
        <v>-1.0441549957140091E-3</v>
      </c>
      <c r="W192" s="5">
        <f t="shared" si="417"/>
        <v>-2.7474803827908182E-3</v>
      </c>
      <c r="X192" s="5">
        <f t="shared" si="417"/>
        <v>-7.3015200476179675E-5</v>
      </c>
      <c r="Z192" s="4">
        <v>45818</v>
      </c>
      <c r="AA192">
        <f>B192*B$3</f>
        <v>0</v>
      </c>
      <c r="AB192">
        <f>C192*C$3</f>
        <v>2583.999999999945</v>
      </c>
      <c r="AC192">
        <f>D192*D$3</f>
        <v>-16142.999999999656</v>
      </c>
      <c r="AD192">
        <f>E192*E$3</f>
        <v>0</v>
      </c>
      <c r="AE192">
        <f>F192*F$3</f>
        <v>0</v>
      </c>
      <c r="AF192">
        <f>G192*G$3</f>
        <v>-15627.999999999667</v>
      </c>
      <c r="AG192">
        <f>H192*H$3</f>
        <v>0</v>
      </c>
      <c r="AH192">
        <f>I192*I$3</f>
        <v>-73824.000000000073</v>
      </c>
      <c r="AI192">
        <f>J192*J$3</f>
        <v>-51051.499999998909</v>
      </c>
      <c r="AJ192">
        <f>K192*K$3</f>
        <v>-78395.000000005297</v>
      </c>
      <c r="AK192">
        <f>L192*L$3</f>
        <v>62008.000000001433</v>
      </c>
      <c r="AL192">
        <f>M192*M$3</f>
        <v>64146.000000001484</v>
      </c>
      <c r="AM192">
        <f>N192*N$3</f>
        <v>0</v>
      </c>
      <c r="AN192">
        <f>O192*O$3</f>
        <v>0</v>
      </c>
      <c r="AO192">
        <f>P192*P$3</f>
        <v>-71835.173643843809</v>
      </c>
      <c r="AP192">
        <f>Q192*Q$3</f>
        <v>40791.060122593182</v>
      </c>
      <c r="AQ192">
        <f>R192*R$3</f>
        <v>-4128.2510237178267</v>
      </c>
      <c r="AR192" s="1">
        <f>S192*S$3</f>
        <v>-8963.7160233879713</v>
      </c>
      <c r="AS192" s="1">
        <f t="shared" si="394"/>
        <v>-7079.0923927462045</v>
      </c>
      <c r="AT192" s="1">
        <f t="shared" si="394"/>
        <v>-10946.417944462779</v>
      </c>
      <c r="AU192" s="1">
        <f t="shared" si="394"/>
        <v>0</v>
      </c>
      <c r="AV192" s="1">
        <f t="shared" si="394"/>
        <v>0</v>
      </c>
      <c r="AW192" s="1">
        <f t="shared" si="394"/>
        <v>0</v>
      </c>
      <c r="AX192" s="1">
        <f t="shared" si="290"/>
        <v>-168465.09090556615</v>
      </c>
      <c r="AY192" s="1">
        <f t="shared" si="291"/>
        <v>-62161.590905565412</v>
      </c>
      <c r="AZ192" s="1">
        <f t="shared" si="292"/>
        <v>-106303.50000000073</v>
      </c>
    </row>
    <row r="193" spans="1:52" x14ac:dyDescent="0.25">
      <c r="A193" s="4">
        <v>45817</v>
      </c>
      <c r="B193">
        <f t="shared" ref="B193:N193" si="418">(B743-B742)*100</f>
        <v>-0.99999999999997868</v>
      </c>
      <c r="C193">
        <f t="shared" si="418"/>
        <v>-1.0000000000000675</v>
      </c>
      <c r="D193">
        <f t="shared" si="418"/>
        <v>-1.0000000000000675</v>
      </c>
      <c r="E193">
        <f t="shared" si="418"/>
        <v>0</v>
      </c>
      <c r="F193">
        <f t="shared" si="418"/>
        <v>-1.0000000000000675</v>
      </c>
      <c r="G193">
        <f t="shared" si="418"/>
        <v>0.99999999999997868</v>
      </c>
      <c r="H193">
        <f t="shared" si="418"/>
        <v>3.0000000000000249</v>
      </c>
      <c r="I193">
        <f t="shared" si="418"/>
        <v>2.9999999999999361</v>
      </c>
      <c r="J193">
        <f t="shared" si="418"/>
        <v>4.0000000000000036</v>
      </c>
      <c r="K193">
        <f t="shared" si="418"/>
        <v>2.9999999999999361</v>
      </c>
      <c r="L193">
        <f t="shared" si="418"/>
        <v>1.9999999999999574</v>
      </c>
      <c r="M193">
        <f t="shared" si="418"/>
        <v>0.99999999999997868</v>
      </c>
      <c r="N193">
        <f t="shared" si="418"/>
        <v>1.9999999999999574</v>
      </c>
      <c r="O193" s="5">
        <f t="shared" si="402"/>
        <v>-3.348227405285543E-3</v>
      </c>
      <c r="P193" s="5">
        <f t="shared" si="402"/>
        <v>7.5009519078119528E-3</v>
      </c>
      <c r="Q193" s="5">
        <f t="shared" si="402"/>
        <v>3.346385918975812E-3</v>
      </c>
      <c r="R193" s="5">
        <f t="shared" si="402"/>
        <v>-4.6684143553352361E-3</v>
      </c>
      <c r="S193" s="5">
        <f t="shared" si="402"/>
        <v>-3.3029457674940729E-3</v>
      </c>
      <c r="T193" s="5">
        <f t="shared" ref="T193:X193" si="419">LN(T742/T743)</f>
        <v>4.0236236145224169E-3</v>
      </c>
      <c r="U193" s="5">
        <f t="shared" si="419"/>
        <v>3.0507255291867771E-3</v>
      </c>
      <c r="V193" s="5">
        <f t="shared" si="419"/>
        <v>7.9726672221075347E-3</v>
      </c>
      <c r="W193" s="5">
        <f t="shared" si="419"/>
        <v>1.5807875296866584E-3</v>
      </c>
      <c r="X193" s="5">
        <f t="shared" si="419"/>
        <v>2.4504439255872063E-3</v>
      </c>
      <c r="Z193" s="4">
        <v>45817</v>
      </c>
      <c r="AA193">
        <f>B193*B$3</f>
        <v>982.99999999997908</v>
      </c>
      <c r="AB193">
        <f>C193*C$3</f>
        <v>2584.0000000001746</v>
      </c>
      <c r="AC193">
        <f>D193*D$3</f>
        <v>-16143.00000000109</v>
      </c>
      <c r="AD193">
        <f>E193*E$3</f>
        <v>0</v>
      </c>
      <c r="AE193">
        <f>F193*F$3</f>
        <v>12428.000000000839</v>
      </c>
      <c r="AF193">
        <f>G193*G$3</f>
        <v>-15627.999999999667</v>
      </c>
      <c r="AG193">
        <f>H193*H$3</f>
        <v>-84648.000000000698</v>
      </c>
      <c r="AH193">
        <f>I193*I$3</f>
        <v>-55367.999999998821</v>
      </c>
      <c r="AI193">
        <f>J193*J$3</f>
        <v>-204206.00000000017</v>
      </c>
      <c r="AJ193">
        <f>K193*K$3</f>
        <v>-235184.99999999499</v>
      </c>
      <c r="AK193">
        <f>L193*L$3</f>
        <v>62007.999999998676</v>
      </c>
      <c r="AL193">
        <f>M193*M$3</f>
        <v>32072.999999999316</v>
      </c>
      <c r="AM193">
        <f>N193*N$3</f>
        <v>0</v>
      </c>
      <c r="AN193">
        <f>O193*O$3</f>
        <v>0</v>
      </c>
      <c r="AO193">
        <f>P193*P$3</f>
        <v>-37504.759539059763</v>
      </c>
      <c r="AP193">
        <f>Q193*Q$3</f>
        <v>40156.631027709744</v>
      </c>
      <c r="AQ193">
        <f>R193*R$3</f>
        <v>70026.215330028543</v>
      </c>
      <c r="AR193" s="1">
        <f>S193*S$3</f>
        <v>23120.62037245851</v>
      </c>
      <c r="AS193" s="1">
        <f t="shared" si="394"/>
        <v>16094.494458089668</v>
      </c>
      <c r="AT193" s="1">
        <f t="shared" si="394"/>
        <v>24405.804233494218</v>
      </c>
      <c r="AU193" s="1">
        <f t="shared" si="394"/>
        <v>0</v>
      </c>
      <c r="AV193" s="1">
        <f t="shared" si="394"/>
        <v>0</v>
      </c>
      <c r="AW193" s="1">
        <f t="shared" si="394"/>
        <v>0</v>
      </c>
      <c r="AX193" s="1">
        <f t="shared" si="290"/>
        <v>-364802.9941172754</v>
      </c>
      <c r="AY193" s="1">
        <f t="shared" si="291"/>
        <v>136299.00588272093</v>
      </c>
      <c r="AZ193" s="1">
        <f t="shared" si="292"/>
        <v>-501101.99999999633</v>
      </c>
    </row>
    <row r="194" spans="1:52" x14ac:dyDescent="0.25">
      <c r="A194" s="4">
        <v>45814</v>
      </c>
      <c r="B194">
        <f t="shared" ref="B194:N194" si="420">(B744-B743)*100</f>
        <v>-2.0000000000000462</v>
      </c>
      <c r="C194">
        <f t="shared" si="420"/>
        <v>0</v>
      </c>
      <c r="D194">
        <f t="shared" si="420"/>
        <v>1.0000000000000675</v>
      </c>
      <c r="E194">
        <f t="shared" si="420"/>
        <v>-0.99999999999997868</v>
      </c>
      <c r="F194">
        <f t="shared" si="420"/>
        <v>-1.9999999999999574</v>
      </c>
      <c r="G194">
        <f t="shared" si="420"/>
        <v>-5.9999999999999609</v>
      </c>
      <c r="H194">
        <f t="shared" si="420"/>
        <v>-12.000000000000011</v>
      </c>
      <c r="I194">
        <f t="shared" si="420"/>
        <v>-11.999999999999966</v>
      </c>
      <c r="J194">
        <f t="shared" si="420"/>
        <v>-13.999999999999968</v>
      </c>
      <c r="K194">
        <f t="shared" si="420"/>
        <v>-12.999999999999989</v>
      </c>
      <c r="L194">
        <f t="shared" si="420"/>
        <v>-10.999999999999943</v>
      </c>
      <c r="M194">
        <f t="shared" si="420"/>
        <v>-8.9999999999999858</v>
      </c>
      <c r="N194">
        <f t="shared" si="420"/>
        <v>-8.9999999999999858</v>
      </c>
      <c r="O194" s="5">
        <f t="shared" si="402"/>
        <v>-3.9317309057994418E-4</v>
      </c>
      <c r="P194" s="5">
        <f t="shared" si="402"/>
        <v>2.9158769706511179E-4</v>
      </c>
      <c r="Q194" s="5">
        <f t="shared" si="402"/>
        <v>-6.5321914785474357E-3</v>
      </c>
      <c r="R194" s="5">
        <f t="shared" si="402"/>
        <v>6.5970552617407472E-3</v>
      </c>
      <c r="S194" s="5">
        <f t="shared" si="402"/>
        <v>-2.2951438265597507E-3</v>
      </c>
      <c r="T194" s="5">
        <f t="shared" ref="T194:X194" si="421">LN(T743/T744)</f>
        <v>-2.7794126788183364E-3</v>
      </c>
      <c r="U194" s="5">
        <f t="shared" si="421"/>
        <v>-2.0212886234694137E-3</v>
      </c>
      <c r="V194" s="5">
        <f t="shared" si="421"/>
        <v>5.6590187945647274E-3</v>
      </c>
      <c r="W194" s="5">
        <f t="shared" si="421"/>
        <v>-3.0488232438535736E-3</v>
      </c>
      <c r="X194" s="5">
        <f t="shared" si="421"/>
        <v>1.5636384045574941E-3</v>
      </c>
      <c r="Z194" s="4">
        <v>45814</v>
      </c>
      <c r="AA194">
        <f>B194*B$3</f>
        <v>1966.0000000000455</v>
      </c>
      <c r="AB194">
        <f>C194*C$3</f>
        <v>0</v>
      </c>
      <c r="AC194">
        <f>D194*D$3</f>
        <v>16143.00000000109</v>
      </c>
      <c r="AD194">
        <f>E194*E$3</f>
        <v>-2427.9999999999482</v>
      </c>
      <c r="AE194">
        <f>F194*F$3</f>
        <v>24855.999999999469</v>
      </c>
      <c r="AF194">
        <f>G194*G$3</f>
        <v>93767.999999999389</v>
      </c>
      <c r="AG194">
        <f>H194*H$3</f>
        <v>338592.00000000029</v>
      </c>
      <c r="AH194">
        <f>I194*I$3</f>
        <v>221471.99999999939</v>
      </c>
      <c r="AI194">
        <f>J194*J$3</f>
        <v>714720.99999999837</v>
      </c>
      <c r="AJ194">
        <f>K194*K$3</f>
        <v>1019134.9999999992</v>
      </c>
      <c r="AK194">
        <f>L194*L$3</f>
        <v>-341043.99999999825</v>
      </c>
      <c r="AL194">
        <f>M194*M$3</f>
        <v>-288656.99999999953</v>
      </c>
      <c r="AM194">
        <f>N194*N$3</f>
        <v>0</v>
      </c>
      <c r="AN194">
        <f>O194*O$3</f>
        <v>0</v>
      </c>
      <c r="AO194">
        <f>P194*P$3</f>
        <v>-1457.938485325559</v>
      </c>
      <c r="AP194">
        <f>Q194*Q$3</f>
        <v>-78386.297742569222</v>
      </c>
      <c r="AQ194">
        <f>R194*R$3</f>
        <v>-98955.828926111208</v>
      </c>
      <c r="AR194" s="1">
        <f>S194*S$3</f>
        <v>16066.006785918255</v>
      </c>
      <c r="AS194" s="1">
        <f t="shared" si="394"/>
        <v>-11117.650715273345</v>
      </c>
      <c r="AT194" s="1">
        <f t="shared" si="394"/>
        <v>-16170.30898775531</v>
      </c>
      <c r="AU194" s="1">
        <f t="shared" si="394"/>
        <v>0</v>
      </c>
      <c r="AV194" s="1">
        <f t="shared" si="394"/>
        <v>0</v>
      </c>
      <c r="AW194" s="1">
        <f t="shared" si="394"/>
        <v>0</v>
      </c>
      <c r="AX194" s="1">
        <f t="shared" si="290"/>
        <v>1608501.9819288834</v>
      </c>
      <c r="AY194" s="1">
        <f t="shared" si="291"/>
        <v>-190022.01807111638</v>
      </c>
      <c r="AZ194" s="1">
        <f t="shared" si="292"/>
        <v>1798523.9999999998</v>
      </c>
    </row>
    <row r="195" spans="1:52" x14ac:dyDescent="0.25">
      <c r="A195" s="4">
        <v>45813</v>
      </c>
      <c r="B195">
        <f t="shared" ref="B195:N195" si="422">(B745-B744)*100</f>
        <v>6.0000000000000497</v>
      </c>
      <c r="C195">
        <f t="shared" si="422"/>
        <v>0</v>
      </c>
      <c r="D195">
        <f t="shared" si="422"/>
        <v>0</v>
      </c>
      <c r="E195">
        <f t="shared" si="422"/>
        <v>0</v>
      </c>
      <c r="F195">
        <f t="shared" si="422"/>
        <v>0</v>
      </c>
      <c r="G195">
        <f t="shared" si="422"/>
        <v>-2.0000000000000462</v>
      </c>
      <c r="H195">
        <f t="shared" si="422"/>
        <v>-4.9999999999999822</v>
      </c>
      <c r="I195">
        <f t="shared" si="422"/>
        <v>-6.0000000000000053</v>
      </c>
      <c r="J195">
        <f t="shared" si="422"/>
        <v>-6.0000000000000053</v>
      </c>
      <c r="K195">
        <f t="shared" si="422"/>
        <v>-4.0000000000000036</v>
      </c>
      <c r="L195">
        <f t="shared" si="422"/>
        <v>-3.0000000000000249</v>
      </c>
      <c r="M195">
        <f t="shared" si="422"/>
        <v>0</v>
      </c>
      <c r="N195">
        <f t="shared" si="422"/>
        <v>0.99999999999997868</v>
      </c>
      <c r="O195" s="5">
        <f t="shared" ref="O195:S204" si="423">LN(O744/O745)</f>
        <v>-6.465136727163423E-3</v>
      </c>
      <c r="P195" s="5">
        <f t="shared" si="423"/>
        <v>9.2878736718202245E-4</v>
      </c>
      <c r="Q195" s="5">
        <f t="shared" si="423"/>
        <v>-4.9403322338178344E-3</v>
      </c>
      <c r="R195" s="5">
        <f t="shared" si="423"/>
        <v>2.7616698027292112E-3</v>
      </c>
      <c r="S195" s="5">
        <f t="shared" si="423"/>
        <v>-2.628492477909767E-3</v>
      </c>
      <c r="T195" s="5">
        <f t="shared" ref="T195:X195" si="424">LN(T744/T745)</f>
        <v>-3.2955128033731419E-3</v>
      </c>
      <c r="U195" s="5">
        <f t="shared" si="424"/>
        <v>-1.5302369984834948E-3</v>
      </c>
      <c r="V195" s="5">
        <f t="shared" si="424"/>
        <v>-7.712044653470136E-3</v>
      </c>
      <c r="W195" s="5">
        <f t="shared" si="424"/>
        <v>-3.7963314645581606E-3</v>
      </c>
      <c r="X195" s="5">
        <f t="shared" si="424"/>
        <v>-5.9968804875679448E-3</v>
      </c>
      <c r="Z195" s="4">
        <v>45813</v>
      </c>
      <c r="AA195">
        <f>B195*B$3</f>
        <v>-5898.0000000000491</v>
      </c>
      <c r="AB195">
        <f>C195*C$3</f>
        <v>0</v>
      </c>
      <c r="AC195">
        <f>D195*D$3</f>
        <v>0</v>
      </c>
      <c r="AD195">
        <f>E195*E$3</f>
        <v>0</v>
      </c>
      <c r="AE195">
        <f>F195*F$3</f>
        <v>0</v>
      </c>
      <c r="AF195">
        <f>G195*G$3</f>
        <v>31256.00000000072</v>
      </c>
      <c r="AG195">
        <f>H195*H$3</f>
        <v>141079.99999999951</v>
      </c>
      <c r="AH195">
        <f>I195*I$3</f>
        <v>110736.0000000001</v>
      </c>
      <c r="AI195">
        <f>J195*J$3</f>
        <v>306309.00000000029</v>
      </c>
      <c r="AJ195">
        <f>K195*K$3</f>
        <v>313580.00000000029</v>
      </c>
      <c r="AK195">
        <f>L195*L$3</f>
        <v>-93012.000000000771</v>
      </c>
      <c r="AL195">
        <f>M195*M$3</f>
        <v>0</v>
      </c>
      <c r="AM195">
        <f>N195*N$3</f>
        <v>0</v>
      </c>
      <c r="AN195">
        <f>O195*O$3</f>
        <v>0</v>
      </c>
      <c r="AO195">
        <f>P195*P$3</f>
        <v>-4643.9368359101127</v>
      </c>
      <c r="AP195">
        <f>Q195*Q$3</f>
        <v>-59283.986805814013</v>
      </c>
      <c r="AQ195">
        <f>R195*R$3</f>
        <v>-41425.047040938167</v>
      </c>
      <c r="AR195" s="1">
        <f>S195*S$3</f>
        <v>18399.447345368368</v>
      </c>
      <c r="AS195" s="1">
        <f t="shared" si="394"/>
        <v>-13182.051213492568</v>
      </c>
      <c r="AT195" s="1">
        <f t="shared" si="394"/>
        <v>-12241.895987867958</v>
      </c>
      <c r="AU195" s="1">
        <f t="shared" si="394"/>
        <v>0</v>
      </c>
      <c r="AV195" s="1">
        <f t="shared" si="394"/>
        <v>0</v>
      </c>
      <c r="AW195" s="1">
        <f t="shared" si="394"/>
        <v>0</v>
      </c>
      <c r="AX195" s="1">
        <f t="shared" si="290"/>
        <v>691673.52946134575</v>
      </c>
      <c r="AY195" s="1">
        <f t="shared" si="291"/>
        <v>-112377.47053865447</v>
      </c>
      <c r="AZ195" s="1">
        <f t="shared" si="292"/>
        <v>804051.00000000023</v>
      </c>
    </row>
    <row r="196" spans="1:52" x14ac:dyDescent="0.25">
      <c r="A196" s="4">
        <v>45812</v>
      </c>
      <c r="B196">
        <f t="shared" ref="B196:N196" si="425">(B746-B745)*100</f>
        <v>0.99999999999997868</v>
      </c>
      <c r="C196">
        <f t="shared" si="425"/>
        <v>0</v>
      </c>
      <c r="D196">
        <f t="shared" si="425"/>
        <v>-1.0000000000000675</v>
      </c>
      <c r="E196">
        <f t="shared" si="425"/>
        <v>0.99999999999997868</v>
      </c>
      <c r="F196">
        <f t="shared" si="425"/>
        <v>1.9999999999999574</v>
      </c>
      <c r="G196">
        <f t="shared" si="425"/>
        <v>6.0000000000000497</v>
      </c>
      <c r="H196">
        <f t="shared" si="425"/>
        <v>8.9999999999999858</v>
      </c>
      <c r="I196">
        <f t="shared" si="425"/>
        <v>9.0000000000000302</v>
      </c>
      <c r="J196">
        <f t="shared" si="425"/>
        <v>10.999999999999988</v>
      </c>
      <c r="K196">
        <f t="shared" si="425"/>
        <v>9.0000000000000746</v>
      </c>
      <c r="L196">
        <f t="shared" si="425"/>
        <v>8.9999999999999858</v>
      </c>
      <c r="M196">
        <f t="shared" si="425"/>
        <v>9.9999999999999645</v>
      </c>
      <c r="N196">
        <f t="shared" si="425"/>
        <v>9.0000000000000746</v>
      </c>
      <c r="O196" s="5">
        <f t="shared" si="423"/>
        <v>-6.4059677567022766E-3</v>
      </c>
      <c r="P196" s="5">
        <f t="shared" si="423"/>
        <v>9.9295690256552961E-4</v>
      </c>
      <c r="Q196" s="5">
        <f t="shared" si="423"/>
        <v>1.9987461336832143E-3</v>
      </c>
      <c r="R196" s="5">
        <f t="shared" si="423"/>
        <v>-1.6579169312914701E-3</v>
      </c>
      <c r="S196" s="5">
        <f t="shared" si="423"/>
        <v>-1.8264845260342985E-3</v>
      </c>
      <c r="T196" s="5">
        <f t="shared" ref="T196:X196" si="426">LN(T745/T746)</f>
        <v>6.0406832143975308E-3</v>
      </c>
      <c r="U196" s="5">
        <f t="shared" si="426"/>
        <v>1.8691023358239694E-3</v>
      </c>
      <c r="V196" s="5">
        <f t="shared" si="426"/>
        <v>9.6756813134177243E-3</v>
      </c>
      <c r="W196" s="5">
        <f t="shared" si="426"/>
        <v>4.984837549699749E-3</v>
      </c>
      <c r="X196" s="5">
        <f t="shared" si="426"/>
        <v>8.4816641429106415E-3</v>
      </c>
      <c r="Z196" s="4">
        <v>45812</v>
      </c>
      <c r="AA196">
        <f>B196*B$3</f>
        <v>-982.99999999997908</v>
      </c>
      <c r="AB196">
        <f>C196*C$3</f>
        <v>0</v>
      </c>
      <c r="AC196">
        <f>D196*D$3</f>
        <v>-16143.00000000109</v>
      </c>
      <c r="AD196">
        <f>E196*E$3</f>
        <v>2427.9999999999482</v>
      </c>
      <c r="AE196">
        <f>F196*F$3</f>
        <v>-24855.999999999469</v>
      </c>
      <c r="AF196">
        <f>G196*G$3</f>
        <v>-93768.000000000771</v>
      </c>
      <c r="AG196">
        <f>H196*H$3</f>
        <v>-253943.99999999959</v>
      </c>
      <c r="AH196">
        <f>I196*I$3</f>
        <v>-166104.00000000055</v>
      </c>
      <c r="AI196">
        <f>J196*J$3</f>
        <v>-561566.49999999942</v>
      </c>
      <c r="AJ196">
        <f>K196*K$3</f>
        <v>-705555.00000000582</v>
      </c>
      <c r="AK196">
        <f>L196*L$3</f>
        <v>279035.99999999953</v>
      </c>
      <c r="AL196">
        <f>M196*M$3</f>
        <v>320729.99999999884</v>
      </c>
      <c r="AM196">
        <f>N196*N$3</f>
        <v>0</v>
      </c>
      <c r="AN196">
        <f>O196*O$3</f>
        <v>0</v>
      </c>
      <c r="AO196">
        <f>P196*P$3</f>
        <v>-4964.7845128276476</v>
      </c>
      <c r="AP196">
        <f>Q196*Q$3</f>
        <v>23984.95360419857</v>
      </c>
      <c r="AQ196">
        <f>R196*R$3</f>
        <v>24868.75396937205</v>
      </c>
      <c r="AR196" s="1">
        <f>S196*S$3</f>
        <v>12785.39168224009</v>
      </c>
      <c r="AS196" s="1">
        <f t="shared" si="394"/>
        <v>24162.732857590123</v>
      </c>
      <c r="AT196" s="1">
        <f t="shared" si="394"/>
        <v>14952.818686591756</v>
      </c>
      <c r="AU196" s="1">
        <f t="shared" si="394"/>
        <v>0</v>
      </c>
      <c r="AV196" s="1">
        <f t="shared" si="394"/>
        <v>0</v>
      </c>
      <c r="AW196" s="1">
        <f t="shared" si="394"/>
        <v>0</v>
      </c>
      <c r="AX196" s="1">
        <f t="shared" si="290"/>
        <v>-1124935.6337128435</v>
      </c>
      <c r="AY196" s="1">
        <f t="shared" si="291"/>
        <v>95789.866287164943</v>
      </c>
      <c r="AZ196" s="1">
        <f t="shared" si="292"/>
        <v>-1220725.5000000084</v>
      </c>
    </row>
    <row r="197" spans="1:52" x14ac:dyDescent="0.25">
      <c r="A197" s="4">
        <v>45811</v>
      </c>
      <c r="B197">
        <f t="shared" ref="B197:N197" si="427">(B747-B746)*100</f>
        <v>0</v>
      </c>
      <c r="C197">
        <f t="shared" si="427"/>
        <v>1.0000000000000675</v>
      </c>
      <c r="D197">
        <f t="shared" si="427"/>
        <v>1.0000000000000675</v>
      </c>
      <c r="E197">
        <f t="shared" si="427"/>
        <v>0</v>
      </c>
      <c r="F197">
        <f t="shared" si="427"/>
        <v>0</v>
      </c>
      <c r="G197">
        <f t="shared" si="427"/>
        <v>0</v>
      </c>
      <c r="H197">
        <f t="shared" si="427"/>
        <v>-2.0000000000000018</v>
      </c>
      <c r="I197">
        <f t="shared" si="427"/>
        <v>-2.0000000000000018</v>
      </c>
      <c r="J197">
        <f t="shared" si="427"/>
        <v>-3.0000000000000249</v>
      </c>
      <c r="K197">
        <f t="shared" si="427"/>
        <v>-1.0000000000000675</v>
      </c>
      <c r="L197">
        <f t="shared" si="427"/>
        <v>0</v>
      </c>
      <c r="M197">
        <f t="shared" si="427"/>
        <v>0</v>
      </c>
      <c r="N197">
        <f t="shared" si="427"/>
        <v>0.99999999999997868</v>
      </c>
      <c r="O197" s="5">
        <f t="shared" si="423"/>
        <v>-4.2772342436650035E-3</v>
      </c>
      <c r="P197" s="5">
        <f t="shared" si="423"/>
        <v>-1.2151635305839325E-2</v>
      </c>
      <c r="Q197" s="5">
        <f t="shared" si="423"/>
        <v>-2.4659614328645186E-3</v>
      </c>
      <c r="R197" s="5">
        <f t="shared" si="423"/>
        <v>5.5233362354184989E-4</v>
      </c>
      <c r="S197" s="5">
        <f t="shared" si="423"/>
        <v>1.8212761248831862E-3</v>
      </c>
      <c r="T197" s="5">
        <f t="shared" ref="T197:X197" si="428">LN(T746/T747)</f>
        <v>-8.7805643611310186E-3</v>
      </c>
      <c r="U197" s="5">
        <f t="shared" si="428"/>
        <v>-6.6208419794304809E-3</v>
      </c>
      <c r="V197" s="5">
        <f t="shared" si="428"/>
        <v>-9.5226966426720672E-3</v>
      </c>
      <c r="W197" s="5">
        <f t="shared" si="428"/>
        <v>-8.5283459196545328E-3</v>
      </c>
      <c r="X197" s="5">
        <f t="shared" si="428"/>
        <v>-7.7279288716182214E-3</v>
      </c>
      <c r="Z197" s="4">
        <v>45811</v>
      </c>
      <c r="AA197">
        <f>B197*B$3</f>
        <v>0</v>
      </c>
      <c r="AB197">
        <f>C197*C$3</f>
        <v>-2584.0000000001746</v>
      </c>
      <c r="AC197">
        <f>D197*D$3</f>
        <v>16143.00000000109</v>
      </c>
      <c r="AD197">
        <f>E197*E$3</f>
        <v>0</v>
      </c>
      <c r="AE197">
        <f>F197*F$3</f>
        <v>0</v>
      </c>
      <c r="AF197">
        <f>G197*G$3</f>
        <v>0</v>
      </c>
      <c r="AG197">
        <f>H197*H$3</f>
        <v>56432.000000000051</v>
      </c>
      <c r="AH197">
        <f>I197*I$3</f>
        <v>36912.000000000036</v>
      </c>
      <c r="AI197">
        <f>J197*J$3</f>
        <v>153154.50000000128</v>
      </c>
      <c r="AJ197">
        <f>K197*K$3</f>
        <v>78395.000000005297</v>
      </c>
      <c r="AK197">
        <f>L197*L$3</f>
        <v>0</v>
      </c>
      <c r="AL197">
        <f>M197*M$3</f>
        <v>0</v>
      </c>
      <c r="AM197">
        <f>N197*N$3</f>
        <v>0</v>
      </c>
      <c r="AN197">
        <f>O197*O$3</f>
        <v>0</v>
      </c>
      <c r="AO197">
        <f>P197*P$3</f>
        <v>60758.176529196629</v>
      </c>
      <c r="AP197">
        <f>Q197*Q$3</f>
        <v>-29591.537194374221</v>
      </c>
      <c r="AQ197">
        <f>R197*R$3</f>
        <v>-8285.0043531277479</v>
      </c>
      <c r="AR197" s="1">
        <f>S197*S$3</f>
        <v>-12748.932874182303</v>
      </c>
      <c r="AS197" s="1">
        <f t="shared" ref="AS197:AW212" si="429">T197*T$3</f>
        <v>-35122.257444524075</v>
      </c>
      <c r="AT197" s="1">
        <f t="shared" si="429"/>
        <v>-52966.735835443847</v>
      </c>
      <c r="AU197" s="1">
        <f t="shared" si="429"/>
        <v>0</v>
      </c>
      <c r="AV197" s="1">
        <f t="shared" si="429"/>
        <v>0</v>
      </c>
      <c r="AW197" s="1">
        <f t="shared" si="429"/>
        <v>0</v>
      </c>
      <c r="AX197" s="1">
        <f t="shared" si="290"/>
        <v>260496.20882755204</v>
      </c>
      <c r="AY197" s="1">
        <f t="shared" si="291"/>
        <v>-77956.29117245556</v>
      </c>
      <c r="AZ197" s="1">
        <f t="shared" si="292"/>
        <v>338452.50000000757</v>
      </c>
    </row>
    <row r="198" spans="1:52" x14ac:dyDescent="0.25">
      <c r="A198" s="4">
        <v>45810</v>
      </c>
      <c r="B198">
        <f t="shared" ref="B198:N198" si="430">(B748-B747)*100</f>
        <v>0</v>
      </c>
      <c r="C198">
        <f t="shared" si="430"/>
        <v>-1.0000000000000675</v>
      </c>
      <c r="D198">
        <f t="shared" si="430"/>
        <v>-8.0000000000000071</v>
      </c>
      <c r="E198">
        <f t="shared" si="430"/>
        <v>0.99999999999997868</v>
      </c>
      <c r="F198">
        <f t="shared" si="430"/>
        <v>5.0000000000000711</v>
      </c>
      <c r="G198">
        <f t="shared" si="430"/>
        <v>-0.99999999999997868</v>
      </c>
      <c r="H198">
        <f t="shared" si="430"/>
        <v>-4.9999999999999822</v>
      </c>
      <c r="I198">
        <f t="shared" si="430"/>
        <v>-4.0000000000000036</v>
      </c>
      <c r="J198">
        <f t="shared" si="430"/>
        <v>-4.9999999999999822</v>
      </c>
      <c r="K198">
        <f t="shared" si="430"/>
        <v>-4.0000000000000036</v>
      </c>
      <c r="L198">
        <f t="shared" si="430"/>
        <v>-4.9999999999999822</v>
      </c>
      <c r="M198">
        <f t="shared" si="430"/>
        <v>-7.0000000000000284</v>
      </c>
      <c r="N198">
        <f t="shared" si="430"/>
        <v>-7.0000000000000284</v>
      </c>
      <c r="O198" s="5">
        <f t="shared" si="423"/>
        <v>-2.6311650184683132E-3</v>
      </c>
      <c r="P198" s="5">
        <f t="shared" si="423"/>
        <v>0</v>
      </c>
      <c r="Q198" s="5">
        <f t="shared" si="423"/>
        <v>4.895345372686182E-3</v>
      </c>
      <c r="R198" s="5">
        <f t="shared" si="423"/>
        <v>5.5263886457640541E-4</v>
      </c>
      <c r="S198" s="5">
        <f t="shared" si="423"/>
        <v>-1.015152970405369E-2</v>
      </c>
      <c r="T198" s="5">
        <f t="shared" ref="T198:X198" si="431">LN(T747/T748)</f>
        <v>2.204972646850289E-3</v>
      </c>
      <c r="U198" s="5">
        <f t="shared" si="431"/>
        <v>2.3514490063804971E-3</v>
      </c>
      <c r="V198" s="5">
        <f t="shared" si="431"/>
        <v>2.5032151164844894E-4</v>
      </c>
      <c r="W198" s="5">
        <f t="shared" si="431"/>
        <v>4.3173225280278244E-4</v>
      </c>
      <c r="X198" s="5">
        <f t="shared" si="431"/>
        <v>3.6489829635267889E-4</v>
      </c>
      <c r="Z198" s="4">
        <v>45810</v>
      </c>
      <c r="AA198">
        <f>B198*B$3</f>
        <v>0</v>
      </c>
      <c r="AB198">
        <f>C198*C$3</f>
        <v>2584.0000000001746</v>
      </c>
      <c r="AC198">
        <f>D198*D$3</f>
        <v>-129144.00000000012</v>
      </c>
      <c r="AD198">
        <f>E198*E$3</f>
        <v>2427.9999999999482</v>
      </c>
      <c r="AE198">
        <f>F198*F$3</f>
        <v>-62140.00000000088</v>
      </c>
      <c r="AF198">
        <f>G198*G$3</f>
        <v>15627.999999999667</v>
      </c>
      <c r="AG198">
        <f>H198*H$3</f>
        <v>141079.99999999951</v>
      </c>
      <c r="AH198">
        <f>I198*I$3</f>
        <v>73824.000000000073</v>
      </c>
      <c r="AI198">
        <f>J198*J$3</f>
        <v>255257.4999999991</v>
      </c>
      <c r="AJ198">
        <f>K198*K$3</f>
        <v>313580.00000000029</v>
      </c>
      <c r="AK198">
        <f>L198*L$3</f>
        <v>-155019.99999999945</v>
      </c>
      <c r="AL198">
        <f>M198*M$3</f>
        <v>-224511.0000000009</v>
      </c>
      <c r="AM198">
        <f>N198*N$3</f>
        <v>0</v>
      </c>
      <c r="AN198">
        <f>O198*O$3</f>
        <v>0</v>
      </c>
      <c r="AO198">
        <f>P198*P$3</f>
        <v>0</v>
      </c>
      <c r="AP198">
        <f>Q198*Q$3</f>
        <v>58744.144472234184</v>
      </c>
      <c r="AQ198">
        <f>R198*R$3</f>
        <v>-8289.582968646082</v>
      </c>
      <c r="AR198" s="1">
        <f>S198*S$3</f>
        <v>71060.707928375821</v>
      </c>
      <c r="AS198" s="1">
        <f t="shared" si="429"/>
        <v>8819.8905874011562</v>
      </c>
      <c r="AT198" s="1">
        <f t="shared" si="429"/>
        <v>18811.592051043976</v>
      </c>
      <c r="AU198" s="1">
        <f t="shared" si="429"/>
        <v>0</v>
      </c>
      <c r="AV198" s="1">
        <f t="shared" si="429"/>
        <v>0</v>
      </c>
      <c r="AW198" s="1">
        <f t="shared" si="429"/>
        <v>0</v>
      </c>
      <c r="AX198" s="1">
        <f t="shared" ref="AX198:AX261" si="432">SUM(AA198:AW198)</f>
        <v>382713.25207040651</v>
      </c>
      <c r="AY198" s="1">
        <f t="shared" ref="AY198:AY261" si="433">SUM(AN198:AW198)</f>
        <v>149146.75207040907</v>
      </c>
      <c r="AZ198" s="1">
        <f t="shared" ref="AZ198:AZ261" si="434">AX198-AY198</f>
        <v>233566.49999999744</v>
      </c>
    </row>
    <row r="199" spans="1:52" x14ac:dyDescent="0.25">
      <c r="A199" s="4">
        <v>45807</v>
      </c>
      <c r="B199">
        <f t="shared" ref="B199:N199" si="435">(B749-B748)*100</f>
        <v>0.99999999999997868</v>
      </c>
      <c r="C199">
        <f t="shared" si="435"/>
        <v>0</v>
      </c>
      <c r="D199">
        <f t="shared" si="435"/>
        <v>0</v>
      </c>
      <c r="E199">
        <f t="shared" si="435"/>
        <v>0</v>
      </c>
      <c r="F199">
        <f t="shared" si="435"/>
        <v>0</v>
      </c>
      <c r="G199">
        <f t="shared" si="435"/>
        <v>1.9999999999999574</v>
      </c>
      <c r="H199">
        <f t="shared" si="435"/>
        <v>2.9999999999999805</v>
      </c>
      <c r="I199">
        <f t="shared" si="435"/>
        <v>4.0000000000000036</v>
      </c>
      <c r="J199">
        <f t="shared" si="435"/>
        <v>4.0000000000000036</v>
      </c>
      <c r="K199">
        <f t="shared" si="435"/>
        <v>2.0000000000000462</v>
      </c>
      <c r="L199">
        <f t="shared" si="435"/>
        <v>1.9999999999999574</v>
      </c>
      <c r="M199">
        <f t="shared" si="435"/>
        <v>1.0000000000000675</v>
      </c>
      <c r="N199">
        <f t="shared" si="435"/>
        <v>0</v>
      </c>
      <c r="O199" s="5">
        <f t="shared" si="423"/>
        <v>9.2925695085506795E-3</v>
      </c>
      <c r="P199" s="5">
        <f t="shared" si="423"/>
        <v>8.0208037527298819E-3</v>
      </c>
      <c r="Q199" s="5">
        <f t="shared" si="423"/>
        <v>-3.0251730055660809E-3</v>
      </c>
      <c r="R199" s="5">
        <f t="shared" si="423"/>
        <v>-1.1049724881182148E-3</v>
      </c>
      <c r="S199" s="5">
        <f t="shared" si="423"/>
        <v>4.3454403865568064E-3</v>
      </c>
      <c r="T199" s="5">
        <f t="shared" ref="T199:X199" si="436">LN(T748/T749)</f>
        <v>-1.2798111458263282E-2</v>
      </c>
      <c r="U199" s="5">
        <f t="shared" si="436"/>
        <v>-5.0144162999151698E-3</v>
      </c>
      <c r="V199" s="5">
        <f t="shared" si="436"/>
        <v>-1.3251718609846022E-2</v>
      </c>
      <c r="W199" s="5">
        <f t="shared" si="436"/>
        <v>-3.2306701619624805E-3</v>
      </c>
      <c r="X199" s="5">
        <f t="shared" si="436"/>
        <v>-1.2789386205914431E-2</v>
      </c>
      <c r="Z199" s="4">
        <v>45807</v>
      </c>
      <c r="AA199">
        <f>B199*B$3</f>
        <v>-982.99999999997908</v>
      </c>
      <c r="AB199">
        <f>C199*C$3</f>
        <v>0</v>
      </c>
      <c r="AC199">
        <f>D199*D$3</f>
        <v>0</v>
      </c>
      <c r="AD199">
        <f>E199*E$3</f>
        <v>0</v>
      </c>
      <c r="AE199">
        <f>F199*F$3</f>
        <v>0</v>
      </c>
      <c r="AF199">
        <f>G199*G$3</f>
        <v>-31255.999999999334</v>
      </c>
      <c r="AG199">
        <f>H199*H$3</f>
        <v>-84647.999999999447</v>
      </c>
      <c r="AH199">
        <f>I199*I$3</f>
        <v>-73824.000000000073</v>
      </c>
      <c r="AI199">
        <f>J199*J$3</f>
        <v>-204206.00000000017</v>
      </c>
      <c r="AJ199">
        <f>K199*K$3</f>
        <v>-156790.00000000361</v>
      </c>
      <c r="AK199">
        <f>L199*L$3</f>
        <v>62007.999999998676</v>
      </c>
      <c r="AL199">
        <f>M199*M$3</f>
        <v>32073.000000002165</v>
      </c>
      <c r="AM199">
        <f>N199*N$3</f>
        <v>0</v>
      </c>
      <c r="AN199">
        <f>O199*O$3</f>
        <v>0</v>
      </c>
      <c r="AO199">
        <f>P199*P$3</f>
        <v>-40104.018763649408</v>
      </c>
      <c r="AP199">
        <f>Q199*Q$3</f>
        <v>-36302.076066792972</v>
      </c>
      <c r="AQ199">
        <f>R199*R$3</f>
        <v>16574.587321773222</v>
      </c>
      <c r="AR199" s="1">
        <f>S199*S$3</f>
        <v>-30418.082705897647</v>
      </c>
      <c r="AS199" s="1">
        <f t="shared" si="429"/>
        <v>-51192.445833053127</v>
      </c>
      <c r="AT199" s="1">
        <f t="shared" si="429"/>
        <v>-40115.330399321356</v>
      </c>
      <c r="AU199" s="1">
        <f t="shared" si="429"/>
        <v>0</v>
      </c>
      <c r="AV199" s="1">
        <f t="shared" si="429"/>
        <v>0</v>
      </c>
      <c r="AW199" s="1">
        <f t="shared" si="429"/>
        <v>0</v>
      </c>
      <c r="AX199" s="1">
        <f t="shared" si="432"/>
        <v>-639183.36644694302</v>
      </c>
      <c r="AY199" s="1">
        <f t="shared" si="433"/>
        <v>-181557.36644694131</v>
      </c>
      <c r="AZ199" s="1">
        <f t="shared" si="434"/>
        <v>-457626.00000000175</v>
      </c>
    </row>
    <row r="200" spans="1:52" x14ac:dyDescent="0.25">
      <c r="A200" s="4">
        <v>45806</v>
      </c>
      <c r="B200">
        <f t="shared" ref="B200:N200" si="437">(B750-B749)*100</f>
        <v>0.99999999999997868</v>
      </c>
      <c r="C200">
        <f t="shared" si="437"/>
        <v>0</v>
      </c>
      <c r="D200">
        <f t="shared" si="437"/>
        <v>-1.0000000000000675</v>
      </c>
      <c r="E200">
        <f t="shared" si="437"/>
        <v>-0.99999999999997868</v>
      </c>
      <c r="F200">
        <f t="shared" si="437"/>
        <v>0</v>
      </c>
      <c r="G200">
        <f t="shared" si="437"/>
        <v>3.0000000000000249</v>
      </c>
      <c r="H200">
        <f t="shared" si="437"/>
        <v>4.0000000000000036</v>
      </c>
      <c r="I200">
        <f t="shared" si="437"/>
        <v>4.0000000000000036</v>
      </c>
      <c r="J200">
        <f t="shared" si="437"/>
        <v>4.9999999999999822</v>
      </c>
      <c r="K200">
        <f t="shared" si="437"/>
        <v>6.9999999999999396</v>
      </c>
      <c r="L200">
        <f t="shared" si="437"/>
        <v>4.0000000000000036</v>
      </c>
      <c r="M200">
        <f t="shared" si="437"/>
        <v>4.9999999999999822</v>
      </c>
      <c r="N200">
        <f t="shared" si="437"/>
        <v>4.9999999999999822</v>
      </c>
      <c r="O200" s="5">
        <f t="shared" si="423"/>
        <v>-6.6438401386895753E-3</v>
      </c>
      <c r="P200" s="5">
        <f t="shared" si="423"/>
        <v>-3.1518590167709177E-4</v>
      </c>
      <c r="Q200" s="5">
        <f t="shared" si="423"/>
        <v>2.4279352125242087E-3</v>
      </c>
      <c r="R200" s="5">
        <f t="shared" si="423"/>
        <v>-4.9573221874277462E-3</v>
      </c>
      <c r="S200" s="5">
        <f t="shared" si="423"/>
        <v>-5.3142579381531109E-3</v>
      </c>
      <c r="T200" s="5">
        <f t="shared" ref="T200:X200" si="438">LN(T749/T750)</f>
        <v>9.1637038766559497E-3</v>
      </c>
      <c r="U200" s="5">
        <f t="shared" si="438"/>
        <v>6.0759542154608537E-3</v>
      </c>
      <c r="V200" s="5">
        <f t="shared" si="438"/>
        <v>1.0487440482405536E-2</v>
      </c>
      <c r="W200" s="5">
        <f t="shared" si="438"/>
        <v>3.4047716225025075E-3</v>
      </c>
      <c r="X200" s="5">
        <f t="shared" si="438"/>
        <v>6.374211167023254E-3</v>
      </c>
      <c r="Z200" s="4">
        <v>45806</v>
      </c>
      <c r="AA200">
        <f>B200*B$3</f>
        <v>-982.99999999997908</v>
      </c>
      <c r="AB200">
        <f>C200*C$3</f>
        <v>0</v>
      </c>
      <c r="AC200">
        <f>D200*D$3</f>
        <v>-16143.00000000109</v>
      </c>
      <c r="AD200">
        <f>E200*E$3</f>
        <v>-2427.9999999999482</v>
      </c>
      <c r="AE200">
        <f>F200*F$3</f>
        <v>0</v>
      </c>
      <c r="AF200">
        <f>G200*G$3</f>
        <v>-46884.000000000386</v>
      </c>
      <c r="AG200">
        <f>H200*H$3</f>
        <v>-112864.0000000001</v>
      </c>
      <c r="AH200">
        <f>I200*I$3</f>
        <v>-73824.000000000073</v>
      </c>
      <c r="AI200">
        <f>J200*J$3</f>
        <v>-255257.4999999991</v>
      </c>
      <c r="AJ200">
        <f>K200*K$3</f>
        <v>-548764.99999999523</v>
      </c>
      <c r="AK200">
        <f>L200*L$3</f>
        <v>124016.00000000012</v>
      </c>
      <c r="AL200">
        <f>M200*M$3</f>
        <v>160364.99999999942</v>
      </c>
      <c r="AM200">
        <f>N200*N$3</f>
        <v>0</v>
      </c>
      <c r="AN200">
        <f>O200*O$3</f>
        <v>0</v>
      </c>
      <c r="AO200">
        <f>P200*P$3</f>
        <v>1575.9295083854588</v>
      </c>
      <c r="AP200">
        <f>Q200*Q$3</f>
        <v>29135.222550290506</v>
      </c>
      <c r="AQ200">
        <f>R200*R$3</f>
        <v>74359.8328114162</v>
      </c>
      <c r="AR200" s="1">
        <f>S200*S$3</f>
        <v>37199.805567071773</v>
      </c>
      <c r="AS200" s="1">
        <f t="shared" si="429"/>
        <v>36654.815506623796</v>
      </c>
      <c r="AT200" s="1">
        <f t="shared" si="429"/>
        <v>48607.633723686828</v>
      </c>
      <c r="AU200" s="1">
        <f t="shared" si="429"/>
        <v>0</v>
      </c>
      <c r="AV200" s="1">
        <f t="shared" si="429"/>
        <v>0</v>
      </c>
      <c r="AW200" s="1">
        <f t="shared" si="429"/>
        <v>0</v>
      </c>
      <c r="AX200" s="1">
        <f t="shared" si="432"/>
        <v>-545234.26033252163</v>
      </c>
      <c r="AY200" s="1">
        <f t="shared" si="433"/>
        <v>227533.23966747455</v>
      </c>
      <c r="AZ200" s="1">
        <f t="shared" si="434"/>
        <v>-772767.49999999616</v>
      </c>
    </row>
    <row r="201" spans="1:52" x14ac:dyDescent="0.25">
      <c r="A201" s="4">
        <v>45805</v>
      </c>
      <c r="B201">
        <f t="shared" ref="B201:N201" si="439">(B751-B750)*100</f>
        <v>0</v>
      </c>
      <c r="C201">
        <f t="shared" si="439"/>
        <v>0</v>
      </c>
      <c r="D201">
        <f t="shared" si="439"/>
        <v>0</v>
      </c>
      <c r="E201">
        <f t="shared" si="439"/>
        <v>4.9999999999999822</v>
      </c>
      <c r="F201">
        <f t="shared" si="439"/>
        <v>-1.0000000000000675</v>
      </c>
      <c r="G201">
        <f t="shared" si="439"/>
        <v>-2.0000000000000462</v>
      </c>
      <c r="H201">
        <f t="shared" si="439"/>
        <v>-4.0000000000000036</v>
      </c>
      <c r="I201">
        <f t="shared" si="439"/>
        <v>-2.0000000000000018</v>
      </c>
      <c r="J201">
        <f t="shared" si="439"/>
        <v>-0.99999999999997868</v>
      </c>
      <c r="K201">
        <f t="shared" si="439"/>
        <v>-4.9999999999999822</v>
      </c>
      <c r="L201">
        <f t="shared" si="439"/>
        <v>-4.0000000000000036</v>
      </c>
      <c r="M201">
        <f t="shared" si="439"/>
        <v>-4.0000000000000036</v>
      </c>
      <c r="N201">
        <f t="shared" si="439"/>
        <v>-2.9999999999999361</v>
      </c>
      <c r="O201" s="5">
        <f t="shared" si="423"/>
        <v>6.9975344797304695E-3</v>
      </c>
      <c r="P201" s="5">
        <f t="shared" si="423"/>
        <v>3.6793095755103451E-3</v>
      </c>
      <c r="Q201" s="5">
        <f t="shared" si="423"/>
        <v>-3.7309256859305892E-4</v>
      </c>
      <c r="R201" s="5">
        <f t="shared" si="423"/>
        <v>2.7476301862656353E-4</v>
      </c>
      <c r="S201" s="5">
        <f t="shared" si="423"/>
        <v>7.5589510649427399E-3</v>
      </c>
      <c r="T201" s="5">
        <f t="shared" ref="T201:X201" si="440">LN(T750/T751)</f>
        <v>4.5223434677070457E-3</v>
      </c>
      <c r="U201" s="5">
        <f t="shared" si="440"/>
        <v>3.8316368638123283E-3</v>
      </c>
      <c r="V201" s="5">
        <f t="shared" si="440"/>
        <v>1.0612605670594549E-2</v>
      </c>
      <c r="W201" s="5">
        <f t="shared" si="440"/>
        <v>5.2423837549802118E-3</v>
      </c>
      <c r="X201" s="5">
        <f t="shared" si="440"/>
        <v>8.3026191061989808E-3</v>
      </c>
      <c r="Z201" s="4">
        <v>45805</v>
      </c>
      <c r="AA201">
        <f>B201*B$3</f>
        <v>0</v>
      </c>
      <c r="AB201">
        <f>C201*C$3</f>
        <v>0</v>
      </c>
      <c r="AC201">
        <f>D201*D$3</f>
        <v>0</v>
      </c>
      <c r="AD201">
        <f>E201*E$3</f>
        <v>12139.999999999956</v>
      </c>
      <c r="AE201">
        <f>F201*F$3</f>
        <v>12428.000000000839</v>
      </c>
      <c r="AF201">
        <f>G201*G$3</f>
        <v>31256.00000000072</v>
      </c>
      <c r="AG201">
        <f>H201*H$3</f>
        <v>112864.0000000001</v>
      </c>
      <c r="AH201">
        <f>I201*I$3</f>
        <v>36912.000000000036</v>
      </c>
      <c r="AI201">
        <f>J201*J$3</f>
        <v>51051.499999998909</v>
      </c>
      <c r="AJ201">
        <f>K201*K$3</f>
        <v>391974.9999999986</v>
      </c>
      <c r="AK201">
        <f>L201*L$3</f>
        <v>-124016.00000000012</v>
      </c>
      <c r="AL201">
        <f>M201*M$3</f>
        <v>-128292.00000000012</v>
      </c>
      <c r="AM201">
        <f>N201*N$3</f>
        <v>0</v>
      </c>
      <c r="AN201">
        <f>O201*O$3</f>
        <v>0</v>
      </c>
      <c r="AO201">
        <f>P201*P$3</f>
        <v>-18396.547877551726</v>
      </c>
      <c r="AP201">
        <f>Q201*Q$3</f>
        <v>-4477.1108231167073</v>
      </c>
      <c r="AQ201">
        <f>R201*R$3</f>
        <v>-4121.4452793984528</v>
      </c>
      <c r="AR201" s="1">
        <f>S201*S$3</f>
        <v>-52912.657454599183</v>
      </c>
      <c r="AS201" s="1">
        <f t="shared" si="429"/>
        <v>18089.373870828182</v>
      </c>
      <c r="AT201" s="1">
        <f t="shared" si="429"/>
        <v>30653.094910498628</v>
      </c>
      <c r="AU201" s="1">
        <f t="shared" si="429"/>
        <v>0</v>
      </c>
      <c r="AV201" s="1">
        <f t="shared" si="429"/>
        <v>0</v>
      </c>
      <c r="AW201" s="1">
        <f t="shared" si="429"/>
        <v>0</v>
      </c>
      <c r="AX201" s="1">
        <f t="shared" si="432"/>
        <v>365153.20734665968</v>
      </c>
      <c r="AY201" s="1">
        <f t="shared" si="433"/>
        <v>-31165.29265333926</v>
      </c>
      <c r="AZ201" s="1">
        <f t="shared" si="434"/>
        <v>396318.49999999895</v>
      </c>
    </row>
    <row r="202" spans="1:52" x14ac:dyDescent="0.25">
      <c r="A202" s="4">
        <v>45804</v>
      </c>
      <c r="B202">
        <f t="shared" ref="B202:N202" si="441">(B752-B751)*100</f>
        <v>1.0000000000000675</v>
      </c>
      <c r="C202">
        <f t="shared" si="441"/>
        <v>0</v>
      </c>
      <c r="D202">
        <f t="shared" si="441"/>
        <v>1.0000000000000675</v>
      </c>
      <c r="E202">
        <f t="shared" si="441"/>
        <v>0</v>
      </c>
      <c r="F202">
        <f t="shared" si="441"/>
        <v>0</v>
      </c>
      <c r="G202">
        <f t="shared" si="441"/>
        <v>1.0000000000000675</v>
      </c>
      <c r="H202">
        <f t="shared" si="441"/>
        <v>8.0000000000000071</v>
      </c>
      <c r="I202">
        <f t="shared" si="441"/>
        <v>2.9999999999999805</v>
      </c>
      <c r="J202">
        <f t="shared" si="441"/>
        <v>4.0000000000000036</v>
      </c>
      <c r="K202">
        <f t="shared" si="441"/>
        <v>7.0000000000000284</v>
      </c>
      <c r="L202">
        <f t="shared" si="441"/>
        <v>8.0000000000000071</v>
      </c>
      <c r="M202">
        <f t="shared" si="441"/>
        <v>8.0000000000000071</v>
      </c>
      <c r="N202">
        <f t="shared" si="441"/>
        <v>9.9999999999999645</v>
      </c>
      <c r="O202" s="5">
        <f t="shared" si="423"/>
        <v>-6.9272739889319366E-3</v>
      </c>
      <c r="P202" s="5">
        <f t="shared" si="423"/>
        <v>-1.0371691495395442E-2</v>
      </c>
      <c r="Q202" s="5">
        <f t="shared" si="423"/>
        <v>-6.967189065084276E-3</v>
      </c>
      <c r="R202" s="5">
        <f t="shared" si="423"/>
        <v>-6.0274155080765057E-3</v>
      </c>
      <c r="S202" s="5">
        <f t="shared" si="423"/>
        <v>1.4802083303858608E-3</v>
      </c>
      <c r="T202" s="5">
        <f t="shared" ref="T202:X202" si="442">LN(T751/T752)</f>
        <v>-9.4080547433628408E-3</v>
      </c>
      <c r="U202" s="5">
        <f t="shared" si="442"/>
        <v>-1.0820484421665085E-2</v>
      </c>
      <c r="V202" s="5">
        <f t="shared" si="442"/>
        <v>-8.3975945052124634E-3</v>
      </c>
      <c r="W202" s="5">
        <f t="shared" si="442"/>
        <v>-1.1047222250197004E-2</v>
      </c>
      <c r="X202" s="5">
        <f t="shared" si="442"/>
        <v>-9.6555357330725816E-3</v>
      </c>
      <c r="Z202" s="4">
        <v>45804</v>
      </c>
      <c r="AA202">
        <f>B202*B$3</f>
        <v>-983.00000000006639</v>
      </c>
      <c r="AB202">
        <f>C202*C$3</f>
        <v>0</v>
      </c>
      <c r="AC202">
        <f>D202*D$3</f>
        <v>16143.00000000109</v>
      </c>
      <c r="AD202">
        <f>E202*E$3</f>
        <v>0</v>
      </c>
      <c r="AE202">
        <f>F202*F$3</f>
        <v>0</v>
      </c>
      <c r="AF202">
        <f>G202*G$3</f>
        <v>-15628.000000001055</v>
      </c>
      <c r="AG202">
        <f>H202*H$3</f>
        <v>-225728.0000000002</v>
      </c>
      <c r="AH202">
        <f>I202*I$3</f>
        <v>-55367.999999999636</v>
      </c>
      <c r="AI202">
        <f>J202*J$3</f>
        <v>-204206.00000000017</v>
      </c>
      <c r="AJ202">
        <f>K202*K$3</f>
        <v>-548765.00000000221</v>
      </c>
      <c r="AK202">
        <f>L202*L$3</f>
        <v>248032.00000000023</v>
      </c>
      <c r="AL202">
        <f>M202*M$3</f>
        <v>256584.00000000023</v>
      </c>
      <c r="AM202">
        <f>N202*N$3</f>
        <v>0</v>
      </c>
      <c r="AN202">
        <f>O202*O$3</f>
        <v>0</v>
      </c>
      <c r="AO202">
        <f>P202*P$3</f>
        <v>51858.457476977208</v>
      </c>
      <c r="AP202">
        <f>Q202*Q$3</f>
        <v>-83606.268781011313</v>
      </c>
      <c r="AQ202">
        <f>R202*R$3</f>
        <v>90411.232621147588</v>
      </c>
      <c r="AR202" s="1">
        <f>S202*S$3</f>
        <v>-10361.458312701026</v>
      </c>
      <c r="AS202" s="1">
        <f t="shared" si="429"/>
        <v>-37632.218973451367</v>
      </c>
      <c r="AT202" s="1">
        <f t="shared" si="429"/>
        <v>-86563.875373320683</v>
      </c>
      <c r="AU202" s="1">
        <f t="shared" si="429"/>
        <v>0</v>
      </c>
      <c r="AV202" s="1">
        <f t="shared" si="429"/>
        <v>0</v>
      </c>
      <c r="AW202" s="1">
        <f t="shared" si="429"/>
        <v>0</v>
      </c>
      <c r="AX202" s="1">
        <f t="shared" si="432"/>
        <v>-605813.13134236145</v>
      </c>
      <c r="AY202" s="1">
        <f t="shared" si="433"/>
        <v>-75894.131342359586</v>
      </c>
      <c r="AZ202" s="1">
        <f t="shared" si="434"/>
        <v>-529919.00000000186</v>
      </c>
    </row>
    <row r="203" spans="1:52" x14ac:dyDescent="0.25">
      <c r="A203" s="4">
        <v>45800</v>
      </c>
      <c r="B203">
        <f t="shared" ref="B203:N203" si="443">(B753-B752)*100</f>
        <v>0.99999999999997868</v>
      </c>
      <c r="C203">
        <f t="shared" si="443"/>
        <v>0</v>
      </c>
      <c r="D203">
        <f t="shared" si="443"/>
        <v>0.99999999999997868</v>
      </c>
      <c r="E203">
        <f t="shared" si="443"/>
        <v>-0.99999999999997868</v>
      </c>
      <c r="F203">
        <f t="shared" si="443"/>
        <v>-0.99999999999997868</v>
      </c>
      <c r="G203">
        <f t="shared" si="443"/>
        <v>-2.0000000000000462</v>
      </c>
      <c r="H203">
        <f t="shared" si="443"/>
        <v>0</v>
      </c>
      <c r="I203">
        <f t="shared" si="443"/>
        <v>3.0000000000000249</v>
      </c>
      <c r="J203">
        <f t="shared" si="443"/>
        <v>3.0000000000000249</v>
      </c>
      <c r="K203">
        <f t="shared" si="443"/>
        <v>3.0000000000000249</v>
      </c>
      <c r="L203">
        <f t="shared" si="443"/>
        <v>3.0000000000000249</v>
      </c>
      <c r="M203">
        <f t="shared" si="443"/>
        <v>1.9999999999999574</v>
      </c>
      <c r="N203">
        <f t="shared" si="443"/>
        <v>0.99999999999997868</v>
      </c>
      <c r="O203" s="5">
        <f t="shared" si="423"/>
        <v>9.5662418957630346E-3</v>
      </c>
      <c r="P203" s="5">
        <f t="shared" si="423"/>
        <v>-5.3074729231569091E-3</v>
      </c>
      <c r="Q203" s="5">
        <f t="shared" si="423"/>
        <v>2.787421322024313E-3</v>
      </c>
      <c r="R203" s="5">
        <f t="shared" si="423"/>
        <v>8.1978416942516915E-4</v>
      </c>
      <c r="S203" s="5">
        <f t="shared" si="423"/>
        <v>-3.7507922962214282E-3</v>
      </c>
      <c r="T203" s="5">
        <f t="shared" ref="T203:X203" si="444">LN(T752/T753)</f>
        <v>4.3642429234242719E-3</v>
      </c>
      <c r="U203" s="5">
        <f t="shared" si="444"/>
        <v>-1.341413856382763E-5</v>
      </c>
      <c r="V203" s="5">
        <f t="shared" si="444"/>
        <v>7.1621816965357344E-4</v>
      </c>
      <c r="W203" s="5">
        <f t="shared" si="444"/>
        <v>3.6280100028023899E-3</v>
      </c>
      <c r="X203" s="5">
        <f t="shared" si="444"/>
        <v>4.003712879993594E-3</v>
      </c>
      <c r="Z203" s="4">
        <v>45800</v>
      </c>
      <c r="AA203">
        <f>B203*B$3</f>
        <v>-982.99999999997908</v>
      </c>
      <c r="AB203">
        <f>C203*C$3</f>
        <v>0</v>
      </c>
      <c r="AC203">
        <f>D203*D$3</f>
        <v>16142.999999999656</v>
      </c>
      <c r="AD203">
        <f>E203*E$3</f>
        <v>-2427.9999999999482</v>
      </c>
      <c r="AE203">
        <f>F203*F$3</f>
        <v>12427.999999999734</v>
      </c>
      <c r="AF203">
        <f>G203*G$3</f>
        <v>31256.00000000072</v>
      </c>
      <c r="AG203">
        <f>H203*H$3</f>
        <v>0</v>
      </c>
      <c r="AH203">
        <f>I203*I$3</f>
        <v>-55368.000000000458</v>
      </c>
      <c r="AI203">
        <f>J203*J$3</f>
        <v>-153154.50000000128</v>
      </c>
      <c r="AJ203">
        <f>K203*K$3</f>
        <v>-235185.00000000195</v>
      </c>
      <c r="AK203">
        <f>L203*L$3</f>
        <v>93012.000000000771</v>
      </c>
      <c r="AL203">
        <f>M203*M$3</f>
        <v>64145.999999998632</v>
      </c>
      <c r="AM203">
        <f>N203*N$3</f>
        <v>0</v>
      </c>
      <c r="AN203">
        <f>O203*O$3</f>
        <v>0</v>
      </c>
      <c r="AO203">
        <f>P203*P$3</f>
        <v>26537.364615784547</v>
      </c>
      <c r="AP203">
        <f>Q203*Q$3</f>
        <v>33449.055864291753</v>
      </c>
      <c r="AQ203">
        <f>R203*R$3</f>
        <v>-12296.762541377537</v>
      </c>
      <c r="AR203" s="1">
        <f>S203*S$3</f>
        <v>26255.546073549998</v>
      </c>
      <c r="AS203" s="1">
        <f t="shared" si="429"/>
        <v>17456.971693697087</v>
      </c>
      <c r="AT203" s="1">
        <f t="shared" si="429"/>
        <v>-107.31310851062103</v>
      </c>
      <c r="AU203" s="1">
        <f t="shared" si="429"/>
        <v>0</v>
      </c>
      <c r="AV203" s="1">
        <f t="shared" si="429"/>
        <v>0</v>
      </c>
      <c r="AW203" s="1">
        <f t="shared" si="429"/>
        <v>0</v>
      </c>
      <c r="AX203" s="1">
        <f t="shared" si="432"/>
        <v>-138838.63740256886</v>
      </c>
      <c r="AY203" s="1">
        <f t="shared" si="433"/>
        <v>91294.862597435233</v>
      </c>
      <c r="AZ203" s="1">
        <f t="shared" si="434"/>
        <v>-230133.50000000407</v>
      </c>
    </row>
    <row r="204" spans="1:52" x14ac:dyDescent="0.25">
      <c r="A204" s="4">
        <v>45799</v>
      </c>
      <c r="B204">
        <f t="shared" ref="B204:N204" si="445">(B754-B753)*100</f>
        <v>-2.0000000000000462</v>
      </c>
      <c r="C204">
        <f t="shared" si="445"/>
        <v>-0.99999999999997868</v>
      </c>
      <c r="D204">
        <f t="shared" si="445"/>
        <v>-0.99999999999997868</v>
      </c>
      <c r="E204">
        <f t="shared" si="445"/>
        <v>0</v>
      </c>
      <c r="F204">
        <f t="shared" si="445"/>
        <v>-0.99999999999997868</v>
      </c>
      <c r="G204">
        <f t="shared" si="445"/>
        <v>0</v>
      </c>
      <c r="H204">
        <f t="shared" si="445"/>
        <v>0</v>
      </c>
      <c r="I204">
        <f t="shared" si="445"/>
        <v>0.99999999999997868</v>
      </c>
      <c r="J204">
        <f t="shared" si="445"/>
        <v>4.0000000000000036</v>
      </c>
      <c r="K204">
        <f t="shared" si="445"/>
        <v>4.9999999999999822</v>
      </c>
      <c r="L204">
        <f t="shared" si="445"/>
        <v>4.0000000000000036</v>
      </c>
      <c r="M204">
        <f t="shared" si="445"/>
        <v>3.0000000000000249</v>
      </c>
      <c r="N204">
        <f t="shared" si="445"/>
        <v>3.0000000000000249</v>
      </c>
      <c r="O204" s="5">
        <f t="shared" si="423"/>
        <v>-3.2048188202173857E-3</v>
      </c>
      <c r="P204" s="5">
        <f t="shared" si="423"/>
        <v>-7.4223944220015627E-4</v>
      </c>
      <c r="Q204" s="5">
        <f t="shared" si="423"/>
        <v>5.875795286047255E-3</v>
      </c>
      <c r="R204" s="5">
        <f t="shared" si="423"/>
        <v>-4.6365826961260632E-3</v>
      </c>
      <c r="S204" s="5">
        <f t="shared" si="423"/>
        <v>-3.0762334999885838E-3</v>
      </c>
      <c r="T204" s="5">
        <f t="shared" ref="T204:X204" si="446">LN(T753/T754)</f>
        <v>-3.8226465509555254E-3</v>
      </c>
      <c r="U204" s="5">
        <f t="shared" si="446"/>
        <v>-1.58226453266848E-3</v>
      </c>
      <c r="V204" s="5">
        <f t="shared" si="446"/>
        <v>-3.9780118018537683E-3</v>
      </c>
      <c r="W204" s="5">
        <f t="shared" si="446"/>
        <v>-1.1045707868244891E-3</v>
      </c>
      <c r="X204" s="5">
        <f t="shared" si="446"/>
        <v>-1.9881428172916567E-3</v>
      </c>
      <c r="Z204" s="4">
        <v>45799</v>
      </c>
      <c r="AA204">
        <f>B204*B$3</f>
        <v>1966.0000000000455</v>
      </c>
      <c r="AB204">
        <f>C204*C$3</f>
        <v>2583.999999999945</v>
      </c>
      <c r="AC204">
        <f>D204*D$3</f>
        <v>-16142.999999999656</v>
      </c>
      <c r="AD204">
        <f>E204*E$3</f>
        <v>0</v>
      </c>
      <c r="AE204">
        <f>F204*F$3</f>
        <v>12427.999999999734</v>
      </c>
      <c r="AF204">
        <f>G204*G$3</f>
        <v>0</v>
      </c>
      <c r="AG204">
        <f>H204*H$3</f>
        <v>0</v>
      </c>
      <c r="AH204">
        <f>I204*I$3</f>
        <v>-18455.999999999607</v>
      </c>
      <c r="AI204">
        <f>J204*J$3</f>
        <v>-204206.00000000017</v>
      </c>
      <c r="AJ204">
        <f>K204*K$3</f>
        <v>-391974.9999999986</v>
      </c>
      <c r="AK204">
        <f>L204*L$3</f>
        <v>124016.00000000012</v>
      </c>
      <c r="AL204">
        <f>M204*M$3</f>
        <v>96219.0000000008</v>
      </c>
      <c r="AM204">
        <f>N204*N$3</f>
        <v>0</v>
      </c>
      <c r="AN204">
        <f>O204*O$3</f>
        <v>0</v>
      </c>
      <c r="AO204">
        <f>P204*P$3</f>
        <v>3711.1972110007814</v>
      </c>
      <c r="AP204">
        <f>Q204*Q$3</f>
        <v>70509.543432567065</v>
      </c>
      <c r="AQ204">
        <f>R204*R$3</f>
        <v>69548.740441890943</v>
      </c>
      <c r="AR204" s="1">
        <f>S204*S$3</f>
        <v>21533.634499920088</v>
      </c>
      <c r="AS204" s="1">
        <f t="shared" si="429"/>
        <v>-15290.586203822102</v>
      </c>
      <c r="AT204" s="1">
        <f t="shared" si="429"/>
        <v>-12658.116261347839</v>
      </c>
      <c r="AU204" s="1">
        <f t="shared" si="429"/>
        <v>0</v>
      </c>
      <c r="AV204" s="1">
        <f t="shared" si="429"/>
        <v>0</v>
      </c>
      <c r="AW204" s="1">
        <f t="shared" si="429"/>
        <v>0</v>
      </c>
      <c r="AX204" s="1">
        <f t="shared" si="432"/>
        <v>-256212.58687978846</v>
      </c>
      <c r="AY204" s="1">
        <f t="shared" si="433"/>
        <v>137354.41312020892</v>
      </c>
      <c r="AZ204" s="1">
        <f t="shared" si="434"/>
        <v>-393566.99999999738</v>
      </c>
    </row>
    <row r="205" spans="1:52" x14ac:dyDescent="0.25">
      <c r="A205" s="4">
        <v>45798</v>
      </c>
      <c r="B205">
        <f t="shared" ref="B205:N205" si="447">(B755-B754)*100</f>
        <v>1.0000000000000675</v>
      </c>
      <c r="C205">
        <f t="shared" si="447"/>
        <v>0</v>
      </c>
      <c r="D205">
        <f t="shared" si="447"/>
        <v>1.9999999999999574</v>
      </c>
      <c r="E205">
        <f t="shared" si="447"/>
        <v>0</v>
      </c>
      <c r="F205">
        <f t="shared" si="447"/>
        <v>-0.99999999999997868</v>
      </c>
      <c r="G205">
        <f t="shared" si="447"/>
        <v>-0.99999999999997868</v>
      </c>
      <c r="H205">
        <f t="shared" si="447"/>
        <v>-2.9999999999999805</v>
      </c>
      <c r="I205">
        <f t="shared" si="447"/>
        <v>-4.9999999999999822</v>
      </c>
      <c r="J205">
        <f t="shared" si="447"/>
        <v>-8.0000000000000071</v>
      </c>
      <c r="K205">
        <f t="shared" si="447"/>
        <v>-10.000000000000053</v>
      </c>
      <c r="L205">
        <f t="shared" si="447"/>
        <v>-9.9999999999999645</v>
      </c>
      <c r="M205">
        <f t="shared" si="447"/>
        <v>-8.9999999999999858</v>
      </c>
      <c r="N205">
        <f t="shared" si="447"/>
        <v>-12.000000000000011</v>
      </c>
      <c r="O205" s="5">
        <f t="shared" ref="O205:S214" si="448">LN(O754/O755)</f>
        <v>-8.6583916704838519E-4</v>
      </c>
      <c r="P205" s="5">
        <f t="shared" si="448"/>
        <v>3.0442883222403867E-3</v>
      </c>
      <c r="Q205" s="5">
        <f t="shared" si="448"/>
        <v>0</v>
      </c>
      <c r="R205" s="5">
        <f t="shared" si="448"/>
        <v>-2.9887265828316065E-3</v>
      </c>
      <c r="S205" s="5">
        <f t="shared" si="448"/>
        <v>4.9628407072666598E-3</v>
      </c>
      <c r="T205" s="5">
        <f t="shared" ref="T205:X205" si="449">LN(T754/T755)</f>
        <v>-4.8420861851955401E-3</v>
      </c>
      <c r="U205" s="5">
        <f t="shared" si="449"/>
        <v>-2.822938138243461E-3</v>
      </c>
      <c r="V205" s="5">
        <f t="shared" si="449"/>
        <v>-4.4728484136549503E-3</v>
      </c>
      <c r="W205" s="5">
        <f t="shared" si="449"/>
        <v>4.6297280835908726E-3</v>
      </c>
      <c r="X205" s="5">
        <f t="shared" si="449"/>
        <v>-9.9633755884447738E-3</v>
      </c>
      <c r="Z205" s="4">
        <v>45798</v>
      </c>
      <c r="AA205">
        <f>B205*B$3</f>
        <v>-983.00000000006639</v>
      </c>
      <c r="AB205">
        <f>C205*C$3</f>
        <v>0</v>
      </c>
      <c r="AC205">
        <f>D205*D$3</f>
        <v>32285.999999999312</v>
      </c>
      <c r="AD205">
        <f>E205*E$3</f>
        <v>0</v>
      </c>
      <c r="AE205">
        <f>F205*F$3</f>
        <v>12427.999999999734</v>
      </c>
      <c r="AF205">
        <f>G205*G$3</f>
        <v>15627.999999999667</v>
      </c>
      <c r="AG205">
        <f>H205*H$3</f>
        <v>84647.999999999447</v>
      </c>
      <c r="AH205">
        <f>I205*I$3</f>
        <v>92279.999999999665</v>
      </c>
      <c r="AI205">
        <f>J205*J$3</f>
        <v>408412.00000000035</v>
      </c>
      <c r="AJ205">
        <f>K205*K$3</f>
        <v>783950.00000000419</v>
      </c>
      <c r="AK205">
        <f>L205*L$3</f>
        <v>-310039.99999999889</v>
      </c>
      <c r="AL205">
        <f>M205*M$3</f>
        <v>-288656.99999999953</v>
      </c>
      <c r="AM205">
        <f>N205*N$3</f>
        <v>0</v>
      </c>
      <c r="AN205">
        <f>O205*O$3</f>
        <v>0</v>
      </c>
      <c r="AO205">
        <f>P205*P$3</f>
        <v>-15221.441611201933</v>
      </c>
      <c r="AP205">
        <f>Q205*Q$3</f>
        <v>0</v>
      </c>
      <c r="AQ205">
        <f>R205*R$3</f>
        <v>44830.898742474099</v>
      </c>
      <c r="AR205" s="1">
        <f>S205*S$3</f>
        <v>-34739.884950866617</v>
      </c>
      <c r="AS205" s="1">
        <f t="shared" si="429"/>
        <v>-19368.344740782162</v>
      </c>
      <c r="AT205" s="1">
        <f t="shared" si="429"/>
        <v>-22583.50510594769</v>
      </c>
      <c r="AU205" s="1">
        <f t="shared" si="429"/>
        <v>0</v>
      </c>
      <c r="AV205" s="1">
        <f t="shared" si="429"/>
        <v>0</v>
      </c>
      <c r="AW205" s="1">
        <f t="shared" si="429"/>
        <v>0</v>
      </c>
      <c r="AX205" s="1">
        <f t="shared" si="432"/>
        <v>782869.72233367967</v>
      </c>
      <c r="AY205" s="1">
        <f t="shared" si="433"/>
        <v>-47082.277666324298</v>
      </c>
      <c r="AZ205" s="1">
        <f t="shared" si="434"/>
        <v>829952.00000000396</v>
      </c>
    </row>
    <row r="206" spans="1:52" x14ac:dyDescent="0.25">
      <c r="A206" s="4">
        <v>45797</v>
      </c>
      <c r="B206">
        <f t="shared" ref="B206:N206" si="450">(B756-B755)*100</f>
        <v>0.99999999999997868</v>
      </c>
      <c r="C206">
        <f t="shared" si="450"/>
        <v>0.99999999999997868</v>
      </c>
      <c r="D206">
        <f t="shared" si="450"/>
        <v>0.99999999999997868</v>
      </c>
      <c r="E206">
        <f t="shared" si="450"/>
        <v>0</v>
      </c>
      <c r="F206">
        <f t="shared" si="450"/>
        <v>0</v>
      </c>
      <c r="G206">
        <f t="shared" si="450"/>
        <v>0</v>
      </c>
      <c r="H206">
        <f t="shared" si="450"/>
        <v>0</v>
      </c>
      <c r="I206">
        <f t="shared" si="450"/>
        <v>0</v>
      </c>
      <c r="J206">
        <f t="shared" si="450"/>
        <v>0</v>
      </c>
      <c r="K206">
        <f t="shared" si="450"/>
        <v>-0.99999999999997868</v>
      </c>
      <c r="L206">
        <f t="shared" si="450"/>
        <v>-2.0000000000000462</v>
      </c>
      <c r="M206">
        <f t="shared" si="450"/>
        <v>-4.0000000000000036</v>
      </c>
      <c r="N206">
        <f t="shared" si="450"/>
        <v>-4.0000000000000036</v>
      </c>
      <c r="O206" s="5">
        <f t="shared" si="448"/>
        <v>5.1234487230011308E-4</v>
      </c>
      <c r="P206" s="5">
        <f t="shared" si="448"/>
        <v>-2.1343701520892986E-3</v>
      </c>
      <c r="Q206" s="5">
        <f t="shared" si="448"/>
        <v>-8.2609512133494777E-3</v>
      </c>
      <c r="R206" s="5">
        <f t="shared" si="448"/>
        <v>-1.0845988048043295E-3</v>
      </c>
      <c r="S206" s="5">
        <f t="shared" si="448"/>
        <v>-2.2852415018360371E-3</v>
      </c>
      <c r="T206" s="5">
        <f t="shared" ref="T206:X206" si="451">LN(T755/T756)</f>
        <v>-4.0917558063545204E-3</v>
      </c>
      <c r="U206" s="5">
        <f t="shared" si="451"/>
        <v>-4.0917972429373086E-3</v>
      </c>
      <c r="V206" s="5">
        <f t="shared" si="451"/>
        <v>-2.2254785582945082E-3</v>
      </c>
      <c r="W206" s="5">
        <f t="shared" si="451"/>
        <v>-7.1224811374565652E-3</v>
      </c>
      <c r="X206" s="5">
        <f t="shared" si="451"/>
        <v>-5.5071603930953613E-4</v>
      </c>
      <c r="Z206" s="4">
        <v>45797</v>
      </c>
      <c r="AA206">
        <f>B206*B$3</f>
        <v>-982.99999999997908</v>
      </c>
      <c r="AB206">
        <f>C206*C$3</f>
        <v>-2583.999999999945</v>
      </c>
      <c r="AC206">
        <f>D206*D$3</f>
        <v>16142.999999999656</v>
      </c>
      <c r="AD206">
        <f>E206*E$3</f>
        <v>0</v>
      </c>
      <c r="AE206">
        <f>F206*F$3</f>
        <v>0</v>
      </c>
      <c r="AF206">
        <f>G206*G$3</f>
        <v>0</v>
      </c>
      <c r="AG206">
        <f>H206*H$3</f>
        <v>0</v>
      </c>
      <c r="AH206">
        <f>I206*I$3</f>
        <v>0</v>
      </c>
      <c r="AI206">
        <f>J206*J$3</f>
        <v>0</v>
      </c>
      <c r="AJ206">
        <f>K206*K$3</f>
        <v>78394.999999998327</v>
      </c>
      <c r="AK206">
        <f>L206*L$3</f>
        <v>-62008.000000001433</v>
      </c>
      <c r="AL206">
        <f>M206*M$3</f>
        <v>-128292.00000000012</v>
      </c>
      <c r="AM206">
        <f>N206*N$3</f>
        <v>0</v>
      </c>
      <c r="AN206">
        <f>O206*O$3</f>
        <v>0</v>
      </c>
      <c r="AO206">
        <f>P206*P$3</f>
        <v>10671.850760446494</v>
      </c>
      <c r="AP206">
        <f>Q206*Q$3</f>
        <v>-99131.414560193734</v>
      </c>
      <c r="AQ206">
        <f>R206*R$3</f>
        <v>16268.982072064942</v>
      </c>
      <c r="AR206" s="1">
        <f>S206*S$3</f>
        <v>15996.690512852259</v>
      </c>
      <c r="AS206" s="1">
        <f t="shared" si="429"/>
        <v>-16367.023225418081</v>
      </c>
      <c r="AT206" s="1">
        <f t="shared" si="429"/>
        <v>-32734.377943498468</v>
      </c>
      <c r="AU206" s="1">
        <f t="shared" si="429"/>
        <v>0</v>
      </c>
      <c r="AV206" s="1">
        <f t="shared" si="429"/>
        <v>0</v>
      </c>
      <c r="AW206" s="1">
        <f t="shared" si="429"/>
        <v>0</v>
      </c>
      <c r="AX206" s="1">
        <f t="shared" si="432"/>
        <v>-204624.29238375009</v>
      </c>
      <c r="AY206" s="1">
        <f t="shared" si="433"/>
        <v>-105295.29238374656</v>
      </c>
      <c r="AZ206" s="1">
        <f t="shared" si="434"/>
        <v>-99329.000000003522</v>
      </c>
    </row>
    <row r="207" spans="1:52" x14ac:dyDescent="0.25">
      <c r="A207" s="4">
        <v>45796</v>
      </c>
      <c r="B207">
        <f t="shared" ref="B207:N207" si="452">(B757-B756)*100</f>
        <v>0</v>
      </c>
      <c r="C207">
        <f t="shared" si="452"/>
        <v>-0.99999999999997868</v>
      </c>
      <c r="D207">
        <f t="shared" si="452"/>
        <v>-1.9999999999999574</v>
      </c>
      <c r="E207">
        <f t="shared" si="452"/>
        <v>0</v>
      </c>
      <c r="F207">
        <f t="shared" si="452"/>
        <v>-2.0000000000000462</v>
      </c>
      <c r="G207">
        <f t="shared" si="452"/>
        <v>0.99999999999997868</v>
      </c>
      <c r="H207">
        <f t="shared" si="452"/>
        <v>0.99999999999997868</v>
      </c>
      <c r="I207">
        <f t="shared" si="452"/>
        <v>0</v>
      </c>
      <c r="J207">
        <f t="shared" si="452"/>
        <v>-1.0000000000000675</v>
      </c>
      <c r="K207">
        <f t="shared" si="452"/>
        <v>-1.9999999999999574</v>
      </c>
      <c r="L207">
        <f t="shared" si="452"/>
        <v>-3.0000000000000249</v>
      </c>
      <c r="M207">
        <f t="shared" si="452"/>
        <v>-3.0000000000000249</v>
      </c>
      <c r="N207">
        <f t="shared" si="452"/>
        <v>-3.0000000000000249</v>
      </c>
      <c r="O207" s="5">
        <f t="shared" si="448"/>
        <v>-5.8849610421068373E-3</v>
      </c>
      <c r="P207" s="5">
        <f t="shared" si="448"/>
        <v>-1.0056508844858507E-3</v>
      </c>
      <c r="Q207" s="5">
        <f t="shared" si="448"/>
        <v>4.4675382443394316E-3</v>
      </c>
      <c r="R207" s="5">
        <f t="shared" si="448"/>
        <v>1.0845988048041818E-3</v>
      </c>
      <c r="S207" s="5">
        <f t="shared" si="448"/>
        <v>-7.9805756292043277E-3</v>
      </c>
      <c r="T207" s="5">
        <f t="shared" ref="T207:X207" si="453">LN(T756/T757)</f>
        <v>4.5882807253913967E-4</v>
      </c>
      <c r="U207" s="5">
        <f t="shared" si="453"/>
        <v>1.0508824667542917E-4</v>
      </c>
      <c r="V207" s="5">
        <f t="shared" si="453"/>
        <v>-2.1656283391568785E-3</v>
      </c>
      <c r="W207" s="5">
        <f t="shared" si="453"/>
        <v>-6.5875046112402714E-4</v>
      </c>
      <c r="X207" s="5">
        <f t="shared" si="453"/>
        <v>1.0179598576860749E-3</v>
      </c>
      <c r="Z207" s="4">
        <v>45796</v>
      </c>
      <c r="AA207">
        <f>B207*B$3</f>
        <v>0</v>
      </c>
      <c r="AB207">
        <f>C207*C$3</f>
        <v>2583.999999999945</v>
      </c>
      <c r="AC207">
        <f>D207*D$3</f>
        <v>-32285.999999999312</v>
      </c>
      <c r="AD207">
        <f>E207*E$3</f>
        <v>0</v>
      </c>
      <c r="AE207">
        <f>F207*F$3</f>
        <v>24856.000000000575</v>
      </c>
      <c r="AF207">
        <f>G207*G$3</f>
        <v>-15627.999999999667</v>
      </c>
      <c r="AG207">
        <f>H207*H$3</f>
        <v>-28215.9999999994</v>
      </c>
      <c r="AH207">
        <f>I207*I$3</f>
        <v>0</v>
      </c>
      <c r="AI207">
        <f>J207*J$3</f>
        <v>51051.500000003449</v>
      </c>
      <c r="AJ207">
        <f>K207*K$3</f>
        <v>156789.99999999665</v>
      </c>
      <c r="AK207">
        <f>L207*L$3</f>
        <v>-93012.000000000771</v>
      </c>
      <c r="AL207">
        <f>M207*M$3</f>
        <v>-96219.0000000008</v>
      </c>
      <c r="AM207">
        <f>N207*N$3</f>
        <v>0</v>
      </c>
      <c r="AN207">
        <f>O207*O$3</f>
        <v>0</v>
      </c>
      <c r="AO207">
        <f>P207*P$3</f>
        <v>5028.2544224292533</v>
      </c>
      <c r="AP207">
        <f>Q207*Q$3</f>
        <v>53610.458932073176</v>
      </c>
      <c r="AQ207">
        <f>R207*R$3</f>
        <v>-16268.982072062727</v>
      </c>
      <c r="AR207" s="1">
        <f>S207*S$3</f>
        <v>55864.029404430294</v>
      </c>
      <c r="AS207" s="1">
        <f t="shared" si="429"/>
        <v>1835.3122901565587</v>
      </c>
      <c r="AT207" s="1">
        <f t="shared" si="429"/>
        <v>840.70597340343329</v>
      </c>
      <c r="AU207" s="1">
        <f t="shared" si="429"/>
        <v>0</v>
      </c>
      <c r="AV207" s="1">
        <f t="shared" si="429"/>
        <v>0</v>
      </c>
      <c r="AW207" s="1">
        <f t="shared" si="429"/>
        <v>0</v>
      </c>
      <c r="AX207" s="1">
        <f t="shared" si="432"/>
        <v>70830.278950430657</v>
      </c>
      <c r="AY207" s="1">
        <f t="shared" si="433"/>
        <v>100909.77895042999</v>
      </c>
      <c r="AZ207" s="1">
        <f t="shared" si="434"/>
        <v>-30079.499999999331</v>
      </c>
    </row>
    <row r="208" spans="1:52" x14ac:dyDescent="0.25">
      <c r="A208" s="4">
        <v>45793</v>
      </c>
      <c r="B208">
        <f t="shared" ref="B208:N208" si="454">(B758-B757)*100</f>
        <v>0</v>
      </c>
      <c r="C208">
        <f t="shared" si="454"/>
        <v>0.99999999999997868</v>
      </c>
      <c r="D208">
        <f t="shared" si="454"/>
        <v>0.99999999999997868</v>
      </c>
      <c r="E208">
        <f t="shared" si="454"/>
        <v>0.99999999999997868</v>
      </c>
      <c r="F208">
        <f t="shared" si="454"/>
        <v>-0.99999999999997868</v>
      </c>
      <c r="G208">
        <f t="shared" si="454"/>
        <v>-3.0000000000000249</v>
      </c>
      <c r="H208">
        <f t="shared" si="454"/>
        <v>-2.0000000000000018</v>
      </c>
      <c r="I208">
        <f t="shared" si="454"/>
        <v>0</v>
      </c>
      <c r="J208">
        <f t="shared" si="454"/>
        <v>1.0000000000000675</v>
      </c>
      <c r="K208">
        <f t="shared" si="454"/>
        <v>0.99999999999997868</v>
      </c>
      <c r="L208">
        <f t="shared" si="454"/>
        <v>2.0000000000000462</v>
      </c>
      <c r="M208">
        <f t="shared" si="454"/>
        <v>0.99999999999997868</v>
      </c>
      <c r="N208">
        <f t="shared" si="454"/>
        <v>2.0000000000000462</v>
      </c>
      <c r="O208" s="5">
        <f t="shared" si="448"/>
        <v>1.0543423320486564E-2</v>
      </c>
      <c r="P208" s="5">
        <f t="shared" si="448"/>
        <v>-6.2625081660513983E-3</v>
      </c>
      <c r="Q208" s="5">
        <f t="shared" si="448"/>
        <v>8.7248898963441634E-4</v>
      </c>
      <c r="R208" s="5">
        <f t="shared" si="448"/>
        <v>0</v>
      </c>
      <c r="S208" s="5">
        <f t="shared" si="448"/>
        <v>-1.4469926121497812E-3</v>
      </c>
      <c r="T208" s="5">
        <f t="shared" ref="T208:X208" si="455">LN(T757/T758)</f>
        <v>-9.621084651181502E-4</v>
      </c>
      <c r="U208" s="5">
        <f t="shared" si="455"/>
        <v>-3.2680947934213165E-3</v>
      </c>
      <c r="V208" s="5">
        <f t="shared" si="455"/>
        <v>-7.0962910434274979E-3</v>
      </c>
      <c r="W208" s="5">
        <f t="shared" si="455"/>
        <v>3.587266362107858E-3</v>
      </c>
      <c r="X208" s="5">
        <f t="shared" si="455"/>
        <v>-7.9149517823017615E-3</v>
      </c>
      <c r="Z208" s="4">
        <v>45793</v>
      </c>
      <c r="AA208">
        <f>B208*B$3</f>
        <v>0</v>
      </c>
      <c r="AB208">
        <f>C208*C$3</f>
        <v>-2583.999999999945</v>
      </c>
      <c r="AC208">
        <f>D208*D$3</f>
        <v>16142.999999999656</v>
      </c>
      <c r="AD208">
        <f>E208*E$3</f>
        <v>2427.9999999999482</v>
      </c>
      <c r="AE208">
        <f>F208*F$3</f>
        <v>12427.999999999734</v>
      </c>
      <c r="AF208">
        <f>G208*G$3</f>
        <v>46884.000000000386</v>
      </c>
      <c r="AG208">
        <f>H208*H$3</f>
        <v>56432.000000000051</v>
      </c>
      <c r="AH208">
        <f>I208*I$3</f>
        <v>0</v>
      </c>
      <c r="AI208">
        <f>J208*J$3</f>
        <v>-51051.500000003449</v>
      </c>
      <c r="AJ208">
        <f>K208*K$3</f>
        <v>-78394.999999998327</v>
      </c>
      <c r="AK208">
        <f>L208*L$3</f>
        <v>62008.000000001433</v>
      </c>
      <c r="AL208">
        <f>M208*M$3</f>
        <v>32072.999999999316</v>
      </c>
      <c r="AM208">
        <f>N208*N$3</f>
        <v>0</v>
      </c>
      <c r="AN208">
        <f>O208*O$3</f>
        <v>0</v>
      </c>
      <c r="AO208">
        <f>P208*P$3</f>
        <v>31312.540830256992</v>
      </c>
      <c r="AP208">
        <f>Q208*Q$3</f>
        <v>10469.867875612996</v>
      </c>
      <c r="AQ208">
        <f>R208*R$3</f>
        <v>0</v>
      </c>
      <c r="AR208" s="1">
        <f>S208*S$3</f>
        <v>10128.948285048469</v>
      </c>
      <c r="AS208" s="1">
        <f t="shared" si="429"/>
        <v>-3848.4338604726008</v>
      </c>
      <c r="AT208" s="1">
        <f t="shared" si="429"/>
        <v>-26144.758347370531</v>
      </c>
      <c r="AU208" s="1">
        <f t="shared" si="429"/>
        <v>0</v>
      </c>
      <c r="AV208" s="1">
        <f t="shared" si="429"/>
        <v>0</v>
      </c>
      <c r="AW208" s="1">
        <f t="shared" si="429"/>
        <v>0</v>
      </c>
      <c r="AX208" s="1">
        <f t="shared" si="432"/>
        <v>118283.66478307416</v>
      </c>
      <c r="AY208" s="1">
        <f t="shared" si="433"/>
        <v>21918.164783075328</v>
      </c>
      <c r="AZ208" s="1">
        <f t="shared" si="434"/>
        <v>96365.499999998836</v>
      </c>
    </row>
    <row r="209" spans="1:52" x14ac:dyDescent="0.25">
      <c r="A209" s="4">
        <v>45792</v>
      </c>
      <c r="B209">
        <f t="shared" ref="B209:N209" si="456">(B759-B758)*100</f>
        <v>1.9999999999999574</v>
      </c>
      <c r="C209">
        <f t="shared" si="456"/>
        <v>1.0000000000000675</v>
      </c>
      <c r="D209">
        <f t="shared" si="456"/>
        <v>3.0000000000000249</v>
      </c>
      <c r="E209">
        <f t="shared" si="456"/>
        <v>1.0000000000000675</v>
      </c>
      <c r="F209">
        <f t="shared" si="456"/>
        <v>0.99999999999997868</v>
      </c>
      <c r="G209">
        <f t="shared" si="456"/>
        <v>4.0000000000000036</v>
      </c>
      <c r="H209">
        <f t="shared" si="456"/>
        <v>8.9999999999999858</v>
      </c>
      <c r="I209">
        <f t="shared" si="456"/>
        <v>9.9999999999999645</v>
      </c>
      <c r="J209">
        <f t="shared" si="456"/>
        <v>9.9999999999999645</v>
      </c>
      <c r="K209">
        <f t="shared" si="456"/>
        <v>9.9999999999999645</v>
      </c>
      <c r="L209">
        <f t="shared" si="456"/>
        <v>8.0000000000000071</v>
      </c>
      <c r="M209">
        <f t="shared" si="456"/>
        <v>7.0000000000000284</v>
      </c>
      <c r="N209">
        <f t="shared" si="456"/>
        <v>5.9999999999999609</v>
      </c>
      <c r="O209" s="5">
        <f t="shared" si="448"/>
        <v>4.0561511553751468E-3</v>
      </c>
      <c r="P209" s="5">
        <f t="shared" si="448"/>
        <v>6.6215531103669288E-3</v>
      </c>
      <c r="Q209" s="5">
        <f t="shared" si="448"/>
        <v>-7.9803793319254996E-4</v>
      </c>
      <c r="R209" s="5">
        <f t="shared" si="448"/>
        <v>3.5330924101012011E-3</v>
      </c>
      <c r="S209" s="5">
        <f t="shared" si="448"/>
        <v>5.8418349824690425E-3</v>
      </c>
      <c r="T209" s="5">
        <f t="shared" ref="T209:X209" si="457">LN(T758/T759)</f>
        <v>3.2425159137470399E-4</v>
      </c>
      <c r="U209" s="5">
        <f t="shared" si="457"/>
        <v>3.0818310829798571E-3</v>
      </c>
      <c r="V209" s="5">
        <f t="shared" si="457"/>
        <v>-5.9692336415272437E-3</v>
      </c>
      <c r="W209" s="5">
        <f t="shared" si="457"/>
        <v>6.7925454747640524E-3</v>
      </c>
      <c r="X209" s="5">
        <f t="shared" si="457"/>
        <v>2.1444263527427218E-3</v>
      </c>
      <c r="Z209" s="4">
        <v>45792</v>
      </c>
      <c r="AA209">
        <f>B209*B$3</f>
        <v>-1965.9999999999582</v>
      </c>
      <c r="AB209">
        <f>C209*C$3</f>
        <v>-2584.0000000001746</v>
      </c>
      <c r="AC209">
        <f>D209*D$3</f>
        <v>48429.0000000004</v>
      </c>
      <c r="AD209">
        <f>E209*E$3</f>
        <v>2428.0000000001637</v>
      </c>
      <c r="AE209">
        <f>F209*F$3</f>
        <v>-12427.999999999734</v>
      </c>
      <c r="AF209">
        <f>G209*G$3</f>
        <v>-62512.000000000058</v>
      </c>
      <c r="AG209">
        <f>H209*H$3</f>
        <v>-253943.99999999959</v>
      </c>
      <c r="AH209">
        <f>I209*I$3</f>
        <v>-184559.99999999933</v>
      </c>
      <c r="AI209">
        <f>J209*J$3</f>
        <v>-510514.9999999982</v>
      </c>
      <c r="AJ209">
        <f>K209*K$3</f>
        <v>-783949.99999999721</v>
      </c>
      <c r="AK209">
        <f>L209*L$3</f>
        <v>248032.00000000023</v>
      </c>
      <c r="AL209">
        <f>M209*M$3</f>
        <v>224511.0000000009</v>
      </c>
      <c r="AM209">
        <f>N209*N$3</f>
        <v>0</v>
      </c>
      <c r="AN209">
        <f>O209*O$3</f>
        <v>0</v>
      </c>
      <c r="AO209">
        <f>P209*P$3</f>
        <v>-33107.765551834644</v>
      </c>
      <c r="AP209">
        <f>Q209*Q$3</f>
        <v>-9576.4551983105994</v>
      </c>
      <c r="AQ209">
        <f>R209*R$3</f>
        <v>-52996.386151518018</v>
      </c>
      <c r="AR209" s="1">
        <f>S209*S$3</f>
        <v>-40892.8448772833</v>
      </c>
      <c r="AS209" s="1">
        <f t="shared" si="429"/>
        <v>1297.006365498816</v>
      </c>
      <c r="AT209" s="1">
        <f t="shared" si="429"/>
        <v>24654.648663838856</v>
      </c>
      <c r="AU209" s="1">
        <f t="shared" si="429"/>
        <v>0</v>
      </c>
      <c r="AV209" s="1">
        <f t="shared" si="429"/>
        <v>0</v>
      </c>
      <c r="AW209" s="1">
        <f t="shared" si="429"/>
        <v>0</v>
      </c>
      <c r="AX209" s="1">
        <f t="shared" si="432"/>
        <v>-1399680.7967496014</v>
      </c>
      <c r="AY209" s="1">
        <f t="shared" si="433"/>
        <v>-110621.79674960888</v>
      </c>
      <c r="AZ209" s="1">
        <f t="shared" si="434"/>
        <v>-1289058.9999999925</v>
      </c>
    </row>
    <row r="210" spans="1:52" x14ac:dyDescent="0.25">
      <c r="A210" s="4">
        <v>45791</v>
      </c>
      <c r="B210">
        <f t="shared" ref="B210:N210" si="458">(B760-B759)*100</f>
        <v>0</v>
      </c>
      <c r="C210">
        <f t="shared" si="458"/>
        <v>-1.0000000000000675</v>
      </c>
      <c r="D210">
        <f t="shared" si="458"/>
        <v>0</v>
      </c>
      <c r="E210">
        <f t="shared" si="458"/>
        <v>0.99999999999997868</v>
      </c>
      <c r="F210">
        <f t="shared" si="458"/>
        <v>-0.99999999999997868</v>
      </c>
      <c r="G210">
        <f t="shared" si="458"/>
        <v>-2.9999999999999361</v>
      </c>
      <c r="H210">
        <f t="shared" si="458"/>
        <v>-3.0000000000000249</v>
      </c>
      <c r="I210">
        <f t="shared" si="458"/>
        <v>-4.9999999999999822</v>
      </c>
      <c r="J210">
        <f t="shared" si="458"/>
        <v>-4.9999999999999822</v>
      </c>
      <c r="K210">
        <f t="shared" si="458"/>
        <v>-4.9999999999999822</v>
      </c>
      <c r="L210">
        <f t="shared" si="458"/>
        <v>-4.0000000000000036</v>
      </c>
      <c r="M210">
        <f t="shared" si="458"/>
        <v>-3.0000000000000249</v>
      </c>
      <c r="N210">
        <f t="shared" si="458"/>
        <v>-2.9999999999999361</v>
      </c>
      <c r="O210" s="5">
        <f t="shared" si="448"/>
        <v>-2.883693122961647E-3</v>
      </c>
      <c r="P210" s="5">
        <f t="shared" si="448"/>
        <v>-1.024184253288212E-2</v>
      </c>
      <c r="Q210" s="5">
        <f t="shared" si="448"/>
        <v>-1.0843105592033956E-3</v>
      </c>
      <c r="R210" s="5">
        <f t="shared" si="448"/>
        <v>1.9076174200170792E-3</v>
      </c>
      <c r="S210" s="5">
        <f t="shared" si="448"/>
        <v>-1.7533997951169967E-4</v>
      </c>
      <c r="T210" s="5">
        <f t="shared" ref="T210:X210" si="459">LN(T759/T760)</f>
        <v>-8.0767577067719677E-3</v>
      </c>
      <c r="U210" s="5">
        <f t="shared" si="459"/>
        <v>-9.5599524641594297E-3</v>
      </c>
      <c r="V210" s="5">
        <f t="shared" si="459"/>
        <v>-5.2866738469828888E-3</v>
      </c>
      <c r="W210" s="5">
        <f t="shared" si="459"/>
        <v>-1.5701603977169132E-2</v>
      </c>
      <c r="X210" s="5">
        <f t="shared" si="459"/>
        <v>-6.4596756049598615E-3</v>
      </c>
      <c r="Z210" s="4">
        <v>45791</v>
      </c>
      <c r="AA210">
        <f>B210*B$3</f>
        <v>0</v>
      </c>
      <c r="AB210">
        <f>C210*C$3</f>
        <v>2584.0000000001746</v>
      </c>
      <c r="AC210">
        <f>D210*D$3</f>
        <v>0</v>
      </c>
      <c r="AD210">
        <f>E210*E$3</f>
        <v>2427.9999999999482</v>
      </c>
      <c r="AE210">
        <f>F210*F$3</f>
        <v>12427.999999999734</v>
      </c>
      <c r="AF210">
        <f>G210*G$3</f>
        <v>46883.999999999003</v>
      </c>
      <c r="AG210">
        <f>H210*H$3</f>
        <v>84648.000000000698</v>
      </c>
      <c r="AH210">
        <f>I210*I$3</f>
        <v>92279.999999999665</v>
      </c>
      <c r="AI210">
        <f>J210*J$3</f>
        <v>255257.4999999991</v>
      </c>
      <c r="AJ210">
        <f>K210*K$3</f>
        <v>391974.9999999986</v>
      </c>
      <c r="AK210">
        <f>L210*L$3</f>
        <v>-124016.00000000012</v>
      </c>
      <c r="AL210">
        <f>M210*M$3</f>
        <v>-96219.0000000008</v>
      </c>
      <c r="AM210">
        <f>N210*N$3</f>
        <v>0</v>
      </c>
      <c r="AN210">
        <f>O210*O$3</f>
        <v>0</v>
      </c>
      <c r="AO210">
        <f>P210*P$3</f>
        <v>51209.212664410596</v>
      </c>
      <c r="AP210">
        <f>Q210*Q$3</f>
        <v>-13011.726710440747</v>
      </c>
      <c r="AQ210">
        <f>R210*R$3</f>
        <v>-28614.261300256188</v>
      </c>
      <c r="AR210" s="1">
        <f>S210*S$3</f>
        <v>1227.3798565818977</v>
      </c>
      <c r="AS210" s="1">
        <f t="shared" si="429"/>
        <v>-32307.03082708787</v>
      </c>
      <c r="AT210" s="1">
        <f t="shared" si="429"/>
        <v>-76479.619713275431</v>
      </c>
      <c r="AU210" s="1">
        <f t="shared" si="429"/>
        <v>0</v>
      </c>
      <c r="AV210" s="1">
        <f t="shared" si="429"/>
        <v>0</v>
      </c>
      <c r="AW210" s="1">
        <f t="shared" si="429"/>
        <v>0</v>
      </c>
      <c r="AX210" s="1">
        <f t="shared" si="432"/>
        <v>570273.45396992832</v>
      </c>
      <c r="AY210" s="1">
        <f t="shared" si="433"/>
        <v>-97976.046030067737</v>
      </c>
      <c r="AZ210" s="1">
        <f t="shared" si="434"/>
        <v>668249.49999999604</v>
      </c>
    </row>
    <row r="211" spans="1:52" x14ac:dyDescent="0.25">
      <c r="A211" s="4">
        <v>45790</v>
      </c>
      <c r="B211">
        <f t="shared" ref="B211:N211" si="460">(B761-B760)*100</f>
        <v>-0.99999999999997868</v>
      </c>
      <c r="C211">
        <f t="shared" si="460"/>
        <v>1.0000000000000675</v>
      </c>
      <c r="D211">
        <f t="shared" si="460"/>
        <v>0.99999999999997868</v>
      </c>
      <c r="E211">
        <f t="shared" si="460"/>
        <v>0</v>
      </c>
      <c r="F211">
        <f t="shared" si="460"/>
        <v>0</v>
      </c>
      <c r="G211">
        <f t="shared" si="460"/>
        <v>0</v>
      </c>
      <c r="H211">
        <f t="shared" si="460"/>
        <v>-3.9999999999999591</v>
      </c>
      <c r="I211">
        <f t="shared" si="460"/>
        <v>-2.9999999999999805</v>
      </c>
      <c r="J211">
        <f t="shared" si="460"/>
        <v>-3.0000000000000249</v>
      </c>
      <c r="K211">
        <f t="shared" si="460"/>
        <v>-3.0000000000000249</v>
      </c>
      <c r="L211">
        <f t="shared" si="460"/>
        <v>-4.0000000000000036</v>
      </c>
      <c r="M211">
        <f t="shared" si="460"/>
        <v>-4.9999999999999822</v>
      </c>
      <c r="N211">
        <f t="shared" si="460"/>
        <v>-5.0000000000000711</v>
      </c>
      <c r="O211" s="5">
        <f t="shared" si="448"/>
        <v>-9.9047485484572654E-3</v>
      </c>
      <c r="P211" s="5">
        <f t="shared" si="448"/>
        <v>-1.1888664778234176E-3</v>
      </c>
      <c r="Q211" s="5">
        <f t="shared" si="448"/>
        <v>8.4718238734897387E-3</v>
      </c>
      <c r="R211" s="5">
        <f t="shared" si="448"/>
        <v>2.1845994488393834E-3</v>
      </c>
      <c r="S211" s="5">
        <f t="shared" si="448"/>
        <v>-1.083697603218179E-2</v>
      </c>
      <c r="T211" s="5">
        <f t="shared" ref="T211:X211" si="461">LN(T760/T761)</f>
        <v>1.2010660324810704E-2</v>
      </c>
      <c r="U211" s="5">
        <f t="shared" si="461"/>
        <v>8.403158335535333E-3</v>
      </c>
      <c r="V211" s="5">
        <f t="shared" si="461"/>
        <v>1.6986564855994833E-2</v>
      </c>
      <c r="W211" s="5">
        <f t="shared" si="461"/>
        <v>7.6819642555835529E-3</v>
      </c>
      <c r="X211" s="5">
        <f t="shared" si="461"/>
        <v>1.3273147571370601E-2</v>
      </c>
      <c r="Z211" s="4">
        <v>45790</v>
      </c>
      <c r="AA211">
        <f>B211*B$3</f>
        <v>982.99999999997908</v>
      </c>
      <c r="AB211">
        <f>C211*C$3</f>
        <v>-2584.0000000001746</v>
      </c>
      <c r="AC211">
        <f>D211*D$3</f>
        <v>16142.999999999656</v>
      </c>
      <c r="AD211">
        <f>E211*E$3</f>
        <v>0</v>
      </c>
      <c r="AE211">
        <f>F211*F$3</f>
        <v>0</v>
      </c>
      <c r="AF211">
        <f>G211*G$3</f>
        <v>0</v>
      </c>
      <c r="AG211">
        <f>H211*H$3</f>
        <v>112863.99999999885</v>
      </c>
      <c r="AH211">
        <f>I211*I$3</f>
        <v>55367.999999999636</v>
      </c>
      <c r="AI211">
        <f>J211*J$3</f>
        <v>153154.50000000128</v>
      </c>
      <c r="AJ211">
        <f>K211*K$3</f>
        <v>235185.00000000195</v>
      </c>
      <c r="AK211">
        <f>L211*L$3</f>
        <v>-124016.00000000012</v>
      </c>
      <c r="AL211">
        <f>M211*M$3</f>
        <v>-160364.99999999942</v>
      </c>
      <c r="AM211">
        <f>N211*N$3</f>
        <v>0</v>
      </c>
      <c r="AN211">
        <f>O211*O$3</f>
        <v>0</v>
      </c>
      <c r="AO211">
        <f>P211*P$3</f>
        <v>5944.3323891170876</v>
      </c>
      <c r="AP211">
        <f>Q211*Q$3</f>
        <v>101661.88648187686</v>
      </c>
      <c r="AQ211">
        <f>R211*R$3</f>
        <v>-32768.991732590752</v>
      </c>
      <c r="AR211" s="1">
        <f>S211*S$3</f>
        <v>75858.832225272534</v>
      </c>
      <c r="AS211" s="1">
        <f t="shared" si="429"/>
        <v>48042.641299242816</v>
      </c>
      <c r="AT211" s="1">
        <f t="shared" si="429"/>
        <v>67225.266684282658</v>
      </c>
      <c r="AU211" s="1">
        <f t="shared" si="429"/>
        <v>0</v>
      </c>
      <c r="AV211" s="1">
        <f t="shared" si="429"/>
        <v>0</v>
      </c>
      <c r="AW211" s="1">
        <f t="shared" si="429"/>
        <v>0</v>
      </c>
      <c r="AX211" s="1">
        <f t="shared" si="432"/>
        <v>552696.46734720282</v>
      </c>
      <c r="AY211" s="1">
        <f t="shared" si="433"/>
        <v>265963.96734720119</v>
      </c>
      <c r="AZ211" s="1">
        <f t="shared" si="434"/>
        <v>286732.50000000163</v>
      </c>
    </row>
    <row r="212" spans="1:52" x14ac:dyDescent="0.25">
      <c r="A212" s="4">
        <v>45789</v>
      </c>
      <c r="B212">
        <f t="shared" ref="B212:N212" si="462">(B762-B761)*100</f>
        <v>-0.99999999999997868</v>
      </c>
      <c r="C212">
        <f t="shared" si="462"/>
        <v>-2.0000000000000462</v>
      </c>
      <c r="D212">
        <f t="shared" si="462"/>
        <v>-8.0000000000000071</v>
      </c>
      <c r="E212">
        <f t="shared" si="462"/>
        <v>-4.9999999999999822</v>
      </c>
      <c r="F212">
        <f t="shared" si="462"/>
        <v>-0.99999999999997868</v>
      </c>
      <c r="G212">
        <f t="shared" si="462"/>
        <v>-6.0000000000000497</v>
      </c>
      <c r="H212">
        <f t="shared" si="462"/>
        <v>-10.000000000000009</v>
      </c>
      <c r="I212">
        <f t="shared" si="462"/>
        <v>-12.000000000000011</v>
      </c>
      <c r="J212">
        <f t="shared" si="462"/>
        <v>-8.9999999999999858</v>
      </c>
      <c r="K212">
        <f t="shared" si="462"/>
        <v>-8.9999999999999858</v>
      </c>
      <c r="L212">
        <f t="shared" si="462"/>
        <v>-8.0000000000000071</v>
      </c>
      <c r="M212">
        <f t="shared" si="462"/>
        <v>-5.9999999999999609</v>
      </c>
      <c r="N212">
        <f t="shared" si="462"/>
        <v>-5.9999999999999609</v>
      </c>
      <c r="O212" s="5">
        <f t="shared" si="448"/>
        <v>5.4885557849340292E-3</v>
      </c>
      <c r="P212" s="5">
        <f t="shared" si="448"/>
        <v>4.7337166067919974E-6</v>
      </c>
      <c r="Q212" s="5">
        <f t="shared" si="448"/>
        <v>-8.4930731164861804E-3</v>
      </c>
      <c r="R212" s="5">
        <f t="shared" si="448"/>
        <v>1.6415872359518593E-3</v>
      </c>
      <c r="S212" s="5">
        <f t="shared" si="448"/>
        <v>7.0129386388886016E-3</v>
      </c>
      <c r="T212" s="5">
        <f t="shared" ref="T212:X212" si="463">LN(T761/T762)</f>
        <v>-4.8270107969262043E-4</v>
      </c>
      <c r="U212" s="5">
        <f t="shared" si="463"/>
        <v>-4.0449841387298589E-3</v>
      </c>
      <c r="V212" s="5">
        <f t="shared" si="463"/>
        <v>-1.3912555405728535E-3</v>
      </c>
      <c r="W212" s="5">
        <f t="shared" si="463"/>
        <v>-4.4206130124147709E-3</v>
      </c>
      <c r="X212" s="5">
        <f t="shared" si="463"/>
        <v>2.3175797502039156E-3</v>
      </c>
      <c r="Z212" s="4">
        <v>45789</v>
      </c>
      <c r="AA212">
        <f>B212*B$3</f>
        <v>982.99999999997908</v>
      </c>
      <c r="AB212">
        <f>C212*C$3</f>
        <v>5168.0000000001191</v>
      </c>
      <c r="AC212">
        <f>D212*D$3</f>
        <v>-129144.00000000012</v>
      </c>
      <c r="AD212">
        <f>E212*E$3</f>
        <v>-12139.999999999956</v>
      </c>
      <c r="AE212">
        <f>F212*F$3</f>
        <v>12427.999999999734</v>
      </c>
      <c r="AF212">
        <f>G212*G$3</f>
        <v>93768.000000000771</v>
      </c>
      <c r="AG212">
        <f>H212*H$3</f>
        <v>282160.00000000023</v>
      </c>
      <c r="AH212">
        <f>I212*I$3</f>
        <v>221472.0000000002</v>
      </c>
      <c r="AI212">
        <f>J212*J$3</f>
        <v>459463.4999999993</v>
      </c>
      <c r="AJ212">
        <f>K212*K$3</f>
        <v>705554.99999999884</v>
      </c>
      <c r="AK212">
        <f>L212*L$3</f>
        <v>-248032.00000000023</v>
      </c>
      <c r="AL212">
        <f>M212*M$3</f>
        <v>-192437.99999999875</v>
      </c>
      <c r="AM212">
        <f>N212*N$3</f>
        <v>0</v>
      </c>
      <c r="AN212">
        <f>O212*O$3</f>
        <v>0</v>
      </c>
      <c r="AO212">
        <f>P212*P$3</f>
        <v>-23.668583033959987</v>
      </c>
      <c r="AP212">
        <f>Q212*Q$3</f>
        <v>-101916.87739783416</v>
      </c>
      <c r="AQ212">
        <f>R212*R$3</f>
        <v>-24623.808539277888</v>
      </c>
      <c r="AR212" s="1">
        <f>S212*S$3</f>
        <v>-49090.570472220214</v>
      </c>
      <c r="AS212" s="1">
        <f t="shared" si="429"/>
        <v>-1930.8043187704818</v>
      </c>
      <c r="AT212" s="1">
        <f t="shared" si="429"/>
        <v>-32359.873109838871</v>
      </c>
      <c r="AU212" s="1">
        <f t="shared" si="429"/>
        <v>0</v>
      </c>
      <c r="AV212" s="1">
        <f t="shared" si="429"/>
        <v>0</v>
      </c>
      <c r="AW212" s="1">
        <f t="shared" si="429"/>
        <v>0</v>
      </c>
      <c r="AX212" s="1">
        <f t="shared" si="432"/>
        <v>989297.89757902431</v>
      </c>
      <c r="AY212" s="1">
        <f t="shared" si="433"/>
        <v>-209945.60242097557</v>
      </c>
      <c r="AZ212" s="1">
        <f t="shared" si="434"/>
        <v>1199243.5</v>
      </c>
    </row>
    <row r="213" spans="1:52" x14ac:dyDescent="0.25">
      <c r="A213" s="4">
        <v>45786</v>
      </c>
      <c r="B213">
        <f t="shared" ref="B213:N213" si="464">(B763-B762)*100</f>
        <v>0</v>
      </c>
      <c r="C213">
        <f t="shared" si="464"/>
        <v>0.99999999999997868</v>
      </c>
      <c r="D213">
        <f t="shared" si="464"/>
        <v>0</v>
      </c>
      <c r="E213">
        <f t="shared" si="464"/>
        <v>0</v>
      </c>
      <c r="F213">
        <f t="shared" si="464"/>
        <v>0</v>
      </c>
      <c r="G213">
        <f t="shared" si="464"/>
        <v>0</v>
      </c>
      <c r="H213">
        <f t="shared" si="464"/>
        <v>2.0000000000000018</v>
      </c>
      <c r="I213">
        <f t="shared" si="464"/>
        <v>0</v>
      </c>
      <c r="J213">
        <f t="shared" si="464"/>
        <v>0</v>
      </c>
      <c r="K213">
        <f t="shared" si="464"/>
        <v>0</v>
      </c>
      <c r="L213">
        <f t="shared" si="464"/>
        <v>0</v>
      </c>
      <c r="M213">
        <f t="shared" si="464"/>
        <v>0</v>
      </c>
      <c r="N213">
        <f t="shared" si="464"/>
        <v>0</v>
      </c>
      <c r="O213" s="5">
        <f t="shared" si="448"/>
        <v>-6.1571226137359632E-3</v>
      </c>
      <c r="P213" s="5">
        <f t="shared" si="448"/>
        <v>-5.429023130500513E-3</v>
      </c>
      <c r="Q213" s="5">
        <f t="shared" si="448"/>
        <v>-4.4735215011605205E-3</v>
      </c>
      <c r="R213" s="5">
        <f t="shared" si="448"/>
        <v>5.4915019936751614E-3</v>
      </c>
      <c r="S213" s="5">
        <f t="shared" si="448"/>
        <v>-3.6098715753446588E-3</v>
      </c>
      <c r="T213" s="5">
        <f t="shared" ref="T213:X213" si="465">LN(T762/T763)</f>
        <v>7.2772146311647573E-3</v>
      </c>
      <c r="U213" s="5">
        <f t="shared" si="465"/>
        <v>4.4303722049275161E-3</v>
      </c>
      <c r="V213" s="5">
        <f t="shared" si="465"/>
        <v>1.4952115379834693E-2</v>
      </c>
      <c r="W213" s="5">
        <f t="shared" si="465"/>
        <v>6.5803562480972397E-3</v>
      </c>
      <c r="X213" s="5">
        <f t="shared" si="465"/>
        <v>9.48216850286023E-3</v>
      </c>
      <c r="Z213" s="4">
        <v>45786</v>
      </c>
      <c r="AA213">
        <f>B213*B$3</f>
        <v>0</v>
      </c>
      <c r="AB213">
        <f>C213*C$3</f>
        <v>-2583.999999999945</v>
      </c>
      <c r="AC213">
        <f>D213*D$3</f>
        <v>0</v>
      </c>
      <c r="AD213">
        <f>E213*E$3</f>
        <v>0</v>
      </c>
      <c r="AE213">
        <f>F213*F$3</f>
        <v>0</v>
      </c>
      <c r="AF213">
        <f>G213*G$3</f>
        <v>0</v>
      </c>
      <c r="AG213">
        <f>H213*H$3</f>
        <v>-56432.000000000051</v>
      </c>
      <c r="AH213">
        <f>I213*I$3</f>
        <v>0</v>
      </c>
      <c r="AI213">
        <f>J213*J$3</f>
        <v>0</v>
      </c>
      <c r="AJ213">
        <f>K213*K$3</f>
        <v>0</v>
      </c>
      <c r="AK213">
        <f>L213*L$3</f>
        <v>0</v>
      </c>
      <c r="AL213">
        <f>M213*M$3</f>
        <v>0</v>
      </c>
      <c r="AM213">
        <f>N213*N$3</f>
        <v>0</v>
      </c>
      <c r="AN213">
        <f>O213*O$3</f>
        <v>0</v>
      </c>
      <c r="AO213">
        <f>P213*P$3</f>
        <v>27145.115652502565</v>
      </c>
      <c r="AP213">
        <f>Q213*Q$3</f>
        <v>-53682.258013926243</v>
      </c>
      <c r="AQ213">
        <f>R213*R$3</f>
        <v>-82372.52990512742</v>
      </c>
      <c r="AR213" s="1">
        <f>S213*S$3</f>
        <v>25269.101027412613</v>
      </c>
      <c r="AS213" s="1">
        <f t="shared" ref="AS213:AW228" si="466">T213*T$3</f>
        <v>29108.85852465903</v>
      </c>
      <c r="AT213" s="1">
        <f t="shared" si="466"/>
        <v>35442.977639420125</v>
      </c>
      <c r="AU213" s="1">
        <f t="shared" si="466"/>
        <v>0</v>
      </c>
      <c r="AV213" s="1">
        <f t="shared" si="466"/>
        <v>0</v>
      </c>
      <c r="AW213" s="1">
        <f t="shared" si="466"/>
        <v>0</v>
      </c>
      <c r="AX213" s="1">
        <f t="shared" si="432"/>
        <v>-78104.735075059318</v>
      </c>
      <c r="AY213" s="1">
        <f t="shared" si="433"/>
        <v>-19088.735075059318</v>
      </c>
      <c r="AZ213" s="1">
        <f t="shared" si="434"/>
        <v>-59016</v>
      </c>
    </row>
    <row r="214" spans="1:52" x14ac:dyDescent="0.25">
      <c r="A214" s="4">
        <v>45785</v>
      </c>
      <c r="B214">
        <f t="shared" ref="B214:N214" si="467">(B764-B763)*100</f>
        <v>0</v>
      </c>
      <c r="C214">
        <f t="shared" si="467"/>
        <v>-1.9999999999999574</v>
      </c>
      <c r="D214">
        <f t="shared" si="467"/>
        <v>0</v>
      </c>
      <c r="E214">
        <f t="shared" si="467"/>
        <v>-1.0000000000000675</v>
      </c>
      <c r="F214">
        <f t="shared" si="467"/>
        <v>-1.0000000000000675</v>
      </c>
      <c r="G214">
        <f t="shared" si="467"/>
        <v>-4.9999999999999822</v>
      </c>
      <c r="H214">
        <f t="shared" si="467"/>
        <v>-12.000000000000011</v>
      </c>
      <c r="I214">
        <f t="shared" si="467"/>
        <v>-12.999999999999989</v>
      </c>
      <c r="J214">
        <f t="shared" si="467"/>
        <v>-12.999999999999989</v>
      </c>
      <c r="K214">
        <f t="shared" si="467"/>
        <v>-12.000000000000011</v>
      </c>
      <c r="L214">
        <f t="shared" si="467"/>
        <v>-11.000000000000032</v>
      </c>
      <c r="M214">
        <f t="shared" si="467"/>
        <v>-8.0000000000000071</v>
      </c>
      <c r="N214">
        <f t="shared" si="467"/>
        <v>-6.0000000000000497</v>
      </c>
      <c r="O214" s="5">
        <f t="shared" si="448"/>
        <v>-9.0083206781975417E-3</v>
      </c>
      <c r="P214" s="5">
        <f t="shared" si="448"/>
        <v>-8.2824605230618631E-3</v>
      </c>
      <c r="Q214" s="5">
        <f t="shared" si="448"/>
        <v>6.1216778004347851E-3</v>
      </c>
      <c r="R214" s="5">
        <f t="shared" si="448"/>
        <v>-3.2985186586650477E-3</v>
      </c>
      <c r="S214" s="5">
        <f t="shared" si="448"/>
        <v>-3.4591767733438785E-3</v>
      </c>
      <c r="T214" s="5">
        <f t="shared" ref="T214:X214" si="468">LN(T763/T764)</f>
        <v>3.2274857133950908E-3</v>
      </c>
      <c r="U214" s="5">
        <f t="shared" si="468"/>
        <v>4.6371190349211028E-3</v>
      </c>
      <c r="V214" s="5">
        <f t="shared" si="468"/>
        <v>5.6678554372300866E-3</v>
      </c>
      <c r="W214" s="5">
        <f t="shared" si="468"/>
        <v>1.1109990035168374E-2</v>
      </c>
      <c r="X214" s="5">
        <f t="shared" si="468"/>
        <v>-2.0369028439192337E-3</v>
      </c>
      <c r="Z214" s="4">
        <v>45785</v>
      </c>
      <c r="AA214">
        <f>B214*B$3</f>
        <v>0</v>
      </c>
      <c r="AB214">
        <f>C214*C$3</f>
        <v>5167.99999999989</v>
      </c>
      <c r="AC214">
        <f>D214*D$3</f>
        <v>0</v>
      </c>
      <c r="AD214">
        <f>E214*E$3</f>
        <v>-2428.0000000001637</v>
      </c>
      <c r="AE214">
        <f>F214*F$3</f>
        <v>12428.000000000839</v>
      </c>
      <c r="AF214">
        <f>G214*G$3</f>
        <v>78139.999999999724</v>
      </c>
      <c r="AG214">
        <f>H214*H$3</f>
        <v>338592.00000000029</v>
      </c>
      <c r="AH214">
        <f>I214*I$3</f>
        <v>239927.9999999998</v>
      </c>
      <c r="AI214">
        <f>J214*J$3</f>
        <v>663669.49999999942</v>
      </c>
      <c r="AJ214">
        <f>K214*K$3</f>
        <v>940740.00000000081</v>
      </c>
      <c r="AK214">
        <f>L214*L$3</f>
        <v>-341044.00000000099</v>
      </c>
      <c r="AL214">
        <f>M214*M$3</f>
        <v>-256584.00000000023</v>
      </c>
      <c r="AM214">
        <f>N214*N$3</f>
        <v>0</v>
      </c>
      <c r="AN214">
        <f>O214*O$3</f>
        <v>0</v>
      </c>
      <c r="AO214">
        <f>P214*P$3</f>
        <v>41412.302615309316</v>
      </c>
      <c r="AP214">
        <f>Q214*Q$3</f>
        <v>73460.133605217416</v>
      </c>
      <c r="AQ214">
        <f>R214*R$3</f>
        <v>49477.779879975715</v>
      </c>
      <c r="AR214" s="1">
        <f>S214*S$3</f>
        <v>24214.237413407151</v>
      </c>
      <c r="AS214" s="1">
        <f t="shared" si="466"/>
        <v>12909.942853580364</v>
      </c>
      <c r="AT214" s="1">
        <f t="shared" si="466"/>
        <v>37096.952279368823</v>
      </c>
      <c r="AU214" s="1">
        <f t="shared" si="466"/>
        <v>0</v>
      </c>
      <c r="AV214" s="1">
        <f t="shared" si="466"/>
        <v>0</v>
      </c>
      <c r="AW214" s="1">
        <f t="shared" si="466"/>
        <v>0</v>
      </c>
      <c r="AX214" s="1">
        <f t="shared" si="432"/>
        <v>1917180.8486468582</v>
      </c>
      <c r="AY214" s="1">
        <f t="shared" si="433"/>
        <v>238571.34864685879</v>
      </c>
      <c r="AZ214" s="1">
        <f t="shared" si="434"/>
        <v>1678609.4999999995</v>
      </c>
    </row>
    <row r="215" spans="1:52" x14ac:dyDescent="0.25">
      <c r="A215" s="4">
        <v>45784</v>
      </c>
      <c r="B215">
        <f t="shared" ref="B215:N215" si="469">(B765-B764)*100</f>
        <v>0</v>
      </c>
      <c r="C215">
        <f t="shared" si="469"/>
        <v>0</v>
      </c>
      <c r="D215">
        <f t="shared" si="469"/>
        <v>-0.99999999999997868</v>
      </c>
      <c r="E215">
        <f t="shared" si="469"/>
        <v>-0.99999999999997868</v>
      </c>
      <c r="F215">
        <f t="shared" si="469"/>
        <v>-1.9999999999999574</v>
      </c>
      <c r="G215">
        <f t="shared" si="469"/>
        <v>-2.0000000000000018</v>
      </c>
      <c r="H215">
        <f t="shared" si="469"/>
        <v>0</v>
      </c>
      <c r="I215">
        <f t="shared" si="469"/>
        <v>0.99999999999997868</v>
      </c>
      <c r="J215">
        <f t="shared" si="469"/>
        <v>2.9999999999999805</v>
      </c>
      <c r="K215">
        <f t="shared" si="469"/>
        <v>4.0000000000000036</v>
      </c>
      <c r="L215">
        <f t="shared" si="469"/>
        <v>4.0000000000000036</v>
      </c>
      <c r="M215">
        <f t="shared" si="469"/>
        <v>4.0000000000000036</v>
      </c>
      <c r="N215">
        <f t="shared" si="469"/>
        <v>4.0000000000000036</v>
      </c>
      <c r="O215" s="5">
        <f t="shared" ref="O215:S224" si="470">LN(O764/O765)</f>
        <v>2.8713958207520198E-3</v>
      </c>
      <c r="P215" s="5">
        <f t="shared" si="470"/>
        <v>-5.2670427074570821E-3</v>
      </c>
      <c r="Q215" s="5">
        <f t="shared" si="470"/>
        <v>-5.4259649707421372E-4</v>
      </c>
      <c r="R215" s="5">
        <f t="shared" si="470"/>
        <v>-2.4667684154335108E-3</v>
      </c>
      <c r="S215" s="5">
        <f t="shared" si="470"/>
        <v>-2.7913059830011844E-3</v>
      </c>
      <c r="T215" s="5">
        <f t="shared" ref="T215:X215" si="471">LN(T764/T765)</f>
        <v>-2.5941151601841269E-3</v>
      </c>
      <c r="U215" s="5">
        <f t="shared" si="471"/>
        <v>-4.7567465361889535E-3</v>
      </c>
      <c r="V215" s="5">
        <f t="shared" si="471"/>
        <v>-4.3182977713319319E-3</v>
      </c>
      <c r="W215" s="5">
        <f t="shared" si="471"/>
        <v>-6.9832058202172727E-3</v>
      </c>
      <c r="X215" s="5">
        <f t="shared" si="471"/>
        <v>4.660645826734925E-3</v>
      </c>
      <c r="Z215" s="4">
        <v>45784</v>
      </c>
      <c r="AA215">
        <f>B215*B$3</f>
        <v>0</v>
      </c>
      <c r="AB215">
        <f>C215*C$3</f>
        <v>0</v>
      </c>
      <c r="AC215">
        <f>D215*D$3</f>
        <v>-16142.999999999656</v>
      </c>
      <c r="AD215">
        <f>E215*E$3</f>
        <v>-2427.9999999999482</v>
      </c>
      <c r="AE215">
        <f>F215*F$3</f>
        <v>24855.999999999469</v>
      </c>
      <c r="AF215">
        <f>G215*G$3</f>
        <v>31256.000000000029</v>
      </c>
      <c r="AG215">
        <f>H215*H$3</f>
        <v>0</v>
      </c>
      <c r="AH215">
        <f>I215*I$3</f>
        <v>-18455.999999999607</v>
      </c>
      <c r="AI215">
        <f>J215*J$3</f>
        <v>-153154.49999999901</v>
      </c>
      <c r="AJ215">
        <f>K215*K$3</f>
        <v>-313580.00000000029</v>
      </c>
      <c r="AK215">
        <f>L215*L$3</f>
        <v>124016.00000000012</v>
      </c>
      <c r="AL215">
        <f>M215*M$3</f>
        <v>128292.00000000012</v>
      </c>
      <c r="AM215">
        <f>N215*N$3</f>
        <v>0</v>
      </c>
      <c r="AN215">
        <f>O215*O$3</f>
        <v>0</v>
      </c>
      <c r="AO215">
        <f>P215*P$3</f>
        <v>26335.21353728541</v>
      </c>
      <c r="AP215">
        <f>Q215*Q$3</f>
        <v>-6511.1579648905645</v>
      </c>
      <c r="AQ215">
        <f>R215*R$3</f>
        <v>37001.526231502663</v>
      </c>
      <c r="AR215" s="1">
        <f>S215*S$3</f>
        <v>19539.141881008291</v>
      </c>
      <c r="AS215" s="1">
        <f t="shared" si="466"/>
        <v>-10376.460640736508</v>
      </c>
      <c r="AT215" s="1">
        <f t="shared" si="466"/>
        <v>-38053.972289511628</v>
      </c>
      <c r="AU215" s="1">
        <f t="shared" si="466"/>
        <v>0</v>
      </c>
      <c r="AV215" s="1">
        <f t="shared" si="466"/>
        <v>0</v>
      </c>
      <c r="AW215" s="1">
        <f t="shared" si="466"/>
        <v>0</v>
      </c>
      <c r="AX215" s="1">
        <f t="shared" si="432"/>
        <v>-167407.20924534113</v>
      </c>
      <c r="AY215" s="1">
        <f t="shared" si="433"/>
        <v>27934.290754657661</v>
      </c>
      <c r="AZ215" s="1">
        <f t="shared" si="434"/>
        <v>-195341.49999999878</v>
      </c>
    </row>
    <row r="216" spans="1:52" x14ac:dyDescent="0.25">
      <c r="A216" s="4">
        <v>45783</v>
      </c>
      <c r="B216">
        <f t="shared" ref="B216:N216" si="472">(B766-B765)*100</f>
        <v>0.99999999999997868</v>
      </c>
      <c r="C216">
        <f t="shared" si="472"/>
        <v>0.99999999999997868</v>
      </c>
      <c r="D216">
        <f t="shared" si="472"/>
        <v>0</v>
      </c>
      <c r="E216">
        <f t="shared" si="472"/>
        <v>2.0000000000000462</v>
      </c>
      <c r="F216">
        <f t="shared" si="472"/>
        <v>1.9999999999999574</v>
      </c>
      <c r="G216">
        <f t="shared" si="472"/>
        <v>3.9999999999999591</v>
      </c>
      <c r="H216">
        <f t="shared" si="472"/>
        <v>5.0000000000000266</v>
      </c>
      <c r="I216">
        <f t="shared" si="472"/>
        <v>4.9999999999999822</v>
      </c>
      <c r="J216">
        <f t="shared" si="472"/>
        <v>5.0000000000000266</v>
      </c>
      <c r="K216">
        <f t="shared" si="472"/>
        <v>4.0000000000000036</v>
      </c>
      <c r="L216">
        <f t="shared" si="472"/>
        <v>6.0000000000000497</v>
      </c>
      <c r="M216">
        <f t="shared" si="472"/>
        <v>1.9999999999999574</v>
      </c>
      <c r="N216">
        <f t="shared" si="472"/>
        <v>2.0000000000000462</v>
      </c>
      <c r="O216" s="5">
        <f t="shared" si="470"/>
        <v>1.2134790669252519E-2</v>
      </c>
      <c r="P216" s="5">
        <f t="shared" si="470"/>
        <v>1.1037336359225754E-3</v>
      </c>
      <c r="Q216" s="5">
        <f t="shared" si="470"/>
        <v>-8.1865691685795139E-4</v>
      </c>
      <c r="R216" s="5">
        <f t="shared" si="470"/>
        <v>-3.006698998738427E-3</v>
      </c>
      <c r="S216" s="5">
        <f t="shared" si="470"/>
        <v>-4.8818690391156207E-4</v>
      </c>
      <c r="T216" s="5">
        <f t="shared" ref="T216:X216" si="473">LN(T765/T766)</f>
        <v>8.7145387584044889E-4</v>
      </c>
      <c r="U216" s="5">
        <f t="shared" si="473"/>
        <v>-1.5539462170001755E-3</v>
      </c>
      <c r="V216" s="5">
        <f t="shared" si="473"/>
        <v>-6.7295431697741619E-3</v>
      </c>
      <c r="W216" s="5">
        <f t="shared" si="473"/>
        <v>-2.4523502731591167E-3</v>
      </c>
      <c r="X216" s="5">
        <f t="shared" si="473"/>
        <v>-2.8058065007738353E-3</v>
      </c>
      <c r="Z216" s="4">
        <v>45783</v>
      </c>
      <c r="AA216">
        <f>B216*B$3</f>
        <v>-982.99999999997908</v>
      </c>
      <c r="AB216">
        <f>C216*C$3</f>
        <v>-2583.999999999945</v>
      </c>
      <c r="AC216">
        <f>D216*D$3</f>
        <v>0</v>
      </c>
      <c r="AD216">
        <f>E216*E$3</f>
        <v>4856.0000000001119</v>
      </c>
      <c r="AE216">
        <f>F216*F$3</f>
        <v>-24855.999999999469</v>
      </c>
      <c r="AF216">
        <f>G216*G$3</f>
        <v>-62511.99999999936</v>
      </c>
      <c r="AG216">
        <f>H216*H$3</f>
        <v>-141080.00000000076</v>
      </c>
      <c r="AH216">
        <f>I216*I$3</f>
        <v>-92279.999999999665</v>
      </c>
      <c r="AI216">
        <f>J216*J$3</f>
        <v>-255257.50000000137</v>
      </c>
      <c r="AJ216">
        <f>K216*K$3</f>
        <v>-313580.00000000029</v>
      </c>
      <c r="AK216">
        <f>L216*L$3</f>
        <v>186024.00000000154</v>
      </c>
      <c r="AL216">
        <f>M216*M$3</f>
        <v>64145.999999998632</v>
      </c>
      <c r="AM216">
        <f>N216*N$3</f>
        <v>0</v>
      </c>
      <c r="AN216">
        <f>O216*O$3</f>
        <v>0</v>
      </c>
      <c r="AO216">
        <f>P216*P$3</f>
        <v>-5518.6681796128769</v>
      </c>
      <c r="AP216">
        <f>Q216*Q$3</f>
        <v>-9823.8830022954171</v>
      </c>
      <c r="AQ216">
        <f>R216*R$3</f>
        <v>45100.484981076406</v>
      </c>
      <c r="AR216" s="1">
        <f>S216*S$3</f>
        <v>3417.3083273809343</v>
      </c>
      <c r="AS216" s="1">
        <f t="shared" si="466"/>
        <v>3485.8155033617954</v>
      </c>
      <c r="AT216" s="1">
        <f t="shared" si="466"/>
        <v>-12431.569736001404</v>
      </c>
      <c r="AU216" s="1">
        <f t="shared" si="466"/>
        <v>0</v>
      </c>
      <c r="AV216" s="1">
        <f t="shared" si="466"/>
        <v>0</v>
      </c>
      <c r="AW216" s="1">
        <f t="shared" si="466"/>
        <v>0</v>
      </c>
      <c r="AX216" s="1">
        <f t="shared" si="432"/>
        <v>-613877.01210609113</v>
      </c>
      <c r="AY216" s="1">
        <f t="shared" si="433"/>
        <v>24229.487893909441</v>
      </c>
      <c r="AZ216" s="1">
        <f t="shared" si="434"/>
        <v>-638106.50000000058</v>
      </c>
    </row>
    <row r="217" spans="1:52" x14ac:dyDescent="0.25">
      <c r="A217" s="4">
        <v>45782</v>
      </c>
      <c r="B217">
        <f t="shared" ref="B217:N217" si="474">(B767-B766)*100</f>
        <v>0</v>
      </c>
      <c r="C217">
        <f t="shared" si="474"/>
        <v>0</v>
      </c>
      <c r="D217">
        <f t="shared" si="474"/>
        <v>0</v>
      </c>
      <c r="E217">
        <f t="shared" si="474"/>
        <v>0.99999999999997868</v>
      </c>
      <c r="F217">
        <f t="shared" si="474"/>
        <v>-0.99999999999997868</v>
      </c>
      <c r="G217">
        <f t="shared" si="474"/>
        <v>-1.9999999999999574</v>
      </c>
      <c r="H217">
        <f t="shared" si="474"/>
        <v>0</v>
      </c>
      <c r="I217">
        <f t="shared" si="474"/>
        <v>4.0000000000000036</v>
      </c>
      <c r="J217">
        <f t="shared" si="474"/>
        <v>-3.0000000000000249</v>
      </c>
      <c r="K217">
        <f t="shared" si="474"/>
        <v>-2.9999999999999361</v>
      </c>
      <c r="L217">
        <f t="shared" si="474"/>
        <v>-3.0000000000000249</v>
      </c>
      <c r="M217">
        <f t="shared" si="474"/>
        <v>-3.0000000000000249</v>
      </c>
      <c r="N217">
        <f t="shared" si="474"/>
        <v>-4.0000000000000036</v>
      </c>
      <c r="O217" s="5">
        <f t="shared" si="470"/>
        <v>2.231906548778952E-3</v>
      </c>
      <c r="P217" s="5">
        <f t="shared" si="470"/>
        <v>1.2681202203099961E-2</v>
      </c>
      <c r="Q217" s="5">
        <f t="shared" si="470"/>
        <v>-1.5522661964830708E-2</v>
      </c>
      <c r="R217" s="5">
        <f t="shared" si="470"/>
        <v>4.1022893575731727E-3</v>
      </c>
      <c r="S217" s="5">
        <f t="shared" si="470"/>
        <v>3.6110959355976913E-3</v>
      </c>
      <c r="T217" s="5">
        <f t="shared" ref="T217:X217" si="475">LN(T766/T767)</f>
        <v>-2.363767033182623E-3</v>
      </c>
      <c r="U217" s="5">
        <f t="shared" si="475"/>
        <v>1.0888412987540073E-3</v>
      </c>
      <c r="V217" s="5">
        <f t="shared" si="475"/>
        <v>-5.6813988876557179E-3</v>
      </c>
      <c r="W217" s="5">
        <f t="shared" si="475"/>
        <v>-9.1621485247536417E-3</v>
      </c>
      <c r="X217" s="5">
        <f t="shared" si="475"/>
        <v>-5.9041608651030529E-3</v>
      </c>
      <c r="Z217" s="4">
        <v>45782</v>
      </c>
      <c r="AA217">
        <f>B217*B$3</f>
        <v>0</v>
      </c>
      <c r="AB217">
        <f>C217*C$3</f>
        <v>0</v>
      </c>
      <c r="AC217">
        <f>D217*D$3</f>
        <v>0</v>
      </c>
      <c r="AD217">
        <f>E217*E$3</f>
        <v>2427.9999999999482</v>
      </c>
      <c r="AE217">
        <f>F217*F$3</f>
        <v>12427.999999999734</v>
      </c>
      <c r="AF217">
        <f>G217*G$3</f>
        <v>31255.999999999334</v>
      </c>
      <c r="AG217">
        <f>H217*H$3</f>
        <v>0</v>
      </c>
      <c r="AH217">
        <f>I217*I$3</f>
        <v>-73824.000000000073</v>
      </c>
      <c r="AI217">
        <f>J217*J$3</f>
        <v>153154.50000000128</v>
      </c>
      <c r="AJ217">
        <f>K217*K$3</f>
        <v>235184.99999999499</v>
      </c>
      <c r="AK217">
        <f>L217*L$3</f>
        <v>-93012.000000000771</v>
      </c>
      <c r="AL217">
        <f>M217*M$3</f>
        <v>-96219.0000000008</v>
      </c>
      <c r="AM217">
        <f>N217*N$3</f>
        <v>0</v>
      </c>
      <c r="AN217">
        <f>O217*O$3</f>
        <v>0</v>
      </c>
      <c r="AO217">
        <f>P217*P$3</f>
        <v>-63406.011015499804</v>
      </c>
      <c r="AP217">
        <f>Q217*Q$3</f>
        <v>-186271.94357796852</v>
      </c>
      <c r="AQ217">
        <f>R217*R$3</f>
        <v>-61534.340363597592</v>
      </c>
      <c r="AR217" s="1">
        <f>S217*S$3</f>
        <v>-25277.67154918384</v>
      </c>
      <c r="AS217" s="1">
        <f t="shared" si="466"/>
        <v>-9455.0681327304919</v>
      </c>
      <c r="AT217" s="1">
        <f t="shared" si="466"/>
        <v>8710.7303900320585</v>
      </c>
      <c r="AU217" s="1">
        <f t="shared" si="466"/>
        <v>0</v>
      </c>
      <c r="AV217" s="1">
        <f t="shared" si="466"/>
        <v>0</v>
      </c>
      <c r="AW217" s="1">
        <f t="shared" si="466"/>
        <v>0</v>
      </c>
      <c r="AX217" s="1">
        <f t="shared" si="432"/>
        <v>-165837.80424895452</v>
      </c>
      <c r="AY217" s="1">
        <f t="shared" si="433"/>
        <v>-337234.30424894817</v>
      </c>
      <c r="AZ217" s="1">
        <f t="shared" si="434"/>
        <v>171396.49999999366</v>
      </c>
    </row>
    <row r="218" spans="1:52" x14ac:dyDescent="0.25">
      <c r="A218" s="4">
        <v>45779</v>
      </c>
      <c r="B218">
        <f t="shared" ref="B218:N218" si="476">(B768-B767)*100</f>
        <v>0</v>
      </c>
      <c r="C218">
        <f t="shared" si="476"/>
        <v>0</v>
      </c>
      <c r="D218">
        <f t="shared" si="476"/>
        <v>-2.0000000000000462</v>
      </c>
      <c r="E218">
        <f t="shared" si="476"/>
        <v>-3.0000000000000249</v>
      </c>
      <c r="F218">
        <f t="shared" si="476"/>
        <v>-4.0000000000000036</v>
      </c>
      <c r="G218">
        <f t="shared" si="476"/>
        <v>-8.0000000000000071</v>
      </c>
      <c r="H218">
        <f t="shared" si="476"/>
        <v>-12.999999999999989</v>
      </c>
      <c r="I218">
        <f t="shared" si="476"/>
        <v>-12.999999999999989</v>
      </c>
      <c r="J218">
        <f t="shared" si="476"/>
        <v>-10.999999999999988</v>
      </c>
      <c r="K218">
        <f t="shared" si="476"/>
        <v>-9.0000000000000746</v>
      </c>
      <c r="L218">
        <f t="shared" si="476"/>
        <v>-8.0000000000000071</v>
      </c>
      <c r="M218">
        <f t="shared" si="476"/>
        <v>-5.9999999999999609</v>
      </c>
      <c r="N218">
        <f t="shared" si="476"/>
        <v>-4.9999999999999822</v>
      </c>
      <c r="O218" s="5">
        <f t="shared" si="470"/>
        <v>-3.7877492275047112E-3</v>
      </c>
      <c r="P218" s="5">
        <f t="shared" si="470"/>
        <v>9.7007740506260993E-3</v>
      </c>
      <c r="Q218" s="5">
        <f t="shared" si="470"/>
        <v>1.0783391973683578E-2</v>
      </c>
      <c r="R218" s="5">
        <f t="shared" si="470"/>
        <v>-3.2831766837885185E-3</v>
      </c>
      <c r="S218" s="5">
        <f t="shared" si="470"/>
        <v>-7.7017047015576949E-4</v>
      </c>
      <c r="T218" s="5">
        <f t="shared" ref="T218:X218" si="477">LN(T767/T768)</f>
        <v>2.5109355398078509E-3</v>
      </c>
      <c r="U218" s="5">
        <f t="shared" si="477"/>
        <v>2.8206736437500026E-3</v>
      </c>
      <c r="V218" s="5">
        <f t="shared" si="477"/>
        <v>1.69110368673825E-2</v>
      </c>
      <c r="W218" s="5">
        <f t="shared" si="477"/>
        <v>4.1087566876910203E-3</v>
      </c>
      <c r="X218" s="5">
        <f t="shared" si="477"/>
        <v>3.6497413528576027E-3</v>
      </c>
      <c r="Z218" s="4">
        <v>45779</v>
      </c>
      <c r="AA218">
        <f>B218*B$3</f>
        <v>0</v>
      </c>
      <c r="AB218">
        <f>C218*C$3</f>
        <v>0</v>
      </c>
      <c r="AC218">
        <f>D218*D$3</f>
        <v>-32286.000000000746</v>
      </c>
      <c r="AD218">
        <f>E218*E$3</f>
        <v>-7284.00000000006</v>
      </c>
      <c r="AE218">
        <f>F218*F$3</f>
        <v>49712.000000000044</v>
      </c>
      <c r="AF218">
        <f>G218*G$3</f>
        <v>125024.00000000012</v>
      </c>
      <c r="AG218">
        <f>H218*H$3</f>
        <v>366807.99999999971</v>
      </c>
      <c r="AH218">
        <f>I218*I$3</f>
        <v>239927.9999999998</v>
      </c>
      <c r="AI218">
        <f>J218*J$3</f>
        <v>561566.49999999942</v>
      </c>
      <c r="AJ218">
        <f>K218*K$3</f>
        <v>705555.00000000582</v>
      </c>
      <c r="AK218">
        <f>L218*L$3</f>
        <v>-248032.00000000023</v>
      </c>
      <c r="AL218">
        <f>M218*M$3</f>
        <v>-192437.99999999875</v>
      </c>
      <c r="AM218">
        <f>N218*N$3</f>
        <v>0</v>
      </c>
      <c r="AN218">
        <f>O218*O$3</f>
        <v>0</v>
      </c>
      <c r="AO218">
        <f>P218*P$3</f>
        <v>-48503.870253130495</v>
      </c>
      <c r="AP218">
        <f>Q218*Q$3</f>
        <v>129400.70368420293</v>
      </c>
      <c r="AQ218">
        <f>R218*R$3</f>
        <v>49247.650256827779</v>
      </c>
      <c r="AR218" s="1">
        <f>S218*S$3</f>
        <v>5391.1932910903861</v>
      </c>
      <c r="AS218" s="1">
        <f t="shared" si="466"/>
        <v>10043.742159231404</v>
      </c>
      <c r="AT218" s="1">
        <f t="shared" si="466"/>
        <v>22565.389150000021</v>
      </c>
      <c r="AU218" s="1">
        <f t="shared" si="466"/>
        <v>0</v>
      </c>
      <c r="AV218" s="1">
        <f t="shared" si="466"/>
        <v>0</v>
      </c>
      <c r="AW218" s="1">
        <f t="shared" si="466"/>
        <v>0</v>
      </c>
      <c r="AX218" s="1">
        <f t="shared" si="432"/>
        <v>1736698.3082882266</v>
      </c>
      <c r="AY218" s="1">
        <f t="shared" si="433"/>
        <v>168144.80828822203</v>
      </c>
      <c r="AZ218" s="1">
        <f t="shared" si="434"/>
        <v>1568553.5000000047</v>
      </c>
    </row>
    <row r="219" spans="1:52" x14ac:dyDescent="0.25">
      <c r="A219" s="4">
        <v>45778</v>
      </c>
      <c r="B219">
        <f t="shared" ref="B219:N219" si="478">(B769-B768)*100</f>
        <v>-3.0000000000000249</v>
      </c>
      <c r="C219">
        <f t="shared" si="478"/>
        <v>2.0000000000000462</v>
      </c>
      <c r="D219">
        <f t="shared" si="478"/>
        <v>0</v>
      </c>
      <c r="E219">
        <f t="shared" si="478"/>
        <v>-0.99999999999997868</v>
      </c>
      <c r="F219">
        <f t="shared" si="478"/>
        <v>-2.9999999999999361</v>
      </c>
      <c r="G219">
        <f t="shared" si="478"/>
        <v>-6.999999999999984</v>
      </c>
      <c r="H219">
        <f t="shared" si="478"/>
        <v>-10.000000000000009</v>
      </c>
      <c r="I219">
        <f t="shared" si="478"/>
        <v>-10.999999999999988</v>
      </c>
      <c r="J219">
        <f t="shared" si="478"/>
        <v>-8.9999999999999858</v>
      </c>
      <c r="K219">
        <f t="shared" si="478"/>
        <v>-8.9999999999999414</v>
      </c>
      <c r="L219">
        <f t="shared" si="478"/>
        <v>-8.0000000000000071</v>
      </c>
      <c r="M219">
        <f t="shared" si="478"/>
        <v>-7.0000000000000284</v>
      </c>
      <c r="N219">
        <f t="shared" si="478"/>
        <v>-8.0000000000000071</v>
      </c>
      <c r="O219" s="5">
        <f t="shared" si="470"/>
        <v>0</v>
      </c>
      <c r="P219" s="5">
        <f t="shared" si="470"/>
        <v>0</v>
      </c>
      <c r="Q219" s="5">
        <f t="shared" si="470"/>
        <v>0</v>
      </c>
      <c r="R219" s="5">
        <f t="shared" si="470"/>
        <v>0</v>
      </c>
      <c r="S219" s="5">
        <f t="shared" si="470"/>
        <v>0</v>
      </c>
      <c r="T219" s="5">
        <f t="shared" ref="T219:X219" si="479">LN(T768/T769)</f>
        <v>5.6672706871644645E-3</v>
      </c>
      <c r="U219" s="5">
        <f t="shared" si="479"/>
        <v>6.4992397483227375E-3</v>
      </c>
      <c r="V219" s="5">
        <f t="shared" si="479"/>
        <v>4.9771347658729226E-3</v>
      </c>
      <c r="W219" s="5">
        <f t="shared" si="479"/>
        <v>-4.0896252913487155E-3</v>
      </c>
      <c r="X219" s="5">
        <f t="shared" si="479"/>
        <v>3.0799383872904154E-3</v>
      </c>
      <c r="Z219" s="4">
        <v>45778</v>
      </c>
      <c r="AA219">
        <f>B219*B$3</f>
        <v>2949.0000000000246</v>
      </c>
      <c r="AB219">
        <f>C219*C$3</f>
        <v>-5168.0000000001191</v>
      </c>
      <c r="AC219">
        <f>D219*D$3</f>
        <v>0</v>
      </c>
      <c r="AD219">
        <f>E219*E$3</f>
        <v>-2427.9999999999482</v>
      </c>
      <c r="AE219">
        <f>F219*F$3</f>
        <v>37283.999999999207</v>
      </c>
      <c r="AF219">
        <f>G219*G$3</f>
        <v>109395.99999999975</v>
      </c>
      <c r="AG219">
        <f>H219*H$3</f>
        <v>282160.00000000023</v>
      </c>
      <c r="AH219">
        <f>I219*I$3</f>
        <v>203015.99999999977</v>
      </c>
      <c r="AI219">
        <f>J219*J$3</f>
        <v>459463.4999999993</v>
      </c>
      <c r="AJ219">
        <f>K219*K$3</f>
        <v>705554.99999999546</v>
      </c>
      <c r="AK219">
        <f>L219*L$3</f>
        <v>-248032.00000000023</v>
      </c>
      <c r="AL219">
        <f>M219*M$3</f>
        <v>-224511.0000000009</v>
      </c>
      <c r="AM219">
        <f>N219*N$3</f>
        <v>0</v>
      </c>
      <c r="AN219">
        <f>O219*O$3</f>
        <v>0</v>
      </c>
      <c r="AO219">
        <f>P219*P$3</f>
        <v>0</v>
      </c>
      <c r="AP219">
        <f>Q219*Q$3</f>
        <v>0</v>
      </c>
      <c r="AQ219">
        <f>R219*R$3</f>
        <v>0</v>
      </c>
      <c r="AR219" s="1">
        <f>S219*S$3</f>
        <v>0</v>
      </c>
      <c r="AS219" s="1">
        <f t="shared" si="466"/>
        <v>22669.082748657856</v>
      </c>
      <c r="AT219" s="1">
        <f t="shared" si="466"/>
        <v>51993.917986581902</v>
      </c>
      <c r="AU219" s="1">
        <f t="shared" si="466"/>
        <v>0</v>
      </c>
      <c r="AV219" s="1">
        <f t="shared" si="466"/>
        <v>0</v>
      </c>
      <c r="AW219" s="1">
        <f t="shared" si="466"/>
        <v>0</v>
      </c>
      <c r="AX219" s="1">
        <f t="shared" si="432"/>
        <v>1394347.5007352319</v>
      </c>
      <c r="AY219" s="1">
        <f t="shared" si="433"/>
        <v>74663.000735239766</v>
      </c>
      <c r="AZ219" s="1">
        <f t="shared" si="434"/>
        <v>1319684.4999999921</v>
      </c>
    </row>
    <row r="220" spans="1:52" x14ac:dyDescent="0.25">
      <c r="A220" s="4">
        <v>45777</v>
      </c>
      <c r="B220">
        <f t="shared" ref="B220:N220" si="480">(B770-B769)*100</f>
        <v>0</v>
      </c>
      <c r="C220">
        <f t="shared" si="480"/>
        <v>0</v>
      </c>
      <c r="D220">
        <f t="shared" si="480"/>
        <v>0</v>
      </c>
      <c r="E220">
        <f t="shared" si="480"/>
        <v>-7.0000000000000284</v>
      </c>
      <c r="F220">
        <f t="shared" si="480"/>
        <v>0.99999999999997868</v>
      </c>
      <c r="G220">
        <f t="shared" si="480"/>
        <v>4.0000000000000036</v>
      </c>
      <c r="H220">
        <f t="shared" si="480"/>
        <v>4.9999999999999822</v>
      </c>
      <c r="I220">
        <f t="shared" si="480"/>
        <v>6.999999999999984</v>
      </c>
      <c r="J220">
        <f t="shared" si="480"/>
        <v>4.9999999999999822</v>
      </c>
      <c r="K220">
        <f t="shared" si="480"/>
        <v>2.9999999999999805</v>
      </c>
      <c r="L220">
        <f t="shared" si="480"/>
        <v>2.0000000000000462</v>
      </c>
      <c r="M220">
        <f t="shared" si="480"/>
        <v>-1.9999999999999574</v>
      </c>
      <c r="N220">
        <f t="shared" si="480"/>
        <v>-2.0000000000000462</v>
      </c>
      <c r="O220" s="5">
        <f t="shared" si="470"/>
        <v>2.4940535971583926E-3</v>
      </c>
      <c r="P220" s="5">
        <f t="shared" si="470"/>
        <v>5.2419604633811194E-3</v>
      </c>
      <c r="Q220" s="5">
        <f t="shared" si="470"/>
        <v>8.3698496009729922E-3</v>
      </c>
      <c r="R220" s="5">
        <f t="shared" si="470"/>
        <v>-1.3648152794140727E-3</v>
      </c>
      <c r="S220" s="5">
        <f t="shared" si="470"/>
        <v>1.9444188309468062E-3</v>
      </c>
      <c r="T220" s="5">
        <f t="shared" ref="T220:X220" si="481">LN(T769/T770)</f>
        <v>1.7440288024668437E-3</v>
      </c>
      <c r="U220" s="5">
        <f t="shared" si="481"/>
        <v>1.8899815055914971E-3</v>
      </c>
      <c r="V220" s="5">
        <f t="shared" si="481"/>
        <v>8.5069941628900393E-4</v>
      </c>
      <c r="W220" s="5">
        <f t="shared" si="481"/>
        <v>6.5359341977585641E-3</v>
      </c>
      <c r="X220" s="5">
        <f t="shared" si="481"/>
        <v>2.7118769292100724E-3</v>
      </c>
      <c r="Z220" s="4">
        <v>45777</v>
      </c>
      <c r="AA220">
        <f>B220*B$3</f>
        <v>0</v>
      </c>
      <c r="AB220">
        <f>C220*C$3</f>
        <v>0</v>
      </c>
      <c r="AC220">
        <f>D220*D$3</f>
        <v>0</v>
      </c>
      <c r="AD220">
        <f>E220*E$3</f>
        <v>-16996.000000000069</v>
      </c>
      <c r="AE220">
        <f>F220*F$3</f>
        <v>-12427.999999999734</v>
      </c>
      <c r="AF220">
        <f>G220*G$3</f>
        <v>-62512.000000000058</v>
      </c>
      <c r="AG220">
        <f>H220*H$3</f>
        <v>-141079.99999999951</v>
      </c>
      <c r="AH220">
        <f>I220*I$3</f>
        <v>-129191.99999999971</v>
      </c>
      <c r="AI220">
        <f>J220*J$3</f>
        <v>-255257.4999999991</v>
      </c>
      <c r="AJ220">
        <f>K220*K$3</f>
        <v>-235184.99999999846</v>
      </c>
      <c r="AK220">
        <f>L220*L$3</f>
        <v>62008.000000001433</v>
      </c>
      <c r="AL220">
        <f>M220*M$3</f>
        <v>-64145.999999998632</v>
      </c>
      <c r="AM220">
        <f>N220*N$3</f>
        <v>0</v>
      </c>
      <c r="AN220">
        <f>O220*O$3</f>
        <v>0</v>
      </c>
      <c r="AO220">
        <f>P220*P$3</f>
        <v>-26209.802316905596</v>
      </c>
      <c r="AP220">
        <f>Q220*Q$3</f>
        <v>100438.19521167591</v>
      </c>
      <c r="AQ220">
        <f>R220*R$3</f>
        <v>20472.229191211092</v>
      </c>
      <c r="AR220" s="1">
        <f>S220*S$3</f>
        <v>-13610.931816627644</v>
      </c>
      <c r="AS220" s="1">
        <f t="shared" si="466"/>
        <v>6976.1152098673747</v>
      </c>
      <c r="AT220" s="1">
        <f t="shared" si="466"/>
        <v>15119.852044731977</v>
      </c>
      <c r="AU220" s="1">
        <f t="shared" si="466"/>
        <v>0</v>
      </c>
      <c r="AV220" s="1">
        <f t="shared" si="466"/>
        <v>0</v>
      </c>
      <c r="AW220" s="1">
        <f t="shared" si="466"/>
        <v>0</v>
      </c>
      <c r="AX220" s="1">
        <f t="shared" si="432"/>
        <v>-751602.84247604071</v>
      </c>
      <c r="AY220" s="1">
        <f t="shared" si="433"/>
        <v>103185.65752395311</v>
      </c>
      <c r="AZ220" s="1">
        <f t="shared" si="434"/>
        <v>-854788.49999999383</v>
      </c>
    </row>
    <row r="221" spans="1:52" x14ac:dyDescent="0.25">
      <c r="A221" s="4">
        <v>45776</v>
      </c>
      <c r="B221">
        <f t="shared" ref="B221:N221" si="482">(B771-B770)*100</f>
        <v>0</v>
      </c>
      <c r="C221">
        <f t="shared" si="482"/>
        <v>0.99999999999997868</v>
      </c>
      <c r="D221">
        <f t="shared" si="482"/>
        <v>1.0000000000000675</v>
      </c>
      <c r="E221">
        <f t="shared" si="482"/>
        <v>2.0000000000000462</v>
      </c>
      <c r="F221">
        <f t="shared" si="482"/>
        <v>1.9999999999999574</v>
      </c>
      <c r="G221">
        <f t="shared" si="482"/>
        <v>2.9999999999999805</v>
      </c>
      <c r="H221">
        <f t="shared" si="482"/>
        <v>2.0000000000000018</v>
      </c>
      <c r="I221">
        <f t="shared" si="482"/>
        <v>2.0000000000000018</v>
      </c>
      <c r="J221">
        <f t="shared" si="482"/>
        <v>4.0000000000000036</v>
      </c>
      <c r="K221">
        <f t="shared" si="482"/>
        <v>4.9999999999999822</v>
      </c>
      <c r="L221">
        <f t="shared" si="482"/>
        <v>4.0000000000000036</v>
      </c>
      <c r="M221">
        <f t="shared" si="482"/>
        <v>4.9999999999999822</v>
      </c>
      <c r="N221">
        <f t="shared" si="482"/>
        <v>5.0000000000000711</v>
      </c>
      <c r="O221" s="5">
        <f t="shared" si="470"/>
        <v>-3.7828614519040322E-3</v>
      </c>
      <c r="P221" s="5">
        <f t="shared" si="470"/>
        <v>-7.8775712065659188E-3</v>
      </c>
      <c r="Q221" s="5">
        <f t="shared" si="470"/>
        <v>8.5366119105187411E-4</v>
      </c>
      <c r="R221" s="5">
        <f t="shared" si="470"/>
        <v>-5.4540497670524846E-4</v>
      </c>
      <c r="S221" s="5">
        <f t="shared" si="470"/>
        <v>-1.4813339183582049E-4</v>
      </c>
      <c r="T221" s="5">
        <f t="shared" ref="T221:X221" si="483">LN(T770/T771)</f>
        <v>-5.801755768966744E-3</v>
      </c>
      <c r="U221" s="5">
        <f t="shared" si="483"/>
        <v>-1.0930805988811635E-2</v>
      </c>
      <c r="V221" s="5">
        <f t="shared" si="483"/>
        <v>-1.162879669125836E-2</v>
      </c>
      <c r="W221" s="5">
        <f t="shared" si="483"/>
        <v>-6.982957906185183E-3</v>
      </c>
      <c r="X221" s="5">
        <f t="shared" si="483"/>
        <v>-8.7416413736155878E-3</v>
      </c>
      <c r="Z221" s="4">
        <v>45776</v>
      </c>
      <c r="AA221">
        <f>B221*B$3</f>
        <v>0</v>
      </c>
      <c r="AB221">
        <f>C221*C$3</f>
        <v>-2583.999999999945</v>
      </c>
      <c r="AC221">
        <f>D221*D$3</f>
        <v>16143.00000000109</v>
      </c>
      <c r="AD221">
        <f>E221*E$3</f>
        <v>4856.0000000001119</v>
      </c>
      <c r="AE221">
        <f>F221*F$3</f>
        <v>-24855.999999999469</v>
      </c>
      <c r="AF221">
        <f>G221*G$3</f>
        <v>-46883.999999999694</v>
      </c>
      <c r="AG221">
        <f>H221*H$3</f>
        <v>-56432.000000000051</v>
      </c>
      <c r="AH221">
        <f>I221*I$3</f>
        <v>-36912.000000000036</v>
      </c>
      <c r="AI221">
        <f>J221*J$3</f>
        <v>-204206.00000000017</v>
      </c>
      <c r="AJ221">
        <f>K221*K$3</f>
        <v>-391974.9999999986</v>
      </c>
      <c r="AK221">
        <f>L221*L$3</f>
        <v>124016.00000000012</v>
      </c>
      <c r="AL221">
        <f>M221*M$3</f>
        <v>160364.99999999942</v>
      </c>
      <c r="AM221">
        <f>N221*N$3</f>
        <v>0</v>
      </c>
      <c r="AN221">
        <f>O221*O$3</f>
        <v>0</v>
      </c>
      <c r="AO221">
        <f>P221*P$3</f>
        <v>39387.856032829593</v>
      </c>
      <c r="AP221">
        <f>Q221*Q$3</f>
        <v>10243.934292622489</v>
      </c>
      <c r="AQ221">
        <f>R221*R$3</f>
        <v>8181.0746505787265</v>
      </c>
      <c r="AR221" s="1">
        <f>S221*S$3</f>
        <v>1036.9337428507433</v>
      </c>
      <c r="AS221" s="1">
        <f t="shared" si="466"/>
        <v>-23207.023075866975</v>
      </c>
      <c r="AT221" s="1">
        <f t="shared" si="466"/>
        <v>-87446.44791049308</v>
      </c>
      <c r="AU221" s="1">
        <f t="shared" si="466"/>
        <v>0</v>
      </c>
      <c r="AV221" s="1">
        <f t="shared" si="466"/>
        <v>0</v>
      </c>
      <c r="AW221" s="1">
        <f t="shared" si="466"/>
        <v>0</v>
      </c>
      <c r="AX221" s="1">
        <f t="shared" si="432"/>
        <v>-510272.67226747569</v>
      </c>
      <c r="AY221" s="1">
        <f t="shared" si="433"/>
        <v>-51803.672267478512</v>
      </c>
      <c r="AZ221" s="1">
        <f t="shared" si="434"/>
        <v>-458468.99999999721</v>
      </c>
    </row>
    <row r="222" spans="1:52" x14ac:dyDescent="0.25">
      <c r="A222" s="4">
        <v>45775</v>
      </c>
      <c r="B222">
        <f t="shared" ref="B222:N222" si="484">(B772-B771)*100</f>
        <v>-0.99999999999997868</v>
      </c>
      <c r="C222">
        <f t="shared" si="484"/>
        <v>-0.99999999999997868</v>
      </c>
      <c r="D222">
        <f t="shared" si="484"/>
        <v>0</v>
      </c>
      <c r="E222">
        <f t="shared" si="484"/>
        <v>0</v>
      </c>
      <c r="F222">
        <f t="shared" si="484"/>
        <v>0</v>
      </c>
      <c r="G222">
        <f t="shared" si="484"/>
        <v>3.0000000000000249</v>
      </c>
      <c r="H222">
        <f t="shared" si="484"/>
        <v>7.0000000000000284</v>
      </c>
      <c r="I222">
        <f t="shared" si="484"/>
        <v>8.9999999999999858</v>
      </c>
      <c r="J222">
        <f t="shared" si="484"/>
        <v>6.999999999999984</v>
      </c>
      <c r="K222">
        <f t="shared" si="484"/>
        <v>4.9999999999999822</v>
      </c>
      <c r="L222">
        <f t="shared" si="484"/>
        <v>5.9999999999999609</v>
      </c>
      <c r="M222">
        <f t="shared" si="484"/>
        <v>4.0000000000000036</v>
      </c>
      <c r="N222">
        <f t="shared" si="484"/>
        <v>4.9999999999999822</v>
      </c>
      <c r="O222" s="5">
        <f t="shared" si="470"/>
        <v>-2.9069531838633233E-3</v>
      </c>
      <c r="P222" s="5">
        <f t="shared" si="470"/>
        <v>-2.1339403288990602E-4</v>
      </c>
      <c r="Q222" s="5">
        <f t="shared" si="470"/>
        <v>-1.1416074430748025E-3</v>
      </c>
      <c r="R222" s="5">
        <f t="shared" si="470"/>
        <v>-2.7259097892657036E-4</v>
      </c>
      <c r="S222" s="5">
        <f t="shared" si="470"/>
        <v>2.8695158140139808E-3</v>
      </c>
      <c r="T222" s="5">
        <f t="shared" ref="T222:X222" si="485">LN(T771/T772)</f>
        <v>2.5327013127677549E-3</v>
      </c>
      <c r="U222" s="5">
        <f t="shared" si="485"/>
        <v>2.7148734012811034E-3</v>
      </c>
      <c r="V222" s="5">
        <f t="shared" si="485"/>
        <v>6.7104437853384505E-3</v>
      </c>
      <c r="W222" s="5">
        <f t="shared" si="485"/>
        <v>3.037019394028269E-3</v>
      </c>
      <c r="X222" s="5">
        <f t="shared" si="485"/>
        <v>-4.1032730508296273E-4</v>
      </c>
      <c r="Z222" s="4">
        <v>45775</v>
      </c>
      <c r="AA222">
        <f>B222*B$3</f>
        <v>982.99999999997908</v>
      </c>
      <c r="AB222">
        <f>C222*C$3</f>
        <v>2583.999999999945</v>
      </c>
      <c r="AC222">
        <f>D222*D$3</f>
        <v>0</v>
      </c>
      <c r="AD222">
        <f>E222*E$3</f>
        <v>0</v>
      </c>
      <c r="AE222">
        <f>F222*F$3</f>
        <v>0</v>
      </c>
      <c r="AF222">
        <f>G222*G$3</f>
        <v>-46884.000000000386</v>
      </c>
      <c r="AG222">
        <f>H222*H$3</f>
        <v>-197512.00000000081</v>
      </c>
      <c r="AH222">
        <f>I222*I$3</f>
        <v>-166103.99999999974</v>
      </c>
      <c r="AI222">
        <f>J222*J$3</f>
        <v>-357360.49999999919</v>
      </c>
      <c r="AJ222">
        <f>K222*K$3</f>
        <v>-391974.9999999986</v>
      </c>
      <c r="AK222">
        <f>L222*L$3</f>
        <v>186023.99999999878</v>
      </c>
      <c r="AL222">
        <f>M222*M$3</f>
        <v>128292.00000000012</v>
      </c>
      <c r="AM222">
        <f>N222*N$3</f>
        <v>0</v>
      </c>
      <c r="AN222">
        <f>O222*O$3</f>
        <v>0</v>
      </c>
      <c r="AO222">
        <f>P222*P$3</f>
        <v>1066.9701644495301</v>
      </c>
      <c r="AP222">
        <f>Q222*Q$3</f>
        <v>-13699.28931689763</v>
      </c>
      <c r="AQ222">
        <f>R222*R$3</f>
        <v>4088.8646838985555</v>
      </c>
      <c r="AR222" s="1">
        <f>S222*S$3</f>
        <v>-20086.610698097866</v>
      </c>
      <c r="AS222" s="1">
        <f t="shared" si="466"/>
        <v>10130.80525107102</v>
      </c>
      <c r="AT222" s="1">
        <f t="shared" si="466"/>
        <v>21718.987210248826</v>
      </c>
      <c r="AU222" s="1">
        <f t="shared" si="466"/>
        <v>0</v>
      </c>
      <c r="AV222" s="1">
        <f t="shared" si="466"/>
        <v>0</v>
      </c>
      <c r="AW222" s="1">
        <f t="shared" si="466"/>
        <v>0</v>
      </c>
      <c r="AX222" s="1">
        <f t="shared" si="432"/>
        <v>-838732.77270532749</v>
      </c>
      <c r="AY222" s="1">
        <f t="shared" si="433"/>
        <v>3219.727294672437</v>
      </c>
      <c r="AZ222" s="1">
        <f t="shared" si="434"/>
        <v>-841952.49999999988</v>
      </c>
    </row>
    <row r="223" spans="1:52" x14ac:dyDescent="0.25">
      <c r="A223" s="4">
        <v>45772</v>
      </c>
      <c r="B223">
        <f t="shared" ref="B223:N223" si="486">(B773-B772)*100</f>
        <v>0</v>
      </c>
      <c r="C223">
        <f t="shared" si="486"/>
        <v>0.99999999999997868</v>
      </c>
      <c r="D223">
        <f t="shared" si="486"/>
        <v>0</v>
      </c>
      <c r="E223">
        <f t="shared" si="486"/>
        <v>0</v>
      </c>
      <c r="F223">
        <f t="shared" si="486"/>
        <v>0</v>
      </c>
      <c r="G223">
        <f t="shared" si="486"/>
        <v>2.0000000000000018</v>
      </c>
      <c r="H223">
        <f t="shared" si="486"/>
        <v>2.9999999999999805</v>
      </c>
      <c r="I223">
        <f t="shared" si="486"/>
        <v>4.0000000000000036</v>
      </c>
      <c r="J223">
        <f t="shared" si="486"/>
        <v>3.0000000000000249</v>
      </c>
      <c r="K223">
        <f t="shared" si="486"/>
        <v>5.0000000000000711</v>
      </c>
      <c r="L223">
        <f t="shared" si="486"/>
        <v>3.0000000000000249</v>
      </c>
      <c r="M223">
        <f t="shared" si="486"/>
        <v>4.0000000000000036</v>
      </c>
      <c r="N223">
        <f t="shared" si="486"/>
        <v>2.9999999999999361</v>
      </c>
      <c r="O223" s="5">
        <f t="shared" si="470"/>
        <v>1.9017773257287917E-3</v>
      </c>
      <c r="P223" s="5">
        <f t="shared" si="470"/>
        <v>-1.084660480696059E-2</v>
      </c>
      <c r="Q223" s="5">
        <f t="shared" si="470"/>
        <v>-2.2390088747627725E-4</v>
      </c>
      <c r="R223" s="5">
        <f t="shared" si="470"/>
        <v>-5.4495914155221659E-4</v>
      </c>
      <c r="S223" s="5">
        <f t="shared" si="470"/>
        <v>-2.997199404037094E-3</v>
      </c>
      <c r="T223" s="5">
        <f t="shared" ref="T223:X223" si="487">LN(T772/T773)</f>
        <v>-3.927005358487703E-3</v>
      </c>
      <c r="U223" s="5">
        <f t="shared" si="487"/>
        <v>-4.6401161854109944E-3</v>
      </c>
      <c r="V223" s="5">
        <f t="shared" si="487"/>
        <v>-2.4048035957964127E-3</v>
      </c>
      <c r="W223" s="5">
        <f t="shared" si="487"/>
        <v>-5.9820603215898823E-3</v>
      </c>
      <c r="X223" s="5">
        <f t="shared" si="487"/>
        <v>-1.2782436846086639E-3</v>
      </c>
      <c r="Z223" s="4">
        <v>45772</v>
      </c>
      <c r="AA223">
        <f>B223*B$3</f>
        <v>0</v>
      </c>
      <c r="AB223">
        <f>C223*C$3</f>
        <v>-2583.999999999945</v>
      </c>
      <c r="AC223">
        <f>D223*D$3</f>
        <v>0</v>
      </c>
      <c r="AD223">
        <f>E223*E$3</f>
        <v>0</v>
      </c>
      <c r="AE223">
        <f>F223*F$3</f>
        <v>0</v>
      </c>
      <c r="AF223">
        <f>G223*G$3</f>
        <v>-31256.000000000029</v>
      </c>
      <c r="AG223">
        <f>H223*H$3</f>
        <v>-84647.999999999447</v>
      </c>
      <c r="AH223">
        <f>I223*I$3</f>
        <v>-73824.000000000073</v>
      </c>
      <c r="AI223">
        <f>J223*J$3</f>
        <v>-153154.50000000128</v>
      </c>
      <c r="AJ223">
        <f>K223*K$3</f>
        <v>-391975.00000000559</v>
      </c>
      <c r="AK223">
        <f>L223*L$3</f>
        <v>93012.000000000771</v>
      </c>
      <c r="AL223">
        <f>M223*M$3</f>
        <v>128292.00000000012</v>
      </c>
      <c r="AM223">
        <f>N223*N$3</f>
        <v>0</v>
      </c>
      <c r="AN223">
        <f>O223*O$3</f>
        <v>0</v>
      </c>
      <c r="AO223">
        <f>P223*P$3</f>
        <v>54233.024034802947</v>
      </c>
      <c r="AP223">
        <f>Q223*Q$3</f>
        <v>-2686.8106497153271</v>
      </c>
      <c r="AQ223">
        <f>R223*R$3</f>
        <v>8174.3871232832489</v>
      </c>
      <c r="AR223" s="1">
        <f>S223*S$3</f>
        <v>20980.395828259658</v>
      </c>
      <c r="AS223" s="1">
        <f t="shared" si="466"/>
        <v>-15708.021433950811</v>
      </c>
      <c r="AT223" s="1">
        <f t="shared" si="466"/>
        <v>-37120.929483287953</v>
      </c>
      <c r="AU223" s="1">
        <f t="shared" si="466"/>
        <v>0</v>
      </c>
      <c r="AV223" s="1">
        <f t="shared" si="466"/>
        <v>0</v>
      </c>
      <c r="AW223" s="1">
        <f t="shared" si="466"/>
        <v>0</v>
      </c>
      <c r="AX223" s="1">
        <f t="shared" si="432"/>
        <v>-488265.45458061364</v>
      </c>
      <c r="AY223" s="1">
        <f t="shared" si="433"/>
        <v>27872.045419391754</v>
      </c>
      <c r="AZ223" s="1">
        <f t="shared" si="434"/>
        <v>-516137.50000000541</v>
      </c>
    </row>
    <row r="224" spans="1:52" x14ac:dyDescent="0.25">
      <c r="A224" s="4">
        <v>45771</v>
      </c>
      <c r="B224">
        <f t="shared" ref="B224:N224" si="488">(B774-B773)*100</f>
        <v>-0.99999999999997868</v>
      </c>
      <c r="C224">
        <f t="shared" si="488"/>
        <v>-3.0000000000000249</v>
      </c>
      <c r="D224">
        <f t="shared" si="488"/>
        <v>0.99999999999997868</v>
      </c>
      <c r="E224">
        <f t="shared" si="488"/>
        <v>0.99999999999997868</v>
      </c>
      <c r="F224">
        <f t="shared" si="488"/>
        <v>0</v>
      </c>
      <c r="G224">
        <f t="shared" si="488"/>
        <v>3.9999999999999591</v>
      </c>
      <c r="H224">
        <f t="shared" si="488"/>
        <v>4.0000000000000036</v>
      </c>
      <c r="I224">
        <f t="shared" si="488"/>
        <v>7.0000000000000284</v>
      </c>
      <c r="J224">
        <f t="shared" si="488"/>
        <v>8.9999999999999858</v>
      </c>
      <c r="K224">
        <f t="shared" si="488"/>
        <v>8.9999999999999858</v>
      </c>
      <c r="L224">
        <f t="shared" si="488"/>
        <v>8.0000000000000071</v>
      </c>
      <c r="M224">
        <f t="shared" si="488"/>
        <v>7.0000000000000284</v>
      </c>
      <c r="N224">
        <f t="shared" si="488"/>
        <v>6.0000000000000497</v>
      </c>
      <c r="O224" s="5">
        <f t="shared" si="470"/>
        <v>-2.4997372450584129E-3</v>
      </c>
      <c r="P224" s="5">
        <f t="shared" si="470"/>
        <v>-9.511377320614807E-3</v>
      </c>
      <c r="Q224" s="5">
        <f t="shared" si="470"/>
        <v>-1.2732818230807371E-2</v>
      </c>
      <c r="R224" s="5">
        <f t="shared" si="470"/>
        <v>-4.8913140998413894E-3</v>
      </c>
      <c r="S224" s="5">
        <f t="shared" si="470"/>
        <v>-3.5329150638439494E-3</v>
      </c>
      <c r="T224" s="5">
        <f t="shared" ref="T224:X224" si="489">LN(T773/T774)</f>
        <v>2.1091061414337995E-3</v>
      </c>
      <c r="U224" s="5">
        <f t="shared" si="489"/>
        <v>6.5018278517329988E-4</v>
      </c>
      <c r="V224" s="5">
        <f t="shared" si="489"/>
        <v>3.7424531860911735E-3</v>
      </c>
      <c r="W224" s="5">
        <f t="shared" si="489"/>
        <v>1.712427471555342E-3</v>
      </c>
      <c r="X224" s="5">
        <f t="shared" si="489"/>
        <v>4.5051910214837657E-3</v>
      </c>
      <c r="Z224" s="4">
        <v>45771</v>
      </c>
      <c r="AA224">
        <f>B224*B$3</f>
        <v>982.99999999997908</v>
      </c>
      <c r="AB224">
        <f>C224*C$3</f>
        <v>7752.0000000000646</v>
      </c>
      <c r="AC224">
        <f>D224*D$3</f>
        <v>16142.999999999656</v>
      </c>
      <c r="AD224">
        <f>E224*E$3</f>
        <v>2427.9999999999482</v>
      </c>
      <c r="AE224">
        <f>F224*F$3</f>
        <v>0</v>
      </c>
      <c r="AF224">
        <f>G224*G$3</f>
        <v>-62511.99999999936</v>
      </c>
      <c r="AG224">
        <f>H224*H$3</f>
        <v>-112864.0000000001</v>
      </c>
      <c r="AH224">
        <f>I224*I$3</f>
        <v>-129192.00000000052</v>
      </c>
      <c r="AI224">
        <f>J224*J$3</f>
        <v>-459463.4999999993</v>
      </c>
      <c r="AJ224">
        <f>K224*K$3</f>
        <v>-705554.99999999884</v>
      </c>
      <c r="AK224">
        <f>L224*L$3</f>
        <v>248032.00000000023</v>
      </c>
      <c r="AL224">
        <f>M224*M$3</f>
        <v>224511.0000000009</v>
      </c>
      <c r="AM224">
        <f>N224*N$3</f>
        <v>0</v>
      </c>
      <c r="AN224">
        <f>O224*O$3</f>
        <v>0</v>
      </c>
      <c r="AO224">
        <f>P224*P$3</f>
        <v>47556.886603074032</v>
      </c>
      <c r="AP224">
        <f>Q224*Q$3</f>
        <v>-152793.81876968846</v>
      </c>
      <c r="AQ224">
        <f>R224*R$3</f>
        <v>73369.71149762084</v>
      </c>
      <c r="AR224" s="1">
        <f>S224*S$3</f>
        <v>24730.405446907647</v>
      </c>
      <c r="AS224" s="1">
        <f t="shared" si="466"/>
        <v>8436.4245657351985</v>
      </c>
      <c r="AT224" s="1">
        <f t="shared" si="466"/>
        <v>5201.4622813863989</v>
      </c>
      <c r="AU224" s="1">
        <f t="shared" si="466"/>
        <v>0</v>
      </c>
      <c r="AV224" s="1">
        <f t="shared" si="466"/>
        <v>0</v>
      </c>
      <c r="AW224" s="1">
        <f t="shared" si="466"/>
        <v>0</v>
      </c>
      <c r="AX224" s="1">
        <f t="shared" si="432"/>
        <v>-963236.42837496183</v>
      </c>
      <c r="AY224" s="1">
        <f t="shared" si="433"/>
        <v>6501.07162503566</v>
      </c>
      <c r="AZ224" s="1">
        <f t="shared" si="434"/>
        <v>-969737.49999999744</v>
      </c>
    </row>
    <row r="225" spans="1:52" x14ac:dyDescent="0.25">
      <c r="A225" s="4">
        <v>45770</v>
      </c>
      <c r="B225">
        <f t="shared" ref="B225:N225" si="490">(B775-B774)*100</f>
        <v>0</v>
      </c>
      <c r="C225">
        <f t="shared" si="490"/>
        <v>0.99999999999997868</v>
      </c>
      <c r="D225">
        <f t="shared" si="490"/>
        <v>0</v>
      </c>
      <c r="E225">
        <f t="shared" si="490"/>
        <v>0</v>
      </c>
      <c r="F225">
        <f t="shared" si="490"/>
        <v>-0.99999999999997868</v>
      </c>
      <c r="G225">
        <f t="shared" si="490"/>
        <v>-2.9999999999999805</v>
      </c>
      <c r="H225">
        <f t="shared" si="490"/>
        <v>-5.0000000000000266</v>
      </c>
      <c r="I225">
        <f t="shared" si="490"/>
        <v>-5.0000000000000266</v>
      </c>
      <c r="J225">
        <f t="shared" si="490"/>
        <v>-2.0000000000000018</v>
      </c>
      <c r="K225">
        <f t="shared" si="490"/>
        <v>-0.99999999999997868</v>
      </c>
      <c r="L225">
        <f t="shared" si="490"/>
        <v>0.99999999999997868</v>
      </c>
      <c r="M225">
        <f t="shared" si="490"/>
        <v>4.0000000000000036</v>
      </c>
      <c r="N225">
        <f t="shared" si="490"/>
        <v>4.9999999999999822</v>
      </c>
      <c r="O225" s="5">
        <f t="shared" ref="O225:S234" si="491">LN(O774/O775)</f>
        <v>-1.0772159774049474E-2</v>
      </c>
      <c r="P225" s="5">
        <f t="shared" si="491"/>
        <v>2.9662394157061044E-3</v>
      </c>
      <c r="Q225" s="5">
        <f t="shared" si="491"/>
        <v>-1.1615990970104396E-2</v>
      </c>
      <c r="R225" s="5">
        <f t="shared" si="491"/>
        <v>-2.1662613399562737E-3</v>
      </c>
      <c r="S225" s="5">
        <f t="shared" si="491"/>
        <v>-1.4248203732688476E-4</v>
      </c>
      <c r="T225" s="5">
        <f t="shared" ref="T225:X225" si="492">LN(T774/T775)</f>
        <v>1.4129519405896136E-2</v>
      </c>
      <c r="U225" s="5">
        <f t="shared" si="492"/>
        <v>7.9958186185061751E-3</v>
      </c>
      <c r="V225" s="5">
        <f t="shared" si="492"/>
        <v>1.2780332170880791E-2</v>
      </c>
      <c r="W225" s="5">
        <f t="shared" si="492"/>
        <v>7.155369492456121E-3</v>
      </c>
      <c r="X225" s="5">
        <f t="shared" si="492"/>
        <v>2.0818779638818324E-2</v>
      </c>
      <c r="Z225" s="4">
        <v>45770</v>
      </c>
      <c r="AA225">
        <f>B225*B$3</f>
        <v>0</v>
      </c>
      <c r="AB225">
        <f>C225*C$3</f>
        <v>-2583.999999999945</v>
      </c>
      <c r="AC225">
        <f>D225*D$3</f>
        <v>0</v>
      </c>
      <c r="AD225">
        <f>E225*E$3</f>
        <v>0</v>
      </c>
      <c r="AE225">
        <f>F225*F$3</f>
        <v>12427.999999999734</v>
      </c>
      <c r="AF225">
        <f>G225*G$3</f>
        <v>46883.999999999694</v>
      </c>
      <c r="AG225">
        <f>H225*H$3</f>
        <v>141080.00000000076</v>
      </c>
      <c r="AH225">
        <f>I225*I$3</f>
        <v>92280.000000000495</v>
      </c>
      <c r="AI225">
        <f>J225*J$3</f>
        <v>102103.00000000009</v>
      </c>
      <c r="AJ225">
        <f>K225*K$3</f>
        <v>78394.999999998327</v>
      </c>
      <c r="AK225">
        <f>L225*L$3</f>
        <v>31003.999999999338</v>
      </c>
      <c r="AL225">
        <f>M225*M$3</f>
        <v>128292.00000000012</v>
      </c>
      <c r="AM225">
        <f>N225*N$3</f>
        <v>0</v>
      </c>
      <c r="AN225">
        <f>O225*O$3</f>
        <v>0</v>
      </c>
      <c r="AO225">
        <f>P225*P$3</f>
        <v>-14831.197078530522</v>
      </c>
      <c r="AP225">
        <f>Q225*Q$3</f>
        <v>-139391.89164125276</v>
      </c>
      <c r="AQ225">
        <f>R225*R$3</f>
        <v>32493.920099344105</v>
      </c>
      <c r="AR225" s="1">
        <f>S225*S$3</f>
        <v>997.37426128819334</v>
      </c>
      <c r="AS225" s="1">
        <f t="shared" si="466"/>
        <v>56518.077623584548</v>
      </c>
      <c r="AT225" s="1">
        <f t="shared" si="466"/>
        <v>63966.5489480494</v>
      </c>
      <c r="AU225" s="1">
        <f t="shared" si="466"/>
        <v>0</v>
      </c>
      <c r="AV225" s="1">
        <f t="shared" si="466"/>
        <v>0</v>
      </c>
      <c r="AW225" s="1">
        <f t="shared" si="466"/>
        <v>0</v>
      </c>
      <c r="AX225" s="1">
        <f t="shared" si="432"/>
        <v>629634.83221248153</v>
      </c>
      <c r="AY225" s="1">
        <f t="shared" si="433"/>
        <v>-247.16778751704987</v>
      </c>
      <c r="AZ225" s="1">
        <f t="shared" si="434"/>
        <v>629881.9999999986</v>
      </c>
    </row>
    <row r="226" spans="1:52" x14ac:dyDescent="0.25">
      <c r="A226" s="4">
        <v>45769</v>
      </c>
      <c r="B226">
        <f t="shared" ref="B226:N226" si="493">(B776-B775)*100</f>
        <v>1.9999999999999574</v>
      </c>
      <c r="C226">
        <f t="shared" si="493"/>
        <v>2.0000000000000462</v>
      </c>
      <c r="D226">
        <f t="shared" si="493"/>
        <v>0.99999999999997868</v>
      </c>
      <c r="E226">
        <f t="shared" si="493"/>
        <v>0</v>
      </c>
      <c r="F226">
        <f t="shared" si="493"/>
        <v>0</v>
      </c>
      <c r="G226">
        <f t="shared" si="493"/>
        <v>-2.9999999999999805</v>
      </c>
      <c r="H226">
        <f t="shared" si="493"/>
        <v>-0.99999999999997868</v>
      </c>
      <c r="I226">
        <f t="shared" si="493"/>
        <v>-4.9999999999999822</v>
      </c>
      <c r="J226">
        <f t="shared" si="493"/>
        <v>-0.99999999999997868</v>
      </c>
      <c r="K226">
        <f t="shared" si="493"/>
        <v>0</v>
      </c>
      <c r="L226">
        <f t="shared" si="493"/>
        <v>0.99999999999997868</v>
      </c>
      <c r="M226">
        <f t="shared" si="493"/>
        <v>4.0000000000000036</v>
      </c>
      <c r="N226">
        <f t="shared" si="493"/>
        <v>3.0000000000000249</v>
      </c>
      <c r="O226" s="5">
        <f t="shared" si="491"/>
        <v>-1.8320360047104821E-2</v>
      </c>
      <c r="P226" s="5">
        <f t="shared" si="491"/>
        <v>2.0991261352181958E-3</v>
      </c>
      <c r="Q226" s="5">
        <f t="shared" si="491"/>
        <v>-7.8452095510602015E-3</v>
      </c>
      <c r="R226" s="5">
        <f t="shared" si="491"/>
        <v>-2.7012442141003371E-3</v>
      </c>
      <c r="S226" s="5">
        <f t="shared" si="491"/>
        <v>-3.1041173498161201E-3</v>
      </c>
      <c r="T226" s="5">
        <f t="shared" ref="T226:X226" si="494">LN(T775/T776)</f>
        <v>-1.0125833606434875E-2</v>
      </c>
      <c r="U226" s="5">
        <f t="shared" si="494"/>
        <v>-1.0951413572845311E-2</v>
      </c>
      <c r="V226" s="5">
        <f t="shared" si="494"/>
        <v>-7.43972181011778E-3</v>
      </c>
      <c r="W226" s="5">
        <f t="shared" si="494"/>
        <v>-7.6576694984193828E-3</v>
      </c>
      <c r="X226" s="5">
        <f t="shared" si="494"/>
        <v>-5.7924797201347657E-3</v>
      </c>
      <c r="Z226" s="4">
        <v>45769</v>
      </c>
      <c r="AA226">
        <f>B226*B$3</f>
        <v>-1965.9999999999582</v>
      </c>
      <c r="AB226">
        <f>C226*C$3</f>
        <v>-5168.0000000001191</v>
      </c>
      <c r="AC226">
        <f>D226*D$3</f>
        <v>16142.999999999656</v>
      </c>
      <c r="AD226">
        <f>E226*E$3</f>
        <v>0</v>
      </c>
      <c r="AE226">
        <f>F226*F$3</f>
        <v>0</v>
      </c>
      <c r="AF226">
        <f>G226*G$3</f>
        <v>46883.999999999694</v>
      </c>
      <c r="AG226">
        <f>H226*H$3</f>
        <v>28215.9999999994</v>
      </c>
      <c r="AH226">
        <f>I226*I$3</f>
        <v>92279.999999999665</v>
      </c>
      <c r="AI226">
        <f>J226*J$3</f>
        <v>51051.499999998909</v>
      </c>
      <c r="AJ226">
        <f>K226*K$3</f>
        <v>0</v>
      </c>
      <c r="AK226">
        <f>L226*L$3</f>
        <v>31003.999999999338</v>
      </c>
      <c r="AL226">
        <f>M226*M$3</f>
        <v>128292.00000000012</v>
      </c>
      <c r="AM226">
        <f>N226*N$3</f>
        <v>0</v>
      </c>
      <c r="AN226">
        <f>O226*O$3</f>
        <v>0</v>
      </c>
      <c r="AO226">
        <f>P226*P$3</f>
        <v>-10495.630676090979</v>
      </c>
      <c r="AP226">
        <f>Q226*Q$3</f>
        <v>-94142.514612722414</v>
      </c>
      <c r="AQ226">
        <f>R226*R$3</f>
        <v>40518.663211505052</v>
      </c>
      <c r="AR226" s="1">
        <f>S226*S$3</f>
        <v>21728.821448712839</v>
      </c>
      <c r="AS226" s="1">
        <f t="shared" si="466"/>
        <v>-40503.3344257395</v>
      </c>
      <c r="AT226" s="1">
        <f t="shared" si="466"/>
        <v>-87611.308582762489</v>
      </c>
      <c r="AU226" s="1">
        <f t="shared" si="466"/>
        <v>0</v>
      </c>
      <c r="AV226" s="1">
        <f t="shared" si="466"/>
        <v>0</v>
      </c>
      <c r="AW226" s="1">
        <f t="shared" si="466"/>
        <v>0</v>
      </c>
      <c r="AX226" s="1">
        <f t="shared" si="432"/>
        <v>216231.19636289927</v>
      </c>
      <c r="AY226" s="1">
        <f t="shared" si="433"/>
        <v>-170505.3036370975</v>
      </c>
      <c r="AZ226" s="1">
        <f t="shared" si="434"/>
        <v>386736.49999999674</v>
      </c>
    </row>
    <row r="227" spans="1:52" x14ac:dyDescent="0.25">
      <c r="A227" s="4">
        <v>45768</v>
      </c>
      <c r="B227">
        <f t="shared" ref="B227:N227" si="495">(B777-B776)*100</f>
        <v>1.0000000000000675</v>
      </c>
      <c r="C227">
        <f t="shared" si="495"/>
        <v>0.99999999999997868</v>
      </c>
      <c r="D227">
        <f t="shared" si="495"/>
        <v>0</v>
      </c>
      <c r="E227">
        <f t="shared" si="495"/>
        <v>1.9999999999999574</v>
      </c>
      <c r="F227">
        <f t="shared" si="495"/>
        <v>0.99999999999997868</v>
      </c>
      <c r="G227">
        <f t="shared" si="495"/>
        <v>4.0000000000000036</v>
      </c>
      <c r="H227">
        <f t="shared" si="495"/>
        <v>6.0000000000000053</v>
      </c>
      <c r="I227">
        <f t="shared" si="495"/>
        <v>4.9999999999999822</v>
      </c>
      <c r="J227">
        <f t="shared" si="495"/>
        <v>-2.0000000000000018</v>
      </c>
      <c r="K227">
        <f t="shared" si="495"/>
        <v>-6.0000000000000497</v>
      </c>
      <c r="L227">
        <f t="shared" si="495"/>
        <v>-8.0000000000000071</v>
      </c>
      <c r="M227">
        <f t="shared" si="495"/>
        <v>-12.000000000000011</v>
      </c>
      <c r="N227">
        <f t="shared" si="495"/>
        <v>-11.000000000000032</v>
      </c>
      <c r="O227" s="5">
        <f t="shared" si="491"/>
        <v>0</v>
      </c>
      <c r="P227" s="5">
        <f t="shared" si="491"/>
        <v>-4.4263322123043458E-3</v>
      </c>
      <c r="Q227" s="5">
        <f t="shared" si="491"/>
        <v>-5.3665233441677312E-4</v>
      </c>
      <c r="R227" s="5">
        <f t="shared" si="491"/>
        <v>-5.3806963285261871E-3</v>
      </c>
      <c r="S227" s="5">
        <f t="shared" si="491"/>
        <v>-1.2506369482708082E-2</v>
      </c>
      <c r="T227" s="5">
        <f t="shared" ref="T227:X227" si="496">LN(T776/T777)</f>
        <v>0</v>
      </c>
      <c r="U227" s="5">
        <f t="shared" si="496"/>
        <v>0</v>
      </c>
      <c r="V227" s="5">
        <f t="shared" si="496"/>
        <v>0</v>
      </c>
      <c r="W227" s="5">
        <f t="shared" si="496"/>
        <v>0</v>
      </c>
      <c r="X227" s="5">
        <f t="shared" si="496"/>
        <v>0</v>
      </c>
      <c r="Z227" s="4">
        <v>45768</v>
      </c>
      <c r="AA227">
        <f>B227*B$3</f>
        <v>-983.00000000006639</v>
      </c>
      <c r="AB227">
        <f>C227*C$3</f>
        <v>-2583.999999999945</v>
      </c>
      <c r="AC227">
        <f>D227*D$3</f>
        <v>0</v>
      </c>
      <c r="AD227">
        <f>E227*E$3</f>
        <v>4855.9999999998963</v>
      </c>
      <c r="AE227">
        <f>F227*F$3</f>
        <v>-12427.999999999734</v>
      </c>
      <c r="AF227">
        <f>G227*G$3</f>
        <v>-62512.000000000058</v>
      </c>
      <c r="AG227">
        <f>H227*H$3</f>
        <v>-169296.00000000015</v>
      </c>
      <c r="AH227">
        <f>I227*I$3</f>
        <v>-92279.999999999665</v>
      </c>
      <c r="AI227">
        <f>J227*J$3</f>
        <v>102103.00000000009</v>
      </c>
      <c r="AJ227">
        <f>K227*K$3</f>
        <v>470370.0000000039</v>
      </c>
      <c r="AK227">
        <f>L227*L$3</f>
        <v>-248032.00000000023</v>
      </c>
      <c r="AL227">
        <f>M227*M$3</f>
        <v>-384876.00000000035</v>
      </c>
      <c r="AM227">
        <f>N227*N$3</f>
        <v>0</v>
      </c>
      <c r="AN227">
        <f>O227*O$3</f>
        <v>0</v>
      </c>
      <c r="AO227">
        <f>P227*P$3</f>
        <v>22131.661061521729</v>
      </c>
      <c r="AP227">
        <f>Q227*Q$3</f>
        <v>-6439.8280130012772</v>
      </c>
      <c r="AQ227">
        <f>R227*R$3</f>
        <v>80710.444927892808</v>
      </c>
      <c r="AR227" s="1">
        <f>S227*S$3</f>
        <v>87544.586378956577</v>
      </c>
      <c r="AS227" s="1">
        <f t="shared" si="466"/>
        <v>0</v>
      </c>
      <c r="AT227" s="1">
        <f t="shared" si="466"/>
        <v>0</v>
      </c>
      <c r="AU227" s="1">
        <f t="shared" si="466"/>
        <v>0</v>
      </c>
      <c r="AV227" s="1">
        <f t="shared" si="466"/>
        <v>0</v>
      </c>
      <c r="AW227" s="1">
        <f t="shared" si="466"/>
        <v>0</v>
      </c>
      <c r="AX227" s="1">
        <f t="shared" si="432"/>
        <v>-211715.13564462645</v>
      </c>
      <c r="AY227" s="1">
        <f t="shared" si="433"/>
        <v>183946.86435536982</v>
      </c>
      <c r="AZ227" s="1">
        <f t="shared" si="434"/>
        <v>-395661.99999999627</v>
      </c>
    </row>
    <row r="228" spans="1:52" x14ac:dyDescent="0.25">
      <c r="A228" s="4">
        <v>45765</v>
      </c>
      <c r="B228">
        <f t="shared" ref="B228:N228" si="497">(B778-B777)*100</f>
        <v>-1.0000000000000675</v>
      </c>
      <c r="C228">
        <f t="shared" si="497"/>
        <v>-3.0000000000000249</v>
      </c>
      <c r="D228">
        <f t="shared" si="497"/>
        <v>-0.99999999999997868</v>
      </c>
      <c r="E228">
        <f t="shared" si="497"/>
        <v>-0.99999999999997868</v>
      </c>
      <c r="F228">
        <f t="shared" si="497"/>
        <v>-1.9999999999999574</v>
      </c>
      <c r="G228">
        <f t="shared" si="497"/>
        <v>-3.0000000000000249</v>
      </c>
      <c r="H228">
        <f t="shared" si="497"/>
        <v>-4.0000000000000036</v>
      </c>
      <c r="I228">
        <f t="shared" si="497"/>
        <v>-4.9999999999999822</v>
      </c>
      <c r="J228">
        <f t="shared" si="497"/>
        <v>-4.0000000000000036</v>
      </c>
      <c r="K228">
        <f t="shared" si="497"/>
        <v>-4.9999999999999822</v>
      </c>
      <c r="L228">
        <f t="shared" si="497"/>
        <v>-4.9999999999999822</v>
      </c>
      <c r="M228">
        <f t="shared" si="497"/>
        <v>-5.0000000000000711</v>
      </c>
      <c r="N228">
        <f t="shared" si="497"/>
        <v>-5.9999999999999609</v>
      </c>
      <c r="O228" s="5">
        <f t="shared" si="491"/>
        <v>0</v>
      </c>
      <c r="P228" s="5">
        <f t="shared" si="491"/>
        <v>0</v>
      </c>
      <c r="Q228" s="5">
        <f t="shared" si="491"/>
        <v>0</v>
      </c>
      <c r="R228" s="5">
        <f t="shared" si="491"/>
        <v>0</v>
      </c>
      <c r="S228" s="5">
        <f t="shared" si="491"/>
        <v>0</v>
      </c>
      <c r="T228" s="5">
        <f t="shared" ref="T228:X228" si="498">LN(T777/T778)</f>
        <v>0</v>
      </c>
      <c r="U228" s="5">
        <f t="shared" si="498"/>
        <v>0</v>
      </c>
      <c r="V228" s="5">
        <f t="shared" si="498"/>
        <v>0</v>
      </c>
      <c r="W228" s="5">
        <f t="shared" si="498"/>
        <v>0</v>
      </c>
      <c r="X228" s="5">
        <f t="shared" si="498"/>
        <v>0</v>
      </c>
      <c r="Z228" s="4">
        <v>45765</v>
      </c>
      <c r="AA228">
        <f>B228*B$3</f>
        <v>983.00000000006639</v>
      </c>
      <c r="AB228">
        <f>C228*C$3</f>
        <v>7752.0000000000646</v>
      </c>
      <c r="AC228">
        <f>D228*D$3</f>
        <v>-16142.999999999656</v>
      </c>
      <c r="AD228">
        <f>E228*E$3</f>
        <v>-2427.9999999999482</v>
      </c>
      <c r="AE228">
        <f>F228*F$3</f>
        <v>24855.999999999469</v>
      </c>
      <c r="AF228">
        <f>G228*G$3</f>
        <v>46884.000000000386</v>
      </c>
      <c r="AG228">
        <f>H228*H$3</f>
        <v>112864.0000000001</v>
      </c>
      <c r="AH228">
        <f>I228*I$3</f>
        <v>92279.999999999665</v>
      </c>
      <c r="AI228">
        <f>J228*J$3</f>
        <v>204206.00000000017</v>
      </c>
      <c r="AJ228">
        <f>K228*K$3</f>
        <v>391974.9999999986</v>
      </c>
      <c r="AK228">
        <f>L228*L$3</f>
        <v>-155019.99999999945</v>
      </c>
      <c r="AL228">
        <f>M228*M$3</f>
        <v>-160365.00000000227</v>
      </c>
      <c r="AM228">
        <f>N228*N$3</f>
        <v>0</v>
      </c>
      <c r="AN228">
        <f>O228*O$3</f>
        <v>0</v>
      </c>
      <c r="AO228">
        <f>P228*P$3</f>
        <v>0</v>
      </c>
      <c r="AP228">
        <f>Q228*Q$3</f>
        <v>0</v>
      </c>
      <c r="AQ228">
        <f>R228*R$3</f>
        <v>0</v>
      </c>
      <c r="AR228" s="1">
        <f>S228*S$3</f>
        <v>0</v>
      </c>
      <c r="AS228" s="1">
        <f t="shared" si="466"/>
        <v>0</v>
      </c>
      <c r="AT228" s="1">
        <f t="shared" si="466"/>
        <v>0</v>
      </c>
      <c r="AU228" s="1">
        <f t="shared" si="466"/>
        <v>0</v>
      </c>
      <c r="AV228" s="1">
        <f t="shared" si="466"/>
        <v>0</v>
      </c>
      <c r="AW228" s="1">
        <f t="shared" si="466"/>
        <v>0</v>
      </c>
      <c r="AX228" s="1">
        <f t="shared" si="432"/>
        <v>547843.99999999721</v>
      </c>
      <c r="AY228" s="1">
        <f t="shared" si="433"/>
        <v>0</v>
      </c>
      <c r="AZ228" s="1">
        <f t="shared" si="434"/>
        <v>547843.99999999721</v>
      </c>
    </row>
    <row r="229" spans="1:52" x14ac:dyDescent="0.25">
      <c r="A229" s="4">
        <v>45764</v>
      </c>
      <c r="B229">
        <f t="shared" ref="B229:N229" si="499">(B779-B778)*100</f>
        <v>0</v>
      </c>
      <c r="C229">
        <f t="shared" si="499"/>
        <v>1.0000000000000675</v>
      </c>
      <c r="D229">
        <f t="shared" si="499"/>
        <v>0</v>
      </c>
      <c r="E229">
        <f t="shared" si="499"/>
        <v>-1.9999999999999574</v>
      </c>
      <c r="F229">
        <f t="shared" si="499"/>
        <v>0.99999999999997868</v>
      </c>
      <c r="G229">
        <f t="shared" si="499"/>
        <v>3.0000000000000249</v>
      </c>
      <c r="H229">
        <f t="shared" si="499"/>
        <v>6.999999999999984</v>
      </c>
      <c r="I229">
        <f t="shared" si="499"/>
        <v>8.0000000000000071</v>
      </c>
      <c r="J229">
        <f t="shared" si="499"/>
        <v>6.999999999999984</v>
      </c>
      <c r="K229">
        <f t="shared" si="499"/>
        <v>7.0000000000000284</v>
      </c>
      <c r="L229">
        <f t="shared" si="499"/>
        <v>5.9999999999999609</v>
      </c>
      <c r="M229">
        <f t="shared" si="499"/>
        <v>5.0000000000000711</v>
      </c>
      <c r="N229">
        <f t="shared" si="499"/>
        <v>4.9999999999999822</v>
      </c>
      <c r="O229" s="5">
        <f t="shared" si="491"/>
        <v>-4.2433239938344594E-3</v>
      </c>
      <c r="P229" s="5">
        <f t="shared" si="491"/>
        <v>0</v>
      </c>
      <c r="Q229" s="5">
        <f t="shared" si="491"/>
        <v>2.1483394788173495E-3</v>
      </c>
      <c r="R229" s="5">
        <f t="shared" si="491"/>
        <v>0</v>
      </c>
      <c r="S229" s="5">
        <f t="shared" si="491"/>
        <v>0</v>
      </c>
      <c r="T229" s="5">
        <f t="shared" ref="T229:X229" si="500">LN(T778/T779)</f>
        <v>-9.1777682778820292E-3</v>
      </c>
      <c r="U229" s="5">
        <f t="shared" si="500"/>
        <v>-2.2495036569936594E-4</v>
      </c>
      <c r="V229" s="5">
        <f t="shared" si="500"/>
        <v>-8.7897195602500075E-3</v>
      </c>
      <c r="W229" s="5">
        <f t="shared" si="500"/>
        <v>-5.5229253422596552E-3</v>
      </c>
      <c r="X229" s="5">
        <f t="shared" si="500"/>
        <v>-8.5897261274769394E-3</v>
      </c>
      <c r="Z229" s="4">
        <v>45764</v>
      </c>
      <c r="AA229">
        <f>B229*B$3</f>
        <v>0</v>
      </c>
      <c r="AB229">
        <f>C229*C$3</f>
        <v>-2584.0000000001746</v>
      </c>
      <c r="AC229">
        <f>D229*D$3</f>
        <v>0</v>
      </c>
      <c r="AD229">
        <f>E229*E$3</f>
        <v>-4855.9999999998963</v>
      </c>
      <c r="AE229">
        <f>F229*F$3</f>
        <v>-12427.999999999734</v>
      </c>
      <c r="AF229">
        <f>G229*G$3</f>
        <v>-46884.000000000386</v>
      </c>
      <c r="AG229">
        <f>H229*H$3</f>
        <v>-197511.99999999956</v>
      </c>
      <c r="AH229">
        <f>I229*I$3</f>
        <v>-147648.00000000015</v>
      </c>
      <c r="AI229">
        <f>J229*J$3</f>
        <v>-357360.49999999919</v>
      </c>
      <c r="AJ229">
        <f>K229*K$3</f>
        <v>-548765.00000000221</v>
      </c>
      <c r="AK229">
        <f>L229*L$3</f>
        <v>186023.99999999878</v>
      </c>
      <c r="AL229">
        <f>M229*M$3</f>
        <v>160365.00000000227</v>
      </c>
      <c r="AM229">
        <f>N229*N$3</f>
        <v>0</v>
      </c>
      <c r="AN229">
        <f>O229*O$3</f>
        <v>0</v>
      </c>
      <c r="AO229">
        <f>P229*P$3</f>
        <v>0</v>
      </c>
      <c r="AP229">
        <f>Q229*Q$3</f>
        <v>25780.073745808193</v>
      </c>
      <c r="AQ229">
        <f>R229*R$3</f>
        <v>0</v>
      </c>
      <c r="AR229" s="1">
        <f>S229*S$3</f>
        <v>0</v>
      </c>
      <c r="AS229" s="1">
        <f t="shared" ref="AS229:AW244" si="501">T229*T$3</f>
        <v>-36711.073111528116</v>
      </c>
      <c r="AT229" s="1">
        <f t="shared" si="501"/>
        <v>-1799.6029255949275</v>
      </c>
      <c r="AU229" s="1">
        <f t="shared" si="501"/>
        <v>0</v>
      </c>
      <c r="AV229" s="1">
        <f t="shared" si="501"/>
        <v>0</v>
      </c>
      <c r="AW229" s="1">
        <f t="shared" si="501"/>
        <v>0</v>
      </c>
      <c r="AX229" s="1">
        <f t="shared" si="432"/>
        <v>-984379.10229131498</v>
      </c>
      <c r="AY229" s="1">
        <f t="shared" si="433"/>
        <v>-12730.60229131485</v>
      </c>
      <c r="AZ229" s="1">
        <f t="shared" si="434"/>
        <v>-971648.50000000012</v>
      </c>
    </row>
    <row r="230" spans="1:52" x14ac:dyDescent="0.25">
      <c r="A230" s="4">
        <v>45763</v>
      </c>
      <c r="B230">
        <f t="shared" ref="B230:N230" si="502">(B780-B779)*100</f>
        <v>-0.99999999999997868</v>
      </c>
      <c r="C230">
        <f t="shared" si="502"/>
        <v>0.99999999999997868</v>
      </c>
      <c r="D230">
        <f t="shared" si="502"/>
        <v>0</v>
      </c>
      <c r="E230">
        <f t="shared" si="502"/>
        <v>1.9999999999999574</v>
      </c>
      <c r="F230">
        <f t="shared" si="502"/>
        <v>0</v>
      </c>
      <c r="G230">
        <f t="shared" si="502"/>
        <v>0</v>
      </c>
      <c r="H230">
        <f t="shared" si="502"/>
        <v>0</v>
      </c>
      <c r="I230">
        <f t="shared" si="502"/>
        <v>2.0000000000000018</v>
      </c>
      <c r="J230">
        <f t="shared" si="502"/>
        <v>3.9999999999999591</v>
      </c>
      <c r="K230">
        <f t="shared" si="502"/>
        <v>4.9999999999999822</v>
      </c>
      <c r="L230">
        <f t="shared" si="502"/>
        <v>3.0000000000000249</v>
      </c>
      <c r="M230">
        <f t="shared" si="502"/>
        <v>1.9999999999999574</v>
      </c>
      <c r="N230">
        <f t="shared" si="502"/>
        <v>0.99999999999997868</v>
      </c>
      <c r="O230" s="5">
        <f t="shared" si="491"/>
        <v>1.7190176900734899E-3</v>
      </c>
      <c r="P230" s="5">
        <f t="shared" si="491"/>
        <v>-1.2933205676889777E-2</v>
      </c>
      <c r="Q230" s="5">
        <f t="shared" si="491"/>
        <v>1.1173069928448083E-3</v>
      </c>
      <c r="R230" s="5">
        <f t="shared" si="491"/>
        <v>-3.7493348688878115E-3</v>
      </c>
      <c r="S230" s="5">
        <f t="shared" si="491"/>
        <v>-8.0478011149546294E-3</v>
      </c>
      <c r="T230" s="5">
        <f t="shared" ref="T230:X230" si="503">LN(T779/T780)</f>
        <v>4.15299039916884E-3</v>
      </c>
      <c r="U230" s="5">
        <f t="shared" si="503"/>
        <v>-4.2776371761999912E-3</v>
      </c>
      <c r="V230" s="5">
        <f t="shared" si="503"/>
        <v>-2.7928078294590583E-4</v>
      </c>
      <c r="W230" s="5">
        <f t="shared" si="503"/>
        <v>-2.8415533960891868E-3</v>
      </c>
      <c r="X230" s="5">
        <f t="shared" si="503"/>
        <v>5.877632879387187E-3</v>
      </c>
      <c r="Z230" s="4">
        <v>45763</v>
      </c>
      <c r="AA230">
        <f>B230*B$3</f>
        <v>982.99999999997908</v>
      </c>
      <c r="AB230">
        <f>C230*C$3</f>
        <v>-2583.999999999945</v>
      </c>
      <c r="AC230">
        <f>D230*D$3</f>
        <v>0</v>
      </c>
      <c r="AD230">
        <f>E230*E$3</f>
        <v>4855.9999999998963</v>
      </c>
      <c r="AE230">
        <f>F230*F$3</f>
        <v>0</v>
      </c>
      <c r="AF230">
        <f>G230*G$3</f>
        <v>0</v>
      </c>
      <c r="AG230">
        <f>H230*H$3</f>
        <v>0</v>
      </c>
      <c r="AH230">
        <f>I230*I$3</f>
        <v>-36912.000000000036</v>
      </c>
      <c r="AI230">
        <f>J230*J$3</f>
        <v>-204205.9999999979</v>
      </c>
      <c r="AJ230">
        <f>K230*K$3</f>
        <v>-391974.9999999986</v>
      </c>
      <c r="AK230">
        <f>L230*L$3</f>
        <v>93012.000000000771</v>
      </c>
      <c r="AL230">
        <f>M230*M$3</f>
        <v>64145.999999998632</v>
      </c>
      <c r="AM230">
        <f>N230*N$3</f>
        <v>0</v>
      </c>
      <c r="AN230">
        <f>O230*O$3</f>
        <v>0</v>
      </c>
      <c r="AO230">
        <f>P230*P$3</f>
        <v>64666.02838444888</v>
      </c>
      <c r="AP230">
        <f>Q230*Q$3</f>
        <v>13407.6839141377</v>
      </c>
      <c r="AQ230">
        <f>R230*R$3</f>
        <v>56240.023033317171</v>
      </c>
      <c r="AR230" s="1">
        <f>S230*S$3</f>
        <v>56334.607804682404</v>
      </c>
      <c r="AS230" s="1">
        <f t="shared" si="501"/>
        <v>16611.961596675359</v>
      </c>
      <c r="AT230" s="1">
        <f t="shared" si="501"/>
        <v>-34221.097409599926</v>
      </c>
      <c r="AU230" s="1">
        <f t="shared" si="501"/>
        <v>0</v>
      </c>
      <c r="AV230" s="1">
        <f t="shared" si="501"/>
        <v>0</v>
      </c>
      <c r="AW230" s="1">
        <f t="shared" si="501"/>
        <v>0</v>
      </c>
      <c r="AX230" s="1">
        <f t="shared" si="432"/>
        <v>-299640.79267633561</v>
      </c>
      <c r="AY230" s="1">
        <f t="shared" si="433"/>
        <v>173039.2073236616</v>
      </c>
      <c r="AZ230" s="1">
        <f t="shared" si="434"/>
        <v>-472679.99999999721</v>
      </c>
    </row>
    <row r="231" spans="1:52" x14ac:dyDescent="0.25">
      <c r="A231" s="4">
        <v>45762</v>
      </c>
      <c r="B231">
        <f t="shared" ref="B231:N231" si="504">(B781-B780)*100</f>
        <v>3.0000000000000249</v>
      </c>
      <c r="C231">
        <f t="shared" si="504"/>
        <v>0.99999999999997868</v>
      </c>
      <c r="D231">
        <f t="shared" si="504"/>
        <v>0.99999999999997868</v>
      </c>
      <c r="E231">
        <f t="shared" si="504"/>
        <v>0.99999999999997868</v>
      </c>
      <c r="F231">
        <f t="shared" si="504"/>
        <v>0</v>
      </c>
      <c r="G231">
        <f t="shared" si="504"/>
        <v>4.9999999999999822</v>
      </c>
      <c r="H231">
        <f t="shared" si="504"/>
        <v>12.000000000000011</v>
      </c>
      <c r="I231">
        <f t="shared" si="504"/>
        <v>10.999999999999988</v>
      </c>
      <c r="J231">
        <f t="shared" si="504"/>
        <v>13.000000000000078</v>
      </c>
      <c r="K231">
        <f t="shared" si="504"/>
        <v>12.000000000000011</v>
      </c>
      <c r="L231">
        <f t="shared" si="504"/>
        <v>10.000000000000053</v>
      </c>
      <c r="M231">
        <f t="shared" si="504"/>
        <v>7.0000000000000284</v>
      </c>
      <c r="N231">
        <f t="shared" si="504"/>
        <v>4.9999999999999822</v>
      </c>
      <c r="O231" s="5">
        <f t="shared" si="491"/>
        <v>4.8153363882520415E-3</v>
      </c>
      <c r="P231" s="5">
        <f t="shared" si="491"/>
        <v>1.3398213822911365E-2</v>
      </c>
      <c r="Q231" s="5">
        <f t="shared" si="491"/>
        <v>-1.236539498543446E-2</v>
      </c>
      <c r="R231" s="5">
        <f t="shared" si="491"/>
        <v>8.0224633263804726E-4</v>
      </c>
      <c r="S231" s="5">
        <f t="shared" si="491"/>
        <v>1.0242031004895097E-3</v>
      </c>
      <c r="T231" s="5">
        <f t="shared" ref="T231:X231" si="505">LN(T780/T781)</f>
        <v>3.0628998353777575E-4</v>
      </c>
      <c r="U231" s="5">
        <f t="shared" si="505"/>
        <v>-6.8011880855962112E-3</v>
      </c>
      <c r="V231" s="5">
        <f t="shared" si="505"/>
        <v>-3.3111077449143578E-3</v>
      </c>
      <c r="W231" s="5">
        <f t="shared" si="505"/>
        <v>-2.9470745930928873E-3</v>
      </c>
      <c r="X231" s="5">
        <f t="shared" si="505"/>
        <v>-2.5703382312210498E-3</v>
      </c>
      <c r="Z231" s="4">
        <v>45762</v>
      </c>
      <c r="AA231">
        <f>B231*B$3</f>
        <v>-2949.0000000000246</v>
      </c>
      <c r="AB231">
        <f>C231*C$3</f>
        <v>-2583.999999999945</v>
      </c>
      <c r="AC231">
        <f>D231*D$3</f>
        <v>16142.999999999656</v>
      </c>
      <c r="AD231">
        <f>E231*E$3</f>
        <v>2427.9999999999482</v>
      </c>
      <c r="AE231">
        <f>F231*F$3</f>
        <v>0</v>
      </c>
      <c r="AF231">
        <f>G231*G$3</f>
        <v>-78139.999999999724</v>
      </c>
      <c r="AG231">
        <f>H231*H$3</f>
        <v>-338592.00000000029</v>
      </c>
      <c r="AH231">
        <f>I231*I$3</f>
        <v>-203015.99999999977</v>
      </c>
      <c r="AI231">
        <f>J231*J$3</f>
        <v>-663669.50000000396</v>
      </c>
      <c r="AJ231">
        <f>K231*K$3</f>
        <v>-940740.00000000081</v>
      </c>
      <c r="AK231">
        <f>L231*L$3</f>
        <v>310040.00000000163</v>
      </c>
      <c r="AL231">
        <f>M231*M$3</f>
        <v>224511.0000000009</v>
      </c>
      <c r="AM231">
        <f>N231*N$3</f>
        <v>0</v>
      </c>
      <c r="AN231">
        <f>O231*O$3</f>
        <v>0</v>
      </c>
      <c r="AO231">
        <f>P231*P$3</f>
        <v>-66991.069114556827</v>
      </c>
      <c r="AP231">
        <f>Q231*Q$3</f>
        <v>-148384.7398252135</v>
      </c>
      <c r="AQ231">
        <f>R231*R$3</f>
        <v>-12033.694989570709</v>
      </c>
      <c r="AR231" s="1">
        <f>S231*S$3</f>
        <v>-7169.4217034265685</v>
      </c>
      <c r="AS231" s="1">
        <f t="shared" si="501"/>
        <v>1225.159934151103</v>
      </c>
      <c r="AT231" s="1">
        <f t="shared" si="501"/>
        <v>-54409.504684769687</v>
      </c>
      <c r="AU231" s="1">
        <f t="shared" si="501"/>
        <v>0</v>
      </c>
      <c r="AV231" s="1">
        <f t="shared" si="501"/>
        <v>0</v>
      </c>
      <c r="AW231" s="1">
        <f t="shared" si="501"/>
        <v>0</v>
      </c>
      <c r="AX231" s="1">
        <f t="shared" si="432"/>
        <v>-1964331.7703833887</v>
      </c>
      <c r="AY231" s="1">
        <f t="shared" si="433"/>
        <v>-287763.27038338617</v>
      </c>
      <c r="AZ231" s="1">
        <f t="shared" si="434"/>
        <v>-1676568.5000000026</v>
      </c>
    </row>
    <row r="232" spans="1:52" x14ac:dyDescent="0.25">
      <c r="A232" s="4">
        <v>45761</v>
      </c>
      <c r="B232">
        <f t="shared" ref="B232:N232" si="506">(B782-B781)*100</f>
        <v>-0.99999999999997868</v>
      </c>
      <c r="C232">
        <f t="shared" si="506"/>
        <v>0.99999999999997868</v>
      </c>
      <c r="D232">
        <f t="shared" si="506"/>
        <v>0</v>
      </c>
      <c r="E232">
        <f t="shared" si="506"/>
        <v>-1.9999999999999574</v>
      </c>
      <c r="F232">
        <f t="shared" si="506"/>
        <v>-4.0000000000000036</v>
      </c>
      <c r="G232">
        <f t="shared" si="506"/>
        <v>-6.999999999999984</v>
      </c>
      <c r="H232">
        <f t="shared" si="506"/>
        <v>-12.000000000000011</v>
      </c>
      <c r="I232">
        <f t="shared" si="506"/>
        <v>-12.999999999999989</v>
      </c>
      <c r="J232">
        <f t="shared" si="506"/>
        <v>-11.000000000000032</v>
      </c>
      <c r="K232">
        <f t="shared" si="506"/>
        <v>-11.000000000000032</v>
      </c>
      <c r="L232">
        <f t="shared" si="506"/>
        <v>-8.0000000000000071</v>
      </c>
      <c r="M232">
        <f t="shared" si="506"/>
        <v>-0.99999999999997868</v>
      </c>
      <c r="N232">
        <f t="shared" si="506"/>
        <v>1.0000000000000675</v>
      </c>
      <c r="O232" s="5">
        <f t="shared" si="491"/>
        <v>-5.3262442826740941E-3</v>
      </c>
      <c r="P232" s="5">
        <f t="shared" si="491"/>
        <v>5.8309203107931437E-3</v>
      </c>
      <c r="Q232" s="5">
        <f t="shared" si="491"/>
        <v>-1.1062307151566513E-2</v>
      </c>
      <c r="R232" s="5">
        <f t="shared" si="491"/>
        <v>2.1424753776468318E-3</v>
      </c>
      <c r="S232" s="5">
        <f t="shared" si="491"/>
        <v>-9.4365544645494889E-3</v>
      </c>
      <c r="T232" s="5">
        <f t="shared" ref="T232:X232" si="507">LN(T781/T782)</f>
        <v>-7.5487159605741993E-3</v>
      </c>
      <c r="U232" s="5">
        <f t="shared" si="507"/>
        <v>-7.1451879251820671E-3</v>
      </c>
      <c r="V232" s="5">
        <f t="shared" si="507"/>
        <v>-3.5481730148082099E-4</v>
      </c>
      <c r="W232" s="5">
        <f t="shared" si="507"/>
        <v>-1.244304167863039E-2</v>
      </c>
      <c r="X232" s="5">
        <f t="shared" si="507"/>
        <v>-3.2950943471093774E-3</v>
      </c>
      <c r="Z232" s="4">
        <v>45761</v>
      </c>
      <c r="AA232">
        <f>B232*B$3</f>
        <v>982.99999999997908</v>
      </c>
      <c r="AB232">
        <f>C232*C$3</f>
        <v>-2583.999999999945</v>
      </c>
      <c r="AC232">
        <f>D232*D$3</f>
        <v>0</v>
      </c>
      <c r="AD232">
        <f>E232*E$3</f>
        <v>-4855.9999999998963</v>
      </c>
      <c r="AE232">
        <f>F232*F$3</f>
        <v>49712.000000000044</v>
      </c>
      <c r="AF232">
        <f>G232*G$3</f>
        <v>109395.99999999975</v>
      </c>
      <c r="AG232">
        <f>H232*H$3</f>
        <v>338592.00000000029</v>
      </c>
      <c r="AH232">
        <f>I232*I$3</f>
        <v>239927.9999999998</v>
      </c>
      <c r="AI232">
        <f>J232*J$3</f>
        <v>561566.50000000163</v>
      </c>
      <c r="AJ232">
        <f>K232*K$3</f>
        <v>862345.00000000256</v>
      </c>
      <c r="AK232">
        <f>L232*L$3</f>
        <v>-248032.00000000023</v>
      </c>
      <c r="AL232">
        <f>M232*M$3</f>
        <v>-32072.999999999316</v>
      </c>
      <c r="AM232">
        <f>N232*N$3</f>
        <v>0</v>
      </c>
      <c r="AN232">
        <f>O232*O$3</f>
        <v>0</v>
      </c>
      <c r="AO232">
        <f>P232*P$3</f>
        <v>-29154.60155396572</v>
      </c>
      <c r="AP232">
        <f>Q232*Q$3</f>
        <v>-132747.68581879817</v>
      </c>
      <c r="AQ232">
        <f>R232*R$3</f>
        <v>-32137.130664702476</v>
      </c>
      <c r="AR232" s="1">
        <f>S232*S$3</f>
        <v>66055.881251846426</v>
      </c>
      <c r="AS232" s="1">
        <f t="shared" si="501"/>
        <v>-30194.863842296796</v>
      </c>
      <c r="AT232" s="1">
        <f t="shared" si="501"/>
        <v>-57161.503401456539</v>
      </c>
      <c r="AU232" s="1">
        <f t="shared" si="501"/>
        <v>0</v>
      </c>
      <c r="AV232" s="1">
        <f t="shared" si="501"/>
        <v>0</v>
      </c>
      <c r="AW232" s="1">
        <f t="shared" si="501"/>
        <v>0</v>
      </c>
      <c r="AX232" s="1">
        <f t="shared" si="432"/>
        <v>1659637.5959706311</v>
      </c>
      <c r="AY232" s="1">
        <f t="shared" si="433"/>
        <v>-215339.90402937328</v>
      </c>
      <c r="AZ232" s="1">
        <f t="shared" si="434"/>
        <v>1874977.5000000044</v>
      </c>
    </row>
    <row r="233" spans="1:52" x14ac:dyDescent="0.25">
      <c r="A233" s="4">
        <v>45758</v>
      </c>
      <c r="B233">
        <f t="shared" ref="B233:N233" si="508">(B783-B782)*100</f>
        <v>0</v>
      </c>
      <c r="C233">
        <f t="shared" si="508"/>
        <v>-1.9999999999999574</v>
      </c>
      <c r="D233">
        <f t="shared" si="508"/>
        <v>0.99999999999997868</v>
      </c>
      <c r="E233">
        <f t="shared" si="508"/>
        <v>3.0000000000000249</v>
      </c>
      <c r="F233">
        <f t="shared" si="508"/>
        <v>6.0000000000000497</v>
      </c>
      <c r="G233">
        <f t="shared" si="508"/>
        <v>6.0000000000000053</v>
      </c>
      <c r="H233">
        <f t="shared" si="508"/>
        <v>7.0000000000000284</v>
      </c>
      <c r="I233">
        <f t="shared" si="508"/>
        <v>6.0000000000000053</v>
      </c>
      <c r="J233">
        <f t="shared" si="508"/>
        <v>1.9999999999999574</v>
      </c>
      <c r="K233">
        <f t="shared" si="508"/>
        <v>-0.99999999999997868</v>
      </c>
      <c r="L233">
        <f t="shared" si="508"/>
        <v>-6.0000000000000497</v>
      </c>
      <c r="M233">
        <f t="shared" si="508"/>
        <v>-12.000000000000011</v>
      </c>
      <c r="N233">
        <f t="shared" si="508"/>
        <v>-14.000000000000057</v>
      </c>
      <c r="O233" s="5">
        <f t="shared" si="491"/>
        <v>-6.4151739789981548E-3</v>
      </c>
      <c r="P233" s="5">
        <f t="shared" si="491"/>
        <v>-1.4398762464505676E-2</v>
      </c>
      <c r="Q233" s="5">
        <f t="shared" si="491"/>
        <v>-1.1101281439874393E-2</v>
      </c>
      <c r="R233" s="5">
        <f t="shared" si="491"/>
        <v>0</v>
      </c>
      <c r="S233" s="5">
        <f t="shared" si="491"/>
        <v>-7.1735579430071156E-3</v>
      </c>
      <c r="T233" s="5">
        <f t="shared" ref="T233:X233" si="509">LN(T782/T783)</f>
        <v>-2.7536793686548554E-2</v>
      </c>
      <c r="U233" s="5">
        <f t="shared" si="509"/>
        <v>-1.2908340573232908E-2</v>
      </c>
      <c r="V233" s="5">
        <f t="shared" si="509"/>
        <v>-2.5088441266924683E-2</v>
      </c>
      <c r="W233" s="5">
        <f t="shared" si="509"/>
        <v>-1.4531294318169937E-2</v>
      </c>
      <c r="X233" s="5">
        <f t="shared" si="509"/>
        <v>-4.1396861997215838E-2</v>
      </c>
      <c r="Z233" s="4">
        <v>45758</v>
      </c>
      <c r="AA233">
        <f>B233*B$3</f>
        <v>0</v>
      </c>
      <c r="AB233">
        <f>C233*C$3</f>
        <v>5167.99999999989</v>
      </c>
      <c r="AC233">
        <f>D233*D$3</f>
        <v>16142.999999999656</v>
      </c>
      <c r="AD233">
        <f>E233*E$3</f>
        <v>7284.00000000006</v>
      </c>
      <c r="AE233">
        <f>F233*F$3</f>
        <v>-74568.000000000611</v>
      </c>
      <c r="AF233">
        <f>G233*G$3</f>
        <v>-93768.000000000087</v>
      </c>
      <c r="AG233">
        <f>H233*H$3</f>
        <v>-197512.00000000081</v>
      </c>
      <c r="AH233">
        <f>I233*I$3</f>
        <v>-110736.0000000001</v>
      </c>
      <c r="AI233">
        <f>J233*J$3</f>
        <v>-102102.99999999782</v>
      </c>
      <c r="AJ233">
        <f>K233*K$3</f>
        <v>78394.999999998327</v>
      </c>
      <c r="AK233">
        <f>L233*L$3</f>
        <v>-186024.00000000154</v>
      </c>
      <c r="AL233">
        <f>M233*M$3</f>
        <v>-384876.00000000035</v>
      </c>
      <c r="AM233">
        <f>N233*N$3</f>
        <v>0</v>
      </c>
      <c r="AN233">
        <f>O233*O$3</f>
        <v>0</v>
      </c>
      <c r="AO233">
        <f>P233*P$3</f>
        <v>71993.812322528378</v>
      </c>
      <c r="AP233">
        <f>Q233*Q$3</f>
        <v>-133215.37727849273</v>
      </c>
      <c r="AQ233">
        <f>R233*R$3</f>
        <v>0</v>
      </c>
      <c r="AR233" s="1">
        <f>S233*S$3</f>
        <v>50214.90560104981</v>
      </c>
      <c r="AS233" s="1">
        <f t="shared" si="501"/>
        <v>-110147.17474619421</v>
      </c>
      <c r="AT233" s="1">
        <f t="shared" si="501"/>
        <v>-103266.72458586327</v>
      </c>
      <c r="AU233" s="1">
        <f t="shared" si="501"/>
        <v>0</v>
      </c>
      <c r="AV233" s="1">
        <f t="shared" si="501"/>
        <v>0</v>
      </c>
      <c r="AW233" s="1">
        <f t="shared" si="501"/>
        <v>0</v>
      </c>
      <c r="AX233" s="1">
        <f t="shared" si="432"/>
        <v>-1267017.5586869756</v>
      </c>
      <c r="AY233" s="1">
        <f t="shared" si="433"/>
        <v>-224420.55868697201</v>
      </c>
      <c r="AZ233" s="1">
        <f t="shared" si="434"/>
        <v>-1042597.0000000036</v>
      </c>
    </row>
    <row r="234" spans="1:52" x14ac:dyDescent="0.25">
      <c r="A234" s="4">
        <v>45757</v>
      </c>
      <c r="B234">
        <f t="shared" ref="B234:N234" si="510">(B784-B783)*100</f>
        <v>0</v>
      </c>
      <c r="C234">
        <f t="shared" si="510"/>
        <v>0</v>
      </c>
      <c r="D234">
        <f t="shared" si="510"/>
        <v>-4.0000000000000036</v>
      </c>
      <c r="E234">
        <f t="shared" si="510"/>
        <v>-6.0000000000000497</v>
      </c>
      <c r="F234">
        <f t="shared" si="510"/>
        <v>-9.0000000000000746</v>
      </c>
      <c r="G234">
        <f t="shared" si="510"/>
        <v>-20.000000000000018</v>
      </c>
      <c r="H234">
        <f t="shared" si="510"/>
        <v>-20.000000000000018</v>
      </c>
      <c r="I234">
        <f t="shared" si="510"/>
        <v>-20.000000000000018</v>
      </c>
      <c r="J234">
        <f t="shared" si="510"/>
        <v>-17.999999999999972</v>
      </c>
      <c r="K234">
        <f t="shared" si="510"/>
        <v>-15.000000000000036</v>
      </c>
      <c r="L234">
        <f t="shared" si="510"/>
        <v>-8.0000000000000071</v>
      </c>
      <c r="M234">
        <f t="shared" si="510"/>
        <v>-2.0000000000000462</v>
      </c>
      <c r="N234">
        <f t="shared" si="510"/>
        <v>-0.99999999999997868</v>
      </c>
      <c r="O234" s="5">
        <f t="shared" si="491"/>
        <v>-2.4893946344655339E-2</v>
      </c>
      <c r="P234" s="5">
        <f t="shared" si="491"/>
        <v>3.9274625972102626E-3</v>
      </c>
      <c r="Q234" s="5">
        <f t="shared" si="491"/>
        <v>6.1387423831771584E-3</v>
      </c>
      <c r="R234" s="5">
        <f t="shared" si="491"/>
        <v>9.1570798762864551E-3</v>
      </c>
      <c r="S234" s="5">
        <f t="shared" si="491"/>
        <v>7.750263491667215E-3</v>
      </c>
      <c r="T234" s="5">
        <f t="shared" ref="T234:X234" si="511">LN(T783/T784)</f>
        <v>2.5880638328909739E-3</v>
      </c>
      <c r="U234" s="5">
        <f t="shared" si="511"/>
        <v>-2.6897032307176645E-3</v>
      </c>
      <c r="V234" s="5">
        <f t="shared" si="511"/>
        <v>1.0598787250870836E-2</v>
      </c>
      <c r="W234" s="5">
        <f t="shared" si="511"/>
        <v>-2.9504729546934266E-2</v>
      </c>
      <c r="X234" s="5">
        <f t="shared" si="511"/>
        <v>1.1510262943851907E-2</v>
      </c>
      <c r="Z234" s="4">
        <v>45757</v>
      </c>
      <c r="AA234">
        <f>B234*B$3</f>
        <v>0</v>
      </c>
      <c r="AB234">
        <f>C234*C$3</f>
        <v>0</v>
      </c>
      <c r="AC234">
        <f>D234*D$3</f>
        <v>-64572.000000000058</v>
      </c>
      <c r="AD234">
        <f>E234*E$3</f>
        <v>-14568.00000000012</v>
      </c>
      <c r="AE234">
        <f>F234*F$3</f>
        <v>111852.00000000093</v>
      </c>
      <c r="AF234">
        <f>G234*G$3</f>
        <v>312560.00000000029</v>
      </c>
      <c r="AG234">
        <f>H234*H$3</f>
        <v>564320.00000000047</v>
      </c>
      <c r="AH234">
        <f>I234*I$3</f>
        <v>369120.00000000035</v>
      </c>
      <c r="AI234">
        <f>J234*J$3</f>
        <v>918926.9999999986</v>
      </c>
      <c r="AJ234">
        <f>K234*K$3</f>
        <v>1175925.0000000028</v>
      </c>
      <c r="AK234">
        <f>L234*L$3</f>
        <v>-248032.00000000023</v>
      </c>
      <c r="AL234">
        <f>M234*M$3</f>
        <v>-64146.000000001484</v>
      </c>
      <c r="AM234">
        <f>N234*N$3</f>
        <v>0</v>
      </c>
      <c r="AN234">
        <f>O234*O$3</f>
        <v>0</v>
      </c>
      <c r="AO234">
        <f>P234*P$3</f>
        <v>-19637.312986051315</v>
      </c>
      <c r="AP234">
        <f>Q234*Q$3</f>
        <v>73664.908598125898</v>
      </c>
      <c r="AQ234">
        <f>R234*R$3</f>
        <v>-137356.19814429682</v>
      </c>
      <c r="AR234" s="1">
        <f>S234*S$3</f>
        <v>-54251.844441670502</v>
      </c>
      <c r="AS234" s="1">
        <f t="shared" si="501"/>
        <v>10352.255331563896</v>
      </c>
      <c r="AT234" s="1">
        <f t="shared" si="501"/>
        <v>-21517.625845741317</v>
      </c>
      <c r="AU234" s="1">
        <f t="shared" si="501"/>
        <v>0</v>
      </c>
      <c r="AV234" s="1">
        <f t="shared" si="501"/>
        <v>0</v>
      </c>
      <c r="AW234" s="1">
        <f t="shared" si="501"/>
        <v>0</v>
      </c>
      <c r="AX234" s="1">
        <f t="shared" si="432"/>
        <v>2912640.1825119313</v>
      </c>
      <c r="AY234" s="1">
        <f t="shared" si="433"/>
        <v>-148745.81748807017</v>
      </c>
      <c r="AZ234" s="1">
        <f t="shared" si="434"/>
        <v>3061386.0000000014</v>
      </c>
    </row>
    <row r="235" spans="1:52" x14ac:dyDescent="0.25">
      <c r="A235" s="4">
        <v>45756</v>
      </c>
      <c r="B235">
        <f t="shared" ref="B235:N235" si="512">(B785-B784)*100</f>
        <v>0</v>
      </c>
      <c r="C235">
        <f t="shared" si="512"/>
        <v>-0.99999999999997868</v>
      </c>
      <c r="D235">
        <f t="shared" si="512"/>
        <v>-1.9999999999999574</v>
      </c>
      <c r="E235">
        <f t="shared" si="512"/>
        <v>-1.9999999999999574</v>
      </c>
      <c r="F235">
        <f t="shared" si="512"/>
        <v>0</v>
      </c>
      <c r="G235">
        <f t="shared" si="512"/>
        <v>2.9999999999999805</v>
      </c>
      <c r="H235">
        <f t="shared" si="512"/>
        <v>2.0000000000000018</v>
      </c>
      <c r="I235">
        <f t="shared" si="512"/>
        <v>1.0000000000000231</v>
      </c>
      <c r="J235">
        <f t="shared" si="512"/>
        <v>-6.0000000000000053</v>
      </c>
      <c r="K235">
        <f t="shared" si="512"/>
        <v>-7.9999999999999627</v>
      </c>
      <c r="L235">
        <f t="shared" si="512"/>
        <v>-10.999999999999943</v>
      </c>
      <c r="M235">
        <f t="shared" si="512"/>
        <v>-14.999999999999947</v>
      </c>
      <c r="N235">
        <f t="shared" si="512"/>
        <v>-12.999999999999989</v>
      </c>
      <c r="O235" s="5">
        <f t="shared" ref="O235:S244" si="513">LN(O784/O785)</f>
        <v>2.0623068713246435E-2</v>
      </c>
      <c r="P235" s="5">
        <f t="shared" si="513"/>
        <v>-2.446675149398507E-2</v>
      </c>
      <c r="Q235" s="5">
        <f t="shared" si="513"/>
        <v>3.2349605197891386E-3</v>
      </c>
      <c r="R235" s="5">
        <f t="shared" si="513"/>
        <v>-1.3170463189745008E-2</v>
      </c>
      <c r="S235" s="5">
        <f t="shared" si="513"/>
        <v>-2.5628013393409865E-2</v>
      </c>
      <c r="T235" s="5">
        <f t="shared" ref="T235:X235" si="514">LN(T784/T785)</f>
        <v>-5.9447461760066649E-3</v>
      </c>
      <c r="U235" s="5">
        <f t="shared" si="514"/>
        <v>-4.3904806794811757E-3</v>
      </c>
      <c r="V235" s="5">
        <f t="shared" si="514"/>
        <v>-1.3241168458043028E-2</v>
      </c>
      <c r="W235" s="5">
        <f t="shared" si="514"/>
        <v>7.0820356596927115E-3</v>
      </c>
      <c r="X235" s="5">
        <f t="shared" si="514"/>
        <v>-1.6477744046848444E-2</v>
      </c>
      <c r="Z235" s="4">
        <v>45756</v>
      </c>
      <c r="AA235">
        <f>B235*B$3</f>
        <v>0</v>
      </c>
      <c r="AB235">
        <f>C235*C$3</f>
        <v>2583.999999999945</v>
      </c>
      <c r="AC235">
        <f>D235*D$3</f>
        <v>-32285.999999999312</v>
      </c>
      <c r="AD235">
        <f>E235*E$3</f>
        <v>-4855.9999999998963</v>
      </c>
      <c r="AE235">
        <f>F235*F$3</f>
        <v>0</v>
      </c>
      <c r="AF235">
        <f>G235*G$3</f>
        <v>-46883.999999999694</v>
      </c>
      <c r="AG235">
        <f>H235*H$3</f>
        <v>-56432.000000000051</v>
      </c>
      <c r="AH235">
        <f>I235*I$3</f>
        <v>-18456.000000000426</v>
      </c>
      <c r="AI235">
        <f>J235*J$3</f>
        <v>306309.00000000029</v>
      </c>
      <c r="AJ235">
        <f>K235*K$3</f>
        <v>627159.99999999709</v>
      </c>
      <c r="AK235">
        <f>L235*L$3</f>
        <v>-341043.99999999825</v>
      </c>
      <c r="AL235">
        <f>M235*M$3</f>
        <v>-481094.99999999831</v>
      </c>
      <c r="AM235">
        <f>N235*N$3</f>
        <v>0</v>
      </c>
      <c r="AN235">
        <f>O235*O$3</f>
        <v>0</v>
      </c>
      <c r="AO235">
        <f>P235*P$3</f>
        <v>122333.75746992535</v>
      </c>
      <c r="AP235">
        <f>Q235*Q$3</f>
        <v>38819.526237469661</v>
      </c>
      <c r="AQ235">
        <f>R235*R$3</f>
        <v>197556.94784617511</v>
      </c>
      <c r="AR235" s="1">
        <f>S235*S$3</f>
        <v>179396.09375386906</v>
      </c>
      <c r="AS235" s="1">
        <f t="shared" si="501"/>
        <v>-23778.984704026658</v>
      </c>
      <c r="AT235" s="1">
        <f t="shared" si="501"/>
        <v>-35123.845435849405</v>
      </c>
      <c r="AU235" s="1">
        <f t="shared" si="501"/>
        <v>0</v>
      </c>
      <c r="AV235" s="1">
        <f t="shared" si="501"/>
        <v>0</v>
      </c>
      <c r="AW235" s="1">
        <f t="shared" si="501"/>
        <v>0</v>
      </c>
      <c r="AX235" s="1">
        <f t="shared" si="432"/>
        <v>434203.49516756448</v>
      </c>
      <c r="AY235" s="1">
        <f t="shared" si="433"/>
        <v>479203.49516756315</v>
      </c>
      <c r="AZ235" s="1">
        <f t="shared" si="434"/>
        <v>-44999.999999998661</v>
      </c>
    </row>
    <row r="236" spans="1:52" x14ac:dyDescent="0.25">
      <c r="A236" s="4">
        <v>45755</v>
      </c>
      <c r="B236">
        <f t="shared" ref="B236:N236" si="515">(B786-B785)*100</f>
        <v>0</v>
      </c>
      <c r="C236">
        <f t="shared" si="515"/>
        <v>0</v>
      </c>
      <c r="D236">
        <f t="shared" si="515"/>
        <v>-0.99999999999997868</v>
      </c>
      <c r="E236">
        <f t="shared" si="515"/>
        <v>-3.0000000000000249</v>
      </c>
      <c r="F236">
        <f t="shared" si="515"/>
        <v>0</v>
      </c>
      <c r="G236">
        <f t="shared" si="515"/>
        <v>0</v>
      </c>
      <c r="H236">
        <f t="shared" si="515"/>
        <v>-4.9999999999999822</v>
      </c>
      <c r="I236">
        <f t="shared" si="515"/>
        <v>-6.0000000000000053</v>
      </c>
      <c r="J236">
        <f t="shared" si="515"/>
        <v>-9.9999999999999645</v>
      </c>
      <c r="K236">
        <f t="shared" si="515"/>
        <v>-13.000000000000034</v>
      </c>
      <c r="L236">
        <f t="shared" si="515"/>
        <v>-14.000000000000057</v>
      </c>
      <c r="M236">
        <f t="shared" si="515"/>
        <v>-16.999999999999993</v>
      </c>
      <c r="N236">
        <f t="shared" si="515"/>
        <v>-16.999999999999993</v>
      </c>
      <c r="O236" s="5">
        <f t="shared" si="513"/>
        <v>8.3052600634268559E-3</v>
      </c>
      <c r="P236" s="5">
        <f t="shared" si="513"/>
        <v>9.3045037543074728E-3</v>
      </c>
      <c r="Q236" s="5">
        <f t="shared" si="513"/>
        <v>1.5113432854195152E-2</v>
      </c>
      <c r="R236" s="5">
        <f t="shared" si="513"/>
        <v>7.2357276699304739E-3</v>
      </c>
      <c r="S236" s="5">
        <f t="shared" si="513"/>
        <v>5.7546210106062794E-3</v>
      </c>
      <c r="T236" s="5">
        <f t="shared" ref="T236:X236" si="516">LN(T785/T786)</f>
        <v>6.3181403682475348E-3</v>
      </c>
      <c r="U236" s="5">
        <f t="shared" si="516"/>
        <v>1.3707174789799497E-2</v>
      </c>
      <c r="V236" s="5">
        <f t="shared" si="516"/>
        <v>1.6070100532666581E-2</v>
      </c>
      <c r="W236" s="5">
        <f t="shared" si="516"/>
        <v>-1.6539672194340071E-3</v>
      </c>
      <c r="X236" s="5">
        <f t="shared" si="516"/>
        <v>9.4664162993471756E-3</v>
      </c>
      <c r="Z236" s="4">
        <v>45755</v>
      </c>
      <c r="AA236">
        <f>B236*B$3</f>
        <v>0</v>
      </c>
      <c r="AB236">
        <f>C236*C$3</f>
        <v>0</v>
      </c>
      <c r="AC236">
        <f>D236*D$3</f>
        <v>-16142.999999999656</v>
      </c>
      <c r="AD236">
        <f>E236*E$3</f>
        <v>-7284.00000000006</v>
      </c>
      <c r="AE236">
        <f>F236*F$3</f>
        <v>0</v>
      </c>
      <c r="AF236">
        <f>G236*G$3</f>
        <v>0</v>
      </c>
      <c r="AG236">
        <f>H236*H$3</f>
        <v>141079.99999999951</v>
      </c>
      <c r="AH236">
        <f>I236*I$3</f>
        <v>110736.0000000001</v>
      </c>
      <c r="AI236">
        <f>J236*J$3</f>
        <v>510514.9999999982</v>
      </c>
      <c r="AJ236">
        <f>K236*K$3</f>
        <v>1019135.0000000027</v>
      </c>
      <c r="AK236">
        <f>L236*L$3</f>
        <v>-434056.00000000175</v>
      </c>
      <c r="AL236">
        <f>M236*M$3</f>
        <v>-545240.99999999977</v>
      </c>
      <c r="AM236">
        <f>N236*N$3</f>
        <v>0</v>
      </c>
      <c r="AN236">
        <f>O236*O$3</f>
        <v>0</v>
      </c>
      <c r="AO236">
        <f>P236*P$3</f>
        <v>-46522.518771537361</v>
      </c>
      <c r="AP236">
        <f>Q236*Q$3</f>
        <v>181361.19425034182</v>
      </c>
      <c r="AQ236">
        <f>R236*R$3</f>
        <v>-108535.9150489571</v>
      </c>
      <c r="AR236" s="1">
        <f>S236*S$3</f>
        <v>-40282.347074243953</v>
      </c>
      <c r="AS236" s="1">
        <f t="shared" si="501"/>
        <v>25272.561472990139</v>
      </c>
      <c r="AT236" s="1">
        <f t="shared" si="501"/>
        <v>109657.39831839598</v>
      </c>
      <c r="AU236" s="1">
        <f t="shared" si="501"/>
        <v>0</v>
      </c>
      <c r="AV236" s="1">
        <f t="shared" si="501"/>
        <v>0</v>
      </c>
      <c r="AW236" s="1">
        <f t="shared" si="501"/>
        <v>0</v>
      </c>
      <c r="AX236" s="1">
        <f t="shared" si="432"/>
        <v>899692.3731469888</v>
      </c>
      <c r="AY236" s="1">
        <f t="shared" si="433"/>
        <v>120950.37314698951</v>
      </c>
      <c r="AZ236" s="1">
        <f t="shared" si="434"/>
        <v>778741.9999999993</v>
      </c>
    </row>
    <row r="237" spans="1:52" x14ac:dyDescent="0.25">
      <c r="A237" s="4">
        <v>45754</v>
      </c>
      <c r="B237">
        <f t="shared" ref="B237:N237" si="517">(B787-B786)*100</f>
        <v>0</v>
      </c>
      <c r="C237">
        <f t="shared" si="517"/>
        <v>1.9999999999999574</v>
      </c>
      <c r="D237">
        <f t="shared" si="517"/>
        <v>2.9999999999999361</v>
      </c>
      <c r="E237">
        <f t="shared" si="517"/>
        <v>4.0000000000000036</v>
      </c>
      <c r="F237">
        <f t="shared" si="517"/>
        <v>6.0000000000000497</v>
      </c>
      <c r="G237">
        <f t="shared" si="517"/>
        <v>6.0000000000000053</v>
      </c>
      <c r="H237">
        <f t="shared" si="517"/>
        <v>2.9999999999999805</v>
      </c>
      <c r="I237">
        <f t="shared" si="517"/>
        <v>2.0000000000000018</v>
      </c>
      <c r="J237">
        <f t="shared" si="517"/>
        <v>2.9999999999999805</v>
      </c>
      <c r="K237">
        <f t="shared" si="517"/>
        <v>4.0000000000000036</v>
      </c>
      <c r="L237">
        <f t="shared" si="517"/>
        <v>4.9999999999999822</v>
      </c>
      <c r="M237">
        <f t="shared" si="517"/>
        <v>6.9999999999999396</v>
      </c>
      <c r="N237">
        <f t="shared" si="517"/>
        <v>8.0000000000000071</v>
      </c>
      <c r="O237" s="5">
        <f t="shared" si="513"/>
        <v>1.8860719568126707E-2</v>
      </c>
      <c r="P237" s="5">
        <f t="shared" si="513"/>
        <v>2.6312140372070941E-2</v>
      </c>
      <c r="Q237" s="5">
        <f t="shared" si="513"/>
        <v>3.0412089882863258E-2</v>
      </c>
      <c r="R237" s="5">
        <f t="shared" si="513"/>
        <v>1.0273137118412571E-2</v>
      </c>
      <c r="S237" s="5">
        <f t="shared" si="513"/>
        <v>1.0881214619164768E-2</v>
      </c>
      <c r="T237" s="5">
        <f t="shared" ref="T237:X237" si="518">LN(T786/T787)</f>
        <v>5.3748592217483749E-3</v>
      </c>
      <c r="U237" s="5">
        <f t="shared" si="518"/>
        <v>1.3688239761825587E-2</v>
      </c>
      <c r="V237" s="5">
        <f t="shared" si="518"/>
        <v>-5.4720921173312988E-3</v>
      </c>
      <c r="W237" s="5">
        <f t="shared" si="518"/>
        <v>5.4566896734661183E-2</v>
      </c>
      <c r="X237" s="5">
        <f t="shared" si="518"/>
        <v>-8.8846978055583149E-3</v>
      </c>
      <c r="Z237" s="4">
        <v>45754</v>
      </c>
      <c r="AA237">
        <f>B237*B$3</f>
        <v>0</v>
      </c>
      <c r="AB237">
        <f>C237*C$3</f>
        <v>-5167.99999999989</v>
      </c>
      <c r="AC237">
        <f>D237*D$3</f>
        <v>48428.999999998967</v>
      </c>
      <c r="AD237">
        <f>E237*E$3</f>
        <v>9712.0000000000091</v>
      </c>
      <c r="AE237">
        <f>F237*F$3</f>
        <v>-74568.000000000611</v>
      </c>
      <c r="AF237">
        <f>G237*G$3</f>
        <v>-93768.000000000087</v>
      </c>
      <c r="AG237">
        <f>H237*H$3</f>
        <v>-84647.999999999447</v>
      </c>
      <c r="AH237">
        <f>I237*I$3</f>
        <v>-36912.000000000036</v>
      </c>
      <c r="AI237">
        <f>J237*J$3</f>
        <v>-153154.49999999901</v>
      </c>
      <c r="AJ237">
        <f>K237*K$3</f>
        <v>-313580.00000000029</v>
      </c>
      <c r="AK237">
        <f>L237*L$3</f>
        <v>155019.99999999945</v>
      </c>
      <c r="AL237">
        <f>M237*M$3</f>
        <v>224510.99999999805</v>
      </c>
      <c r="AM237">
        <f>N237*N$3</f>
        <v>0</v>
      </c>
      <c r="AN237">
        <f>O237*O$3</f>
        <v>0</v>
      </c>
      <c r="AO237">
        <f>P237*P$3</f>
        <v>-131560.70186035472</v>
      </c>
      <c r="AP237">
        <f>Q237*Q$3</f>
        <v>364945.0785943591</v>
      </c>
      <c r="AQ237">
        <f>R237*R$3</f>
        <v>-154097.05677618858</v>
      </c>
      <c r="AR237" s="1">
        <f>S237*S$3</f>
        <v>-76168.502334153382</v>
      </c>
      <c r="AS237" s="1">
        <f t="shared" si="501"/>
        <v>21499.436886993499</v>
      </c>
      <c r="AT237" s="1">
        <f t="shared" si="501"/>
        <v>109505.9180946047</v>
      </c>
      <c r="AU237" s="1">
        <f t="shared" si="501"/>
        <v>0</v>
      </c>
      <c r="AV237" s="1">
        <f t="shared" si="501"/>
        <v>0</v>
      </c>
      <c r="AW237" s="1">
        <f t="shared" si="501"/>
        <v>0</v>
      </c>
      <c r="AX237" s="1">
        <f t="shared" si="432"/>
        <v>-190002.32739474246</v>
      </c>
      <c r="AY237" s="1">
        <f t="shared" si="433"/>
        <v>134124.17260526062</v>
      </c>
      <c r="AZ237" s="1">
        <f t="shared" si="434"/>
        <v>-324126.50000000309</v>
      </c>
    </row>
    <row r="238" spans="1:52" x14ac:dyDescent="0.25">
      <c r="A238" s="4">
        <v>45751</v>
      </c>
      <c r="B238">
        <f t="shared" ref="B238:N238" si="519">(B788-B787)*100</f>
        <v>1.9999999999999574</v>
      </c>
      <c r="C238">
        <f t="shared" si="519"/>
        <v>-4.0000000000000036</v>
      </c>
      <c r="D238">
        <f t="shared" si="519"/>
        <v>1.0000000000000675</v>
      </c>
      <c r="E238">
        <f t="shared" si="519"/>
        <v>3.0000000000000249</v>
      </c>
      <c r="F238">
        <f t="shared" si="519"/>
        <v>4.0000000000000036</v>
      </c>
      <c r="G238">
        <f t="shared" si="519"/>
        <v>12.000000000000011</v>
      </c>
      <c r="H238">
        <f t="shared" si="519"/>
        <v>20.000000000000018</v>
      </c>
      <c r="I238">
        <f t="shared" si="519"/>
        <v>20.999999999999996</v>
      </c>
      <c r="J238">
        <f t="shared" si="519"/>
        <v>20.000000000000018</v>
      </c>
      <c r="K238">
        <f t="shared" si="519"/>
        <v>19.000000000000039</v>
      </c>
      <c r="L238">
        <f t="shared" si="519"/>
        <v>14.000000000000057</v>
      </c>
      <c r="M238">
        <f t="shared" si="519"/>
        <v>7.0000000000000284</v>
      </c>
      <c r="N238">
        <f t="shared" si="519"/>
        <v>4.9999999999999822</v>
      </c>
      <c r="O238" s="5">
        <f t="shared" si="513"/>
        <v>3.00360338330487E-2</v>
      </c>
      <c r="P238" s="5">
        <f t="shared" si="513"/>
        <v>2.7191577538679883E-2</v>
      </c>
      <c r="Q238" s="5">
        <f t="shared" si="513"/>
        <v>-3.4169679210620352E-3</v>
      </c>
      <c r="R238" s="5">
        <f t="shared" si="513"/>
        <v>3.5388630916506599E-3</v>
      </c>
      <c r="S238" s="5">
        <f t="shared" si="513"/>
        <v>2.5817848411509643E-2</v>
      </c>
      <c r="T238" s="5">
        <f t="shared" ref="T238:X238" si="520">LN(T787/T788)</f>
        <v>-1.2304011200254549E-2</v>
      </c>
      <c r="U238" s="5">
        <f t="shared" si="520"/>
        <v>-3.2407102964088995E-3</v>
      </c>
      <c r="V238" s="5">
        <f t="shared" si="520"/>
        <v>-1.1159411895392367E-2</v>
      </c>
      <c r="W238" s="5">
        <f t="shared" si="520"/>
        <v>-9.3440347729204856E-3</v>
      </c>
      <c r="X238" s="5">
        <f t="shared" si="520"/>
        <v>-2.0254117177799621E-2</v>
      </c>
      <c r="Z238" s="4">
        <v>45751</v>
      </c>
      <c r="AA238">
        <f>B238*B$3</f>
        <v>-1965.9999999999582</v>
      </c>
      <c r="AB238">
        <f>C238*C$3</f>
        <v>10336.000000000009</v>
      </c>
      <c r="AC238">
        <f>D238*D$3</f>
        <v>16143.00000000109</v>
      </c>
      <c r="AD238">
        <f>E238*E$3</f>
        <v>7284.00000000006</v>
      </c>
      <c r="AE238">
        <f>F238*F$3</f>
        <v>-49712.000000000044</v>
      </c>
      <c r="AF238">
        <f>G238*G$3</f>
        <v>-187536.00000000017</v>
      </c>
      <c r="AG238">
        <f>H238*H$3</f>
        <v>-564320.00000000047</v>
      </c>
      <c r="AH238">
        <f>I238*I$3</f>
        <v>-387575.99999999994</v>
      </c>
      <c r="AI238">
        <f>J238*J$3</f>
        <v>-1021030.0000000009</v>
      </c>
      <c r="AJ238">
        <f>K238*K$3</f>
        <v>-1489505.000000003</v>
      </c>
      <c r="AK238">
        <f>L238*L$3</f>
        <v>434056.00000000175</v>
      </c>
      <c r="AL238">
        <f>M238*M$3</f>
        <v>224511.0000000009</v>
      </c>
      <c r="AM238">
        <f>N238*N$3</f>
        <v>0</v>
      </c>
      <c r="AN238">
        <f>O238*O$3</f>
        <v>0</v>
      </c>
      <c r="AO238">
        <f>P238*P$3</f>
        <v>-135957.88769339942</v>
      </c>
      <c r="AP238">
        <f>Q238*Q$3</f>
        <v>-41003.615052744419</v>
      </c>
      <c r="AQ238">
        <f>R238*R$3</f>
        <v>-53082.9463747599</v>
      </c>
      <c r="AR238" s="1">
        <f>S238*S$3</f>
        <v>-180724.9388805675</v>
      </c>
      <c r="AS238" s="1">
        <f t="shared" si="501"/>
        <v>-49216.044801018194</v>
      </c>
      <c r="AT238" s="1">
        <f t="shared" si="501"/>
        <v>-25925.682371271196</v>
      </c>
      <c r="AU238" s="1">
        <f t="shared" si="501"/>
        <v>0</v>
      </c>
      <c r="AV238" s="1">
        <f t="shared" si="501"/>
        <v>0</v>
      </c>
      <c r="AW238" s="1">
        <f t="shared" si="501"/>
        <v>0</v>
      </c>
      <c r="AX238" s="1">
        <f t="shared" si="432"/>
        <v>-3495226.1151737617</v>
      </c>
      <c r="AY238" s="1">
        <f t="shared" si="433"/>
        <v>-485911.11517376063</v>
      </c>
      <c r="AZ238" s="1">
        <f t="shared" si="434"/>
        <v>-3009315.0000000009</v>
      </c>
    </row>
    <row r="239" spans="1:52" x14ac:dyDescent="0.25">
      <c r="A239" s="4">
        <v>45750</v>
      </c>
      <c r="B239">
        <f t="shared" ref="B239:N239" si="521">(B789-B788)*100</f>
        <v>0</v>
      </c>
      <c r="C239">
        <f t="shared" si="521"/>
        <v>0.99999999999997868</v>
      </c>
      <c r="D239">
        <f t="shared" si="521"/>
        <v>0</v>
      </c>
      <c r="E239">
        <f t="shared" si="521"/>
        <v>-2.0000000000000462</v>
      </c>
      <c r="F239">
        <f t="shared" si="521"/>
        <v>-0.99999999999997868</v>
      </c>
      <c r="G239">
        <f t="shared" si="521"/>
        <v>-3.0000000000000249</v>
      </c>
      <c r="H239">
        <f t="shared" si="521"/>
        <v>-4.0000000000000036</v>
      </c>
      <c r="I239">
        <f t="shared" si="521"/>
        <v>-4.0000000000000036</v>
      </c>
      <c r="J239">
        <f t="shared" si="521"/>
        <v>-4.0000000000000036</v>
      </c>
      <c r="K239">
        <f t="shared" si="521"/>
        <v>-4.0000000000000036</v>
      </c>
      <c r="L239">
        <f t="shared" si="521"/>
        <v>-3.0000000000000249</v>
      </c>
      <c r="M239">
        <f t="shared" si="521"/>
        <v>-2.0000000000000462</v>
      </c>
      <c r="N239">
        <f t="shared" si="521"/>
        <v>-2.0000000000000462</v>
      </c>
      <c r="O239" s="5">
        <f t="shared" si="513"/>
        <v>-1.5152743788525696E-2</v>
      </c>
      <c r="P239" s="5">
        <f t="shared" si="513"/>
        <v>8.422066310250192E-4</v>
      </c>
      <c r="Q239" s="5">
        <f t="shared" si="513"/>
        <v>3.7445128689682031E-3</v>
      </c>
      <c r="R239" s="5">
        <f t="shared" si="513"/>
        <v>-8.1777297729001143E-4</v>
      </c>
      <c r="S239" s="5">
        <f t="shared" si="513"/>
        <v>-2.5358422099806564E-2</v>
      </c>
      <c r="T239" s="5">
        <f t="shared" ref="T239:X239" si="522">LN(T788/T789)</f>
        <v>-1.0385541263550516E-2</v>
      </c>
      <c r="U239" s="5">
        <f t="shared" si="522"/>
        <v>-9.4916878065192702E-3</v>
      </c>
      <c r="V239" s="5">
        <f t="shared" si="522"/>
        <v>-1.2840617543619674E-2</v>
      </c>
      <c r="W239" s="5">
        <f t="shared" si="522"/>
        <v>3.9645694781985583E-3</v>
      </c>
      <c r="X239" s="5">
        <f t="shared" si="522"/>
        <v>-7.5106288876552194E-3</v>
      </c>
      <c r="Z239" s="4">
        <v>45750</v>
      </c>
      <c r="AA239">
        <f>B239*B$3</f>
        <v>0</v>
      </c>
      <c r="AB239">
        <f>C239*C$3</f>
        <v>-2583.999999999945</v>
      </c>
      <c r="AC239">
        <f>D239*D$3</f>
        <v>0</v>
      </c>
      <c r="AD239">
        <f>E239*E$3</f>
        <v>-4856.0000000001119</v>
      </c>
      <c r="AE239">
        <f>F239*F$3</f>
        <v>12427.999999999734</v>
      </c>
      <c r="AF239">
        <f>G239*G$3</f>
        <v>46884.000000000386</v>
      </c>
      <c r="AG239">
        <f>H239*H$3</f>
        <v>112864.0000000001</v>
      </c>
      <c r="AH239">
        <f>I239*I$3</f>
        <v>73824.000000000073</v>
      </c>
      <c r="AI239">
        <f>J239*J$3</f>
        <v>204206.00000000017</v>
      </c>
      <c r="AJ239">
        <f>K239*K$3</f>
        <v>313580.00000000029</v>
      </c>
      <c r="AK239">
        <f>L239*L$3</f>
        <v>-93012.000000000771</v>
      </c>
      <c r="AL239">
        <f>M239*M$3</f>
        <v>-64146.000000001484</v>
      </c>
      <c r="AM239">
        <f>N239*N$3</f>
        <v>0</v>
      </c>
      <c r="AN239">
        <f>O239*O$3</f>
        <v>0</v>
      </c>
      <c r="AO239">
        <f>P239*P$3</f>
        <v>-4211.0331551250956</v>
      </c>
      <c r="AP239">
        <f>Q239*Q$3</f>
        <v>44934.154427618436</v>
      </c>
      <c r="AQ239">
        <f>R239*R$3</f>
        <v>12266.594659350172</v>
      </c>
      <c r="AR239" s="1">
        <f>S239*S$3</f>
        <v>177508.95469864595</v>
      </c>
      <c r="AS239" s="1">
        <f t="shared" si="501"/>
        <v>-41542.165054202065</v>
      </c>
      <c r="AT239" s="1">
        <f t="shared" si="501"/>
        <v>-75933.502452154164</v>
      </c>
      <c r="AU239" s="1">
        <f t="shared" si="501"/>
        <v>0</v>
      </c>
      <c r="AV239" s="1">
        <f t="shared" si="501"/>
        <v>0</v>
      </c>
      <c r="AW239" s="1">
        <f t="shared" si="501"/>
        <v>0</v>
      </c>
      <c r="AX239" s="1">
        <f t="shared" si="432"/>
        <v>712211.00312413159</v>
      </c>
      <c r="AY239" s="1">
        <f t="shared" si="433"/>
        <v>113023.00312413323</v>
      </c>
      <c r="AZ239" s="1">
        <f t="shared" si="434"/>
        <v>599187.99999999837</v>
      </c>
    </row>
    <row r="240" spans="1:52" x14ac:dyDescent="0.25">
      <c r="A240" s="4">
        <v>45749</v>
      </c>
      <c r="B240">
        <f t="shared" ref="B240:N240" si="523">(B790-B789)*100</f>
        <v>0</v>
      </c>
      <c r="C240">
        <f t="shared" si="523"/>
        <v>0</v>
      </c>
      <c r="D240">
        <f t="shared" si="523"/>
        <v>0</v>
      </c>
      <c r="E240">
        <f t="shared" si="523"/>
        <v>0.99999999999997868</v>
      </c>
      <c r="F240">
        <f t="shared" si="523"/>
        <v>0</v>
      </c>
      <c r="G240">
        <f t="shared" si="523"/>
        <v>2.0000000000000462</v>
      </c>
      <c r="H240">
        <f t="shared" si="523"/>
        <v>2.0000000000000018</v>
      </c>
      <c r="I240">
        <f t="shared" si="523"/>
        <v>4.0000000000000036</v>
      </c>
      <c r="J240">
        <f t="shared" si="523"/>
        <v>4.9999999999999822</v>
      </c>
      <c r="K240">
        <f t="shared" si="523"/>
        <v>5.9999999999999609</v>
      </c>
      <c r="L240">
        <f t="shared" si="523"/>
        <v>6.0000000000000497</v>
      </c>
      <c r="M240">
        <f t="shared" si="523"/>
        <v>6.0000000000000497</v>
      </c>
      <c r="N240">
        <f t="shared" si="523"/>
        <v>7.0000000000000284</v>
      </c>
      <c r="O240" s="5">
        <f t="shared" si="513"/>
        <v>-2.2374612843235552E-3</v>
      </c>
      <c r="P240" s="5">
        <f t="shared" si="513"/>
        <v>1.5780378992190812E-3</v>
      </c>
      <c r="Q240" s="5">
        <f t="shared" si="513"/>
        <v>-7.1498448685443344E-3</v>
      </c>
      <c r="R240" s="5">
        <f t="shared" si="513"/>
        <v>-1.0893247264549934E-3</v>
      </c>
      <c r="S240" s="5">
        <f t="shared" si="513"/>
        <v>6.0065836031405907E-3</v>
      </c>
      <c r="T240" s="5">
        <f t="shared" ref="T240:X240" si="524">LN(T789/T790)</f>
        <v>2.1182604350526327E-3</v>
      </c>
      <c r="U240" s="5">
        <f t="shared" si="524"/>
        <v>-1.6799287439702148E-4</v>
      </c>
      <c r="V240" s="5">
        <f t="shared" si="524"/>
        <v>-8.6747659324946328E-4</v>
      </c>
      <c r="W240" s="5">
        <f t="shared" si="524"/>
        <v>-7.6127450587881789E-3</v>
      </c>
      <c r="X240" s="5">
        <f t="shared" si="524"/>
        <v>-4.752937723320154E-4</v>
      </c>
      <c r="Z240" s="4">
        <v>45749</v>
      </c>
      <c r="AA240">
        <f>B240*B$3</f>
        <v>0</v>
      </c>
      <c r="AB240">
        <f>C240*C$3</f>
        <v>0</v>
      </c>
      <c r="AC240">
        <f>D240*D$3</f>
        <v>0</v>
      </c>
      <c r="AD240">
        <f>E240*E$3</f>
        <v>2427.9999999999482</v>
      </c>
      <c r="AE240">
        <f>F240*F$3</f>
        <v>0</v>
      </c>
      <c r="AF240">
        <f>G240*G$3</f>
        <v>-31256.00000000072</v>
      </c>
      <c r="AG240">
        <f>H240*H$3</f>
        <v>-56432.000000000051</v>
      </c>
      <c r="AH240">
        <f>I240*I$3</f>
        <v>-73824.000000000073</v>
      </c>
      <c r="AI240">
        <f>J240*J$3</f>
        <v>-255257.4999999991</v>
      </c>
      <c r="AJ240">
        <f>K240*K$3</f>
        <v>-470369.99999999691</v>
      </c>
      <c r="AK240">
        <f>L240*L$3</f>
        <v>186024.00000000154</v>
      </c>
      <c r="AL240">
        <f>M240*M$3</f>
        <v>192438.0000000016</v>
      </c>
      <c r="AM240">
        <f>N240*N$3</f>
        <v>0</v>
      </c>
      <c r="AN240">
        <f>O240*O$3</f>
        <v>0</v>
      </c>
      <c r="AO240">
        <f>P240*P$3</f>
        <v>-7890.189496095406</v>
      </c>
      <c r="AP240">
        <f>Q240*Q$3</f>
        <v>-85798.138422532007</v>
      </c>
      <c r="AQ240">
        <f>R240*R$3</f>
        <v>16339.870896824901</v>
      </c>
      <c r="AR240" s="1">
        <f>S240*S$3</f>
        <v>-42046.085221984133</v>
      </c>
      <c r="AS240" s="1">
        <f t="shared" si="501"/>
        <v>8473.0417402105304</v>
      </c>
      <c r="AT240" s="1">
        <f t="shared" si="501"/>
        <v>-1343.9429951761717</v>
      </c>
      <c r="AU240" s="1">
        <f t="shared" si="501"/>
        <v>0</v>
      </c>
      <c r="AV240" s="1">
        <f t="shared" si="501"/>
        <v>0</v>
      </c>
      <c r="AW240" s="1">
        <f t="shared" si="501"/>
        <v>0</v>
      </c>
      <c r="AX240" s="1">
        <f t="shared" si="432"/>
        <v>-618514.94349874626</v>
      </c>
      <c r="AY240" s="1">
        <f t="shared" si="433"/>
        <v>-112265.4434987523</v>
      </c>
      <c r="AZ240" s="1">
        <f t="shared" si="434"/>
        <v>-506249.49999999395</v>
      </c>
    </row>
    <row r="241" spans="1:52" x14ac:dyDescent="0.25">
      <c r="A241" s="4">
        <v>45748</v>
      </c>
      <c r="B241">
        <f t="shared" ref="B241:N241" si="525">(B791-B790)*100</f>
        <v>0</v>
      </c>
      <c r="C241">
        <f t="shared" si="525"/>
        <v>0</v>
      </c>
      <c r="D241">
        <f t="shared" si="525"/>
        <v>0.99999999999997868</v>
      </c>
      <c r="E241">
        <f t="shared" si="525"/>
        <v>-0.99999999999997868</v>
      </c>
      <c r="F241">
        <f t="shared" si="525"/>
        <v>2.9999999999999361</v>
      </c>
      <c r="G241">
        <f t="shared" si="525"/>
        <v>0.99999999999997868</v>
      </c>
      <c r="H241">
        <f t="shared" si="525"/>
        <v>0</v>
      </c>
      <c r="I241">
        <f t="shared" si="525"/>
        <v>2.0000000000000018</v>
      </c>
      <c r="J241">
        <f t="shared" si="525"/>
        <v>2.0000000000000018</v>
      </c>
      <c r="K241">
        <f t="shared" si="525"/>
        <v>2.0000000000000462</v>
      </c>
      <c r="L241">
        <f t="shared" si="525"/>
        <v>3.9999999999999147</v>
      </c>
      <c r="M241">
        <f t="shared" si="525"/>
        <v>3.0000000000000249</v>
      </c>
      <c r="N241">
        <f t="shared" si="525"/>
        <v>4.9999999999999822</v>
      </c>
      <c r="O241" s="5">
        <f t="shared" si="513"/>
        <v>-6.4822402806063752E-3</v>
      </c>
      <c r="P241" s="5">
        <f t="shared" si="513"/>
        <v>-8.1285154146893204E-3</v>
      </c>
      <c r="Q241" s="5">
        <f t="shared" si="513"/>
        <v>7.340081502352218E-3</v>
      </c>
      <c r="R241" s="5">
        <f t="shared" si="513"/>
        <v>-5.4421770050680615E-4</v>
      </c>
      <c r="S241" s="5">
        <f t="shared" si="513"/>
        <v>-6.241210644983391E-3</v>
      </c>
      <c r="T241" s="5">
        <f t="shared" ref="T241:X241" si="526">LN(T790/T791)</f>
        <v>4.6531882945214623E-4</v>
      </c>
      <c r="U241" s="5">
        <f t="shared" si="526"/>
        <v>1.34471978112038E-3</v>
      </c>
      <c r="V241" s="5">
        <f t="shared" si="526"/>
        <v>1.9763635548047326E-3</v>
      </c>
      <c r="W241" s="5">
        <f t="shared" si="526"/>
        <v>6.5505039204598941E-3</v>
      </c>
      <c r="X241" s="5">
        <f t="shared" si="526"/>
        <v>3.3660491988764139E-3</v>
      </c>
      <c r="Z241" s="4">
        <v>45748</v>
      </c>
      <c r="AA241">
        <f>B241*B$3</f>
        <v>0</v>
      </c>
      <c r="AB241">
        <f>C241*C$3</f>
        <v>0</v>
      </c>
      <c r="AC241">
        <f>D241*D$3</f>
        <v>16142.999999999656</v>
      </c>
      <c r="AD241">
        <f>E241*E$3</f>
        <v>-2427.9999999999482</v>
      </c>
      <c r="AE241">
        <f>F241*F$3</f>
        <v>-37283.999999999207</v>
      </c>
      <c r="AF241">
        <f>G241*G$3</f>
        <v>-15627.999999999667</v>
      </c>
      <c r="AG241">
        <f>H241*H$3</f>
        <v>0</v>
      </c>
      <c r="AH241">
        <f>I241*I$3</f>
        <v>-36912.000000000036</v>
      </c>
      <c r="AI241">
        <f>J241*J$3</f>
        <v>-102103.00000000009</v>
      </c>
      <c r="AJ241">
        <f>K241*K$3</f>
        <v>-156790.00000000361</v>
      </c>
      <c r="AK241">
        <f>L241*L$3</f>
        <v>124015.99999999735</v>
      </c>
      <c r="AL241">
        <f>M241*M$3</f>
        <v>96219.0000000008</v>
      </c>
      <c r="AM241">
        <f>N241*N$3</f>
        <v>0</v>
      </c>
      <c r="AN241">
        <f>O241*O$3</f>
        <v>0</v>
      </c>
      <c r="AO241">
        <f>P241*P$3</f>
        <v>40642.577073446599</v>
      </c>
      <c r="AP241">
        <f>Q241*Q$3</f>
        <v>88080.978028226615</v>
      </c>
      <c r="AQ241">
        <f>R241*R$3</f>
        <v>8163.2655076020919</v>
      </c>
      <c r="AR241" s="1">
        <f>S241*S$3</f>
        <v>43688.474514883739</v>
      </c>
      <c r="AS241" s="1">
        <f t="shared" si="501"/>
        <v>1861.275317808585</v>
      </c>
      <c r="AT241" s="1">
        <f t="shared" si="501"/>
        <v>10757.75824896304</v>
      </c>
      <c r="AU241" s="1">
        <f t="shared" si="501"/>
        <v>0</v>
      </c>
      <c r="AV241" s="1">
        <f t="shared" si="501"/>
        <v>0</v>
      </c>
      <c r="AW241" s="1">
        <f t="shared" si="501"/>
        <v>0</v>
      </c>
      <c r="AX241" s="1">
        <f t="shared" si="432"/>
        <v>78427.328690925919</v>
      </c>
      <c r="AY241" s="1">
        <f t="shared" si="433"/>
        <v>193194.32869093068</v>
      </c>
      <c r="AZ241" s="1">
        <f t="shared" si="434"/>
        <v>-114767.00000000476</v>
      </c>
    </row>
    <row r="242" spans="1:52" x14ac:dyDescent="0.25">
      <c r="A242" s="4">
        <v>45747</v>
      </c>
      <c r="B242">
        <f t="shared" ref="B242:N242" si="527">(B792-B791)*100</f>
        <v>-0.99999999999997868</v>
      </c>
      <c r="C242">
        <f t="shared" si="527"/>
        <v>1.0000000000000675</v>
      </c>
      <c r="D242">
        <f t="shared" si="527"/>
        <v>0</v>
      </c>
      <c r="E242">
        <f t="shared" si="527"/>
        <v>0.99999999999997868</v>
      </c>
      <c r="F242">
        <f t="shared" si="527"/>
        <v>0.99999999999997868</v>
      </c>
      <c r="G242">
        <f t="shared" si="527"/>
        <v>5.9999999999999609</v>
      </c>
      <c r="H242">
        <f t="shared" si="527"/>
        <v>8.0000000000000071</v>
      </c>
      <c r="I242">
        <f t="shared" si="527"/>
        <v>8.9999999999999858</v>
      </c>
      <c r="J242">
        <f t="shared" si="527"/>
        <v>10.999999999999988</v>
      </c>
      <c r="K242">
        <f t="shared" si="527"/>
        <v>12.000000000000011</v>
      </c>
      <c r="L242">
        <f t="shared" si="527"/>
        <v>11.000000000000032</v>
      </c>
      <c r="M242">
        <f t="shared" si="527"/>
        <v>9.9999999999999645</v>
      </c>
      <c r="N242">
        <f t="shared" si="527"/>
        <v>9.0000000000000746</v>
      </c>
      <c r="O242" s="5">
        <f t="shared" si="513"/>
        <v>-4.1364027137684957E-3</v>
      </c>
      <c r="P242" s="5">
        <f t="shared" si="513"/>
        <v>-4.4623223199317845E-3</v>
      </c>
      <c r="Q242" s="5">
        <f t="shared" si="513"/>
        <v>1.528373335103086E-2</v>
      </c>
      <c r="R242" s="5">
        <f t="shared" si="513"/>
        <v>5.1820653261964124E-3</v>
      </c>
      <c r="S242" s="5">
        <f t="shared" si="513"/>
        <v>2.1283214116564948E-3</v>
      </c>
      <c r="T242" s="5">
        <f t="shared" ref="T242:X242" si="528">LN(T791/T792)</f>
        <v>-2.1192605891609253E-3</v>
      </c>
      <c r="U242" s="5">
        <f t="shared" si="528"/>
        <v>1.0614979553821551E-3</v>
      </c>
      <c r="V242" s="5">
        <f t="shared" si="528"/>
        <v>-8.187354091515657E-3</v>
      </c>
      <c r="W242" s="5">
        <f t="shared" si="528"/>
        <v>2.9698851334210015E-3</v>
      </c>
      <c r="X242" s="5">
        <f t="shared" si="528"/>
        <v>-6.2417032005973301E-4</v>
      </c>
      <c r="Z242" s="4">
        <v>45747</v>
      </c>
      <c r="AA242">
        <f>B242*B$3</f>
        <v>982.99999999997908</v>
      </c>
      <c r="AB242">
        <f>C242*C$3</f>
        <v>-2584.0000000001746</v>
      </c>
      <c r="AC242">
        <f>D242*D$3</f>
        <v>0</v>
      </c>
      <c r="AD242">
        <f>E242*E$3</f>
        <v>2427.9999999999482</v>
      </c>
      <c r="AE242">
        <f>F242*F$3</f>
        <v>-12427.999999999734</v>
      </c>
      <c r="AF242">
        <f>G242*G$3</f>
        <v>-93767.999999999389</v>
      </c>
      <c r="AG242">
        <f>H242*H$3</f>
        <v>-225728.0000000002</v>
      </c>
      <c r="AH242">
        <f>I242*I$3</f>
        <v>-166103.99999999974</v>
      </c>
      <c r="AI242">
        <f>J242*J$3</f>
        <v>-561566.49999999942</v>
      </c>
      <c r="AJ242">
        <f>K242*K$3</f>
        <v>-940740.00000000081</v>
      </c>
      <c r="AK242">
        <f>L242*L$3</f>
        <v>341044.00000000099</v>
      </c>
      <c r="AL242">
        <f>M242*M$3</f>
        <v>320729.99999999884</v>
      </c>
      <c r="AM242">
        <f>N242*N$3</f>
        <v>0</v>
      </c>
      <c r="AN242">
        <f>O242*O$3</f>
        <v>0</v>
      </c>
      <c r="AO242">
        <f>P242*P$3</f>
        <v>22311.611599658921</v>
      </c>
      <c r="AP242">
        <f>Q242*Q$3</f>
        <v>183404.80021237032</v>
      </c>
      <c r="AQ242">
        <f>R242*R$3</f>
        <v>-77730.979892946183</v>
      </c>
      <c r="AR242" s="1">
        <f>S242*S$3</f>
        <v>-14898.249881595464</v>
      </c>
      <c r="AS242" s="1">
        <f t="shared" si="501"/>
        <v>-8477.0423566437021</v>
      </c>
      <c r="AT242" s="1">
        <f t="shared" si="501"/>
        <v>8491.9836430572414</v>
      </c>
      <c r="AU242" s="1">
        <f t="shared" si="501"/>
        <v>0</v>
      </c>
      <c r="AV242" s="1">
        <f t="shared" si="501"/>
        <v>0</v>
      </c>
      <c r="AW242" s="1">
        <f t="shared" si="501"/>
        <v>0</v>
      </c>
      <c r="AX242" s="1">
        <f t="shared" si="432"/>
        <v>-1224631.3766760984</v>
      </c>
      <c r="AY242" s="1">
        <f t="shared" si="433"/>
        <v>113102.12332390116</v>
      </c>
      <c r="AZ242" s="1">
        <f t="shared" si="434"/>
        <v>-1337733.4999999995</v>
      </c>
    </row>
    <row r="243" spans="1:52" x14ac:dyDescent="0.25">
      <c r="A243" s="4">
        <v>45744</v>
      </c>
      <c r="B243">
        <f t="shared" ref="B243:N243" si="529">(B793-B792)*100</f>
        <v>-0.99999999999997868</v>
      </c>
      <c r="C243">
        <f t="shared" si="529"/>
        <v>-3.0000000000000249</v>
      </c>
      <c r="D243">
        <f t="shared" si="529"/>
        <v>0</v>
      </c>
      <c r="E243">
        <f t="shared" si="529"/>
        <v>0</v>
      </c>
      <c r="F243">
        <f t="shared" si="529"/>
        <v>-0.99999999999997868</v>
      </c>
      <c r="G243">
        <f t="shared" si="529"/>
        <v>0</v>
      </c>
      <c r="H243">
        <f t="shared" si="529"/>
        <v>0.99999999999997868</v>
      </c>
      <c r="I243">
        <f t="shared" si="529"/>
        <v>0.99999999999997868</v>
      </c>
      <c r="J243">
        <f t="shared" si="529"/>
        <v>-0.99999999999997868</v>
      </c>
      <c r="K243">
        <f t="shared" si="529"/>
        <v>-1.0000000000000675</v>
      </c>
      <c r="L243">
        <f t="shared" si="529"/>
        <v>-3.0000000000000249</v>
      </c>
      <c r="M243">
        <f t="shared" si="529"/>
        <v>-4.0000000000000036</v>
      </c>
      <c r="N243">
        <f t="shared" si="529"/>
        <v>-4.0000000000000036</v>
      </c>
      <c r="O243" s="5">
        <f t="shared" si="513"/>
        <v>3.2311889693037534E-3</v>
      </c>
      <c r="P243" s="5">
        <f t="shared" si="513"/>
        <v>6.6889881507967101E-3</v>
      </c>
      <c r="Q243" s="5">
        <f t="shared" si="513"/>
        <v>1.1626217866447824E-2</v>
      </c>
      <c r="R243" s="5">
        <f t="shared" si="513"/>
        <v>4.9342205372214778E-3</v>
      </c>
      <c r="S243" s="5">
        <f t="shared" si="513"/>
        <v>5.525377933255614E-3</v>
      </c>
      <c r="T243" s="5">
        <f t="shared" ref="T243:X243" si="530">LN(T792/T793)</f>
        <v>-5.4719049284934138E-3</v>
      </c>
      <c r="U243" s="5">
        <f t="shared" si="530"/>
        <v>-5.7599811300576885E-3</v>
      </c>
      <c r="V243" s="5">
        <f t="shared" si="530"/>
        <v>2.4823649467734044E-3</v>
      </c>
      <c r="W243" s="5">
        <f t="shared" si="530"/>
        <v>-2.3162689541114194E-3</v>
      </c>
      <c r="X243" s="5">
        <f t="shared" si="530"/>
        <v>-3.1264815348752218E-3</v>
      </c>
      <c r="Z243" s="4">
        <v>45744</v>
      </c>
      <c r="AA243">
        <f>B243*B$3</f>
        <v>982.99999999997908</v>
      </c>
      <c r="AB243">
        <f>C243*C$3</f>
        <v>7752.0000000000646</v>
      </c>
      <c r="AC243">
        <f>D243*D$3</f>
        <v>0</v>
      </c>
      <c r="AD243">
        <f>E243*E$3</f>
        <v>0</v>
      </c>
      <c r="AE243">
        <f>F243*F$3</f>
        <v>12427.999999999734</v>
      </c>
      <c r="AF243">
        <f>G243*G$3</f>
        <v>0</v>
      </c>
      <c r="AG243">
        <f>H243*H$3</f>
        <v>-28215.9999999994</v>
      </c>
      <c r="AH243">
        <f>I243*I$3</f>
        <v>-18455.999999999607</v>
      </c>
      <c r="AI243">
        <f>J243*J$3</f>
        <v>51051.499999998909</v>
      </c>
      <c r="AJ243">
        <f>K243*K$3</f>
        <v>78395.000000005297</v>
      </c>
      <c r="AK243">
        <f>L243*L$3</f>
        <v>-93012.000000000771</v>
      </c>
      <c r="AL243">
        <f>M243*M$3</f>
        <v>-128292.00000000012</v>
      </c>
      <c r="AM243">
        <f>N243*N$3</f>
        <v>0</v>
      </c>
      <c r="AN243">
        <f>O243*O$3</f>
        <v>0</v>
      </c>
      <c r="AO243">
        <f>P243*P$3</f>
        <v>-33444.940753983552</v>
      </c>
      <c r="AP243">
        <f>Q243*Q$3</f>
        <v>139514.61439737389</v>
      </c>
      <c r="AQ243">
        <f>R243*R$3</f>
        <v>-74013.308058322174</v>
      </c>
      <c r="AR243" s="1">
        <f>S243*S$3</f>
        <v>-38677.645532789298</v>
      </c>
      <c r="AS243" s="1">
        <f t="shared" si="501"/>
        <v>-21887.619713973654</v>
      </c>
      <c r="AT243" s="1">
        <f t="shared" si="501"/>
        <v>-46079.849040461508</v>
      </c>
      <c r="AU243" s="1">
        <f t="shared" si="501"/>
        <v>0</v>
      </c>
      <c r="AV243" s="1">
        <f t="shared" si="501"/>
        <v>0</v>
      </c>
      <c r="AW243" s="1">
        <f t="shared" si="501"/>
        <v>0</v>
      </c>
      <c r="AX243" s="1">
        <f t="shared" si="432"/>
        <v>-191955.2487021522</v>
      </c>
      <c r="AY243" s="1">
        <f t="shared" si="433"/>
        <v>-74588.748702156299</v>
      </c>
      <c r="AZ243" s="1">
        <f t="shared" si="434"/>
        <v>-117366.4999999959</v>
      </c>
    </row>
    <row r="244" spans="1:52" x14ac:dyDescent="0.25">
      <c r="A244" s="4">
        <v>45743</v>
      </c>
      <c r="B244">
        <f t="shared" ref="B244:N244" si="531">(B794-B793)*100</f>
        <v>0</v>
      </c>
      <c r="C244">
        <f t="shared" si="531"/>
        <v>0</v>
      </c>
      <c r="D244">
        <f t="shared" si="531"/>
        <v>0</v>
      </c>
      <c r="E244">
        <f t="shared" si="531"/>
        <v>-0.99999999999997868</v>
      </c>
      <c r="F244">
        <f t="shared" si="531"/>
        <v>0</v>
      </c>
      <c r="G244">
        <f t="shared" si="531"/>
        <v>-0.99999999999997868</v>
      </c>
      <c r="H244">
        <f t="shared" si="531"/>
        <v>-2.0000000000000018</v>
      </c>
      <c r="I244">
        <f t="shared" si="531"/>
        <v>-2.9999999999999805</v>
      </c>
      <c r="J244">
        <f t="shared" si="531"/>
        <v>-0.99999999999997868</v>
      </c>
      <c r="K244">
        <f t="shared" si="531"/>
        <v>-2.9999999999999361</v>
      </c>
      <c r="L244">
        <f t="shared" si="531"/>
        <v>-4.0000000000000036</v>
      </c>
      <c r="M244">
        <f t="shared" si="531"/>
        <v>-4.0000000000000036</v>
      </c>
      <c r="N244">
        <f t="shared" si="531"/>
        <v>-4.0000000000000036</v>
      </c>
      <c r="O244" s="5">
        <f t="shared" si="513"/>
        <v>3.0671128726620298E-3</v>
      </c>
      <c r="P244" s="5">
        <f t="shared" si="513"/>
        <v>1.0118130165584686E-2</v>
      </c>
      <c r="Q244" s="5">
        <f t="shared" si="513"/>
        <v>1.1516107525106089E-3</v>
      </c>
      <c r="R244" s="5">
        <f t="shared" si="513"/>
        <v>5.4975262517081586E-4</v>
      </c>
      <c r="S244" s="5">
        <f t="shared" si="513"/>
        <v>8.2786924333257302E-3</v>
      </c>
      <c r="T244" s="5">
        <f t="shared" ref="T244:X244" si="532">LN(T793/T794)</f>
        <v>4.2198711213783319E-3</v>
      </c>
      <c r="U244" s="5">
        <f t="shared" si="532"/>
        <v>5.0866725323106049E-3</v>
      </c>
      <c r="V244" s="5">
        <f t="shared" si="532"/>
        <v>3.4818291213216564E-3</v>
      </c>
      <c r="W244" s="5">
        <f t="shared" si="532"/>
        <v>3.4909120028276952E-3</v>
      </c>
      <c r="X244" s="5">
        <f t="shared" si="532"/>
        <v>1.7092554759868971E-3</v>
      </c>
      <c r="Z244" s="4">
        <v>45743</v>
      </c>
      <c r="AA244">
        <f>B244*B$3</f>
        <v>0</v>
      </c>
      <c r="AB244">
        <f>C244*C$3</f>
        <v>0</v>
      </c>
      <c r="AC244">
        <f>D244*D$3</f>
        <v>0</v>
      </c>
      <c r="AD244">
        <f>E244*E$3</f>
        <v>-2427.9999999999482</v>
      </c>
      <c r="AE244">
        <f>F244*F$3</f>
        <v>0</v>
      </c>
      <c r="AF244">
        <f>G244*G$3</f>
        <v>15627.999999999667</v>
      </c>
      <c r="AG244">
        <f>H244*H$3</f>
        <v>56432.000000000051</v>
      </c>
      <c r="AH244">
        <f>I244*I$3</f>
        <v>55367.999999999636</v>
      </c>
      <c r="AI244">
        <f>J244*J$3</f>
        <v>51051.499999998909</v>
      </c>
      <c r="AJ244">
        <f>K244*K$3</f>
        <v>235184.99999999499</v>
      </c>
      <c r="AK244">
        <f>L244*L$3</f>
        <v>-124016.00000000012</v>
      </c>
      <c r="AL244">
        <f>M244*M$3</f>
        <v>-128292.00000000012</v>
      </c>
      <c r="AM244">
        <f>N244*N$3</f>
        <v>0</v>
      </c>
      <c r="AN244">
        <f>O244*O$3</f>
        <v>0</v>
      </c>
      <c r="AO244">
        <f>P244*P$3</f>
        <v>-50590.650827923433</v>
      </c>
      <c r="AP244">
        <f>Q244*Q$3</f>
        <v>13819.329030127306</v>
      </c>
      <c r="AQ244">
        <f>R244*R$3</f>
        <v>-8246.2893775622379</v>
      </c>
      <c r="AR244" s="1">
        <f>S244*S$3</f>
        <v>-57950.847033280108</v>
      </c>
      <c r="AS244" s="1">
        <f t="shared" si="501"/>
        <v>16879.484485513327</v>
      </c>
      <c r="AT244" s="1">
        <f t="shared" si="501"/>
        <v>40693.380258484838</v>
      </c>
      <c r="AU244" s="1">
        <f t="shared" si="501"/>
        <v>0</v>
      </c>
      <c r="AV244" s="1">
        <f t="shared" si="501"/>
        <v>0</v>
      </c>
      <c r="AW244" s="1">
        <f t="shared" si="501"/>
        <v>0</v>
      </c>
      <c r="AX244" s="1">
        <f t="shared" si="432"/>
        <v>113532.90653535275</v>
      </c>
      <c r="AY244" s="1">
        <f t="shared" si="433"/>
        <v>-45395.593464640311</v>
      </c>
      <c r="AZ244" s="1">
        <f t="shared" si="434"/>
        <v>158928.49999999307</v>
      </c>
    </row>
    <row r="245" spans="1:52" x14ac:dyDescent="0.25">
      <c r="A245" s="4">
        <v>45742</v>
      </c>
      <c r="B245">
        <f t="shared" ref="B245:N245" si="533">(B795-B794)*100</f>
        <v>-1.0000000000000675</v>
      </c>
      <c r="C245">
        <f t="shared" si="533"/>
        <v>0.99999999999997868</v>
      </c>
      <c r="D245">
        <f t="shared" si="533"/>
        <v>0</v>
      </c>
      <c r="E245">
        <f t="shared" si="533"/>
        <v>0</v>
      </c>
      <c r="F245">
        <f t="shared" si="533"/>
        <v>0.99999999999997868</v>
      </c>
      <c r="G245">
        <f t="shared" si="533"/>
        <v>2.0000000000000462</v>
      </c>
      <c r="H245">
        <f t="shared" si="533"/>
        <v>8.0000000000000071</v>
      </c>
      <c r="I245">
        <f t="shared" si="533"/>
        <v>2.9999999999999805</v>
      </c>
      <c r="J245">
        <f t="shared" si="533"/>
        <v>1.9999999999999574</v>
      </c>
      <c r="K245">
        <f t="shared" si="533"/>
        <v>2.9999999999999361</v>
      </c>
      <c r="L245">
        <f t="shared" si="533"/>
        <v>3.0000000000000249</v>
      </c>
      <c r="M245">
        <f t="shared" si="533"/>
        <v>0.99999999999997868</v>
      </c>
      <c r="N245">
        <f t="shared" si="533"/>
        <v>0.99999999999997868</v>
      </c>
      <c r="O245" s="5">
        <f t="shared" ref="O245:S254" si="534">LN(O794/O795)</f>
        <v>5.3550931235119316E-3</v>
      </c>
      <c r="P245" s="5">
        <f t="shared" si="534"/>
        <v>6.0716640685497736E-3</v>
      </c>
      <c r="Q245" s="5">
        <f t="shared" si="534"/>
        <v>-7.0301914932913096E-3</v>
      </c>
      <c r="R245" s="5">
        <f t="shared" si="534"/>
        <v>1.3757052658050634E-3</v>
      </c>
      <c r="S245" s="5">
        <f t="shared" si="534"/>
        <v>3.3327560880214505E-3</v>
      </c>
      <c r="T245" s="5">
        <f t="shared" ref="T245:X245" si="535">LN(T794/T795)</f>
        <v>1.489739806304546E-3</v>
      </c>
      <c r="U245" s="5">
        <f t="shared" si="535"/>
        <v>-1.4744276799018702E-3</v>
      </c>
      <c r="V245" s="5">
        <f t="shared" si="535"/>
        <v>-5.4801558362180874E-3</v>
      </c>
      <c r="W245" s="5">
        <f t="shared" si="535"/>
        <v>-3.666982154487798E-3</v>
      </c>
      <c r="X245" s="5">
        <f t="shared" si="535"/>
        <v>-4.5311062987179641E-5</v>
      </c>
      <c r="Z245" s="4">
        <v>45742</v>
      </c>
      <c r="AA245">
        <f>B245*B$3</f>
        <v>983.00000000006639</v>
      </c>
      <c r="AB245">
        <f>C245*C$3</f>
        <v>-2583.999999999945</v>
      </c>
      <c r="AC245">
        <f>D245*D$3</f>
        <v>0</v>
      </c>
      <c r="AD245">
        <f>E245*E$3</f>
        <v>0</v>
      </c>
      <c r="AE245">
        <f>F245*F$3</f>
        <v>-12427.999999999734</v>
      </c>
      <c r="AF245">
        <f>G245*G$3</f>
        <v>-31256.00000000072</v>
      </c>
      <c r="AG245">
        <f>H245*H$3</f>
        <v>-225728.0000000002</v>
      </c>
      <c r="AH245">
        <f>I245*I$3</f>
        <v>-55367.999999999636</v>
      </c>
      <c r="AI245">
        <f>J245*J$3</f>
        <v>-102102.99999999782</v>
      </c>
      <c r="AJ245">
        <f>K245*K$3</f>
        <v>-235184.99999999499</v>
      </c>
      <c r="AK245">
        <f>L245*L$3</f>
        <v>93012.000000000771</v>
      </c>
      <c r="AL245">
        <f>M245*M$3</f>
        <v>32072.999999999316</v>
      </c>
      <c r="AM245">
        <f>N245*N$3</f>
        <v>0</v>
      </c>
      <c r="AN245">
        <f>O245*O$3</f>
        <v>0</v>
      </c>
      <c r="AO245">
        <f>P245*P$3</f>
        <v>-30358.320342748866</v>
      </c>
      <c r="AP245">
        <f>Q245*Q$3</f>
        <v>-84362.297919495715</v>
      </c>
      <c r="AQ245">
        <f>R245*R$3</f>
        <v>-20635.578987075951</v>
      </c>
      <c r="AR245" s="1">
        <f>S245*S$3</f>
        <v>-23329.292616150153</v>
      </c>
      <c r="AS245" s="1">
        <f t="shared" ref="AS245:AW260" si="536">T245*T$3</f>
        <v>5958.9592252181837</v>
      </c>
      <c r="AT245" s="1">
        <f t="shared" si="536"/>
        <v>-11795.421439214962</v>
      </c>
      <c r="AU245" s="1">
        <f t="shared" si="536"/>
        <v>0</v>
      </c>
      <c r="AV245" s="1">
        <f t="shared" si="536"/>
        <v>0</v>
      </c>
      <c r="AW245" s="1">
        <f t="shared" si="536"/>
        <v>0</v>
      </c>
      <c r="AX245" s="1">
        <f t="shared" si="432"/>
        <v>-703105.95207946037</v>
      </c>
      <c r="AY245" s="1">
        <f t="shared" si="433"/>
        <v>-164521.95207946745</v>
      </c>
      <c r="AZ245" s="1">
        <f t="shared" si="434"/>
        <v>-538583.9999999929</v>
      </c>
    </row>
    <row r="246" spans="1:52" x14ac:dyDescent="0.25">
      <c r="A246" s="4">
        <v>45741</v>
      </c>
      <c r="B246">
        <f t="shared" ref="B246:N246" si="537">(B796-B795)*100</f>
        <v>1.0000000000000675</v>
      </c>
      <c r="C246">
        <f t="shared" si="537"/>
        <v>-0.99999999999997868</v>
      </c>
      <c r="D246">
        <f t="shared" si="537"/>
        <v>0</v>
      </c>
      <c r="E246">
        <f t="shared" si="537"/>
        <v>-0.99999999999997868</v>
      </c>
      <c r="F246">
        <f t="shared" si="537"/>
        <v>-0.99999999999997868</v>
      </c>
      <c r="G246">
        <f t="shared" si="537"/>
        <v>-7.0000000000000284</v>
      </c>
      <c r="H246">
        <f t="shared" si="537"/>
        <v>-10.000000000000009</v>
      </c>
      <c r="I246">
        <f t="shared" si="537"/>
        <v>-8.9999999999999858</v>
      </c>
      <c r="J246">
        <f t="shared" si="537"/>
        <v>-8.9999999999999858</v>
      </c>
      <c r="K246">
        <f t="shared" si="537"/>
        <v>-9.9999999999999645</v>
      </c>
      <c r="L246">
        <f t="shared" si="537"/>
        <v>-8.9999999999999858</v>
      </c>
      <c r="M246">
        <f t="shared" si="537"/>
        <v>-8.0000000000000071</v>
      </c>
      <c r="N246">
        <f t="shared" si="537"/>
        <v>-7.0000000000000284</v>
      </c>
      <c r="O246" s="5">
        <f t="shared" si="534"/>
        <v>-7.1860365706211907E-3</v>
      </c>
      <c r="P246" s="5">
        <f t="shared" si="534"/>
        <v>-9.4557620527904417E-3</v>
      </c>
      <c r="Q246" s="5">
        <f t="shared" si="534"/>
        <v>-6.1661167630831602E-3</v>
      </c>
      <c r="R246" s="5">
        <f t="shared" si="534"/>
        <v>-4.3956114730381093E-3</v>
      </c>
      <c r="S246" s="5">
        <f t="shared" si="534"/>
        <v>5.6318795768002408E-4</v>
      </c>
      <c r="T246" s="5">
        <f t="shared" ref="T246:X246" si="538">LN(T795/T796)</f>
        <v>2.9753684650426983E-3</v>
      </c>
      <c r="U246" s="5">
        <f t="shared" si="538"/>
        <v>2.5826024647210596E-5</v>
      </c>
      <c r="V246" s="5">
        <f t="shared" si="538"/>
        <v>7.3023886233746851E-3</v>
      </c>
      <c r="W246" s="5">
        <f t="shared" si="538"/>
        <v>3.8348406212458289E-4</v>
      </c>
      <c r="X246" s="5">
        <f t="shared" si="538"/>
        <v>-2.6054940828157484E-4</v>
      </c>
      <c r="Z246" s="4">
        <v>45741</v>
      </c>
      <c r="AA246">
        <f>B246*B$3</f>
        <v>-983.00000000006639</v>
      </c>
      <c r="AB246">
        <f>C246*C$3</f>
        <v>2583.999999999945</v>
      </c>
      <c r="AC246">
        <f>D246*D$3</f>
        <v>0</v>
      </c>
      <c r="AD246">
        <f>E246*E$3</f>
        <v>-2427.9999999999482</v>
      </c>
      <c r="AE246">
        <f>F246*F$3</f>
        <v>12427.999999999734</v>
      </c>
      <c r="AF246">
        <f>G246*G$3</f>
        <v>109396.00000000045</v>
      </c>
      <c r="AG246">
        <f>H246*H$3</f>
        <v>282160.00000000023</v>
      </c>
      <c r="AH246">
        <f>I246*I$3</f>
        <v>166103.99999999974</v>
      </c>
      <c r="AI246">
        <f>J246*J$3</f>
        <v>459463.4999999993</v>
      </c>
      <c r="AJ246">
        <f>K246*K$3</f>
        <v>783949.99999999721</v>
      </c>
      <c r="AK246">
        <f>L246*L$3</f>
        <v>-279035.99999999953</v>
      </c>
      <c r="AL246">
        <f>M246*M$3</f>
        <v>-256584.00000000023</v>
      </c>
      <c r="AM246">
        <f>N246*N$3</f>
        <v>0</v>
      </c>
      <c r="AN246">
        <f>O246*O$3</f>
        <v>0</v>
      </c>
      <c r="AO246">
        <f>P246*P$3</f>
        <v>47278.810263952211</v>
      </c>
      <c r="AP246">
        <f>Q246*Q$3</f>
        <v>-73993.401156997919</v>
      </c>
      <c r="AQ246">
        <f>R246*R$3</f>
        <v>65934.172095571645</v>
      </c>
      <c r="AR246" s="1">
        <f>S246*S$3</f>
        <v>-3942.3157037601686</v>
      </c>
      <c r="AS246" s="1">
        <f t="shared" si="536"/>
        <v>11901.473860170794</v>
      </c>
      <c r="AT246" s="1">
        <f t="shared" si="536"/>
        <v>206.60819717768476</v>
      </c>
      <c r="AU246" s="1">
        <f t="shared" si="536"/>
        <v>0</v>
      </c>
      <c r="AV246" s="1">
        <f t="shared" si="536"/>
        <v>0</v>
      </c>
      <c r="AW246" s="1">
        <f t="shared" si="536"/>
        <v>0</v>
      </c>
      <c r="AX246" s="1">
        <f t="shared" si="432"/>
        <v>1324439.8475561112</v>
      </c>
      <c r="AY246" s="1">
        <f t="shared" si="433"/>
        <v>47385.347556114248</v>
      </c>
      <c r="AZ246" s="1">
        <f t="shared" si="434"/>
        <v>1277054.499999997</v>
      </c>
    </row>
    <row r="247" spans="1:52" x14ac:dyDescent="0.25">
      <c r="A247" s="4">
        <v>45740</v>
      </c>
      <c r="B247">
        <f t="shared" ref="B247:N247" si="539">(B797-B796)*100</f>
        <v>0</v>
      </c>
      <c r="C247">
        <f t="shared" si="539"/>
        <v>0.99999999999997868</v>
      </c>
      <c r="D247">
        <f t="shared" si="539"/>
        <v>0</v>
      </c>
      <c r="E247">
        <f t="shared" si="539"/>
        <v>0</v>
      </c>
      <c r="F247">
        <f t="shared" si="539"/>
        <v>0.99999999999997868</v>
      </c>
      <c r="G247">
        <f t="shared" si="539"/>
        <v>1.9999999999999574</v>
      </c>
      <c r="H247">
        <f t="shared" si="539"/>
        <v>1.0000000000000231</v>
      </c>
      <c r="I247">
        <f t="shared" si="539"/>
        <v>1.0000000000000231</v>
      </c>
      <c r="J247">
        <f t="shared" si="539"/>
        <v>0.99999999999997868</v>
      </c>
      <c r="K247">
        <f t="shared" si="539"/>
        <v>0</v>
      </c>
      <c r="L247">
        <f t="shared" si="539"/>
        <v>-0.99999999999997868</v>
      </c>
      <c r="M247">
        <f t="shared" si="539"/>
        <v>-2.9999999999999361</v>
      </c>
      <c r="N247">
        <f t="shared" si="539"/>
        <v>-4.0000000000000036</v>
      </c>
      <c r="O247" s="5">
        <f t="shared" si="534"/>
        <v>2.8262898486860464E-3</v>
      </c>
      <c r="P247" s="5">
        <f t="shared" si="534"/>
        <v>0</v>
      </c>
      <c r="Q247" s="5">
        <f t="shared" si="534"/>
        <v>6.4468094280517767E-3</v>
      </c>
      <c r="R247" s="5">
        <f t="shared" si="534"/>
        <v>4.1203189730200703E-3</v>
      </c>
      <c r="S247" s="5">
        <f t="shared" si="534"/>
        <v>-9.0225728208824831E-3</v>
      </c>
      <c r="T247" s="5">
        <f t="shared" ref="T247:X247" si="540">LN(T796/T797)</f>
        <v>1.9306529647782024E-3</v>
      </c>
      <c r="U247" s="5">
        <f t="shared" si="540"/>
        <v>3.3530035306927417E-3</v>
      </c>
      <c r="V247" s="5">
        <f t="shared" si="540"/>
        <v>7.2484848600651445E-3</v>
      </c>
      <c r="W247" s="5">
        <f t="shared" si="540"/>
        <v>2.4743654830332424E-3</v>
      </c>
      <c r="X247" s="5">
        <f t="shared" si="540"/>
        <v>1.7491901079374041E-3</v>
      </c>
      <c r="Z247" s="4">
        <v>45740</v>
      </c>
      <c r="AA247">
        <f>B247*B$3</f>
        <v>0</v>
      </c>
      <c r="AB247">
        <f>C247*C$3</f>
        <v>-2583.999999999945</v>
      </c>
      <c r="AC247">
        <f>D247*D$3</f>
        <v>0</v>
      </c>
      <c r="AD247">
        <f>E247*E$3</f>
        <v>0</v>
      </c>
      <c r="AE247">
        <f>F247*F$3</f>
        <v>-12427.999999999734</v>
      </c>
      <c r="AF247">
        <f>G247*G$3</f>
        <v>-31255.999999999334</v>
      </c>
      <c r="AG247">
        <f>H247*H$3</f>
        <v>-28216.000000000651</v>
      </c>
      <c r="AH247">
        <f>I247*I$3</f>
        <v>-18456.000000000426</v>
      </c>
      <c r="AI247">
        <f>J247*J$3</f>
        <v>-51051.499999998909</v>
      </c>
      <c r="AJ247">
        <f>K247*K$3</f>
        <v>0</v>
      </c>
      <c r="AK247">
        <f>L247*L$3</f>
        <v>-31003.999999999338</v>
      </c>
      <c r="AL247">
        <f>M247*M$3</f>
        <v>-96218.999999997948</v>
      </c>
      <c r="AM247">
        <f>N247*N$3</f>
        <v>0</v>
      </c>
      <c r="AN247">
        <f>O247*O$3</f>
        <v>0</v>
      </c>
      <c r="AO247">
        <f>P247*P$3</f>
        <v>0</v>
      </c>
      <c r="AP247">
        <f>Q247*Q$3</f>
        <v>77361.713136621314</v>
      </c>
      <c r="AQ247">
        <f>R247*R$3</f>
        <v>-61804.784595301055</v>
      </c>
      <c r="AR247" s="1">
        <f>S247*S$3</f>
        <v>63158.009746177384</v>
      </c>
      <c r="AS247" s="1">
        <f t="shared" si="536"/>
        <v>7722.6118591128097</v>
      </c>
      <c r="AT247" s="1">
        <f t="shared" si="536"/>
        <v>26824.028245541933</v>
      </c>
      <c r="AU247" s="1">
        <f t="shared" si="536"/>
        <v>0</v>
      </c>
      <c r="AV247" s="1">
        <f t="shared" si="536"/>
        <v>0</v>
      </c>
      <c r="AW247" s="1">
        <f t="shared" si="536"/>
        <v>0</v>
      </c>
      <c r="AX247" s="1">
        <f t="shared" si="432"/>
        <v>-157952.92160784389</v>
      </c>
      <c r="AY247" s="1">
        <f t="shared" si="433"/>
        <v>113261.57839215238</v>
      </c>
      <c r="AZ247" s="1">
        <f t="shared" si="434"/>
        <v>-271214.49999999627</v>
      </c>
    </row>
    <row r="248" spans="1:52" x14ac:dyDescent="0.25">
      <c r="A248" s="4">
        <v>45737</v>
      </c>
      <c r="B248">
        <f t="shared" ref="B248:N248" si="541">(B798-B797)*100</f>
        <v>0.99999999999997868</v>
      </c>
      <c r="C248">
        <f t="shared" si="541"/>
        <v>-1.9999999999999574</v>
      </c>
      <c r="D248">
        <f t="shared" si="541"/>
        <v>0</v>
      </c>
      <c r="E248">
        <f t="shared" si="541"/>
        <v>0.99999999999997868</v>
      </c>
      <c r="F248">
        <f t="shared" si="541"/>
        <v>2.0000000000000462</v>
      </c>
      <c r="G248">
        <f t="shared" si="541"/>
        <v>4.0000000000000036</v>
      </c>
      <c r="H248">
        <f t="shared" si="541"/>
        <v>4.0000000000000036</v>
      </c>
      <c r="I248">
        <f t="shared" si="541"/>
        <v>2.0000000000000018</v>
      </c>
      <c r="J248">
        <f t="shared" si="541"/>
        <v>2.0000000000000462</v>
      </c>
      <c r="K248">
        <f t="shared" si="541"/>
        <v>1.9999999999999574</v>
      </c>
      <c r="L248">
        <f t="shared" si="541"/>
        <v>0.99999999999997868</v>
      </c>
      <c r="M248">
        <f t="shared" si="541"/>
        <v>0.99999999999997868</v>
      </c>
      <c r="N248">
        <f t="shared" si="541"/>
        <v>0.99999999999997868</v>
      </c>
      <c r="O248" s="5">
        <f t="shared" si="534"/>
        <v>1.0767429673636638E-2</v>
      </c>
      <c r="P248" s="5">
        <f t="shared" si="534"/>
        <v>-6.2545308535281287E-3</v>
      </c>
      <c r="Q248" s="5">
        <f t="shared" si="534"/>
        <v>9.1002900375858811E-3</v>
      </c>
      <c r="R248" s="5">
        <f t="shared" si="534"/>
        <v>2.4803650583319248E-3</v>
      </c>
      <c r="S248" s="5">
        <f t="shared" si="534"/>
        <v>4.5755565285734746E-3</v>
      </c>
      <c r="T248" s="5">
        <f t="shared" ref="T248:X248" si="542">LN(T797/T798)</f>
        <v>5.0720683710731018E-3</v>
      </c>
      <c r="U248" s="5">
        <f t="shared" si="542"/>
        <v>3.2863673172913231E-3</v>
      </c>
      <c r="V248" s="5">
        <f t="shared" si="542"/>
        <v>7.1351429449462004E-4</v>
      </c>
      <c r="W248" s="5">
        <f t="shared" si="542"/>
        <v>9.5072554492426683E-3</v>
      </c>
      <c r="X248" s="5">
        <f t="shared" si="542"/>
        <v>5.6628357383039793E-3</v>
      </c>
      <c r="Z248" s="4">
        <v>45737</v>
      </c>
      <c r="AA248">
        <f>B248*B$3</f>
        <v>-982.99999999997908</v>
      </c>
      <c r="AB248">
        <f>C248*C$3</f>
        <v>5167.99999999989</v>
      </c>
      <c r="AC248">
        <f>D248*D$3</f>
        <v>0</v>
      </c>
      <c r="AD248">
        <f>E248*E$3</f>
        <v>2427.9999999999482</v>
      </c>
      <c r="AE248">
        <f>F248*F$3</f>
        <v>-24856.000000000575</v>
      </c>
      <c r="AF248">
        <f>G248*G$3</f>
        <v>-62512.000000000058</v>
      </c>
      <c r="AG248">
        <f>H248*H$3</f>
        <v>-112864.0000000001</v>
      </c>
      <c r="AH248">
        <f>I248*I$3</f>
        <v>-36912.000000000036</v>
      </c>
      <c r="AI248">
        <f>J248*J$3</f>
        <v>-102103.00000000236</v>
      </c>
      <c r="AJ248">
        <f>K248*K$3</f>
        <v>-156789.99999999665</v>
      </c>
      <c r="AK248">
        <f>L248*L$3</f>
        <v>31003.999999999338</v>
      </c>
      <c r="AL248">
        <f>M248*M$3</f>
        <v>32072.999999999316</v>
      </c>
      <c r="AM248">
        <f>N248*N$3</f>
        <v>0</v>
      </c>
      <c r="AN248">
        <f>O248*O$3</f>
        <v>0</v>
      </c>
      <c r="AO248">
        <f>P248*P$3</f>
        <v>31272.654267640643</v>
      </c>
      <c r="AP248">
        <f>Q248*Q$3</f>
        <v>109203.48045103057</v>
      </c>
      <c r="AQ248">
        <f>R248*R$3</f>
        <v>-37205.475874978874</v>
      </c>
      <c r="AR248" s="1">
        <f>S248*S$3</f>
        <v>-32028.895700014324</v>
      </c>
      <c r="AS248" s="1">
        <f t="shared" si="536"/>
        <v>20288.273484292407</v>
      </c>
      <c r="AT248" s="1">
        <f t="shared" si="536"/>
        <v>26290.938538330585</v>
      </c>
      <c r="AU248" s="1">
        <f t="shared" si="536"/>
        <v>0</v>
      </c>
      <c r="AV248" s="1">
        <f t="shared" si="536"/>
        <v>0</v>
      </c>
      <c r="AW248" s="1">
        <f t="shared" si="536"/>
        <v>0</v>
      </c>
      <c r="AX248" s="1">
        <f t="shared" si="432"/>
        <v>-308526.02483370015</v>
      </c>
      <c r="AY248" s="1">
        <f t="shared" si="433"/>
        <v>117820.97516630101</v>
      </c>
      <c r="AZ248" s="1">
        <f t="shared" si="434"/>
        <v>-426347.00000000116</v>
      </c>
    </row>
    <row r="249" spans="1:52" x14ac:dyDescent="0.25">
      <c r="A249" s="4">
        <v>45736</v>
      </c>
      <c r="B249">
        <f t="shared" ref="B249:N249" si="543">(B799-B798)*100</f>
        <v>0</v>
      </c>
      <c r="C249">
        <f t="shared" si="543"/>
        <v>0.99999999999997868</v>
      </c>
      <c r="D249">
        <f t="shared" si="543"/>
        <v>0.99999999999997868</v>
      </c>
      <c r="E249">
        <f t="shared" si="543"/>
        <v>-0.99999999999997868</v>
      </c>
      <c r="F249">
        <f t="shared" si="543"/>
        <v>0</v>
      </c>
      <c r="G249">
        <f t="shared" si="543"/>
        <v>3.0000000000000249</v>
      </c>
      <c r="H249">
        <f t="shared" si="543"/>
        <v>4.9999999999999822</v>
      </c>
      <c r="I249">
        <f t="shared" si="543"/>
        <v>5.9999999999999609</v>
      </c>
      <c r="J249">
        <f t="shared" si="543"/>
        <v>4.0000000000000036</v>
      </c>
      <c r="K249">
        <f t="shared" si="543"/>
        <v>4.0000000000000036</v>
      </c>
      <c r="L249">
        <f t="shared" si="543"/>
        <v>4.0000000000000036</v>
      </c>
      <c r="M249">
        <f t="shared" si="543"/>
        <v>3.0000000000000249</v>
      </c>
      <c r="N249">
        <f t="shared" si="543"/>
        <v>2.0000000000000462</v>
      </c>
      <c r="O249" s="5">
        <f t="shared" si="534"/>
        <v>-5.1201018076683295E-4</v>
      </c>
      <c r="P249" s="5">
        <f t="shared" si="534"/>
        <v>1.6008009821663833E-3</v>
      </c>
      <c r="Q249" s="5">
        <f t="shared" si="534"/>
        <v>-2.2879181678799734E-4</v>
      </c>
      <c r="R249" s="5">
        <f t="shared" si="534"/>
        <v>1.3806435991275908E-3</v>
      </c>
      <c r="S249" s="5">
        <f t="shared" si="534"/>
        <v>4.6813560411423554E-3</v>
      </c>
      <c r="T249" s="5">
        <f t="shared" ref="T249:X249" si="544">LN(T798/T799)</f>
        <v>2.5238041740135173E-3</v>
      </c>
      <c r="U249" s="5">
        <f t="shared" si="544"/>
        <v>-7.8039337654599696E-4</v>
      </c>
      <c r="V249" s="5">
        <f t="shared" si="544"/>
        <v>-6.457590370351104E-3</v>
      </c>
      <c r="W249" s="5">
        <f t="shared" si="544"/>
        <v>-4.5808946023597738E-4</v>
      </c>
      <c r="X249" s="5">
        <f t="shared" si="544"/>
        <v>-3.9356892037087018E-4</v>
      </c>
      <c r="Z249" s="4">
        <v>45736</v>
      </c>
      <c r="AA249">
        <f>B249*B$3</f>
        <v>0</v>
      </c>
      <c r="AB249">
        <f>C249*C$3</f>
        <v>-2583.999999999945</v>
      </c>
      <c r="AC249">
        <f>D249*D$3</f>
        <v>16142.999999999656</v>
      </c>
      <c r="AD249">
        <f>E249*E$3</f>
        <v>-2427.9999999999482</v>
      </c>
      <c r="AE249">
        <f>F249*F$3</f>
        <v>0</v>
      </c>
      <c r="AF249">
        <f>G249*G$3</f>
        <v>-46884.000000000386</v>
      </c>
      <c r="AG249">
        <f>H249*H$3</f>
        <v>-141079.99999999951</v>
      </c>
      <c r="AH249">
        <f>I249*I$3</f>
        <v>-110735.99999999927</v>
      </c>
      <c r="AI249">
        <f>J249*J$3</f>
        <v>-204206.00000000017</v>
      </c>
      <c r="AJ249">
        <f>K249*K$3</f>
        <v>-313580.00000000029</v>
      </c>
      <c r="AK249">
        <f>L249*L$3</f>
        <v>124016.00000000012</v>
      </c>
      <c r="AL249">
        <f>M249*M$3</f>
        <v>96219.0000000008</v>
      </c>
      <c r="AM249">
        <f>N249*N$3</f>
        <v>0</v>
      </c>
      <c r="AN249">
        <f>O249*O$3</f>
        <v>0</v>
      </c>
      <c r="AO249">
        <f>P249*P$3</f>
        <v>-8004.0049108319163</v>
      </c>
      <c r="AP249">
        <f>Q249*Q$3</f>
        <v>-2745.5018014559682</v>
      </c>
      <c r="AQ249">
        <f>R249*R$3</f>
        <v>-20709.653986913861</v>
      </c>
      <c r="AR249" s="1">
        <f>S249*S$3</f>
        <v>-32769.492287996487</v>
      </c>
      <c r="AS249" s="1">
        <f t="shared" si="536"/>
        <v>10095.216696054069</v>
      </c>
      <c r="AT249" s="1">
        <f t="shared" si="536"/>
        <v>-6243.1470123679755</v>
      </c>
      <c r="AU249" s="1">
        <f t="shared" si="536"/>
        <v>0</v>
      </c>
      <c r="AV249" s="1">
        <f t="shared" si="536"/>
        <v>0</v>
      </c>
      <c r="AW249" s="1">
        <f t="shared" si="536"/>
        <v>0</v>
      </c>
      <c r="AX249" s="1">
        <f t="shared" si="432"/>
        <v>-645496.58330351103</v>
      </c>
      <c r="AY249" s="1">
        <f t="shared" si="433"/>
        <v>-60376.58330351214</v>
      </c>
      <c r="AZ249" s="1">
        <f t="shared" si="434"/>
        <v>-585119.99999999884</v>
      </c>
    </row>
    <row r="250" spans="1:52" x14ac:dyDescent="0.25">
      <c r="A250" s="4">
        <v>45735</v>
      </c>
      <c r="B250">
        <f t="shared" ref="B250:N250" si="545">(B800-B799)*100</f>
        <v>0</v>
      </c>
      <c r="C250">
        <f t="shared" si="545"/>
        <v>0</v>
      </c>
      <c r="D250">
        <f t="shared" si="545"/>
        <v>0</v>
      </c>
      <c r="E250">
        <f t="shared" si="545"/>
        <v>0.99999999999997868</v>
      </c>
      <c r="F250">
        <f t="shared" si="545"/>
        <v>0</v>
      </c>
      <c r="G250">
        <f t="shared" si="545"/>
        <v>-1.9999999999999574</v>
      </c>
      <c r="H250">
        <f t="shared" si="545"/>
        <v>1.9999999999999574</v>
      </c>
      <c r="I250">
        <f t="shared" si="545"/>
        <v>2.0000000000000462</v>
      </c>
      <c r="J250">
        <f t="shared" si="545"/>
        <v>4.0000000000000036</v>
      </c>
      <c r="K250">
        <f t="shared" si="545"/>
        <v>3.0000000000000249</v>
      </c>
      <c r="L250">
        <f t="shared" si="545"/>
        <v>1.9999999999999574</v>
      </c>
      <c r="M250">
        <f t="shared" si="545"/>
        <v>2.9999999999999361</v>
      </c>
      <c r="N250">
        <f t="shared" si="545"/>
        <v>1.9999999999999574</v>
      </c>
      <c r="O250" s="5">
        <f t="shared" si="534"/>
        <v>-3.4360359083553354E-3</v>
      </c>
      <c r="P250" s="5">
        <f t="shared" si="534"/>
        <v>1.0947626222945948E-2</v>
      </c>
      <c r="Q250" s="5">
        <f t="shared" si="534"/>
        <v>-5.8111596278634181E-3</v>
      </c>
      <c r="R250" s="5">
        <f t="shared" si="534"/>
        <v>-1.3806435991274362E-3</v>
      </c>
      <c r="S250" s="5">
        <f t="shared" si="534"/>
        <v>5.9616869247115407E-3</v>
      </c>
      <c r="T250" s="5">
        <f t="shared" ref="T250:X250" si="546">LN(T799/T800)</f>
        <v>-1.8579471337154066E-3</v>
      </c>
      <c r="U250" s="5">
        <f t="shared" si="546"/>
        <v>-1.1693462724084844E-3</v>
      </c>
      <c r="V250" s="5">
        <f t="shared" si="546"/>
        <v>4.8855741122964607E-4</v>
      </c>
      <c r="W250" s="5">
        <f t="shared" si="546"/>
        <v>3.2621896470025101E-3</v>
      </c>
      <c r="X250" s="5">
        <f t="shared" si="546"/>
        <v>-5.0706950192378128E-3</v>
      </c>
      <c r="Z250" s="4">
        <v>45735</v>
      </c>
      <c r="AA250">
        <f>B250*B$3</f>
        <v>0</v>
      </c>
      <c r="AB250">
        <f>C250*C$3</f>
        <v>0</v>
      </c>
      <c r="AC250">
        <f>D250*D$3</f>
        <v>0</v>
      </c>
      <c r="AD250">
        <f>E250*E$3</f>
        <v>2427.9999999999482</v>
      </c>
      <c r="AE250">
        <f>F250*F$3</f>
        <v>0</v>
      </c>
      <c r="AF250">
        <f>G250*G$3</f>
        <v>31255.999999999334</v>
      </c>
      <c r="AG250">
        <f>H250*H$3</f>
        <v>-56431.999999998799</v>
      </c>
      <c r="AH250">
        <f>I250*I$3</f>
        <v>-36912.000000000851</v>
      </c>
      <c r="AI250">
        <f>J250*J$3</f>
        <v>-204206.00000000017</v>
      </c>
      <c r="AJ250">
        <f>K250*K$3</f>
        <v>-235185.00000000195</v>
      </c>
      <c r="AK250">
        <f>L250*L$3</f>
        <v>62007.999999998676</v>
      </c>
      <c r="AL250">
        <f>M250*M$3</f>
        <v>96218.999999997948</v>
      </c>
      <c r="AM250">
        <f>N250*N$3</f>
        <v>0</v>
      </c>
      <c r="AN250">
        <f>O250*O$3</f>
        <v>0</v>
      </c>
      <c r="AO250">
        <f>P250*P$3</f>
        <v>-54738.131114729738</v>
      </c>
      <c r="AP250">
        <f>Q250*Q$3</f>
        <v>-69733.915534361018</v>
      </c>
      <c r="AQ250">
        <f>R250*R$3</f>
        <v>20709.653986911544</v>
      </c>
      <c r="AR250" s="1">
        <f>S250*S$3</f>
        <v>-41731.808472980789</v>
      </c>
      <c r="AS250" s="1">
        <f t="shared" si="536"/>
        <v>-7431.7885348616264</v>
      </c>
      <c r="AT250" s="1">
        <f t="shared" si="536"/>
        <v>-9354.7701792678745</v>
      </c>
      <c r="AU250" s="1">
        <f t="shared" si="536"/>
        <v>0</v>
      </c>
      <c r="AV250" s="1">
        <f t="shared" si="536"/>
        <v>0</v>
      </c>
      <c r="AW250" s="1">
        <f t="shared" si="536"/>
        <v>0</v>
      </c>
      <c r="AX250" s="1">
        <f t="shared" si="432"/>
        <v>-503104.75984929537</v>
      </c>
      <c r="AY250" s="1">
        <f t="shared" si="433"/>
        <v>-162280.75984928952</v>
      </c>
      <c r="AZ250" s="1">
        <f t="shared" si="434"/>
        <v>-340824.00000000582</v>
      </c>
    </row>
    <row r="251" spans="1:52" x14ac:dyDescent="0.25">
      <c r="A251" s="4">
        <v>45734</v>
      </c>
      <c r="B251">
        <f t="shared" ref="B251:N251" si="547">(B801-B800)*100</f>
        <v>0</v>
      </c>
      <c r="C251">
        <f t="shared" si="547"/>
        <v>0</v>
      </c>
      <c r="D251">
        <f t="shared" si="547"/>
        <v>-0.99999999999997868</v>
      </c>
      <c r="E251">
        <f t="shared" si="547"/>
        <v>0</v>
      </c>
      <c r="F251">
        <f t="shared" si="547"/>
        <v>0</v>
      </c>
      <c r="G251">
        <f t="shared" si="547"/>
        <v>-2.0000000000000462</v>
      </c>
      <c r="H251">
        <f t="shared" si="547"/>
        <v>-4.0000000000000036</v>
      </c>
      <c r="I251">
        <f t="shared" si="547"/>
        <v>-3.0000000000000249</v>
      </c>
      <c r="J251">
        <f t="shared" si="547"/>
        <v>-2.0000000000000462</v>
      </c>
      <c r="K251">
        <f t="shared" si="547"/>
        <v>-0.99999999999997868</v>
      </c>
      <c r="L251">
        <f t="shared" si="547"/>
        <v>0</v>
      </c>
      <c r="M251">
        <f t="shared" si="547"/>
        <v>1.0000000000000675</v>
      </c>
      <c r="N251">
        <f t="shared" si="547"/>
        <v>2.0000000000000462</v>
      </c>
      <c r="O251" s="5">
        <f t="shared" si="534"/>
        <v>-4.0376432916529627E-3</v>
      </c>
      <c r="P251" s="5">
        <f t="shared" si="534"/>
        <v>1.0766837003073699E-2</v>
      </c>
      <c r="Q251" s="5">
        <f t="shared" si="534"/>
        <v>-9.7431362226714068E-3</v>
      </c>
      <c r="R251" s="5">
        <f t="shared" si="534"/>
        <v>-4.6799810125635185E-3</v>
      </c>
      <c r="S251" s="5">
        <f t="shared" si="534"/>
        <v>5.519511613183986E-4</v>
      </c>
      <c r="T251" s="5">
        <f t="shared" ref="T251:X251" si="548">LN(T800/T801)</f>
        <v>-3.477124323910646E-3</v>
      </c>
      <c r="U251" s="5">
        <f t="shared" si="548"/>
        <v>-4.2242314311863186E-3</v>
      </c>
      <c r="V251" s="5">
        <f t="shared" si="548"/>
        <v>5.2419641503742833E-3</v>
      </c>
      <c r="W251" s="5">
        <f t="shared" si="548"/>
        <v>-8.7811585850248643E-3</v>
      </c>
      <c r="X251" s="5">
        <f t="shared" si="548"/>
        <v>-3.2720098976871614E-3</v>
      </c>
      <c r="Z251" s="4">
        <v>45734</v>
      </c>
      <c r="AA251">
        <f>B251*B$3</f>
        <v>0</v>
      </c>
      <c r="AB251">
        <f>C251*C$3</f>
        <v>0</v>
      </c>
      <c r="AC251">
        <f>D251*D$3</f>
        <v>-16142.999999999656</v>
      </c>
      <c r="AD251">
        <f>E251*E$3</f>
        <v>0</v>
      </c>
      <c r="AE251">
        <f>F251*F$3</f>
        <v>0</v>
      </c>
      <c r="AF251">
        <f>G251*G$3</f>
        <v>31256.00000000072</v>
      </c>
      <c r="AG251">
        <f>H251*H$3</f>
        <v>112864.0000000001</v>
      </c>
      <c r="AH251">
        <f>I251*I$3</f>
        <v>55368.000000000458</v>
      </c>
      <c r="AI251">
        <f>J251*J$3</f>
        <v>102103.00000000236</v>
      </c>
      <c r="AJ251">
        <f>K251*K$3</f>
        <v>78394.999999998327</v>
      </c>
      <c r="AK251">
        <f>L251*L$3</f>
        <v>0</v>
      </c>
      <c r="AL251">
        <f>M251*M$3</f>
        <v>32073.000000002165</v>
      </c>
      <c r="AM251">
        <f>N251*N$3</f>
        <v>0</v>
      </c>
      <c r="AN251">
        <f>O251*O$3</f>
        <v>0</v>
      </c>
      <c r="AO251">
        <f>P251*P$3</f>
        <v>-53834.185015368494</v>
      </c>
      <c r="AP251">
        <f>Q251*Q$3</f>
        <v>-116917.63467205688</v>
      </c>
      <c r="AQ251">
        <f>R251*R$3</f>
        <v>70199.715188452785</v>
      </c>
      <c r="AR251" s="1">
        <f>S251*S$3</f>
        <v>-3863.6581292287901</v>
      </c>
      <c r="AS251" s="1">
        <f t="shared" si="536"/>
        <v>-13908.497295642585</v>
      </c>
      <c r="AT251" s="1">
        <f t="shared" si="536"/>
        <v>-33793.851449490547</v>
      </c>
      <c r="AU251" s="1">
        <f t="shared" si="536"/>
        <v>0</v>
      </c>
      <c r="AV251" s="1">
        <f t="shared" si="536"/>
        <v>0</v>
      </c>
      <c r="AW251" s="1">
        <f t="shared" si="536"/>
        <v>0</v>
      </c>
      <c r="AX251" s="1">
        <f t="shared" si="432"/>
        <v>243797.88862666991</v>
      </c>
      <c r="AY251" s="1">
        <f t="shared" si="433"/>
        <v>-152118.11137333454</v>
      </c>
      <c r="AZ251" s="1">
        <f t="shared" si="434"/>
        <v>395916.00000000442</v>
      </c>
    </row>
    <row r="252" spans="1:52" x14ac:dyDescent="0.25">
      <c r="A252" s="4">
        <v>45733</v>
      </c>
      <c r="B252">
        <f t="shared" ref="B252:N252" si="549">(B802-B801)*100</f>
        <v>0</v>
      </c>
      <c r="C252">
        <f t="shared" si="549"/>
        <v>0.99999999999997868</v>
      </c>
      <c r="D252">
        <f t="shared" si="549"/>
        <v>0.99999999999997868</v>
      </c>
      <c r="E252">
        <f t="shared" si="549"/>
        <v>-1.9999999999999574</v>
      </c>
      <c r="F252">
        <f t="shared" si="549"/>
        <v>-2.0000000000000462</v>
      </c>
      <c r="G252">
        <f t="shared" si="549"/>
        <v>-5.9999999999999609</v>
      </c>
      <c r="H252">
        <f t="shared" si="549"/>
        <v>-7.9999999999999627</v>
      </c>
      <c r="I252">
        <f t="shared" si="549"/>
        <v>-6.999999999999984</v>
      </c>
      <c r="J252">
        <f t="shared" si="549"/>
        <v>-7.0000000000000284</v>
      </c>
      <c r="K252">
        <f t="shared" si="549"/>
        <v>-4.9999999999999822</v>
      </c>
      <c r="L252">
        <f t="shared" si="549"/>
        <v>-4.0000000000000036</v>
      </c>
      <c r="M252">
        <f t="shared" si="549"/>
        <v>-2.0000000000000462</v>
      </c>
      <c r="N252">
        <f t="shared" si="549"/>
        <v>-3.0000000000000249</v>
      </c>
      <c r="O252" s="5">
        <f t="shared" si="534"/>
        <v>-5.8867369437975679E-3</v>
      </c>
      <c r="P252" s="5">
        <f t="shared" si="534"/>
        <v>-6.5203394523856645E-3</v>
      </c>
      <c r="Q252" s="5">
        <f t="shared" si="534"/>
        <v>-8.3736123915613431E-3</v>
      </c>
      <c r="R252" s="5">
        <f t="shared" si="534"/>
        <v>-4.1112843986072321E-3</v>
      </c>
      <c r="S252" s="5">
        <f t="shared" si="534"/>
        <v>0</v>
      </c>
      <c r="T252" s="5">
        <f t="shared" ref="T252:X252" si="550">LN(T801/T802)</f>
        <v>-2.3585300745155142E-3</v>
      </c>
      <c r="U252" s="5">
        <f t="shared" si="550"/>
        <v>2.148706510570073E-3</v>
      </c>
      <c r="V252" s="5">
        <f t="shared" si="550"/>
        <v>4.3770672735360047E-3</v>
      </c>
      <c r="W252" s="5">
        <f t="shared" si="550"/>
        <v>-6.1491220739129417E-3</v>
      </c>
      <c r="X252" s="5">
        <f t="shared" si="550"/>
        <v>1.6641437555749566E-3</v>
      </c>
      <c r="Z252" s="4">
        <v>45733</v>
      </c>
      <c r="AA252">
        <f>B252*B$3</f>
        <v>0</v>
      </c>
      <c r="AB252">
        <f>C252*C$3</f>
        <v>-2583.999999999945</v>
      </c>
      <c r="AC252">
        <f>D252*D$3</f>
        <v>16142.999999999656</v>
      </c>
      <c r="AD252">
        <f>E252*E$3</f>
        <v>-4855.9999999998963</v>
      </c>
      <c r="AE252">
        <f>F252*F$3</f>
        <v>24856.000000000575</v>
      </c>
      <c r="AF252">
        <f>G252*G$3</f>
        <v>93767.999999999389</v>
      </c>
      <c r="AG252">
        <f>H252*H$3</f>
        <v>225727.99999999895</v>
      </c>
      <c r="AH252">
        <f>I252*I$3</f>
        <v>129191.99999999971</v>
      </c>
      <c r="AI252">
        <f>J252*J$3</f>
        <v>357360.50000000146</v>
      </c>
      <c r="AJ252">
        <f>K252*K$3</f>
        <v>391974.9999999986</v>
      </c>
      <c r="AK252">
        <f>L252*L$3</f>
        <v>-124016.00000000012</v>
      </c>
      <c r="AL252">
        <f>M252*M$3</f>
        <v>-64146.000000001484</v>
      </c>
      <c r="AM252">
        <f>N252*N$3</f>
        <v>0</v>
      </c>
      <c r="AN252">
        <f>O252*O$3</f>
        <v>0</v>
      </c>
      <c r="AO252">
        <f>P252*P$3</f>
        <v>32601.697261928322</v>
      </c>
      <c r="AP252">
        <f>Q252*Q$3</f>
        <v>-100483.34869873612</v>
      </c>
      <c r="AQ252">
        <f>R252*R$3</f>
        <v>61669.265979108481</v>
      </c>
      <c r="AR252" s="1">
        <f>S252*S$3</f>
        <v>0</v>
      </c>
      <c r="AS252" s="1">
        <f t="shared" si="536"/>
        <v>-9434.1202980620565</v>
      </c>
      <c r="AT252" s="1">
        <f t="shared" si="536"/>
        <v>17189.652084560585</v>
      </c>
      <c r="AU252" s="1">
        <f t="shared" si="536"/>
        <v>0</v>
      </c>
      <c r="AV252" s="1">
        <f t="shared" si="536"/>
        <v>0</v>
      </c>
      <c r="AW252" s="1">
        <f t="shared" si="536"/>
        <v>0</v>
      </c>
      <c r="AX252" s="1">
        <f t="shared" si="432"/>
        <v>1044963.6463287962</v>
      </c>
      <c r="AY252" s="1">
        <f t="shared" si="433"/>
        <v>1543.1463287992028</v>
      </c>
      <c r="AZ252" s="1">
        <f t="shared" si="434"/>
        <v>1043420.499999997</v>
      </c>
    </row>
    <row r="253" spans="1:52" x14ac:dyDescent="0.25">
      <c r="A253" s="4">
        <v>45730</v>
      </c>
      <c r="B253">
        <f t="shared" ref="B253:N253" si="551">(B803-B802)*100</f>
        <v>-0.99999999999997868</v>
      </c>
      <c r="C253">
        <f t="shared" si="551"/>
        <v>0</v>
      </c>
      <c r="D253">
        <f t="shared" si="551"/>
        <v>0.99999999999997868</v>
      </c>
      <c r="E253">
        <f t="shared" si="551"/>
        <v>1.9999999999999574</v>
      </c>
      <c r="F253">
        <f t="shared" si="551"/>
        <v>0</v>
      </c>
      <c r="G253">
        <f t="shared" si="551"/>
        <v>4.0000000000000036</v>
      </c>
      <c r="H253">
        <f t="shared" si="551"/>
        <v>6.999999999999984</v>
      </c>
      <c r="I253">
        <f t="shared" si="551"/>
        <v>4.9999999999999822</v>
      </c>
      <c r="J253">
        <f t="shared" si="551"/>
        <v>7.0000000000000284</v>
      </c>
      <c r="K253">
        <f t="shared" si="551"/>
        <v>4.9999999999999822</v>
      </c>
      <c r="L253">
        <f t="shared" si="551"/>
        <v>5.0000000000000711</v>
      </c>
      <c r="M253">
        <f t="shared" si="551"/>
        <v>4.0000000000000036</v>
      </c>
      <c r="N253">
        <f t="shared" si="551"/>
        <v>4.0000000000000036</v>
      </c>
      <c r="O253" s="5">
        <f t="shared" si="534"/>
        <v>-1.2324465351075392E-2</v>
      </c>
      <c r="P253" s="5">
        <f t="shared" si="534"/>
        <v>-5.9449087317345944E-3</v>
      </c>
      <c r="Q253" s="5">
        <f t="shared" si="534"/>
        <v>8.4594198397005289E-3</v>
      </c>
      <c r="R253" s="5">
        <f t="shared" si="534"/>
        <v>-3.2769008023147985E-3</v>
      </c>
      <c r="S253" s="5">
        <f t="shared" si="534"/>
        <v>-8.5610072353578381E-3</v>
      </c>
      <c r="T253" s="5">
        <f t="shared" ref="T253:X253" si="552">LN(T802/T803)</f>
        <v>2.8155966319872933E-3</v>
      </c>
      <c r="U253" s="5">
        <f t="shared" si="552"/>
        <v>4.5370255118010996E-4</v>
      </c>
      <c r="V253" s="5">
        <f t="shared" si="552"/>
        <v>-2.2280267503730017E-3</v>
      </c>
      <c r="W253" s="5">
        <f t="shared" si="552"/>
        <v>6.3705118505478385E-3</v>
      </c>
      <c r="X253" s="5">
        <f t="shared" si="552"/>
        <v>9.634630713336919E-4</v>
      </c>
      <c r="Z253" s="4">
        <v>45730</v>
      </c>
      <c r="AA253">
        <f>B253*B$3</f>
        <v>982.99999999997908</v>
      </c>
      <c r="AB253">
        <f>C253*C$3</f>
        <v>0</v>
      </c>
      <c r="AC253">
        <f>D253*D$3</f>
        <v>16142.999999999656</v>
      </c>
      <c r="AD253">
        <f>E253*E$3</f>
        <v>4855.9999999998963</v>
      </c>
      <c r="AE253">
        <f>F253*F$3</f>
        <v>0</v>
      </c>
      <c r="AF253">
        <f>G253*G$3</f>
        <v>-62512.000000000058</v>
      </c>
      <c r="AG253">
        <f>H253*H$3</f>
        <v>-197511.99999999956</v>
      </c>
      <c r="AH253">
        <f>I253*I$3</f>
        <v>-92279.999999999665</v>
      </c>
      <c r="AI253">
        <f>J253*J$3</f>
        <v>-357360.50000000146</v>
      </c>
      <c r="AJ253">
        <f>K253*K$3</f>
        <v>-391974.9999999986</v>
      </c>
      <c r="AK253">
        <f>L253*L$3</f>
        <v>155020.00000000221</v>
      </c>
      <c r="AL253">
        <f>M253*M$3</f>
        <v>128292.00000000012</v>
      </c>
      <c r="AM253">
        <f>N253*N$3</f>
        <v>0</v>
      </c>
      <c r="AN253">
        <f>O253*O$3</f>
        <v>0</v>
      </c>
      <c r="AO253">
        <f>P253*P$3</f>
        <v>29724.543658672974</v>
      </c>
      <c r="AP253">
        <f>Q253*Q$3</f>
        <v>101513.03807640634</v>
      </c>
      <c r="AQ253">
        <f>R253*R$3</f>
        <v>49153.512034721978</v>
      </c>
      <c r="AR253" s="1">
        <f>S253*S$3</f>
        <v>59927.050647504868</v>
      </c>
      <c r="AS253" s="1">
        <f t="shared" si="536"/>
        <v>11262.386527949173</v>
      </c>
      <c r="AT253" s="1">
        <f t="shared" si="536"/>
        <v>3629.6204094408795</v>
      </c>
      <c r="AU253" s="1">
        <f t="shared" si="536"/>
        <v>0</v>
      </c>
      <c r="AV253" s="1">
        <f t="shared" si="536"/>
        <v>0</v>
      </c>
      <c r="AW253" s="1">
        <f t="shared" si="536"/>
        <v>0</v>
      </c>
      <c r="AX253" s="1">
        <f t="shared" si="432"/>
        <v>-541135.3486453013</v>
      </c>
      <c r="AY253" s="1">
        <f t="shared" si="433"/>
        <v>255210.15135469625</v>
      </c>
      <c r="AZ253" s="1">
        <f t="shared" si="434"/>
        <v>-796345.49999999756</v>
      </c>
    </row>
    <row r="254" spans="1:52" x14ac:dyDescent="0.25">
      <c r="A254" s="4">
        <v>45729</v>
      </c>
      <c r="B254">
        <f t="shared" ref="B254:N254" si="553">(B804-B803)*100</f>
        <v>0.99999999999997868</v>
      </c>
      <c r="C254">
        <f t="shared" si="553"/>
        <v>-0.99999999999997868</v>
      </c>
      <c r="D254">
        <f t="shared" si="553"/>
        <v>-0.99999999999997868</v>
      </c>
      <c r="E254">
        <f t="shared" si="553"/>
        <v>-1.9999999999999574</v>
      </c>
      <c r="F254">
        <f t="shared" si="553"/>
        <v>-0.99999999999997868</v>
      </c>
      <c r="G254">
        <f t="shared" si="553"/>
        <v>-4.0000000000000036</v>
      </c>
      <c r="H254">
        <f t="shared" si="553"/>
        <v>-6.999999999999984</v>
      </c>
      <c r="I254">
        <f t="shared" si="553"/>
        <v>-6.0000000000000053</v>
      </c>
      <c r="J254">
        <f t="shared" si="553"/>
        <v>-5.9999999999999609</v>
      </c>
      <c r="K254">
        <f t="shared" si="553"/>
        <v>-4.0000000000000036</v>
      </c>
      <c r="L254">
        <f t="shared" si="553"/>
        <v>-4.0000000000000036</v>
      </c>
      <c r="M254">
        <f t="shared" si="553"/>
        <v>-4.0000000000000036</v>
      </c>
      <c r="N254">
        <f t="shared" si="553"/>
        <v>-4.0000000000000036</v>
      </c>
      <c r="O254" s="5">
        <f t="shared" si="534"/>
        <v>-2.3540945463805239E-3</v>
      </c>
      <c r="P254" s="5">
        <f t="shared" si="534"/>
        <v>4.8602768822526626E-3</v>
      </c>
      <c r="Q254" s="5">
        <f t="shared" si="534"/>
        <v>-5.5302243386300635E-3</v>
      </c>
      <c r="R254" s="5">
        <f t="shared" si="534"/>
        <v>1.9102202561192452E-3</v>
      </c>
      <c r="S254" s="5">
        <f t="shared" si="534"/>
        <v>-4.2011443597357772E-3</v>
      </c>
      <c r="T254" s="5">
        <f t="shared" ref="T254:X254" si="554">LN(T803/T804)</f>
        <v>2.5615299798285567E-3</v>
      </c>
      <c r="U254" s="5">
        <f t="shared" si="554"/>
        <v>-1.5027060734102357E-3</v>
      </c>
      <c r="V254" s="5">
        <f t="shared" si="554"/>
        <v>1.5996135996625858E-3</v>
      </c>
      <c r="W254" s="5">
        <f t="shared" si="554"/>
        <v>-5.1186087026102523E-3</v>
      </c>
      <c r="X254" s="5">
        <f t="shared" si="554"/>
        <v>-1.8921300070178953E-3</v>
      </c>
      <c r="Z254" s="4">
        <v>45729</v>
      </c>
      <c r="AA254">
        <f>B254*B$3</f>
        <v>-982.99999999997908</v>
      </c>
      <c r="AB254">
        <f>C254*C$3</f>
        <v>2583.999999999945</v>
      </c>
      <c r="AC254">
        <f>D254*D$3</f>
        <v>-16142.999999999656</v>
      </c>
      <c r="AD254">
        <f>E254*E$3</f>
        <v>-4855.9999999998963</v>
      </c>
      <c r="AE254">
        <f>F254*F$3</f>
        <v>12427.999999999734</v>
      </c>
      <c r="AF254">
        <f>G254*G$3</f>
        <v>62512.000000000058</v>
      </c>
      <c r="AG254">
        <f>H254*H$3</f>
        <v>197511.99999999956</v>
      </c>
      <c r="AH254">
        <f>I254*I$3</f>
        <v>110736.0000000001</v>
      </c>
      <c r="AI254">
        <f>J254*J$3</f>
        <v>306308.99999999802</v>
      </c>
      <c r="AJ254">
        <f>K254*K$3</f>
        <v>313580.00000000029</v>
      </c>
      <c r="AK254">
        <f>L254*L$3</f>
        <v>-124016.00000000012</v>
      </c>
      <c r="AL254">
        <f>M254*M$3</f>
        <v>-128292.00000000012</v>
      </c>
      <c r="AM254">
        <f>N254*N$3</f>
        <v>0</v>
      </c>
      <c r="AN254">
        <f>O254*O$3</f>
        <v>0</v>
      </c>
      <c r="AO254">
        <f>P254*P$3</f>
        <v>-24301.384411263312</v>
      </c>
      <c r="AP254">
        <f>Q254*Q$3</f>
        <v>-66362.692063560768</v>
      </c>
      <c r="AQ254">
        <f>R254*R$3</f>
        <v>-28653.303841788678</v>
      </c>
      <c r="AR254" s="1">
        <f>S254*S$3</f>
        <v>29408.01051815044</v>
      </c>
      <c r="AS254" s="1">
        <f t="shared" si="536"/>
        <v>10246.119919314227</v>
      </c>
      <c r="AT254" s="1">
        <f t="shared" si="536"/>
        <v>-12021.648587281885</v>
      </c>
      <c r="AU254" s="1">
        <f t="shared" si="536"/>
        <v>0</v>
      </c>
      <c r="AV254" s="1">
        <f t="shared" si="536"/>
        <v>0</v>
      </c>
      <c r="AW254" s="1">
        <f t="shared" si="536"/>
        <v>0</v>
      </c>
      <c r="AX254" s="1">
        <f t="shared" si="432"/>
        <v>639686.101533568</v>
      </c>
      <c r="AY254" s="1">
        <f t="shared" si="433"/>
        <v>-91684.898466429979</v>
      </c>
      <c r="AZ254" s="1">
        <f t="shared" si="434"/>
        <v>731370.99999999802</v>
      </c>
    </row>
    <row r="255" spans="1:52" x14ac:dyDescent="0.25">
      <c r="A255" s="4">
        <v>45728</v>
      </c>
      <c r="B255">
        <f t="shared" ref="B255:N255" si="555">(B805-B804)*100</f>
        <v>0</v>
      </c>
      <c r="C255">
        <f t="shared" si="555"/>
        <v>0.99999999999997868</v>
      </c>
      <c r="D255">
        <f t="shared" si="555"/>
        <v>-0.99999999999997868</v>
      </c>
      <c r="E255">
        <f t="shared" si="555"/>
        <v>0</v>
      </c>
      <c r="F255">
        <f t="shared" si="555"/>
        <v>-0.99999999999997868</v>
      </c>
      <c r="G255">
        <f t="shared" si="555"/>
        <v>-5.0000000000000266</v>
      </c>
      <c r="H255">
        <f t="shared" si="555"/>
        <v>-4.9999999999999822</v>
      </c>
      <c r="I255">
        <f t="shared" si="555"/>
        <v>-0.99999999999997868</v>
      </c>
      <c r="J255">
        <f t="shared" si="555"/>
        <v>-5.0000000000000266</v>
      </c>
      <c r="K255">
        <f t="shared" si="555"/>
        <v>-6.0000000000000497</v>
      </c>
      <c r="L255">
        <f t="shared" si="555"/>
        <v>-6.0000000000000497</v>
      </c>
      <c r="M255">
        <f t="shared" si="555"/>
        <v>-4.9999999999999822</v>
      </c>
      <c r="N255">
        <f t="shared" si="555"/>
        <v>-4.9999999999999822</v>
      </c>
      <c r="O255" s="5">
        <f t="shared" ref="O255:S264" si="556">LN(O804/O805)</f>
        <v>-1.3463857584726615E-3</v>
      </c>
      <c r="P255" s="5">
        <f t="shared" si="556"/>
        <v>-6.0716640685497952E-3</v>
      </c>
      <c r="Q255" s="5">
        <f t="shared" si="556"/>
        <v>6.7645207586352644E-3</v>
      </c>
      <c r="R255" s="5">
        <f t="shared" si="556"/>
        <v>-2.7311211421983411E-4</v>
      </c>
      <c r="S255" s="5">
        <f t="shared" si="556"/>
        <v>-3.8825012479803958E-3</v>
      </c>
      <c r="T255" s="5">
        <f t="shared" ref="T255:X255" si="557">LN(T804/T805)</f>
        <v>-6.874012208263839E-3</v>
      </c>
      <c r="U255" s="5">
        <f t="shared" si="557"/>
        <v>-5.3705556082753944E-3</v>
      </c>
      <c r="V255" s="5">
        <f t="shared" si="557"/>
        <v>6.5942015214819601E-3</v>
      </c>
      <c r="W255" s="5">
        <f t="shared" si="557"/>
        <v>-2.5086027697838933E-3</v>
      </c>
      <c r="X255" s="5">
        <f t="shared" si="557"/>
        <v>3.9241863828642217E-3</v>
      </c>
      <c r="Z255" s="4">
        <v>45728</v>
      </c>
      <c r="AA255">
        <f>B255*B$3</f>
        <v>0</v>
      </c>
      <c r="AB255">
        <f>C255*C$3</f>
        <v>-2583.999999999945</v>
      </c>
      <c r="AC255">
        <f>D255*D$3</f>
        <v>-16142.999999999656</v>
      </c>
      <c r="AD255">
        <f>E255*E$3</f>
        <v>0</v>
      </c>
      <c r="AE255">
        <f>F255*F$3</f>
        <v>12427.999999999734</v>
      </c>
      <c r="AF255">
        <f>G255*G$3</f>
        <v>78140.000000000422</v>
      </c>
      <c r="AG255">
        <f>H255*H$3</f>
        <v>141079.99999999951</v>
      </c>
      <c r="AH255">
        <f>I255*I$3</f>
        <v>18455.999999999607</v>
      </c>
      <c r="AI255">
        <f>J255*J$3</f>
        <v>255257.50000000137</v>
      </c>
      <c r="AJ255">
        <f>K255*K$3</f>
        <v>470370.0000000039</v>
      </c>
      <c r="AK255">
        <f>L255*L$3</f>
        <v>-186024.00000000154</v>
      </c>
      <c r="AL255">
        <f>M255*M$3</f>
        <v>-160364.99999999942</v>
      </c>
      <c r="AM255">
        <f>N255*N$3</f>
        <v>0</v>
      </c>
      <c r="AN255">
        <f>O255*O$3</f>
        <v>0</v>
      </c>
      <c r="AO255">
        <f>P255*P$3</f>
        <v>30358.320342748975</v>
      </c>
      <c r="AP255">
        <f>Q255*Q$3</f>
        <v>81174.249103623166</v>
      </c>
      <c r="AQ255">
        <f>R255*R$3</f>
        <v>4096.681713297512</v>
      </c>
      <c r="AR255" s="1">
        <f>S255*S$3</f>
        <v>27177.508735862772</v>
      </c>
      <c r="AS255" s="1">
        <f t="shared" si="536"/>
        <v>-27496.048833055356</v>
      </c>
      <c r="AT255" s="1">
        <f t="shared" si="536"/>
        <v>-42964.444866203157</v>
      </c>
      <c r="AU255" s="1">
        <f t="shared" si="536"/>
        <v>0</v>
      </c>
      <c r="AV255" s="1">
        <f t="shared" si="536"/>
        <v>0</v>
      </c>
      <c r="AW255" s="1">
        <f t="shared" si="536"/>
        <v>0</v>
      </c>
      <c r="AX255" s="1">
        <f t="shared" si="432"/>
        <v>682961.76619627804</v>
      </c>
      <c r="AY255" s="1">
        <f t="shared" si="433"/>
        <v>72346.266196273908</v>
      </c>
      <c r="AZ255" s="1">
        <f t="shared" si="434"/>
        <v>610615.50000000419</v>
      </c>
    </row>
    <row r="256" spans="1:52" x14ac:dyDescent="0.25">
      <c r="A256" s="4">
        <v>45727</v>
      </c>
      <c r="B256">
        <f t="shared" ref="B256:N256" si="558">(B806-B805)*100</f>
        <v>0.99999999999997868</v>
      </c>
      <c r="C256">
        <f t="shared" si="558"/>
        <v>-0.99999999999997868</v>
      </c>
      <c r="D256">
        <f t="shared" si="558"/>
        <v>0.99999999999997868</v>
      </c>
      <c r="E256">
        <f t="shared" si="558"/>
        <v>0.99999999999997868</v>
      </c>
      <c r="F256">
        <f t="shared" si="558"/>
        <v>4.0000000000000036</v>
      </c>
      <c r="G256">
        <f t="shared" si="558"/>
        <v>6.999999999999984</v>
      </c>
      <c r="H256">
        <f t="shared" si="558"/>
        <v>10.000000000000009</v>
      </c>
      <c r="I256">
        <f t="shared" si="558"/>
        <v>9.9999999999999645</v>
      </c>
      <c r="J256">
        <f t="shared" si="558"/>
        <v>10.999999999999988</v>
      </c>
      <c r="K256">
        <f t="shared" si="558"/>
        <v>11.000000000000032</v>
      </c>
      <c r="L256">
        <f t="shared" si="558"/>
        <v>10.000000000000053</v>
      </c>
      <c r="M256">
        <f t="shared" si="558"/>
        <v>8.0000000000000071</v>
      </c>
      <c r="N256">
        <f t="shared" si="558"/>
        <v>8.0000000000000071</v>
      </c>
      <c r="O256" s="5">
        <f t="shared" si="556"/>
        <v>7.1643586551879464E-3</v>
      </c>
      <c r="P256" s="5">
        <f t="shared" si="556"/>
        <v>-1.1093205919015079E-2</v>
      </c>
      <c r="Q256" s="5">
        <f t="shared" si="556"/>
        <v>3.0978092731351204E-3</v>
      </c>
      <c r="R256" s="5">
        <f t="shared" si="556"/>
        <v>-1.9096991208260793E-3</v>
      </c>
      <c r="S256" s="5">
        <f t="shared" si="556"/>
        <v>-5.1255020444771959E-3</v>
      </c>
      <c r="T256" s="5">
        <f t="shared" ref="T256:X256" si="559">LN(T805/T806)</f>
        <v>1.9529456865907925E-3</v>
      </c>
      <c r="U256" s="5">
        <f t="shared" si="559"/>
        <v>4.4130942889551343E-3</v>
      </c>
      <c r="V256" s="5">
        <f t="shared" si="559"/>
        <v>-3.6582567515325098E-3</v>
      </c>
      <c r="W256" s="5">
        <f t="shared" si="559"/>
        <v>3.8756246447750019E-3</v>
      </c>
      <c r="X256" s="5">
        <f t="shared" si="559"/>
        <v>3.0045874885779025E-3</v>
      </c>
      <c r="Z256" s="4">
        <v>45727</v>
      </c>
      <c r="AA256">
        <f>B256*B$3</f>
        <v>-982.99999999997908</v>
      </c>
      <c r="AB256">
        <f>C256*C$3</f>
        <v>2583.999999999945</v>
      </c>
      <c r="AC256">
        <f>D256*D$3</f>
        <v>16142.999999999656</v>
      </c>
      <c r="AD256">
        <f>E256*E$3</f>
        <v>2427.9999999999482</v>
      </c>
      <c r="AE256">
        <f>F256*F$3</f>
        <v>-49712.000000000044</v>
      </c>
      <c r="AF256">
        <f>G256*G$3</f>
        <v>-109395.99999999975</v>
      </c>
      <c r="AG256">
        <f>H256*H$3</f>
        <v>-282160.00000000023</v>
      </c>
      <c r="AH256">
        <f>I256*I$3</f>
        <v>-184559.99999999933</v>
      </c>
      <c r="AI256">
        <f>J256*J$3</f>
        <v>-561566.49999999942</v>
      </c>
      <c r="AJ256">
        <f>K256*K$3</f>
        <v>-862345.00000000256</v>
      </c>
      <c r="AK256">
        <f>L256*L$3</f>
        <v>310040.00000000163</v>
      </c>
      <c r="AL256">
        <f>M256*M$3</f>
        <v>256584.00000000023</v>
      </c>
      <c r="AM256">
        <f>N256*N$3</f>
        <v>0</v>
      </c>
      <c r="AN256">
        <f>O256*O$3</f>
        <v>0</v>
      </c>
      <c r="AO256">
        <f>P256*P$3</f>
        <v>55466.029595075393</v>
      </c>
      <c r="AP256">
        <f>Q256*Q$3</f>
        <v>37173.711277621442</v>
      </c>
      <c r="AQ256">
        <f>R256*R$3</f>
        <v>28645.486812391191</v>
      </c>
      <c r="AR256" s="1">
        <f>S256*S$3</f>
        <v>35878.514311340368</v>
      </c>
      <c r="AS256" s="1">
        <f t="shared" si="536"/>
        <v>7811.7827463631702</v>
      </c>
      <c r="AT256" s="1">
        <f t="shared" si="536"/>
        <v>35304.754311641074</v>
      </c>
      <c r="AU256" s="1">
        <f t="shared" si="536"/>
        <v>0</v>
      </c>
      <c r="AV256" s="1">
        <f t="shared" si="536"/>
        <v>0</v>
      </c>
      <c r="AW256" s="1">
        <f t="shared" si="536"/>
        <v>0</v>
      </c>
      <c r="AX256" s="1">
        <f t="shared" si="432"/>
        <v>-1262663.2209455674</v>
      </c>
      <c r="AY256" s="1">
        <f t="shared" si="433"/>
        <v>200280.27905443261</v>
      </c>
      <c r="AZ256" s="1">
        <f t="shared" si="434"/>
        <v>-1462943.5</v>
      </c>
    </row>
    <row r="257" spans="1:52" x14ac:dyDescent="0.25">
      <c r="A257" s="4">
        <v>45726</v>
      </c>
      <c r="B257">
        <f t="shared" ref="B257:N257" si="560">(B807-B806)*100</f>
        <v>0</v>
      </c>
      <c r="C257">
        <f t="shared" si="560"/>
        <v>0.99999999999997868</v>
      </c>
      <c r="D257">
        <f t="shared" si="560"/>
        <v>0</v>
      </c>
      <c r="E257">
        <f t="shared" si="560"/>
        <v>-0.99999999999997868</v>
      </c>
      <c r="F257">
        <f t="shared" si="560"/>
        <v>-2.0000000000000462</v>
      </c>
      <c r="G257">
        <f t="shared" si="560"/>
        <v>-3.0000000000000249</v>
      </c>
      <c r="H257">
        <f t="shared" si="560"/>
        <v>-3.0000000000000249</v>
      </c>
      <c r="I257">
        <f t="shared" si="560"/>
        <v>-2.9999999999999805</v>
      </c>
      <c r="J257">
        <f t="shared" si="560"/>
        <v>-3.0000000000000249</v>
      </c>
      <c r="K257">
        <f t="shared" si="560"/>
        <v>-3.0000000000000249</v>
      </c>
      <c r="L257">
        <f t="shared" si="560"/>
        <v>-3.0000000000000249</v>
      </c>
      <c r="M257">
        <f t="shared" si="560"/>
        <v>-3.0000000000000249</v>
      </c>
      <c r="N257">
        <f t="shared" si="560"/>
        <v>-4.0000000000000036</v>
      </c>
      <c r="O257" s="5">
        <f t="shared" si="556"/>
        <v>4.1864227492583381E-3</v>
      </c>
      <c r="P257" s="5">
        <f t="shared" si="556"/>
        <v>1.1093205919015124E-2</v>
      </c>
      <c r="Q257" s="5">
        <f t="shared" si="556"/>
        <v>1.8654609484646731E-3</v>
      </c>
      <c r="R257" s="5">
        <f t="shared" si="556"/>
        <v>4.3703975599994806E-3</v>
      </c>
      <c r="S257" s="5">
        <f t="shared" si="556"/>
        <v>4.681336156023906E-3</v>
      </c>
      <c r="T257" s="5">
        <f t="shared" ref="T257:X257" si="561">LN(T806/T807)</f>
        <v>-6.7109955354979966E-3</v>
      </c>
      <c r="U257" s="5">
        <f t="shared" si="561"/>
        <v>-3.6505667718888324E-3</v>
      </c>
      <c r="V257" s="5">
        <f t="shared" si="561"/>
        <v>-3.3816260918960264E-3</v>
      </c>
      <c r="W257" s="5">
        <f t="shared" si="561"/>
        <v>4.4921796963814454E-3</v>
      </c>
      <c r="X257" s="5">
        <f t="shared" si="561"/>
        <v>-6.792882459671112E-3</v>
      </c>
      <c r="Z257" s="4">
        <v>45726</v>
      </c>
      <c r="AA257">
        <f>B257*B$3</f>
        <v>0</v>
      </c>
      <c r="AB257">
        <f>C257*C$3</f>
        <v>-2583.999999999945</v>
      </c>
      <c r="AC257">
        <f>D257*D$3</f>
        <v>0</v>
      </c>
      <c r="AD257">
        <f>E257*E$3</f>
        <v>-2427.9999999999482</v>
      </c>
      <c r="AE257">
        <f>F257*F$3</f>
        <v>24856.000000000575</v>
      </c>
      <c r="AF257">
        <f>G257*G$3</f>
        <v>46884.000000000386</v>
      </c>
      <c r="AG257">
        <f>H257*H$3</f>
        <v>84648.000000000698</v>
      </c>
      <c r="AH257">
        <f>I257*I$3</f>
        <v>55367.999999999636</v>
      </c>
      <c r="AI257">
        <f>J257*J$3</f>
        <v>153154.50000000128</v>
      </c>
      <c r="AJ257">
        <f>K257*K$3</f>
        <v>235185.00000000195</v>
      </c>
      <c r="AK257">
        <f>L257*L$3</f>
        <v>-93012.000000000771</v>
      </c>
      <c r="AL257">
        <f>M257*M$3</f>
        <v>-96219.0000000008</v>
      </c>
      <c r="AM257">
        <f>N257*N$3</f>
        <v>0</v>
      </c>
      <c r="AN257">
        <f>O257*O$3</f>
        <v>0</v>
      </c>
      <c r="AO257">
        <f>P257*P$3</f>
        <v>-55466.029595075619</v>
      </c>
      <c r="AP257">
        <f>Q257*Q$3</f>
        <v>22385.531381576078</v>
      </c>
      <c r="AQ257">
        <f>R257*R$3</f>
        <v>-65555.963399992208</v>
      </c>
      <c r="AR257" s="1">
        <f>S257*S$3</f>
        <v>-32769.353092167345</v>
      </c>
      <c r="AS257" s="1">
        <f t="shared" si="536"/>
        <v>-26843.982141991986</v>
      </c>
      <c r="AT257" s="1">
        <f t="shared" si="536"/>
        <v>-29204.534175110661</v>
      </c>
      <c r="AU257" s="1">
        <f t="shared" si="536"/>
        <v>0</v>
      </c>
      <c r="AV257" s="1">
        <f t="shared" si="536"/>
        <v>0</v>
      </c>
      <c r="AW257" s="1">
        <f t="shared" si="536"/>
        <v>0</v>
      </c>
      <c r="AX257" s="1">
        <f t="shared" si="432"/>
        <v>218398.16897724132</v>
      </c>
      <c r="AY257" s="1">
        <f t="shared" si="433"/>
        <v>-187454.33102276173</v>
      </c>
      <c r="AZ257" s="1">
        <f t="shared" si="434"/>
        <v>405852.50000000303</v>
      </c>
    </row>
    <row r="258" spans="1:52" x14ac:dyDescent="0.25">
      <c r="A258" s="4">
        <v>45723</v>
      </c>
      <c r="B258">
        <f t="shared" ref="B258:N258" si="562">(B808-B807)*100</f>
        <v>0</v>
      </c>
      <c r="C258">
        <f t="shared" si="562"/>
        <v>2.0000000000000462</v>
      </c>
      <c r="D258">
        <f t="shared" si="562"/>
        <v>0.99999999999997868</v>
      </c>
      <c r="E258">
        <f t="shared" si="562"/>
        <v>1.9999999999999574</v>
      </c>
      <c r="F258">
        <f t="shared" si="562"/>
        <v>3.0000000000000249</v>
      </c>
      <c r="G258">
        <f t="shared" si="562"/>
        <v>4.0000000000000036</v>
      </c>
      <c r="H258">
        <f t="shared" si="562"/>
        <v>3.0000000000000249</v>
      </c>
      <c r="I258">
        <f t="shared" si="562"/>
        <v>2.9999999999999805</v>
      </c>
      <c r="J258">
        <f t="shared" si="562"/>
        <v>2.0000000000000462</v>
      </c>
      <c r="K258">
        <f t="shared" si="562"/>
        <v>0</v>
      </c>
      <c r="L258">
        <f t="shared" si="562"/>
        <v>-0.99999999999997868</v>
      </c>
      <c r="M258">
        <f t="shared" si="562"/>
        <v>-1.9999999999999574</v>
      </c>
      <c r="N258">
        <f t="shared" si="562"/>
        <v>-0.99999999999997868</v>
      </c>
      <c r="O258" s="5">
        <f t="shared" si="556"/>
        <v>3.4557344824619075E-3</v>
      </c>
      <c r="P258" s="5">
        <f t="shared" si="556"/>
        <v>7.0465605630192505E-3</v>
      </c>
      <c r="Q258" s="5">
        <f t="shared" si="556"/>
        <v>-1.0927428106360227E-2</v>
      </c>
      <c r="R258" s="5">
        <f t="shared" si="556"/>
        <v>0</v>
      </c>
      <c r="S258" s="5">
        <f t="shared" si="556"/>
        <v>7.4013949196071255E-5</v>
      </c>
      <c r="T258" s="5">
        <f t="shared" ref="T258:X258" si="563">LN(T807/T808)</f>
        <v>6.4744401349229913E-4</v>
      </c>
      <c r="U258" s="5">
        <f t="shared" si="563"/>
        <v>5.1286802699344858E-4</v>
      </c>
      <c r="V258" s="5">
        <f t="shared" si="563"/>
        <v>-5.3197252441485E-3</v>
      </c>
      <c r="W258" s="5">
        <f t="shared" si="563"/>
        <v>9.186461624038257E-4</v>
      </c>
      <c r="X258" s="5">
        <f t="shared" si="563"/>
        <v>-8.3089690730889405E-3</v>
      </c>
      <c r="Z258" s="4">
        <v>45723</v>
      </c>
      <c r="AA258">
        <f>B258*B$3</f>
        <v>0</v>
      </c>
      <c r="AB258">
        <f>C258*C$3</f>
        <v>-5168.0000000001191</v>
      </c>
      <c r="AC258">
        <f>D258*D$3</f>
        <v>16142.999999999656</v>
      </c>
      <c r="AD258">
        <f>E258*E$3</f>
        <v>4855.9999999998963</v>
      </c>
      <c r="AE258">
        <f>F258*F$3</f>
        <v>-37284.000000000306</v>
      </c>
      <c r="AF258">
        <f>G258*G$3</f>
        <v>-62512.000000000058</v>
      </c>
      <c r="AG258">
        <f>H258*H$3</f>
        <v>-84648.000000000698</v>
      </c>
      <c r="AH258">
        <f>I258*I$3</f>
        <v>-55367.999999999636</v>
      </c>
      <c r="AI258">
        <f>J258*J$3</f>
        <v>-102103.00000000236</v>
      </c>
      <c r="AJ258">
        <f>K258*K$3</f>
        <v>0</v>
      </c>
      <c r="AK258">
        <f>L258*L$3</f>
        <v>-31003.999999999338</v>
      </c>
      <c r="AL258">
        <f>M258*M$3</f>
        <v>-64145.999999998632</v>
      </c>
      <c r="AM258">
        <f>N258*N$3</f>
        <v>0</v>
      </c>
      <c r="AN258">
        <f>O258*O$3</f>
        <v>0</v>
      </c>
      <c r="AO258">
        <f>P258*P$3</f>
        <v>-35232.802815096249</v>
      </c>
      <c r="AP258">
        <f>Q258*Q$3</f>
        <v>-131129.13727632273</v>
      </c>
      <c r="AQ258">
        <f>R258*R$3</f>
        <v>0</v>
      </c>
      <c r="AR258" s="1">
        <f>S258*S$3</f>
        <v>-518.09764437249873</v>
      </c>
      <c r="AS258" s="1">
        <f t="shared" si="536"/>
        <v>2589.7760539691967</v>
      </c>
      <c r="AT258" s="1">
        <f t="shared" si="536"/>
        <v>4102.9442159475884</v>
      </c>
      <c r="AU258" s="1">
        <f t="shared" si="536"/>
        <v>0</v>
      </c>
      <c r="AV258" s="1">
        <f t="shared" si="536"/>
        <v>0</v>
      </c>
      <c r="AW258" s="1">
        <f t="shared" si="536"/>
        <v>0</v>
      </c>
      <c r="AX258" s="1">
        <f t="shared" si="432"/>
        <v>-581421.31746587623</v>
      </c>
      <c r="AY258" s="1">
        <f t="shared" si="433"/>
        <v>-160187.31746587469</v>
      </c>
      <c r="AZ258" s="1">
        <f t="shared" si="434"/>
        <v>-421234.00000000151</v>
      </c>
    </row>
    <row r="259" spans="1:52" x14ac:dyDescent="0.25">
      <c r="A259" s="4">
        <v>45722</v>
      </c>
      <c r="B259">
        <f t="shared" ref="B259:N259" si="564">(B809-B808)*100</f>
        <v>0.99999999999997868</v>
      </c>
      <c r="C259">
        <f t="shared" si="564"/>
        <v>0.99999999999997868</v>
      </c>
      <c r="D259">
        <f t="shared" si="564"/>
        <v>-0.99999999999997868</v>
      </c>
      <c r="E259">
        <f t="shared" si="564"/>
        <v>0.99999999999997868</v>
      </c>
      <c r="F259">
        <f t="shared" si="564"/>
        <v>-1.9999999999999574</v>
      </c>
      <c r="G259">
        <f t="shared" si="564"/>
        <v>-1.9999999999999574</v>
      </c>
      <c r="H259">
        <f t="shared" si="564"/>
        <v>-3.0000000000000249</v>
      </c>
      <c r="I259">
        <f t="shared" si="564"/>
        <v>-6.999999999999984</v>
      </c>
      <c r="J259">
        <f t="shared" si="564"/>
        <v>-7.0000000000000284</v>
      </c>
      <c r="K259">
        <f t="shared" si="564"/>
        <v>-6.9999999999999396</v>
      </c>
      <c r="L259">
        <f t="shared" si="564"/>
        <v>-6.0000000000000497</v>
      </c>
      <c r="M259">
        <f t="shared" si="564"/>
        <v>-5.0000000000000711</v>
      </c>
      <c r="N259">
        <f t="shared" si="564"/>
        <v>-4.0000000000000036</v>
      </c>
      <c r="O259" s="5">
        <f t="shared" si="556"/>
        <v>-7.3659093665679135E-3</v>
      </c>
      <c r="P259" s="5">
        <f t="shared" si="556"/>
        <v>-2.435461505819198E-3</v>
      </c>
      <c r="Q259" s="5">
        <f t="shared" si="556"/>
        <v>-1.2908742709992734E-2</v>
      </c>
      <c r="R259" s="5">
        <f t="shared" si="556"/>
        <v>8.2158021874529903E-4</v>
      </c>
      <c r="S259" s="5">
        <f t="shared" si="556"/>
        <v>-4.4852066082640306E-3</v>
      </c>
      <c r="T259" s="5">
        <f t="shared" ref="T259:X259" si="565">LN(T808/T809)</f>
        <v>-1.5680104346314949E-2</v>
      </c>
      <c r="U259" s="5">
        <f t="shared" si="565"/>
        <v>-7.6029977796721595E-3</v>
      </c>
      <c r="V259" s="5">
        <f t="shared" si="565"/>
        <v>-6.0328944484252566E-3</v>
      </c>
      <c r="W259" s="5">
        <f t="shared" si="565"/>
        <v>-1.0804981265190449E-2</v>
      </c>
      <c r="X259" s="5">
        <f t="shared" si="565"/>
        <v>1.1796185509544768E-3</v>
      </c>
      <c r="Z259" s="4">
        <v>45722</v>
      </c>
      <c r="AA259">
        <f>B259*B$3</f>
        <v>-982.99999999997908</v>
      </c>
      <c r="AB259">
        <f>C259*C$3</f>
        <v>-2583.999999999945</v>
      </c>
      <c r="AC259">
        <f>D259*D$3</f>
        <v>-16142.999999999656</v>
      </c>
      <c r="AD259">
        <f>E259*E$3</f>
        <v>2427.9999999999482</v>
      </c>
      <c r="AE259">
        <f>F259*F$3</f>
        <v>24855.999999999469</v>
      </c>
      <c r="AF259">
        <f>G259*G$3</f>
        <v>31255.999999999334</v>
      </c>
      <c r="AG259">
        <f>H259*H$3</f>
        <v>84648.000000000698</v>
      </c>
      <c r="AH259">
        <f>I259*I$3</f>
        <v>129191.99999999971</v>
      </c>
      <c r="AI259">
        <f>J259*J$3</f>
        <v>357360.50000000146</v>
      </c>
      <c r="AJ259">
        <f>K259*K$3</f>
        <v>548764.99999999523</v>
      </c>
      <c r="AK259">
        <f>L259*L$3</f>
        <v>-186024.00000000154</v>
      </c>
      <c r="AL259">
        <f>M259*M$3</f>
        <v>-160365.00000000227</v>
      </c>
      <c r="AM259">
        <f>N259*N$3</f>
        <v>0</v>
      </c>
      <c r="AN259">
        <f>O259*O$3</f>
        <v>0</v>
      </c>
      <c r="AO259">
        <f>P259*P$3</f>
        <v>12177.30752909599</v>
      </c>
      <c r="AP259">
        <f>Q259*Q$3</f>
        <v>-154904.91251991282</v>
      </c>
      <c r="AQ259">
        <f>R259*R$3</f>
        <v>-12323.703281179485</v>
      </c>
      <c r="AR259" s="1">
        <f>S259*S$3</f>
        <v>31396.446257848213</v>
      </c>
      <c r="AS259" s="1">
        <f t="shared" si="536"/>
        <v>-62720.417385259796</v>
      </c>
      <c r="AT259" s="1">
        <f t="shared" si="536"/>
        <v>-60823.982237377277</v>
      </c>
      <c r="AU259" s="1">
        <f t="shared" si="536"/>
        <v>0</v>
      </c>
      <c r="AV259" s="1">
        <f t="shared" si="536"/>
        <v>0</v>
      </c>
      <c r="AW259" s="1">
        <f t="shared" si="536"/>
        <v>0</v>
      </c>
      <c r="AX259" s="1">
        <f t="shared" si="432"/>
        <v>565207.23836320732</v>
      </c>
      <c r="AY259" s="1">
        <f t="shared" si="433"/>
        <v>-247199.26163678517</v>
      </c>
      <c r="AZ259" s="1">
        <f t="shared" si="434"/>
        <v>812406.49999999255</v>
      </c>
    </row>
    <row r="260" spans="1:52" x14ac:dyDescent="0.25">
      <c r="A260" s="4">
        <v>45721</v>
      </c>
      <c r="B260">
        <f t="shared" ref="B260:N260" si="566">(B810-B809)*100</f>
        <v>-0.99999999999997868</v>
      </c>
      <c r="C260">
        <f t="shared" si="566"/>
        <v>0</v>
      </c>
      <c r="D260">
        <f t="shared" si="566"/>
        <v>0.99999999999997868</v>
      </c>
      <c r="E260">
        <f t="shared" si="566"/>
        <v>0</v>
      </c>
      <c r="F260">
        <f t="shared" si="566"/>
        <v>2.9999999999999361</v>
      </c>
      <c r="G260">
        <f t="shared" si="566"/>
        <v>1.9999999999999574</v>
      </c>
      <c r="H260">
        <f t="shared" si="566"/>
        <v>0</v>
      </c>
      <c r="I260">
        <f t="shared" si="566"/>
        <v>-0.99999999999997868</v>
      </c>
      <c r="J260">
        <f t="shared" si="566"/>
        <v>-3.9999999999999591</v>
      </c>
      <c r="K260">
        <f t="shared" si="566"/>
        <v>-5.0000000000000711</v>
      </c>
      <c r="L260">
        <f t="shared" si="566"/>
        <v>-5.9999999999999609</v>
      </c>
      <c r="M260">
        <f t="shared" si="566"/>
        <v>-6.9999999999999396</v>
      </c>
      <c r="N260">
        <f t="shared" si="566"/>
        <v>-8.0000000000000071</v>
      </c>
      <c r="O260" s="5">
        <f t="shared" si="556"/>
        <v>-9.8629618393110789E-3</v>
      </c>
      <c r="P260" s="5">
        <f t="shared" si="556"/>
        <v>-1.2209278288271412E-2</v>
      </c>
      <c r="Q260" s="5">
        <f t="shared" si="556"/>
        <v>-4.458519041941722E-3</v>
      </c>
      <c r="R260" s="5">
        <f t="shared" si="556"/>
        <v>-5.1919777787449248E-3</v>
      </c>
      <c r="S260" s="5">
        <f t="shared" si="556"/>
        <v>-1.8798652849526171E-2</v>
      </c>
      <c r="T260" s="5">
        <f t="shared" ref="T260:X260" si="567">LN(T809/T810)</f>
        <v>-1.3448043458163613E-2</v>
      </c>
      <c r="U260" s="5">
        <f t="shared" si="567"/>
        <v>-7.2789972445467185E-3</v>
      </c>
      <c r="V260" s="5">
        <f t="shared" si="567"/>
        <v>3.3032240547256272E-3</v>
      </c>
      <c r="W260" s="5">
        <f t="shared" si="567"/>
        <v>-8.6775732599631856E-3</v>
      </c>
      <c r="X260" s="5">
        <f t="shared" si="567"/>
        <v>-7.792983771276598E-3</v>
      </c>
      <c r="Z260" s="4">
        <v>45721</v>
      </c>
      <c r="AA260">
        <f>B260*B$3</f>
        <v>982.99999999997908</v>
      </c>
      <c r="AB260">
        <f>C260*C$3</f>
        <v>0</v>
      </c>
      <c r="AC260">
        <f>D260*D$3</f>
        <v>16142.999999999656</v>
      </c>
      <c r="AD260">
        <f>E260*E$3</f>
        <v>0</v>
      </c>
      <c r="AE260">
        <f>F260*F$3</f>
        <v>-37283.999999999207</v>
      </c>
      <c r="AF260">
        <f>G260*G$3</f>
        <v>-31255.999999999334</v>
      </c>
      <c r="AG260">
        <f>H260*H$3</f>
        <v>0</v>
      </c>
      <c r="AH260">
        <f>I260*I$3</f>
        <v>18455.999999999607</v>
      </c>
      <c r="AI260">
        <f>J260*J$3</f>
        <v>204205.9999999979</v>
      </c>
      <c r="AJ260">
        <f>K260*K$3</f>
        <v>391975.00000000559</v>
      </c>
      <c r="AK260">
        <f>L260*L$3</f>
        <v>-186023.99999999878</v>
      </c>
      <c r="AL260">
        <f>M260*M$3</f>
        <v>-224510.99999999805</v>
      </c>
      <c r="AM260">
        <f>N260*N$3</f>
        <v>0</v>
      </c>
      <c r="AN260">
        <f>O260*O$3</f>
        <v>0</v>
      </c>
      <c r="AO260">
        <f>P260*P$3</f>
        <v>61046.39144135706</v>
      </c>
      <c r="AP260">
        <f>Q260*Q$3</f>
        <v>-53502.228503300663</v>
      </c>
      <c r="AQ260">
        <f>R260*R$3</f>
        <v>77879.666681173869</v>
      </c>
      <c r="AR260" s="1">
        <f>S260*S$3</f>
        <v>131590.56994668319</v>
      </c>
      <c r="AS260" s="1">
        <f t="shared" si="536"/>
        <v>-53792.173832654451</v>
      </c>
      <c r="AT260" s="1">
        <f t="shared" si="536"/>
        <v>-58231.977956373747</v>
      </c>
      <c r="AU260" s="1">
        <f t="shared" si="536"/>
        <v>0</v>
      </c>
      <c r="AV260" s="1">
        <f t="shared" si="536"/>
        <v>0</v>
      </c>
      <c r="AW260" s="1">
        <f t="shared" si="536"/>
        <v>0</v>
      </c>
      <c r="AX260" s="1">
        <f t="shared" si="432"/>
        <v>257678.24777689265</v>
      </c>
      <c r="AY260" s="1">
        <f t="shared" si="433"/>
        <v>104990.24777688526</v>
      </c>
      <c r="AZ260" s="1">
        <f t="shared" si="434"/>
        <v>152688.00000000739</v>
      </c>
    </row>
    <row r="261" spans="1:52" x14ac:dyDescent="0.25">
      <c r="A261" s="4">
        <v>45720</v>
      </c>
      <c r="B261">
        <f t="shared" ref="B261:N261" si="568">(B811-B810)*100</f>
        <v>0</v>
      </c>
      <c r="C261">
        <f t="shared" si="568"/>
        <v>0.99999999999997868</v>
      </c>
      <c r="D261">
        <f t="shared" si="568"/>
        <v>-2.9999999999999361</v>
      </c>
      <c r="E261">
        <f t="shared" si="568"/>
        <v>1.0000000000000675</v>
      </c>
      <c r="F261">
        <f t="shared" si="568"/>
        <v>-5.9999999999999609</v>
      </c>
      <c r="G261">
        <f t="shared" si="568"/>
        <v>2.0000000000000462</v>
      </c>
      <c r="H261">
        <f t="shared" si="568"/>
        <v>3.0000000000000249</v>
      </c>
      <c r="I261">
        <f t="shared" si="568"/>
        <v>6.0000000000000053</v>
      </c>
      <c r="J261">
        <f t="shared" si="568"/>
        <v>6.0000000000000053</v>
      </c>
      <c r="K261">
        <f t="shared" si="568"/>
        <v>8.0000000000000071</v>
      </c>
      <c r="L261">
        <f t="shared" si="568"/>
        <v>8.0000000000000071</v>
      </c>
      <c r="M261">
        <f t="shared" si="568"/>
        <v>5.9999999999999609</v>
      </c>
      <c r="N261">
        <f t="shared" si="568"/>
        <v>5.9999999999999609</v>
      </c>
      <c r="O261" s="5">
        <f t="shared" si="556"/>
        <v>0</v>
      </c>
      <c r="P261" s="5">
        <f t="shared" si="556"/>
        <v>1.2695896302740138E-2</v>
      </c>
      <c r="Q261" s="5">
        <f t="shared" si="556"/>
        <v>-1.1639308617942021E-3</v>
      </c>
      <c r="R261" s="5">
        <f t="shared" si="556"/>
        <v>-5.7073126792907547E-3</v>
      </c>
      <c r="S261" s="5">
        <f t="shared" si="556"/>
        <v>1.2300806891987115E-3</v>
      </c>
      <c r="T261" s="5">
        <f t="shared" ref="T261:X261" si="569">LN(T810/T811)</f>
        <v>-6.8128871538387292E-3</v>
      </c>
      <c r="U261" s="5">
        <f t="shared" si="569"/>
        <v>-7.7054208597882893E-3</v>
      </c>
      <c r="V261" s="5">
        <f t="shared" si="569"/>
        <v>-9.7709589323751265E-3</v>
      </c>
      <c r="W261" s="5">
        <f t="shared" si="569"/>
        <v>7.836096681191801E-4</v>
      </c>
      <c r="X261" s="5">
        <f t="shared" si="569"/>
        <v>-6.6364190981413728E-3</v>
      </c>
      <c r="Z261" s="4">
        <v>45720</v>
      </c>
      <c r="AA261">
        <f>B261*B$3</f>
        <v>0</v>
      </c>
      <c r="AB261">
        <f>C261*C$3</f>
        <v>-2583.999999999945</v>
      </c>
      <c r="AC261">
        <f>D261*D$3</f>
        <v>-48428.999999998967</v>
      </c>
      <c r="AD261">
        <f>E261*E$3</f>
        <v>2428.0000000001637</v>
      </c>
      <c r="AE261">
        <f>F261*F$3</f>
        <v>74567.99999999952</v>
      </c>
      <c r="AF261">
        <f>G261*G$3</f>
        <v>-31256.00000000072</v>
      </c>
      <c r="AG261">
        <f>H261*H$3</f>
        <v>-84648.000000000698</v>
      </c>
      <c r="AH261">
        <f>I261*I$3</f>
        <v>-110736.0000000001</v>
      </c>
      <c r="AI261">
        <f>J261*J$3</f>
        <v>-306309.00000000029</v>
      </c>
      <c r="AJ261">
        <f>K261*K$3</f>
        <v>-627160.00000000058</v>
      </c>
      <c r="AK261">
        <f>L261*L$3</f>
        <v>248032.00000000023</v>
      </c>
      <c r="AL261">
        <f>M261*M$3</f>
        <v>192437.99999999875</v>
      </c>
      <c r="AM261">
        <f>N261*N$3</f>
        <v>0</v>
      </c>
      <c r="AN261">
        <f>O261*O$3</f>
        <v>0</v>
      </c>
      <c r="AO261">
        <f>P261*P$3</f>
        <v>-63479.481513700695</v>
      </c>
      <c r="AP261">
        <f>Q261*Q$3</f>
        <v>-13967.170341530426</v>
      </c>
      <c r="AQ261">
        <f>R261*R$3</f>
        <v>85609.690189361325</v>
      </c>
      <c r="AR261" s="1">
        <f>S261*S$3</f>
        <v>-8610.56482439098</v>
      </c>
      <c r="AS261" s="1">
        <f t="shared" ref="AS261:AW276" si="570">T261*T$3</f>
        <v>-27251.548615354917</v>
      </c>
      <c r="AT261" s="1">
        <f t="shared" si="570"/>
        <v>-61643.366878306311</v>
      </c>
      <c r="AU261" s="1">
        <f t="shared" si="570"/>
        <v>0</v>
      </c>
      <c r="AV261" s="1">
        <f t="shared" si="570"/>
        <v>0</v>
      </c>
      <c r="AW261" s="1">
        <f t="shared" si="570"/>
        <v>0</v>
      </c>
      <c r="AX261" s="1">
        <f t="shared" si="432"/>
        <v>-782998.4419839246</v>
      </c>
      <c r="AY261" s="1">
        <f t="shared" si="433"/>
        <v>-89342.441983922006</v>
      </c>
      <c r="AZ261" s="1">
        <f t="shared" si="434"/>
        <v>-693656.00000000256</v>
      </c>
    </row>
    <row r="262" spans="1:52" x14ac:dyDescent="0.25">
      <c r="A262" s="4">
        <v>45719</v>
      </c>
      <c r="B262">
        <f t="shared" ref="B262:N262" si="571">(B812-B811)*100</f>
        <v>0</v>
      </c>
      <c r="C262">
        <f t="shared" si="571"/>
        <v>0</v>
      </c>
      <c r="D262">
        <f t="shared" si="571"/>
        <v>0</v>
      </c>
      <c r="E262">
        <f t="shared" si="571"/>
        <v>0</v>
      </c>
      <c r="F262">
        <f t="shared" si="571"/>
        <v>3.0000000000000249</v>
      </c>
      <c r="G262">
        <f t="shared" si="571"/>
        <v>4.9999999999999822</v>
      </c>
      <c r="H262">
        <f t="shared" si="571"/>
        <v>8.0000000000000071</v>
      </c>
      <c r="I262">
        <f t="shared" si="571"/>
        <v>5.9999999999999609</v>
      </c>
      <c r="J262">
        <f t="shared" si="571"/>
        <v>5.9999999999999609</v>
      </c>
      <c r="K262">
        <f t="shared" si="571"/>
        <v>5.0000000000000711</v>
      </c>
      <c r="L262">
        <f t="shared" si="571"/>
        <v>4.9999999999999822</v>
      </c>
      <c r="M262">
        <f t="shared" si="571"/>
        <v>4.0000000000000036</v>
      </c>
      <c r="N262">
        <f t="shared" si="571"/>
        <v>4.9999999999999822</v>
      </c>
      <c r="O262" s="5">
        <f t="shared" si="556"/>
        <v>0</v>
      </c>
      <c r="P262" s="5">
        <f t="shared" si="556"/>
        <v>-1.0653682642350022E-2</v>
      </c>
      <c r="Q262" s="5">
        <f t="shared" si="556"/>
        <v>3.1593944713383931E-3</v>
      </c>
      <c r="R262" s="5">
        <f t="shared" si="556"/>
        <v>0</v>
      </c>
      <c r="S262" s="5">
        <f t="shared" si="556"/>
        <v>6.7513175427341629E-3</v>
      </c>
      <c r="T262" s="5">
        <f t="shared" ref="T262:X262" si="572">LN(T811/T812)</f>
        <v>-1.8000872765833698E-3</v>
      </c>
      <c r="U262" s="5">
        <f t="shared" si="572"/>
        <v>-4.0327862373872221E-4</v>
      </c>
      <c r="V262" s="5">
        <f t="shared" si="572"/>
        <v>5.0468565249278475E-3</v>
      </c>
      <c r="W262" s="5">
        <f t="shared" si="572"/>
        <v>1.84918324455975E-3</v>
      </c>
      <c r="X262" s="5">
        <f t="shared" si="572"/>
        <v>2.9404040210980406E-3</v>
      </c>
      <c r="Z262" s="4">
        <v>45719</v>
      </c>
      <c r="AA262">
        <f>B262*B$3</f>
        <v>0</v>
      </c>
      <c r="AB262">
        <f>C262*C$3</f>
        <v>0</v>
      </c>
      <c r="AC262">
        <f>D262*D$3</f>
        <v>0</v>
      </c>
      <c r="AD262">
        <f>E262*E$3</f>
        <v>0</v>
      </c>
      <c r="AE262">
        <f>F262*F$3</f>
        <v>-37284.000000000306</v>
      </c>
      <c r="AF262">
        <f>G262*G$3</f>
        <v>-78139.999999999724</v>
      </c>
      <c r="AG262">
        <f>H262*H$3</f>
        <v>-225728.0000000002</v>
      </c>
      <c r="AH262">
        <f>I262*I$3</f>
        <v>-110735.99999999927</v>
      </c>
      <c r="AI262">
        <f>J262*J$3</f>
        <v>-306308.99999999802</v>
      </c>
      <c r="AJ262">
        <f>K262*K$3</f>
        <v>-391975.00000000559</v>
      </c>
      <c r="AK262">
        <f>L262*L$3</f>
        <v>155019.99999999945</v>
      </c>
      <c r="AL262">
        <f>M262*M$3</f>
        <v>128292.00000000012</v>
      </c>
      <c r="AM262">
        <f>N262*N$3</f>
        <v>0</v>
      </c>
      <c r="AN262">
        <f>O262*O$3</f>
        <v>0</v>
      </c>
      <c r="AO262">
        <f>P262*P$3</f>
        <v>53268.413211750107</v>
      </c>
      <c r="AP262">
        <f>Q262*Q$3</f>
        <v>37912.733656060715</v>
      </c>
      <c r="AQ262">
        <f>R262*R$3</f>
        <v>0</v>
      </c>
      <c r="AR262" s="1">
        <f>S262*S$3</f>
        <v>-47259.222799139141</v>
      </c>
      <c r="AS262" s="1">
        <f t="shared" si="570"/>
        <v>-7200.3491063334795</v>
      </c>
      <c r="AT262" s="1">
        <f t="shared" si="570"/>
        <v>-3226.2289899097777</v>
      </c>
      <c r="AU262" s="1">
        <f t="shared" si="570"/>
        <v>0</v>
      </c>
      <c r="AV262" s="1">
        <f t="shared" si="570"/>
        <v>0</v>
      </c>
      <c r="AW262" s="1">
        <f t="shared" si="570"/>
        <v>0</v>
      </c>
      <c r="AX262" s="1">
        <f t="shared" ref="AX262:AX325" si="573">SUM(AA262:AW262)</f>
        <v>-833364.65402757516</v>
      </c>
      <c r="AY262" s="1">
        <f t="shared" ref="AY262:AY325" si="574">SUM(AN262:AW262)</f>
        <v>33495.345972428418</v>
      </c>
      <c r="AZ262" s="1">
        <f t="shared" ref="AZ262:AZ325" si="575">AX262-AY262</f>
        <v>-866860.00000000361</v>
      </c>
    </row>
    <row r="263" spans="1:52" x14ac:dyDescent="0.25">
      <c r="A263" s="4">
        <v>45716</v>
      </c>
      <c r="B263">
        <f t="shared" ref="B263:N263" si="576">(B813-B812)*100</f>
        <v>-3.0000000000000249</v>
      </c>
      <c r="C263">
        <f t="shared" si="576"/>
        <v>-0.99999999999997868</v>
      </c>
      <c r="D263">
        <f t="shared" si="576"/>
        <v>-1.0000000000000675</v>
      </c>
      <c r="E263">
        <f t="shared" si="576"/>
        <v>0</v>
      </c>
      <c r="F263">
        <f t="shared" si="576"/>
        <v>0</v>
      </c>
      <c r="G263">
        <f t="shared" si="576"/>
        <v>-0.99999999999997868</v>
      </c>
      <c r="H263">
        <f t="shared" si="576"/>
        <v>-2.0000000000000462</v>
      </c>
      <c r="I263">
        <f t="shared" si="576"/>
        <v>-0.99999999999997868</v>
      </c>
      <c r="J263">
        <f t="shared" si="576"/>
        <v>-3.0000000000000249</v>
      </c>
      <c r="K263">
        <f t="shared" si="576"/>
        <v>-3.0000000000000249</v>
      </c>
      <c r="L263">
        <f t="shared" si="576"/>
        <v>-4.0000000000000036</v>
      </c>
      <c r="M263">
        <f t="shared" si="576"/>
        <v>-4.0000000000000036</v>
      </c>
      <c r="N263">
        <f t="shared" si="576"/>
        <v>-4.9999999999999822</v>
      </c>
      <c r="O263" s="5">
        <f t="shared" si="556"/>
        <v>4.4554953322655053E-3</v>
      </c>
      <c r="P263" s="5">
        <f t="shared" si="556"/>
        <v>5.0718212862305599E-3</v>
      </c>
      <c r="Q263" s="5">
        <f t="shared" si="556"/>
        <v>9.9843933123674733E-3</v>
      </c>
      <c r="R263" s="5">
        <f t="shared" si="556"/>
        <v>4.3454712595018636E-3</v>
      </c>
      <c r="S263" s="5">
        <f t="shared" si="556"/>
        <v>5.3353729394419883E-3</v>
      </c>
      <c r="T263" s="5">
        <f t="shared" ref="T263:X263" si="577">LN(T812/T813)</f>
        <v>8.9695710249573183E-3</v>
      </c>
      <c r="U263" s="5">
        <f t="shared" si="577"/>
        <v>6.5983764504150329E-3</v>
      </c>
      <c r="V263" s="5">
        <f t="shared" si="577"/>
        <v>7.8567980378076736E-3</v>
      </c>
      <c r="W263" s="5">
        <f t="shared" si="577"/>
        <v>1.25301326294443E-2</v>
      </c>
      <c r="X263" s="5">
        <f t="shared" si="577"/>
        <v>6.2645842963456131E-3</v>
      </c>
      <c r="Z263" s="4">
        <v>45716</v>
      </c>
      <c r="AA263">
        <f>B263*B$3</f>
        <v>2949.0000000000246</v>
      </c>
      <c r="AB263">
        <f>C263*C$3</f>
        <v>2583.999999999945</v>
      </c>
      <c r="AC263">
        <f>D263*D$3</f>
        <v>-16143.00000000109</v>
      </c>
      <c r="AD263">
        <f>E263*E$3</f>
        <v>0</v>
      </c>
      <c r="AE263">
        <f>F263*F$3</f>
        <v>0</v>
      </c>
      <c r="AF263">
        <f>G263*G$3</f>
        <v>15627.999999999667</v>
      </c>
      <c r="AG263">
        <f>H263*H$3</f>
        <v>56432.000000001302</v>
      </c>
      <c r="AH263">
        <f>I263*I$3</f>
        <v>18455.999999999607</v>
      </c>
      <c r="AI263">
        <f>J263*J$3</f>
        <v>153154.50000000128</v>
      </c>
      <c r="AJ263">
        <f>K263*K$3</f>
        <v>235185.00000000195</v>
      </c>
      <c r="AK263">
        <f>L263*L$3</f>
        <v>-124016.00000000012</v>
      </c>
      <c r="AL263">
        <f>M263*M$3</f>
        <v>-128292.00000000012</v>
      </c>
      <c r="AM263">
        <f>N263*N$3</f>
        <v>0</v>
      </c>
      <c r="AN263">
        <f>O263*O$3</f>
        <v>0</v>
      </c>
      <c r="AO263">
        <f>P263*P$3</f>
        <v>-25359.106431152799</v>
      </c>
      <c r="AP263">
        <f>Q263*Q$3</f>
        <v>119812.71974840968</v>
      </c>
      <c r="AQ263">
        <f>R263*R$3</f>
        <v>-65182.068892527954</v>
      </c>
      <c r="AR263" s="1">
        <f>S263*S$3</f>
        <v>-37347.610576093917</v>
      </c>
      <c r="AS263" s="1">
        <f t="shared" si="570"/>
        <v>35878.284099829274</v>
      </c>
      <c r="AT263" s="1">
        <f t="shared" si="570"/>
        <v>52787.011603320265</v>
      </c>
      <c r="AU263" s="1">
        <f t="shared" si="570"/>
        <v>0</v>
      </c>
      <c r="AV263" s="1">
        <f t="shared" si="570"/>
        <v>0</v>
      </c>
      <c r="AW263" s="1">
        <f t="shared" si="570"/>
        <v>0</v>
      </c>
      <c r="AX263" s="1">
        <f t="shared" si="573"/>
        <v>296526.72955178702</v>
      </c>
      <c r="AY263" s="1">
        <f t="shared" si="574"/>
        <v>80589.229551784549</v>
      </c>
      <c r="AZ263" s="1">
        <f t="shared" si="575"/>
        <v>215937.50000000247</v>
      </c>
    </row>
    <row r="264" spans="1:52" x14ac:dyDescent="0.25">
      <c r="A264" s="4">
        <v>45715</v>
      </c>
      <c r="B264">
        <f t="shared" ref="B264:N264" si="578">(B814-B813)*100</f>
        <v>-0.99999999999997868</v>
      </c>
      <c r="C264">
        <f t="shared" si="578"/>
        <v>0</v>
      </c>
      <c r="D264">
        <f t="shared" si="578"/>
        <v>-0.99999999999997868</v>
      </c>
      <c r="E264">
        <f t="shared" si="578"/>
        <v>0.99999999999997868</v>
      </c>
      <c r="F264">
        <f t="shared" si="578"/>
        <v>0</v>
      </c>
      <c r="G264">
        <f t="shared" si="578"/>
        <v>0</v>
      </c>
      <c r="H264">
        <f t="shared" si="578"/>
        <v>2.0000000000000462</v>
      </c>
      <c r="I264">
        <f t="shared" si="578"/>
        <v>4.0000000000000036</v>
      </c>
      <c r="J264">
        <f t="shared" si="578"/>
        <v>6.0000000000000497</v>
      </c>
      <c r="K264">
        <f t="shared" si="578"/>
        <v>4.9999999999999822</v>
      </c>
      <c r="L264">
        <f t="shared" si="578"/>
        <v>4.9999999999999822</v>
      </c>
      <c r="M264">
        <f t="shared" si="578"/>
        <v>4.0000000000000036</v>
      </c>
      <c r="N264">
        <f t="shared" si="578"/>
        <v>4.0000000000000036</v>
      </c>
      <c r="O264" s="5">
        <f t="shared" si="556"/>
        <v>8.1222046978825322E-3</v>
      </c>
      <c r="P264" s="5">
        <f t="shared" si="556"/>
        <v>6.7019822514751814E-3</v>
      </c>
      <c r="Q264" s="5">
        <f t="shared" si="556"/>
        <v>8.1795250875617927E-4</v>
      </c>
      <c r="R264" s="5">
        <f t="shared" si="556"/>
        <v>3.5446526548346602E-3</v>
      </c>
      <c r="S264" s="5">
        <f t="shared" si="556"/>
        <v>2.04912592638387E-3</v>
      </c>
      <c r="T264" s="5">
        <f t="shared" ref="T264:X264" si="579">LN(T813/T814)</f>
        <v>3.3620277203351323E-3</v>
      </c>
      <c r="U264" s="5">
        <f t="shared" si="579"/>
        <v>-6.2122797241580101E-4</v>
      </c>
      <c r="V264" s="5">
        <f t="shared" si="579"/>
        <v>-1.6112296405117739E-3</v>
      </c>
      <c r="W264" s="5">
        <f t="shared" si="579"/>
        <v>6.6484001054083561E-3</v>
      </c>
      <c r="X264" s="5">
        <f t="shared" si="579"/>
        <v>2.1267793832912356E-3</v>
      </c>
      <c r="Z264" s="4">
        <v>45715</v>
      </c>
      <c r="AA264">
        <f>B264*B$3</f>
        <v>982.99999999997908</v>
      </c>
      <c r="AB264">
        <f>C264*C$3</f>
        <v>0</v>
      </c>
      <c r="AC264">
        <f>D264*D$3</f>
        <v>-16142.999999999656</v>
      </c>
      <c r="AD264">
        <f>E264*E$3</f>
        <v>2427.9999999999482</v>
      </c>
      <c r="AE264">
        <f>F264*F$3</f>
        <v>0</v>
      </c>
      <c r="AF264">
        <f>G264*G$3</f>
        <v>0</v>
      </c>
      <c r="AG264">
        <f>H264*H$3</f>
        <v>-56432.000000001302</v>
      </c>
      <c r="AH264">
        <f>I264*I$3</f>
        <v>-73824.000000000073</v>
      </c>
      <c r="AI264">
        <f>J264*J$3</f>
        <v>-306309.00000000256</v>
      </c>
      <c r="AJ264">
        <f>K264*K$3</f>
        <v>-391974.9999999986</v>
      </c>
      <c r="AK264">
        <f>L264*L$3</f>
        <v>155019.99999999945</v>
      </c>
      <c r="AL264">
        <f>M264*M$3</f>
        <v>128292.00000000012</v>
      </c>
      <c r="AM264">
        <f>N264*N$3</f>
        <v>0</v>
      </c>
      <c r="AN264">
        <f>O264*O$3</f>
        <v>0</v>
      </c>
      <c r="AO264">
        <f>P264*P$3</f>
        <v>-33509.911257375905</v>
      </c>
      <c r="AP264">
        <f>Q264*Q$3</f>
        <v>9815.4301050741506</v>
      </c>
      <c r="AQ264">
        <f>R264*R$3</f>
        <v>-53169.789822519902</v>
      </c>
      <c r="AR264" s="1">
        <f>S264*S$3</f>
        <v>-14343.88148468709</v>
      </c>
      <c r="AS264" s="1">
        <f t="shared" si="570"/>
        <v>13448.11088134053</v>
      </c>
      <c r="AT264" s="1">
        <f t="shared" si="570"/>
        <v>-4969.8237793264079</v>
      </c>
      <c r="AU264" s="1">
        <f t="shared" si="570"/>
        <v>0</v>
      </c>
      <c r="AV264" s="1">
        <f t="shared" si="570"/>
        <v>0</v>
      </c>
      <c r="AW264" s="1">
        <f t="shared" si="570"/>
        <v>0</v>
      </c>
      <c r="AX264" s="1">
        <f t="shared" si="573"/>
        <v>-640689.86535749736</v>
      </c>
      <c r="AY264" s="1">
        <f t="shared" si="574"/>
        <v>-82729.865357494637</v>
      </c>
      <c r="AZ264" s="1">
        <f t="shared" si="575"/>
        <v>-557960.00000000268</v>
      </c>
    </row>
    <row r="265" spans="1:52" x14ac:dyDescent="0.25">
      <c r="A265" s="4">
        <v>45714</v>
      </c>
      <c r="B265">
        <f t="shared" ref="B265:N265" si="580">(B815-B814)*100</f>
        <v>2.0000000000000462</v>
      </c>
      <c r="C265">
        <f t="shared" si="580"/>
        <v>0</v>
      </c>
      <c r="D265">
        <f t="shared" si="580"/>
        <v>0.99999999999997868</v>
      </c>
      <c r="E265">
        <f t="shared" si="580"/>
        <v>0.99999999999997868</v>
      </c>
      <c r="F265">
        <f t="shared" si="580"/>
        <v>1.9999999999999574</v>
      </c>
      <c r="G265">
        <f t="shared" si="580"/>
        <v>3.0000000000000249</v>
      </c>
      <c r="H265">
        <f t="shared" si="580"/>
        <v>5.9999999999999609</v>
      </c>
      <c r="I265">
        <f t="shared" si="580"/>
        <v>8.9999999999999858</v>
      </c>
      <c r="J265">
        <f t="shared" si="580"/>
        <v>11.000000000000032</v>
      </c>
      <c r="K265">
        <f t="shared" si="580"/>
        <v>11.000000000000032</v>
      </c>
      <c r="L265">
        <f t="shared" si="580"/>
        <v>10.000000000000053</v>
      </c>
      <c r="M265">
        <f t="shared" si="580"/>
        <v>10.000000000000053</v>
      </c>
      <c r="N265">
        <f t="shared" si="580"/>
        <v>11.000000000000032</v>
      </c>
      <c r="O265" s="5">
        <f t="shared" ref="O265:S274" si="581">LN(O814/O815)</f>
        <v>-3.808534625796829E-4</v>
      </c>
      <c r="P265" s="5">
        <f t="shared" si="581"/>
        <v>-5.9756778980361979E-3</v>
      </c>
      <c r="Q265" s="5">
        <f t="shared" si="581"/>
        <v>-6.3243411092865146E-3</v>
      </c>
      <c r="R265" s="5">
        <f t="shared" si="581"/>
        <v>-4.6327920440301503E-3</v>
      </c>
      <c r="S265" s="5">
        <f t="shared" si="581"/>
        <v>-1.4675813961827632E-3</v>
      </c>
      <c r="T265" s="5">
        <f t="shared" ref="T265:X265" si="582">LN(T814/T815)</f>
        <v>-5.9808628323616379E-3</v>
      </c>
      <c r="U265" s="5">
        <f t="shared" si="582"/>
        <v>-4.4766743701066813E-3</v>
      </c>
      <c r="V265" s="5">
        <f t="shared" si="582"/>
        <v>-5.2585270123919519E-3</v>
      </c>
      <c r="W265" s="5">
        <f t="shared" si="582"/>
        <v>-2.3287711223779674E-3</v>
      </c>
      <c r="X265" s="5">
        <f t="shared" si="582"/>
        <v>-5.4757677772510217E-3</v>
      </c>
      <c r="Z265" s="4">
        <v>45714</v>
      </c>
      <c r="AA265">
        <f>B265*B$3</f>
        <v>-1966.0000000000455</v>
      </c>
      <c r="AB265">
        <f>C265*C$3</f>
        <v>0</v>
      </c>
      <c r="AC265">
        <f>D265*D$3</f>
        <v>16142.999999999656</v>
      </c>
      <c r="AD265">
        <f>E265*E$3</f>
        <v>2427.9999999999482</v>
      </c>
      <c r="AE265">
        <f>F265*F$3</f>
        <v>-24855.999999999469</v>
      </c>
      <c r="AF265">
        <f>G265*G$3</f>
        <v>-46884.000000000386</v>
      </c>
      <c r="AG265">
        <f>H265*H$3</f>
        <v>-169295.99999999889</v>
      </c>
      <c r="AH265">
        <f>I265*I$3</f>
        <v>-166103.99999999974</v>
      </c>
      <c r="AI265">
        <f>J265*J$3</f>
        <v>-561566.50000000163</v>
      </c>
      <c r="AJ265">
        <f>K265*K$3</f>
        <v>-862345.00000000256</v>
      </c>
      <c r="AK265">
        <f>L265*L$3</f>
        <v>310040.00000000163</v>
      </c>
      <c r="AL265">
        <f>M265*M$3</f>
        <v>320730.00000000169</v>
      </c>
      <c r="AM265">
        <f>N265*N$3</f>
        <v>0</v>
      </c>
      <c r="AN265">
        <f>O265*O$3</f>
        <v>0</v>
      </c>
      <c r="AO265">
        <f>P265*P$3</f>
        <v>29878.389490180991</v>
      </c>
      <c r="AP265">
        <f>Q265*Q$3</f>
        <v>-75892.093311438177</v>
      </c>
      <c r="AQ265">
        <f>R265*R$3</f>
        <v>69491.880660452254</v>
      </c>
      <c r="AR265" s="1">
        <f>S265*S$3</f>
        <v>10273.069773279341</v>
      </c>
      <c r="AS265" s="1">
        <f t="shared" si="570"/>
        <v>-23923.451329446551</v>
      </c>
      <c r="AT265" s="1">
        <f t="shared" si="570"/>
        <v>-35813.394960853453</v>
      </c>
      <c r="AU265" s="1">
        <f t="shared" si="570"/>
        <v>0</v>
      </c>
      <c r="AV265" s="1">
        <f t="shared" si="570"/>
        <v>0</v>
      </c>
      <c r="AW265" s="1">
        <f t="shared" si="570"/>
        <v>0</v>
      </c>
      <c r="AX265" s="1">
        <f t="shared" si="573"/>
        <v>-1209662.0996778258</v>
      </c>
      <c r="AY265" s="1">
        <f t="shared" si="574"/>
        <v>-25985.599677825594</v>
      </c>
      <c r="AZ265" s="1">
        <f t="shared" si="575"/>
        <v>-1183676.5000000002</v>
      </c>
    </row>
    <row r="266" spans="1:52" x14ac:dyDescent="0.25">
      <c r="A266" s="4">
        <v>45713</v>
      </c>
      <c r="B266">
        <f t="shared" ref="B266:N266" si="583">(B816-B815)*100</f>
        <v>0</v>
      </c>
      <c r="C266">
        <f t="shared" si="583"/>
        <v>0.99999999999997868</v>
      </c>
      <c r="D266">
        <f t="shared" si="583"/>
        <v>1.0000000000000675</v>
      </c>
      <c r="E266">
        <f t="shared" si="583"/>
        <v>0</v>
      </c>
      <c r="F266">
        <f t="shared" si="583"/>
        <v>0</v>
      </c>
      <c r="G266">
        <f t="shared" si="583"/>
        <v>0</v>
      </c>
      <c r="H266">
        <f t="shared" si="583"/>
        <v>6.0000000000000497</v>
      </c>
      <c r="I266">
        <f t="shared" si="583"/>
        <v>2.0000000000000462</v>
      </c>
      <c r="J266">
        <f t="shared" si="583"/>
        <v>2.9999999999999361</v>
      </c>
      <c r="K266">
        <f t="shared" si="583"/>
        <v>2.9999999999999361</v>
      </c>
      <c r="L266">
        <f t="shared" si="583"/>
        <v>1.9999999999999574</v>
      </c>
      <c r="M266">
        <f t="shared" si="583"/>
        <v>0</v>
      </c>
      <c r="N266">
        <f t="shared" si="583"/>
        <v>0.99999999999997868</v>
      </c>
      <c r="O266" s="5">
        <f t="shared" si="581"/>
        <v>9.0584896697991756E-3</v>
      </c>
      <c r="P266" s="5">
        <f t="shared" si="581"/>
        <v>2.7890638342949435E-3</v>
      </c>
      <c r="Q266" s="5">
        <f t="shared" si="581"/>
        <v>4.6997143894656965E-3</v>
      </c>
      <c r="R266" s="5">
        <f t="shared" si="581"/>
        <v>-1.3585112807988861E-3</v>
      </c>
      <c r="S266" s="5">
        <f t="shared" si="581"/>
        <v>1.4479994702998509E-3</v>
      </c>
      <c r="T266" s="5">
        <f t="shared" ref="T266:X266" si="584">LN(T815/T816)</f>
        <v>1.2876277983208653E-3</v>
      </c>
      <c r="U266" s="5">
        <f t="shared" si="584"/>
        <v>2.5393364308742674E-3</v>
      </c>
      <c r="V266" s="5">
        <f t="shared" si="584"/>
        <v>3.1879955082173709E-3</v>
      </c>
      <c r="W266" s="5">
        <f t="shared" si="584"/>
        <v>5.0706471657068295E-3</v>
      </c>
      <c r="X266" s="5">
        <f t="shared" si="584"/>
        <v>-1.2808154358503578E-3</v>
      </c>
      <c r="Z266" s="4">
        <v>45713</v>
      </c>
      <c r="AA266">
        <f>B266*B$3</f>
        <v>0</v>
      </c>
      <c r="AB266">
        <f>C266*C$3</f>
        <v>-2583.999999999945</v>
      </c>
      <c r="AC266">
        <f>D266*D$3</f>
        <v>16143.00000000109</v>
      </c>
      <c r="AD266">
        <f>E266*E$3</f>
        <v>0</v>
      </c>
      <c r="AE266">
        <f>F266*F$3</f>
        <v>0</v>
      </c>
      <c r="AF266">
        <f>G266*G$3</f>
        <v>0</v>
      </c>
      <c r="AG266">
        <f>H266*H$3</f>
        <v>-169296.0000000014</v>
      </c>
      <c r="AH266">
        <f>I266*I$3</f>
        <v>-36912.000000000851</v>
      </c>
      <c r="AI266">
        <f>J266*J$3</f>
        <v>-153154.49999999674</v>
      </c>
      <c r="AJ266">
        <f>K266*K$3</f>
        <v>-235184.99999999499</v>
      </c>
      <c r="AK266">
        <f>L266*L$3</f>
        <v>62007.999999998676</v>
      </c>
      <c r="AL266">
        <f>M266*M$3</f>
        <v>0</v>
      </c>
      <c r="AM266">
        <f>N266*N$3</f>
        <v>0</v>
      </c>
      <c r="AN266">
        <f>O266*O$3</f>
        <v>0</v>
      </c>
      <c r="AO266">
        <f>P266*P$3</f>
        <v>-13945.319171474717</v>
      </c>
      <c r="AP266">
        <f>Q266*Q$3</f>
        <v>56396.572673588358</v>
      </c>
      <c r="AQ266">
        <f>R266*R$3</f>
        <v>20377.669211983291</v>
      </c>
      <c r="AR266" s="1">
        <f>S266*S$3</f>
        <v>-10135.996292098956</v>
      </c>
      <c r="AS266" s="1">
        <f t="shared" si="570"/>
        <v>5150.5111932834616</v>
      </c>
      <c r="AT266" s="1">
        <f t="shared" si="570"/>
        <v>20314.69144699414</v>
      </c>
      <c r="AU266" s="1">
        <f t="shared" si="570"/>
        <v>0</v>
      </c>
      <c r="AV266" s="1">
        <f t="shared" si="570"/>
        <v>0</v>
      </c>
      <c r="AW266" s="1">
        <f t="shared" si="570"/>
        <v>0</v>
      </c>
      <c r="AX266" s="1">
        <f t="shared" si="573"/>
        <v>-440822.37093771854</v>
      </c>
      <c r="AY266" s="1">
        <f t="shared" si="574"/>
        <v>78158.129062275577</v>
      </c>
      <c r="AZ266" s="1">
        <f t="shared" si="575"/>
        <v>-518980.49999999412</v>
      </c>
    </row>
    <row r="267" spans="1:52" x14ac:dyDescent="0.25">
      <c r="A267" s="4">
        <v>45712</v>
      </c>
      <c r="B267">
        <f t="shared" ref="B267:N267" si="585">(B817-B816)*100</f>
        <v>0.99999999999997868</v>
      </c>
      <c r="C267">
        <f t="shared" si="585"/>
        <v>0</v>
      </c>
      <c r="D267">
        <f t="shared" si="585"/>
        <v>0.99999999999997868</v>
      </c>
      <c r="E267">
        <f t="shared" si="585"/>
        <v>0.99999999999997868</v>
      </c>
      <c r="F267">
        <f t="shared" si="585"/>
        <v>3.0000000000000249</v>
      </c>
      <c r="G267">
        <f t="shared" si="585"/>
        <v>4.9999999999999822</v>
      </c>
      <c r="H267">
        <f t="shared" si="585"/>
        <v>8.9999999999999858</v>
      </c>
      <c r="I267">
        <f t="shared" si="585"/>
        <v>7.9999999999999183</v>
      </c>
      <c r="J267">
        <f t="shared" si="585"/>
        <v>8.0000000000000071</v>
      </c>
      <c r="K267">
        <f t="shared" si="585"/>
        <v>8.0000000000000071</v>
      </c>
      <c r="L267">
        <f t="shared" si="585"/>
        <v>8.0000000000000071</v>
      </c>
      <c r="M267">
        <f t="shared" si="585"/>
        <v>7.9999999999999183</v>
      </c>
      <c r="N267">
        <f t="shared" si="585"/>
        <v>7.0000000000000284</v>
      </c>
      <c r="O267" s="5">
        <f t="shared" si="581"/>
        <v>4.0427430169587509E-3</v>
      </c>
      <c r="P267" s="5">
        <f t="shared" si="581"/>
        <v>8.4141707322195596E-3</v>
      </c>
      <c r="Q267" s="5">
        <f t="shared" si="581"/>
        <v>-2.2573492631542914E-3</v>
      </c>
      <c r="R267" s="5">
        <f t="shared" si="581"/>
        <v>-5.4288817837176446E-4</v>
      </c>
      <c r="S267" s="5">
        <f t="shared" si="581"/>
        <v>6.904944655262876E-4</v>
      </c>
      <c r="T267" s="5">
        <f t="shared" ref="T267:X267" si="586">LN(T816/T817)</f>
        <v>2.4541613434617675E-3</v>
      </c>
      <c r="U267" s="5">
        <f t="shared" si="586"/>
        <v>1.6192876216690102E-3</v>
      </c>
      <c r="V267" s="5">
        <f t="shared" si="586"/>
        <v>-1.4064059105658552E-4</v>
      </c>
      <c r="W267" s="5">
        <f t="shared" si="586"/>
        <v>5.2885730608189891E-3</v>
      </c>
      <c r="X267" s="5">
        <f t="shared" si="586"/>
        <v>4.3416756716395139E-4</v>
      </c>
      <c r="Z267" s="4">
        <v>45712</v>
      </c>
      <c r="AA267">
        <f>B267*B$3</f>
        <v>-982.99999999997908</v>
      </c>
      <c r="AB267">
        <f>C267*C$3</f>
        <v>0</v>
      </c>
      <c r="AC267">
        <f>D267*D$3</f>
        <v>16142.999999999656</v>
      </c>
      <c r="AD267">
        <f>E267*E$3</f>
        <v>2427.9999999999482</v>
      </c>
      <c r="AE267">
        <f>F267*F$3</f>
        <v>-37284.000000000306</v>
      </c>
      <c r="AF267">
        <f>G267*G$3</f>
        <v>-78139.999999999724</v>
      </c>
      <c r="AG267">
        <f>H267*H$3</f>
        <v>-253943.99999999959</v>
      </c>
      <c r="AH267">
        <f>I267*I$3</f>
        <v>-147647.99999999849</v>
      </c>
      <c r="AI267">
        <f>J267*J$3</f>
        <v>-408412.00000000035</v>
      </c>
      <c r="AJ267">
        <f>K267*K$3</f>
        <v>-627160.00000000058</v>
      </c>
      <c r="AK267">
        <f>L267*L$3</f>
        <v>248032.00000000023</v>
      </c>
      <c r="AL267">
        <f>M267*M$3</f>
        <v>256583.99999999738</v>
      </c>
      <c r="AM267">
        <f>N267*N$3</f>
        <v>0</v>
      </c>
      <c r="AN267">
        <f>O267*O$3</f>
        <v>0</v>
      </c>
      <c r="AO267">
        <f>P267*P$3</f>
        <v>-42070.853661097797</v>
      </c>
      <c r="AP267">
        <f>Q267*Q$3</f>
        <v>-27088.191157851496</v>
      </c>
      <c r="AQ267">
        <f>R267*R$3</f>
        <v>8143.3226755764672</v>
      </c>
      <c r="AR267" s="1">
        <f>S267*S$3</f>
        <v>-4833.461258684013</v>
      </c>
      <c r="AS267" s="1">
        <f t="shared" si="570"/>
        <v>9816.64537384707</v>
      </c>
      <c r="AT267" s="1">
        <f t="shared" si="570"/>
        <v>12954.300973352081</v>
      </c>
      <c r="AU267" s="1">
        <f t="shared" si="570"/>
        <v>0</v>
      </c>
      <c r="AV267" s="1">
        <f t="shared" si="570"/>
        <v>0</v>
      </c>
      <c r="AW267" s="1">
        <f t="shared" si="570"/>
        <v>0</v>
      </c>
      <c r="AX267" s="1">
        <f t="shared" si="573"/>
        <v>-1073462.2370548598</v>
      </c>
      <c r="AY267" s="1">
        <f t="shared" si="574"/>
        <v>-43078.23705485768</v>
      </c>
      <c r="AZ267" s="1">
        <f t="shared" si="575"/>
        <v>-1030384.0000000021</v>
      </c>
    </row>
    <row r="268" spans="1:52" x14ac:dyDescent="0.25">
      <c r="A268" s="4">
        <v>45709</v>
      </c>
      <c r="B268">
        <f t="shared" ref="B268:N268" si="587">(B818-B817)*100</f>
        <v>0.99999999999997868</v>
      </c>
      <c r="C268">
        <f t="shared" si="587"/>
        <v>0</v>
      </c>
      <c r="D268">
        <f t="shared" si="587"/>
        <v>0.99999999999997868</v>
      </c>
      <c r="E268">
        <f t="shared" si="587"/>
        <v>0</v>
      </c>
      <c r="F268">
        <f t="shared" si="587"/>
        <v>0.99999999999997868</v>
      </c>
      <c r="G268">
        <f t="shared" si="587"/>
        <v>1.9999999999999574</v>
      </c>
      <c r="H268">
        <f t="shared" si="587"/>
        <v>0</v>
      </c>
      <c r="I268">
        <f t="shared" si="587"/>
        <v>3.0000000000000249</v>
      </c>
      <c r="J268">
        <f t="shared" si="587"/>
        <v>3.0000000000000249</v>
      </c>
      <c r="K268">
        <f t="shared" si="587"/>
        <v>3.0000000000000249</v>
      </c>
      <c r="L268">
        <f t="shared" si="587"/>
        <v>3.0000000000000249</v>
      </c>
      <c r="M268">
        <f t="shared" si="587"/>
        <v>2.0000000000000462</v>
      </c>
      <c r="N268">
        <f t="shared" si="587"/>
        <v>1.9999999999999574</v>
      </c>
      <c r="O268" s="5">
        <f t="shared" si="581"/>
        <v>1.4030164877442173E-4</v>
      </c>
      <c r="P268" s="5">
        <f t="shared" si="581"/>
        <v>1.48530531207248E-3</v>
      </c>
      <c r="Q268" s="5">
        <f t="shared" si="581"/>
        <v>-7.5194271290919285E-3</v>
      </c>
      <c r="R268" s="5">
        <f t="shared" si="581"/>
        <v>3.5340528830559567E-3</v>
      </c>
      <c r="S268" s="5">
        <f t="shared" si="581"/>
        <v>4.9206994146652593E-3</v>
      </c>
      <c r="T268" s="5">
        <f t="shared" ref="T268:X268" si="588">LN(T817/T818)</f>
        <v>-7.6049269657811024E-3</v>
      </c>
      <c r="U268" s="5">
        <f t="shared" si="588"/>
        <v>-6.8301235008342729E-3</v>
      </c>
      <c r="V268" s="5">
        <f t="shared" si="588"/>
        <v>-1.2054887549926009E-2</v>
      </c>
      <c r="W268" s="5">
        <f t="shared" si="588"/>
        <v>-9.85838488722399E-3</v>
      </c>
      <c r="X268" s="5">
        <f t="shared" si="588"/>
        <v>-7.2117625475219454E-3</v>
      </c>
      <c r="Z268" s="4">
        <v>45709</v>
      </c>
      <c r="AA268">
        <f>B268*B$3</f>
        <v>-982.99999999997908</v>
      </c>
      <c r="AB268">
        <f>C268*C$3</f>
        <v>0</v>
      </c>
      <c r="AC268">
        <f>D268*D$3</f>
        <v>16142.999999999656</v>
      </c>
      <c r="AD268">
        <f>E268*E$3</f>
        <v>0</v>
      </c>
      <c r="AE268">
        <f>F268*F$3</f>
        <v>-12427.999999999734</v>
      </c>
      <c r="AF268">
        <f>G268*G$3</f>
        <v>-31255.999999999334</v>
      </c>
      <c r="AG268">
        <f>H268*H$3</f>
        <v>0</v>
      </c>
      <c r="AH268">
        <f>I268*I$3</f>
        <v>-55368.000000000458</v>
      </c>
      <c r="AI268">
        <f>J268*J$3</f>
        <v>-153154.50000000128</v>
      </c>
      <c r="AJ268">
        <f>K268*K$3</f>
        <v>-235185.00000000195</v>
      </c>
      <c r="AK268">
        <f>L268*L$3</f>
        <v>93012.000000000771</v>
      </c>
      <c r="AL268">
        <f>M268*M$3</f>
        <v>64146.000000001484</v>
      </c>
      <c r="AM268">
        <f>N268*N$3</f>
        <v>0</v>
      </c>
      <c r="AN268">
        <f>O268*O$3</f>
        <v>0</v>
      </c>
      <c r="AO268">
        <f>P268*P$3</f>
        <v>-7426.5265603624002</v>
      </c>
      <c r="AP268">
        <f>Q268*Q$3</f>
        <v>-90233.125549103148</v>
      </c>
      <c r="AQ268">
        <f>R268*R$3</f>
        <v>-53010.793245839348</v>
      </c>
      <c r="AR268" s="1">
        <f>S268*S$3</f>
        <v>-34444.895902656812</v>
      </c>
      <c r="AS268" s="1">
        <f t="shared" si="570"/>
        <v>-30419.707863124411</v>
      </c>
      <c r="AT268" s="1">
        <f t="shared" si="570"/>
        <v>-54640.988006674183</v>
      </c>
      <c r="AU268" s="1">
        <f t="shared" si="570"/>
        <v>0</v>
      </c>
      <c r="AV268" s="1">
        <f t="shared" si="570"/>
        <v>0</v>
      </c>
      <c r="AW268" s="1">
        <f t="shared" si="570"/>
        <v>0</v>
      </c>
      <c r="AX268" s="1">
        <f t="shared" si="573"/>
        <v>-585249.53712776117</v>
      </c>
      <c r="AY268" s="1">
        <f t="shared" si="574"/>
        <v>-270176.0371277603</v>
      </c>
      <c r="AZ268" s="1">
        <f t="shared" si="575"/>
        <v>-315073.50000000087</v>
      </c>
    </row>
    <row r="269" spans="1:52" x14ac:dyDescent="0.25">
      <c r="A269" s="4">
        <v>45708</v>
      </c>
      <c r="B269">
        <f t="shared" ref="B269:N269" si="589">(B819-B818)*100</f>
        <v>0</v>
      </c>
      <c r="C269">
        <f t="shared" si="589"/>
        <v>0</v>
      </c>
      <c r="D269">
        <f t="shared" si="589"/>
        <v>0</v>
      </c>
      <c r="E269">
        <f t="shared" si="589"/>
        <v>2.0000000000000462</v>
      </c>
      <c r="F269">
        <f t="shared" si="589"/>
        <v>0</v>
      </c>
      <c r="G269">
        <f t="shared" si="589"/>
        <v>2.0000000000000462</v>
      </c>
      <c r="H269">
        <f t="shared" si="589"/>
        <v>0.99999999999997868</v>
      </c>
      <c r="I269">
        <f t="shared" si="589"/>
        <v>3.0000000000000249</v>
      </c>
      <c r="J269">
        <f t="shared" si="589"/>
        <v>3.0000000000000249</v>
      </c>
      <c r="K269">
        <f t="shared" si="589"/>
        <v>2.0000000000000462</v>
      </c>
      <c r="L269">
        <f t="shared" si="589"/>
        <v>1.9999999999999574</v>
      </c>
      <c r="M269">
        <f t="shared" si="589"/>
        <v>4.0000000000000036</v>
      </c>
      <c r="N269">
        <f t="shared" si="589"/>
        <v>0.99999999999997868</v>
      </c>
      <c r="O269" s="5">
        <f t="shared" si="581"/>
        <v>-1.1919370385751755E-3</v>
      </c>
      <c r="P269" s="5">
        <f t="shared" si="581"/>
        <v>-5.6402666848958749E-3</v>
      </c>
      <c r="Q269" s="5">
        <f t="shared" si="581"/>
        <v>1.4194018816576844E-3</v>
      </c>
      <c r="R269" s="5">
        <f t="shared" si="581"/>
        <v>-5.1609512896173566E-3</v>
      </c>
      <c r="S269" s="5">
        <f t="shared" si="581"/>
        <v>-6.5555664931128644E-3</v>
      </c>
      <c r="T269" s="5">
        <f t="shared" ref="T269:X269" si="590">LN(T818/T819)</f>
        <v>2.6190321564047324E-3</v>
      </c>
      <c r="U269" s="5">
        <f t="shared" si="590"/>
        <v>3.3025951455896937E-3</v>
      </c>
      <c r="V269" s="5">
        <f t="shared" si="590"/>
        <v>-4.6907306031478135E-3</v>
      </c>
      <c r="W269" s="5">
        <f t="shared" si="590"/>
        <v>1.8660272254346047E-3</v>
      </c>
      <c r="X269" s="5">
        <f t="shared" si="590"/>
        <v>1.0619105608989754E-3</v>
      </c>
      <c r="Z269" s="4">
        <v>45708</v>
      </c>
      <c r="AA269">
        <f>B269*B$3</f>
        <v>0</v>
      </c>
      <c r="AB269">
        <f>C269*C$3</f>
        <v>0</v>
      </c>
      <c r="AC269">
        <f>D269*D$3</f>
        <v>0</v>
      </c>
      <c r="AD269">
        <f>E269*E$3</f>
        <v>4856.0000000001119</v>
      </c>
      <c r="AE269">
        <f>F269*F$3</f>
        <v>0</v>
      </c>
      <c r="AF269">
        <f>G269*G$3</f>
        <v>-31256.00000000072</v>
      </c>
      <c r="AG269">
        <f>H269*H$3</f>
        <v>-28215.9999999994</v>
      </c>
      <c r="AH269">
        <f>I269*I$3</f>
        <v>-55368.000000000458</v>
      </c>
      <c r="AI269">
        <f>J269*J$3</f>
        <v>-153154.50000000128</v>
      </c>
      <c r="AJ269">
        <f>K269*K$3</f>
        <v>-156790.00000000361</v>
      </c>
      <c r="AK269">
        <f>L269*L$3</f>
        <v>62007.999999998676</v>
      </c>
      <c r="AL269">
        <f>M269*M$3</f>
        <v>128292.00000000012</v>
      </c>
      <c r="AM269">
        <f>N269*N$3</f>
        <v>0</v>
      </c>
      <c r="AN269">
        <f>O269*O$3</f>
        <v>0</v>
      </c>
      <c r="AO269">
        <f>P269*P$3</f>
        <v>28201.333424479373</v>
      </c>
      <c r="AP269">
        <f>Q269*Q$3</f>
        <v>17032.822579892214</v>
      </c>
      <c r="AQ269">
        <f>R269*R$3</f>
        <v>77414.269344260349</v>
      </c>
      <c r="AR269" s="1">
        <f>S269*S$3</f>
        <v>45888.965451790049</v>
      </c>
      <c r="AS269" s="1">
        <f t="shared" si="570"/>
        <v>10476.128625618929</v>
      </c>
      <c r="AT269" s="1">
        <f t="shared" si="570"/>
        <v>26420.761164717551</v>
      </c>
      <c r="AU269" s="1">
        <f t="shared" si="570"/>
        <v>0</v>
      </c>
      <c r="AV269" s="1">
        <f t="shared" si="570"/>
        <v>0</v>
      </c>
      <c r="AW269" s="1">
        <f t="shared" si="570"/>
        <v>0</v>
      </c>
      <c r="AX269" s="1">
        <f t="shared" si="573"/>
        <v>-24194.219409248115</v>
      </c>
      <c r="AY269" s="1">
        <f t="shared" si="574"/>
        <v>205434.28059075848</v>
      </c>
      <c r="AZ269" s="1">
        <f t="shared" si="575"/>
        <v>-229628.50000000661</v>
      </c>
    </row>
    <row r="270" spans="1:52" x14ac:dyDescent="0.25">
      <c r="A270" s="4">
        <v>45707</v>
      </c>
      <c r="B270">
        <f t="shared" ref="B270:N270" si="591">(B820-B819)*100</f>
        <v>-0.99999999999997868</v>
      </c>
      <c r="C270">
        <f t="shared" si="591"/>
        <v>0</v>
      </c>
      <c r="D270">
        <f t="shared" si="591"/>
        <v>0</v>
      </c>
      <c r="E270">
        <f t="shared" si="591"/>
        <v>-2.0000000000000462</v>
      </c>
      <c r="F270">
        <f t="shared" si="591"/>
        <v>-1.9999999999999574</v>
      </c>
      <c r="G270">
        <f t="shared" si="591"/>
        <v>-0.99999999999997868</v>
      </c>
      <c r="H270">
        <f t="shared" si="591"/>
        <v>-3.0000000000000249</v>
      </c>
      <c r="I270">
        <f t="shared" si="591"/>
        <v>-7.0000000000000284</v>
      </c>
      <c r="J270">
        <f t="shared" si="591"/>
        <v>-7.0000000000000284</v>
      </c>
      <c r="K270">
        <f t="shared" si="591"/>
        <v>-7.0000000000000284</v>
      </c>
      <c r="L270">
        <f t="shared" si="591"/>
        <v>-8.0000000000000071</v>
      </c>
      <c r="M270">
        <f t="shared" si="591"/>
        <v>-8.0000000000000071</v>
      </c>
      <c r="N270">
        <f t="shared" si="591"/>
        <v>-7.9999999999999183</v>
      </c>
      <c r="O270" s="5">
        <f t="shared" si="581"/>
        <v>1.893740702722798E-3</v>
      </c>
      <c r="P270" s="5">
        <f t="shared" si="581"/>
        <v>2.4420036555518089E-3</v>
      </c>
      <c r="Q270" s="5">
        <f t="shared" si="581"/>
        <v>3.4781543949363382E-3</v>
      </c>
      <c r="R270" s="5">
        <f t="shared" si="581"/>
        <v>2.1697865849333816E-3</v>
      </c>
      <c r="S270" s="5">
        <f t="shared" si="581"/>
        <v>8.5119019213412018E-3</v>
      </c>
      <c r="T270" s="5">
        <f t="shared" ref="T270:X270" si="592">LN(T819/T820)</f>
        <v>3.5378371130207575E-3</v>
      </c>
      <c r="U270" s="5">
        <f t="shared" si="592"/>
        <v>-3.4090466227858066E-4</v>
      </c>
      <c r="V270" s="5">
        <f t="shared" si="592"/>
        <v>3.2105475404097727E-3</v>
      </c>
      <c r="W270" s="5">
        <f t="shared" si="592"/>
        <v>4.7030036306877203E-4</v>
      </c>
      <c r="X270" s="5">
        <f t="shared" si="592"/>
        <v>3.1923158946834764E-3</v>
      </c>
      <c r="Z270" s="4">
        <v>45707</v>
      </c>
      <c r="AA270">
        <f>B270*B$3</f>
        <v>982.99999999997908</v>
      </c>
      <c r="AB270">
        <f>C270*C$3</f>
        <v>0</v>
      </c>
      <c r="AC270">
        <f>D270*D$3</f>
        <v>0</v>
      </c>
      <c r="AD270">
        <f>E270*E$3</f>
        <v>-4856.0000000001119</v>
      </c>
      <c r="AE270">
        <f>F270*F$3</f>
        <v>24855.999999999469</v>
      </c>
      <c r="AF270">
        <f>G270*G$3</f>
        <v>15627.999999999667</v>
      </c>
      <c r="AG270">
        <f>H270*H$3</f>
        <v>84648.000000000698</v>
      </c>
      <c r="AH270">
        <f>I270*I$3</f>
        <v>129192.00000000052</v>
      </c>
      <c r="AI270">
        <f>J270*J$3</f>
        <v>357360.50000000146</v>
      </c>
      <c r="AJ270">
        <f>K270*K$3</f>
        <v>548765.00000000221</v>
      </c>
      <c r="AK270">
        <f>L270*L$3</f>
        <v>-248032.00000000023</v>
      </c>
      <c r="AL270">
        <f>M270*M$3</f>
        <v>-256584.00000000023</v>
      </c>
      <c r="AM270">
        <f>N270*N$3</f>
        <v>0</v>
      </c>
      <c r="AN270">
        <f>O270*O$3</f>
        <v>0</v>
      </c>
      <c r="AO270">
        <f>P270*P$3</f>
        <v>-12210.018277759045</v>
      </c>
      <c r="AP270">
        <f>Q270*Q$3</f>
        <v>41737.852739236056</v>
      </c>
      <c r="AQ270">
        <f>R270*R$3</f>
        <v>-32546.798774000723</v>
      </c>
      <c r="AR270" s="1">
        <f>S270*S$3</f>
        <v>-59583.313449388414</v>
      </c>
      <c r="AS270" s="1">
        <f t="shared" si="570"/>
        <v>14151.34845208303</v>
      </c>
      <c r="AT270" s="1">
        <f t="shared" si="570"/>
        <v>-2727.2372982286452</v>
      </c>
      <c r="AU270" s="1">
        <f t="shared" si="570"/>
        <v>0</v>
      </c>
      <c r="AV270" s="1">
        <f t="shared" si="570"/>
        <v>0</v>
      </c>
      <c r="AW270" s="1">
        <f t="shared" si="570"/>
        <v>0</v>
      </c>
      <c r="AX270" s="1">
        <f t="shared" si="573"/>
        <v>600782.33339194558</v>
      </c>
      <c r="AY270" s="1">
        <f t="shared" si="574"/>
        <v>-51178.166608057742</v>
      </c>
      <c r="AZ270" s="1">
        <f t="shared" si="575"/>
        <v>651960.50000000326</v>
      </c>
    </row>
    <row r="271" spans="1:52" x14ac:dyDescent="0.25">
      <c r="A271" s="4">
        <v>45706</v>
      </c>
      <c r="B271">
        <f t="shared" ref="B271:N271" si="593">(B821-B820)*100</f>
        <v>0</v>
      </c>
      <c r="C271">
        <f t="shared" si="593"/>
        <v>0.99999999999997868</v>
      </c>
      <c r="D271">
        <f t="shared" si="593"/>
        <v>0</v>
      </c>
      <c r="E271">
        <f t="shared" si="593"/>
        <v>0</v>
      </c>
      <c r="F271">
        <f t="shared" si="593"/>
        <v>0.99999999999997868</v>
      </c>
      <c r="G271">
        <f t="shared" si="593"/>
        <v>3.9999999999999147</v>
      </c>
      <c r="H271">
        <f t="shared" si="593"/>
        <v>4.9999999999999822</v>
      </c>
      <c r="I271">
        <f t="shared" si="593"/>
        <v>4.9999999999999822</v>
      </c>
      <c r="J271">
        <f t="shared" si="593"/>
        <v>5.9999999999999609</v>
      </c>
      <c r="K271">
        <f t="shared" si="593"/>
        <v>4.9999999999999822</v>
      </c>
      <c r="L271">
        <f t="shared" si="593"/>
        <v>4.9999999999999822</v>
      </c>
      <c r="M271">
        <f t="shared" si="593"/>
        <v>4.0000000000000036</v>
      </c>
      <c r="N271">
        <f t="shared" si="593"/>
        <v>2.9999999999999361</v>
      </c>
      <c r="O271" s="5">
        <f t="shared" si="581"/>
        <v>-5.3213961169681296E-3</v>
      </c>
      <c r="P271" s="5">
        <f t="shared" si="581"/>
        <v>-7.611545349093426E-3</v>
      </c>
      <c r="Q271" s="5">
        <f t="shared" si="581"/>
        <v>-2.5202343764249083E-3</v>
      </c>
      <c r="R271" s="5">
        <f t="shared" si="581"/>
        <v>-4.334875387388696E-3</v>
      </c>
      <c r="S271" s="5">
        <f t="shared" si="581"/>
        <v>-1.5180941965027245E-3</v>
      </c>
      <c r="T271" s="5">
        <f t="shared" ref="T271:X271" si="594">LN(T820/T821)</f>
        <v>-2.2622811420316235E-3</v>
      </c>
      <c r="U271" s="5">
        <f t="shared" si="594"/>
        <v>-4.608784713436515E-3</v>
      </c>
      <c r="V271" s="5">
        <f t="shared" si="594"/>
        <v>-1.0150091745032962E-2</v>
      </c>
      <c r="W271" s="5">
        <f t="shared" si="594"/>
        <v>-6.1844408698977235E-3</v>
      </c>
      <c r="X271" s="5">
        <f t="shared" si="594"/>
        <v>-2.8049030082541743E-3</v>
      </c>
      <c r="Z271" s="4">
        <v>45706</v>
      </c>
      <c r="AA271">
        <f>B271*B$3</f>
        <v>0</v>
      </c>
      <c r="AB271">
        <f>C271*C$3</f>
        <v>-2583.999999999945</v>
      </c>
      <c r="AC271">
        <f>D271*D$3</f>
        <v>0</v>
      </c>
      <c r="AD271">
        <f>E271*E$3</f>
        <v>0</v>
      </c>
      <c r="AE271">
        <f>F271*F$3</f>
        <v>-12427.999999999734</v>
      </c>
      <c r="AF271">
        <f>G271*G$3</f>
        <v>-62511.999999998668</v>
      </c>
      <c r="AG271">
        <f>H271*H$3</f>
        <v>-141079.99999999951</v>
      </c>
      <c r="AH271">
        <f>I271*I$3</f>
        <v>-92279.999999999665</v>
      </c>
      <c r="AI271">
        <f>J271*J$3</f>
        <v>-306308.99999999802</v>
      </c>
      <c r="AJ271">
        <f>K271*K$3</f>
        <v>-391974.9999999986</v>
      </c>
      <c r="AK271">
        <f>L271*L$3</f>
        <v>155019.99999999945</v>
      </c>
      <c r="AL271">
        <f>M271*M$3</f>
        <v>128292.00000000012</v>
      </c>
      <c r="AM271">
        <f>N271*N$3</f>
        <v>0</v>
      </c>
      <c r="AN271">
        <f>O271*O$3</f>
        <v>0</v>
      </c>
      <c r="AO271">
        <f>P271*P$3</f>
        <v>38057.726745467131</v>
      </c>
      <c r="AP271">
        <f>Q271*Q$3</f>
        <v>-30242.812517098901</v>
      </c>
      <c r="AQ271">
        <f>R271*R$3</f>
        <v>65023.130810830437</v>
      </c>
      <c r="AR271" s="1">
        <f>S271*S$3</f>
        <v>10626.659375519072</v>
      </c>
      <c r="AS271" s="1">
        <f t="shared" si="570"/>
        <v>-9049.1245681264936</v>
      </c>
      <c r="AT271" s="1">
        <f t="shared" si="570"/>
        <v>-36870.277707492118</v>
      </c>
      <c r="AU271" s="1">
        <f t="shared" si="570"/>
        <v>0</v>
      </c>
      <c r="AV271" s="1">
        <f t="shared" si="570"/>
        <v>0</v>
      </c>
      <c r="AW271" s="1">
        <f t="shared" si="570"/>
        <v>0</v>
      </c>
      <c r="AX271" s="1">
        <f t="shared" si="573"/>
        <v>-688310.69786089554</v>
      </c>
      <c r="AY271" s="1">
        <f t="shared" si="574"/>
        <v>37545.30213909912</v>
      </c>
      <c r="AZ271" s="1">
        <f t="shared" si="575"/>
        <v>-725855.99999999464</v>
      </c>
    </row>
    <row r="272" spans="1:52" x14ac:dyDescent="0.25">
      <c r="A272" s="4">
        <v>45702</v>
      </c>
      <c r="B272">
        <f t="shared" ref="B272:N272" si="595">(B822-B821)*100</f>
        <v>0.99999999999997868</v>
      </c>
      <c r="C272">
        <f t="shared" si="595"/>
        <v>0</v>
      </c>
      <c r="D272">
        <f t="shared" si="595"/>
        <v>0.99999999999997868</v>
      </c>
      <c r="E272">
        <f t="shared" si="595"/>
        <v>1.0000000000000675</v>
      </c>
      <c r="F272">
        <f t="shared" si="595"/>
        <v>0</v>
      </c>
      <c r="G272">
        <f t="shared" si="595"/>
        <v>3.0000000000000249</v>
      </c>
      <c r="H272">
        <f t="shared" si="595"/>
        <v>5.0000000000000711</v>
      </c>
      <c r="I272">
        <f t="shared" si="595"/>
        <v>6.0000000000000497</v>
      </c>
      <c r="J272">
        <f t="shared" si="595"/>
        <v>9.0000000000000746</v>
      </c>
      <c r="K272">
        <f t="shared" si="595"/>
        <v>9.9999999999999645</v>
      </c>
      <c r="L272">
        <f t="shared" si="595"/>
        <v>10.000000000000053</v>
      </c>
      <c r="M272">
        <f t="shared" si="595"/>
        <v>11.000000000000032</v>
      </c>
      <c r="N272">
        <f t="shared" si="595"/>
        <v>11.000000000000032</v>
      </c>
      <c r="O272" s="5">
        <f t="shared" si="581"/>
        <v>-8.7777037750144896E-3</v>
      </c>
      <c r="P272" s="5">
        <f t="shared" si="581"/>
        <v>-3.5726218023242494E-3</v>
      </c>
      <c r="Q272" s="5">
        <f t="shared" si="581"/>
        <v>-7.4600980766565501E-3</v>
      </c>
      <c r="R272" s="5">
        <f t="shared" si="581"/>
        <v>-4.3161653194056003E-3</v>
      </c>
      <c r="S272" s="5">
        <f t="shared" si="581"/>
        <v>-8.5332281805932768E-3</v>
      </c>
      <c r="T272" s="5">
        <f t="shared" ref="T272:X272" si="596">LN(T821/T822)</f>
        <v>-6.6834911027321142E-3</v>
      </c>
      <c r="U272" s="5">
        <f t="shared" si="596"/>
        <v>-9.017493778223239E-3</v>
      </c>
      <c r="V272" s="5">
        <f t="shared" si="596"/>
        <v>-8.2410958149011851E-3</v>
      </c>
      <c r="W272" s="5">
        <f t="shared" si="596"/>
        <v>-5.3864210000139712E-3</v>
      </c>
      <c r="X272" s="5">
        <f t="shared" si="596"/>
        <v>-1.117454779116083E-2</v>
      </c>
      <c r="Z272" s="4">
        <v>45702</v>
      </c>
      <c r="AA272">
        <f>B272*B$3</f>
        <v>-982.99999999997908</v>
      </c>
      <c r="AB272">
        <f>C272*C$3</f>
        <v>0</v>
      </c>
      <c r="AC272">
        <f>D272*D$3</f>
        <v>16142.999999999656</v>
      </c>
      <c r="AD272">
        <f>E272*E$3</f>
        <v>2428.0000000001637</v>
      </c>
      <c r="AE272">
        <f>F272*F$3</f>
        <v>0</v>
      </c>
      <c r="AF272">
        <f>G272*G$3</f>
        <v>-46884.000000000386</v>
      </c>
      <c r="AG272">
        <f>H272*H$3</f>
        <v>-141080.00000000201</v>
      </c>
      <c r="AH272">
        <f>I272*I$3</f>
        <v>-110736.00000000092</v>
      </c>
      <c r="AI272">
        <f>J272*J$3</f>
        <v>-459463.50000000378</v>
      </c>
      <c r="AJ272">
        <f>K272*K$3</f>
        <v>-783949.99999999721</v>
      </c>
      <c r="AK272">
        <f>L272*L$3</f>
        <v>310040.00000000163</v>
      </c>
      <c r="AL272">
        <f>M272*M$3</f>
        <v>352803.00000000105</v>
      </c>
      <c r="AM272">
        <f>N272*N$3</f>
        <v>0</v>
      </c>
      <c r="AN272">
        <f>O272*O$3</f>
        <v>0</v>
      </c>
      <c r="AO272">
        <f>P272*P$3</f>
        <v>17863.109011621247</v>
      </c>
      <c r="AP272">
        <f>Q272*Q$3</f>
        <v>-89521.176919878606</v>
      </c>
      <c r="AQ272">
        <f>R272*R$3</f>
        <v>64742.479791084006</v>
      </c>
      <c r="AR272" s="1">
        <f>S272*S$3</f>
        <v>59732.597264152937</v>
      </c>
      <c r="AS272" s="1">
        <f t="shared" si="570"/>
        <v>-26733.964410928456</v>
      </c>
      <c r="AT272" s="1">
        <f t="shared" si="570"/>
        <v>-72139.950225785913</v>
      </c>
      <c r="AU272" s="1">
        <f t="shared" si="570"/>
        <v>0</v>
      </c>
      <c r="AV272" s="1">
        <f t="shared" si="570"/>
        <v>0</v>
      </c>
      <c r="AW272" s="1">
        <f t="shared" si="570"/>
        <v>0</v>
      </c>
      <c r="AX272" s="1">
        <f t="shared" si="573"/>
        <v>-907739.40548973659</v>
      </c>
      <c r="AY272" s="1">
        <f t="shared" si="574"/>
        <v>-46056.905489734789</v>
      </c>
      <c r="AZ272" s="1">
        <f t="shared" si="575"/>
        <v>-861682.50000000175</v>
      </c>
    </row>
    <row r="273" spans="1:52" x14ac:dyDescent="0.25">
      <c r="A273" s="4">
        <v>45701</v>
      </c>
      <c r="B273">
        <f t="shared" ref="B273:N273" si="597">(B823-B822)*100</f>
        <v>0</v>
      </c>
      <c r="C273">
        <f t="shared" si="597"/>
        <v>1.0000000000000675</v>
      </c>
      <c r="D273">
        <f t="shared" si="597"/>
        <v>0</v>
      </c>
      <c r="E273">
        <f t="shared" si="597"/>
        <v>0.99999999999997868</v>
      </c>
      <c r="F273">
        <f t="shared" si="597"/>
        <v>-2.0000000000000462</v>
      </c>
      <c r="G273">
        <f t="shared" si="597"/>
        <v>-4.9999999999999822</v>
      </c>
      <c r="H273">
        <f t="shared" si="597"/>
        <v>-7.0000000000000284</v>
      </c>
      <c r="I273">
        <f t="shared" si="597"/>
        <v>-8.9999999999999858</v>
      </c>
      <c r="J273">
        <f t="shared" si="597"/>
        <v>-11.000000000000032</v>
      </c>
      <c r="K273">
        <f t="shared" si="597"/>
        <v>-10.999999999999943</v>
      </c>
      <c r="L273">
        <f t="shared" si="597"/>
        <v>-8.0000000000000071</v>
      </c>
      <c r="M273">
        <f t="shared" si="597"/>
        <v>-10.000000000000053</v>
      </c>
      <c r="N273">
        <f t="shared" si="597"/>
        <v>-8.0000000000000071</v>
      </c>
      <c r="O273" s="5">
        <f t="shared" si="581"/>
        <v>1.3334143438787521E-3</v>
      </c>
      <c r="P273" s="5">
        <f t="shared" si="581"/>
        <v>-6.9439201918693001E-3</v>
      </c>
      <c r="Q273" s="5">
        <f t="shared" si="581"/>
        <v>-5.4834071885541246E-3</v>
      </c>
      <c r="R273" s="5">
        <f t="shared" si="581"/>
        <v>0</v>
      </c>
      <c r="S273" s="5">
        <f t="shared" si="581"/>
        <v>-1.5273026564001386E-3</v>
      </c>
      <c r="T273" s="5">
        <f t="shared" ref="T273:X273" si="598">LN(T822/T823)</f>
        <v>-2.6050744738827019E-3</v>
      </c>
      <c r="U273" s="5">
        <f t="shared" si="598"/>
        <v>7.4678566252306308E-5</v>
      </c>
      <c r="V273" s="5">
        <f t="shared" si="598"/>
        <v>9.876536849530335E-3</v>
      </c>
      <c r="W273" s="5">
        <f t="shared" si="598"/>
        <v>2.4344457549395587E-3</v>
      </c>
      <c r="X273" s="5">
        <f t="shared" si="598"/>
        <v>4.4899541214469348E-4</v>
      </c>
      <c r="Z273" s="4">
        <v>45701</v>
      </c>
      <c r="AA273">
        <f>B273*B$3</f>
        <v>0</v>
      </c>
      <c r="AB273">
        <f>C273*C$3</f>
        <v>-2584.0000000001746</v>
      </c>
      <c r="AC273">
        <f>D273*D$3</f>
        <v>0</v>
      </c>
      <c r="AD273">
        <f>E273*E$3</f>
        <v>2427.9999999999482</v>
      </c>
      <c r="AE273">
        <f>F273*F$3</f>
        <v>24856.000000000575</v>
      </c>
      <c r="AF273">
        <f>G273*G$3</f>
        <v>78139.999999999724</v>
      </c>
      <c r="AG273">
        <f>H273*H$3</f>
        <v>197512.00000000081</v>
      </c>
      <c r="AH273">
        <f>I273*I$3</f>
        <v>166103.99999999974</v>
      </c>
      <c r="AI273">
        <f>J273*J$3</f>
        <v>561566.50000000163</v>
      </c>
      <c r="AJ273">
        <f>K273*K$3</f>
        <v>862344.99999999558</v>
      </c>
      <c r="AK273">
        <f>L273*L$3</f>
        <v>-248032.00000000023</v>
      </c>
      <c r="AL273">
        <f>M273*M$3</f>
        <v>-320730.00000000169</v>
      </c>
      <c r="AM273">
        <f>N273*N$3</f>
        <v>0</v>
      </c>
      <c r="AN273">
        <f>O273*O$3</f>
        <v>0</v>
      </c>
      <c r="AO273">
        <f>P273*P$3</f>
        <v>34719.600959346499</v>
      </c>
      <c r="AP273">
        <f>Q273*Q$3</f>
        <v>-65800.886262649496</v>
      </c>
      <c r="AQ273">
        <f>R273*R$3</f>
        <v>0</v>
      </c>
      <c r="AR273" s="1">
        <f>S273*S$3</f>
        <v>10691.11859480097</v>
      </c>
      <c r="AS273" s="1">
        <f t="shared" si="570"/>
        <v>-10420.297895530808</v>
      </c>
      <c r="AT273" s="1">
        <f t="shared" si="570"/>
        <v>597.42853001845049</v>
      </c>
      <c r="AU273" s="1">
        <f t="shared" si="570"/>
        <v>0</v>
      </c>
      <c r="AV273" s="1">
        <f t="shared" si="570"/>
        <v>0</v>
      </c>
      <c r="AW273" s="1">
        <f t="shared" si="570"/>
        <v>0</v>
      </c>
      <c r="AX273" s="1">
        <f t="shared" si="573"/>
        <v>1291392.4639259817</v>
      </c>
      <c r="AY273" s="1">
        <f t="shared" si="574"/>
        <v>-30213.036074014388</v>
      </c>
      <c r="AZ273" s="1">
        <f t="shared" si="575"/>
        <v>1321605.499999996</v>
      </c>
    </row>
    <row r="274" spans="1:52" x14ac:dyDescent="0.25">
      <c r="A274" s="4">
        <v>45700</v>
      </c>
      <c r="B274">
        <f t="shared" ref="B274:N274" si="599">(B824-B823)*100</f>
        <v>0</v>
      </c>
      <c r="C274">
        <f t="shared" si="599"/>
        <v>0</v>
      </c>
      <c r="D274">
        <f t="shared" si="599"/>
        <v>0</v>
      </c>
      <c r="E274">
        <f t="shared" si="599"/>
        <v>0</v>
      </c>
      <c r="F274">
        <f t="shared" si="599"/>
        <v>0</v>
      </c>
      <c r="G274">
        <f t="shared" si="599"/>
        <v>-0.99999999999997868</v>
      </c>
      <c r="H274">
        <f t="shared" si="599"/>
        <v>-0.99999999999997868</v>
      </c>
      <c r="I274">
        <f t="shared" si="599"/>
        <v>1.9999999999999574</v>
      </c>
      <c r="J274">
        <f t="shared" si="599"/>
        <v>-3.0000000000000249</v>
      </c>
      <c r="K274">
        <f t="shared" si="599"/>
        <v>-3.0000000000000249</v>
      </c>
      <c r="L274">
        <f t="shared" si="599"/>
        <v>-3.0000000000000249</v>
      </c>
      <c r="M274">
        <f t="shared" si="599"/>
        <v>-4.0000000000000036</v>
      </c>
      <c r="N274">
        <f t="shared" si="599"/>
        <v>-4.0000000000000036</v>
      </c>
      <c r="O274" s="5">
        <f t="shared" si="581"/>
        <v>-1.3334143438786833E-3</v>
      </c>
      <c r="P274" s="5">
        <f t="shared" si="581"/>
        <v>6.1463659823722287E-3</v>
      </c>
      <c r="Q274" s="5">
        <f t="shared" si="581"/>
        <v>1.123420308510491E-3</v>
      </c>
      <c r="R274" s="5">
        <f t="shared" si="581"/>
        <v>1.0772960912619049E-3</v>
      </c>
      <c r="S274" s="5">
        <f t="shared" si="581"/>
        <v>-1.4568135394998031E-3</v>
      </c>
      <c r="T274" s="5">
        <f t="shared" ref="T274:X274" si="600">LN(T823/T824)</f>
        <v>-6.1378932423246822E-3</v>
      </c>
      <c r="U274" s="5">
        <f t="shared" si="600"/>
        <v>-7.3319230795493148E-3</v>
      </c>
      <c r="V274" s="5">
        <f t="shared" si="600"/>
        <v>6.4368180260663014E-3</v>
      </c>
      <c r="W274" s="5">
        <f t="shared" si="600"/>
        <v>-4.2987963590028298E-3</v>
      </c>
      <c r="X274" s="5">
        <f t="shared" si="600"/>
        <v>1.8198450411331707E-3</v>
      </c>
      <c r="Z274" s="4">
        <v>45700</v>
      </c>
      <c r="AA274">
        <f>B274*B$3</f>
        <v>0</v>
      </c>
      <c r="AB274">
        <f>C274*C$3</f>
        <v>0</v>
      </c>
      <c r="AC274">
        <f>D274*D$3</f>
        <v>0</v>
      </c>
      <c r="AD274">
        <f>E274*E$3</f>
        <v>0</v>
      </c>
      <c r="AE274">
        <f>F274*F$3</f>
        <v>0</v>
      </c>
      <c r="AF274">
        <f>G274*G$3</f>
        <v>15627.999999999667</v>
      </c>
      <c r="AG274">
        <f>H274*H$3</f>
        <v>28215.9999999994</v>
      </c>
      <c r="AH274">
        <f>I274*I$3</f>
        <v>-36911.999999999214</v>
      </c>
      <c r="AI274">
        <f>J274*J$3</f>
        <v>153154.50000000128</v>
      </c>
      <c r="AJ274">
        <f>K274*K$3</f>
        <v>235185.00000000195</v>
      </c>
      <c r="AK274">
        <f>L274*L$3</f>
        <v>-93012.000000000771</v>
      </c>
      <c r="AL274">
        <f>M274*M$3</f>
        <v>-128292.00000000012</v>
      </c>
      <c r="AM274">
        <f>N274*N$3</f>
        <v>0</v>
      </c>
      <c r="AN274">
        <f>O274*O$3</f>
        <v>0</v>
      </c>
      <c r="AO274">
        <f>P274*P$3</f>
        <v>-30731.829911861143</v>
      </c>
      <c r="AP274">
        <f>Q274*Q$3</f>
        <v>13481.043702125891</v>
      </c>
      <c r="AQ274">
        <f>R274*R$3</f>
        <v>-16159.441368928574</v>
      </c>
      <c r="AR274" s="1">
        <f>S274*S$3</f>
        <v>10197.694776498622</v>
      </c>
      <c r="AS274" s="1">
        <f t="shared" si="570"/>
        <v>-24551.57296929873</v>
      </c>
      <c r="AT274" s="1">
        <f t="shared" si="570"/>
        <v>-58655.384636394519</v>
      </c>
      <c r="AU274" s="1">
        <f t="shared" si="570"/>
        <v>0</v>
      </c>
      <c r="AV274" s="1">
        <f t="shared" si="570"/>
        <v>0</v>
      </c>
      <c r="AW274" s="1">
        <f t="shared" si="570"/>
        <v>0</v>
      </c>
      <c r="AX274" s="1">
        <f t="shared" si="573"/>
        <v>67548.009592143775</v>
      </c>
      <c r="AY274" s="1">
        <f t="shared" si="574"/>
        <v>-106419.49040785845</v>
      </c>
      <c r="AZ274" s="1">
        <f t="shared" si="575"/>
        <v>173967.50000000221</v>
      </c>
    </row>
    <row r="275" spans="1:52" x14ac:dyDescent="0.25">
      <c r="A275" s="4">
        <v>45699</v>
      </c>
      <c r="B275">
        <f t="shared" ref="B275:N275" si="601">(B825-B824)*100</f>
        <v>-0.99999999999997868</v>
      </c>
      <c r="C275">
        <f t="shared" si="601"/>
        <v>-2.0000000000000462</v>
      </c>
      <c r="D275">
        <f t="shared" si="601"/>
        <v>0</v>
      </c>
      <c r="E275">
        <f t="shared" si="601"/>
        <v>0</v>
      </c>
      <c r="F275">
        <f t="shared" si="601"/>
        <v>-0.99999999999997868</v>
      </c>
      <c r="G275">
        <f t="shared" si="601"/>
        <v>0.99999999999997868</v>
      </c>
      <c r="H275">
        <f t="shared" si="601"/>
        <v>0.99999999999997868</v>
      </c>
      <c r="I275">
        <f t="shared" si="601"/>
        <v>0.99999999999997868</v>
      </c>
      <c r="J275">
        <f t="shared" si="601"/>
        <v>0</v>
      </c>
      <c r="K275">
        <f t="shared" si="601"/>
        <v>0</v>
      </c>
      <c r="L275">
        <f t="shared" si="601"/>
        <v>-1.9999999999999574</v>
      </c>
      <c r="M275">
        <f t="shared" si="601"/>
        <v>-0.99999999999997868</v>
      </c>
      <c r="N275">
        <f t="shared" si="601"/>
        <v>-1.9999999999999574</v>
      </c>
      <c r="O275" s="5">
        <f t="shared" ref="O275:S284" si="602">LN(O824/O825)</f>
        <v>-3.4605069988036502E-4</v>
      </c>
      <c r="P275" s="5">
        <f t="shared" si="602"/>
        <v>-2.5363391100572085E-4</v>
      </c>
      <c r="Q275" s="5">
        <f t="shared" si="602"/>
        <v>2.1858947422578133E-4</v>
      </c>
      <c r="R275" s="5">
        <f t="shared" si="602"/>
        <v>2.6950545911678334E-4</v>
      </c>
      <c r="S275" s="5">
        <f t="shared" si="602"/>
        <v>-2.8538735030243841E-3</v>
      </c>
      <c r="T275" s="5">
        <f t="shared" ref="T275:X275" si="603">LN(T824/T825)</f>
        <v>9.7909062512205238E-4</v>
      </c>
      <c r="U275" s="5">
        <f t="shared" si="603"/>
        <v>2.5000426002688512E-3</v>
      </c>
      <c r="V275" s="5">
        <f t="shared" si="603"/>
        <v>-5.7304958779131362E-4</v>
      </c>
      <c r="W275" s="5">
        <f t="shared" si="603"/>
        <v>-1.9766769665989854E-3</v>
      </c>
      <c r="X275" s="5">
        <f t="shared" si="603"/>
        <v>6.4757862626218827E-4</v>
      </c>
      <c r="Z275" s="4">
        <v>45699</v>
      </c>
      <c r="AA275">
        <f>B275*B$3</f>
        <v>982.99999999997908</v>
      </c>
      <c r="AB275">
        <f>C275*C$3</f>
        <v>5168.0000000001191</v>
      </c>
      <c r="AC275">
        <f>D275*D$3</f>
        <v>0</v>
      </c>
      <c r="AD275">
        <f>E275*E$3</f>
        <v>0</v>
      </c>
      <c r="AE275">
        <f>F275*F$3</f>
        <v>12427.999999999734</v>
      </c>
      <c r="AF275">
        <f>G275*G$3</f>
        <v>-15627.999999999667</v>
      </c>
      <c r="AG275">
        <f>H275*H$3</f>
        <v>-28215.9999999994</v>
      </c>
      <c r="AH275">
        <f>I275*I$3</f>
        <v>-18455.999999999607</v>
      </c>
      <c r="AI275">
        <f>J275*J$3</f>
        <v>0</v>
      </c>
      <c r="AJ275">
        <f>K275*K$3</f>
        <v>0</v>
      </c>
      <c r="AK275">
        <f>L275*L$3</f>
        <v>-62007.999999998676</v>
      </c>
      <c r="AL275">
        <f>M275*M$3</f>
        <v>-32072.999999999316</v>
      </c>
      <c r="AM275">
        <f>N275*N$3</f>
        <v>0</v>
      </c>
      <c r="AN275">
        <f>O275*O$3</f>
        <v>0</v>
      </c>
      <c r="AO275">
        <f>P275*P$3</f>
        <v>1268.1695550286042</v>
      </c>
      <c r="AP275">
        <f>Q275*Q$3</f>
        <v>2623.073690709376</v>
      </c>
      <c r="AQ275">
        <f>R275*R$3</f>
        <v>-4042.5818867517501</v>
      </c>
      <c r="AR275" s="1">
        <f>S275*S$3</f>
        <v>19977.11452117069</v>
      </c>
      <c r="AS275" s="1">
        <f t="shared" si="570"/>
        <v>3916.3625004882097</v>
      </c>
      <c r="AT275" s="1">
        <f t="shared" si="570"/>
        <v>20000.340802150811</v>
      </c>
      <c r="AU275" s="1">
        <f t="shared" si="570"/>
        <v>0</v>
      </c>
      <c r="AV275" s="1">
        <f t="shared" si="570"/>
        <v>0</v>
      </c>
      <c r="AW275" s="1">
        <f t="shared" si="570"/>
        <v>0</v>
      </c>
      <c r="AX275" s="1">
        <f t="shared" si="573"/>
        <v>-94059.52081720093</v>
      </c>
      <c r="AY275" s="1">
        <f t="shared" si="574"/>
        <v>43742.479182795942</v>
      </c>
      <c r="AZ275" s="1">
        <f t="shared" si="575"/>
        <v>-137801.99999999686</v>
      </c>
    </row>
    <row r="276" spans="1:52" x14ac:dyDescent="0.25">
      <c r="A276" s="4">
        <v>45698</v>
      </c>
      <c r="B276">
        <f t="shared" ref="B276:N276" si="604">(B826-B825)*100</f>
        <v>0</v>
      </c>
      <c r="C276">
        <f t="shared" si="604"/>
        <v>0</v>
      </c>
      <c r="D276">
        <f t="shared" si="604"/>
        <v>-0.99999999999997868</v>
      </c>
      <c r="E276">
        <f t="shared" si="604"/>
        <v>-0.99999999999997868</v>
      </c>
      <c r="F276">
        <f t="shared" si="604"/>
        <v>-1.9999999999999574</v>
      </c>
      <c r="G276">
        <f t="shared" si="604"/>
        <v>-5.9999999999999609</v>
      </c>
      <c r="H276">
        <f t="shared" si="604"/>
        <v>-8.0000000000000071</v>
      </c>
      <c r="I276">
        <f t="shared" si="604"/>
        <v>-7.9999999999999183</v>
      </c>
      <c r="J276">
        <f t="shared" si="604"/>
        <v>-5.9999999999999609</v>
      </c>
      <c r="K276">
        <f t="shared" si="604"/>
        <v>-5.9999999999999609</v>
      </c>
      <c r="L276">
        <f t="shared" si="604"/>
        <v>-4.0000000000000036</v>
      </c>
      <c r="M276">
        <f t="shared" si="604"/>
        <v>-4.9999999999999822</v>
      </c>
      <c r="N276">
        <f t="shared" si="604"/>
        <v>-4.0000000000000036</v>
      </c>
      <c r="O276" s="5">
        <f t="shared" si="602"/>
        <v>4.3516395962851272E-3</v>
      </c>
      <c r="P276" s="5">
        <f t="shared" si="602"/>
        <v>3.5931007643699173E-3</v>
      </c>
      <c r="Q276" s="5">
        <f t="shared" si="602"/>
        <v>-7.2503546026320221E-3</v>
      </c>
      <c r="R276" s="5">
        <f t="shared" si="602"/>
        <v>-1.885014695771335E-3</v>
      </c>
      <c r="S276" s="5">
        <f t="shared" si="602"/>
        <v>2.5715265161761684E-3</v>
      </c>
      <c r="T276" s="5">
        <f t="shared" ref="T276:X276" si="605">LN(T825/T826)</f>
        <v>7.1612243912706122E-3</v>
      </c>
      <c r="U276" s="5">
        <f t="shared" si="605"/>
        <v>3.6995186119548515E-3</v>
      </c>
      <c r="V276" s="5">
        <f t="shared" si="605"/>
        <v>4.3096823732505065E-3</v>
      </c>
      <c r="W276" s="5">
        <f t="shared" si="605"/>
        <v>3.6525095687486766E-3</v>
      </c>
      <c r="X276" s="5">
        <f t="shared" si="605"/>
        <v>6.212053954294857E-3</v>
      </c>
      <c r="Z276" s="4">
        <v>45698</v>
      </c>
      <c r="AA276">
        <f>B276*B$3</f>
        <v>0</v>
      </c>
      <c r="AB276">
        <f>C276*C$3</f>
        <v>0</v>
      </c>
      <c r="AC276">
        <f>D276*D$3</f>
        <v>-16142.999999999656</v>
      </c>
      <c r="AD276">
        <f>E276*E$3</f>
        <v>-2427.9999999999482</v>
      </c>
      <c r="AE276">
        <f>F276*F$3</f>
        <v>24855.999999999469</v>
      </c>
      <c r="AF276">
        <f>G276*G$3</f>
        <v>93767.999999999389</v>
      </c>
      <c r="AG276">
        <f>H276*H$3</f>
        <v>225728.0000000002</v>
      </c>
      <c r="AH276">
        <f>I276*I$3</f>
        <v>147647.99999999849</v>
      </c>
      <c r="AI276">
        <f>J276*J$3</f>
        <v>306308.99999999802</v>
      </c>
      <c r="AJ276">
        <f>K276*K$3</f>
        <v>470369.99999999691</v>
      </c>
      <c r="AK276">
        <f>L276*L$3</f>
        <v>-124016.00000000012</v>
      </c>
      <c r="AL276">
        <f>M276*M$3</f>
        <v>-160364.99999999942</v>
      </c>
      <c r="AM276">
        <f>N276*N$3</f>
        <v>0</v>
      </c>
      <c r="AN276">
        <f>O276*O$3</f>
        <v>0</v>
      </c>
      <c r="AO276">
        <f>P276*P$3</f>
        <v>-17965.503821849587</v>
      </c>
      <c r="AP276">
        <f>Q276*Q$3</f>
        <v>-87004.255231584262</v>
      </c>
      <c r="AQ276">
        <f>R276*R$3</f>
        <v>28275.220436570027</v>
      </c>
      <c r="AR276" s="1">
        <f>S276*S$3</f>
        <v>-18000.685613233178</v>
      </c>
      <c r="AS276" s="1">
        <f t="shared" si="570"/>
        <v>28644.897565082447</v>
      </c>
      <c r="AT276" s="1">
        <f t="shared" si="570"/>
        <v>29596.148895638813</v>
      </c>
      <c r="AU276" s="1">
        <f t="shared" si="570"/>
        <v>0</v>
      </c>
      <c r="AV276" s="1">
        <f t="shared" si="570"/>
        <v>0</v>
      </c>
      <c r="AW276" s="1">
        <f t="shared" si="570"/>
        <v>0</v>
      </c>
      <c r="AX276" s="1">
        <f t="shared" si="573"/>
        <v>929272.82223061775</v>
      </c>
      <c r="AY276" s="1">
        <f t="shared" si="574"/>
        <v>-36454.177769375739</v>
      </c>
      <c r="AZ276" s="1">
        <f t="shared" si="575"/>
        <v>965726.99999999348</v>
      </c>
    </row>
    <row r="277" spans="1:52" x14ac:dyDescent="0.25">
      <c r="A277" s="4">
        <v>45695</v>
      </c>
      <c r="B277">
        <f t="shared" ref="B277:N277" si="606">(B827-B826)*100</f>
        <v>-2.0000000000000462</v>
      </c>
      <c r="C277">
        <f t="shared" si="606"/>
        <v>-0.99999999999997868</v>
      </c>
      <c r="D277">
        <f t="shared" si="606"/>
        <v>-0.99999999999997868</v>
      </c>
      <c r="E277">
        <f t="shared" si="606"/>
        <v>-1.0000000000000675</v>
      </c>
      <c r="F277">
        <f t="shared" si="606"/>
        <v>-1.0000000000000675</v>
      </c>
      <c r="G277">
        <f t="shared" si="606"/>
        <v>-2.0000000000000462</v>
      </c>
      <c r="H277">
        <f t="shared" si="606"/>
        <v>-4.0000000000000036</v>
      </c>
      <c r="I277">
        <f t="shared" si="606"/>
        <v>-4.0000000000000036</v>
      </c>
      <c r="J277">
        <f t="shared" si="606"/>
        <v>-4.0000000000000036</v>
      </c>
      <c r="K277">
        <f t="shared" si="606"/>
        <v>-3.0000000000000249</v>
      </c>
      <c r="L277">
        <f t="shared" si="606"/>
        <v>-2.0000000000000462</v>
      </c>
      <c r="M277">
        <f t="shared" si="606"/>
        <v>-0.99999999999997868</v>
      </c>
      <c r="N277">
        <f t="shared" si="606"/>
        <v>-1.0000000000000675</v>
      </c>
      <c r="O277" s="5">
        <f t="shared" si="602"/>
        <v>-5.1816730181983607E-3</v>
      </c>
      <c r="P277" s="5">
        <f t="shared" si="602"/>
        <v>-2.6869698208254089E-3</v>
      </c>
      <c r="Q277" s="5">
        <f t="shared" si="602"/>
        <v>-1.941086585125196E-3</v>
      </c>
      <c r="R277" s="5">
        <f t="shared" si="602"/>
        <v>2.6907036352294839E-4</v>
      </c>
      <c r="S277" s="5">
        <f t="shared" si="602"/>
        <v>4.0871925054038567E-3</v>
      </c>
      <c r="T277" s="5">
        <f t="shared" ref="T277:X277" si="607">LN(T826/T827)</f>
        <v>1.455063563905416E-3</v>
      </c>
      <c r="U277" s="5">
        <f t="shared" si="607"/>
        <v>5.3374240380098404E-3</v>
      </c>
      <c r="V277" s="5">
        <f t="shared" si="607"/>
        <v>-9.3023337908007524E-3</v>
      </c>
      <c r="W277" s="5">
        <f t="shared" si="607"/>
        <v>5.8441344212759245E-4</v>
      </c>
      <c r="X277" s="5">
        <f t="shared" si="607"/>
        <v>4.1739777269543792E-3</v>
      </c>
      <c r="Z277" s="4">
        <v>45695</v>
      </c>
      <c r="AA277">
        <f>B277*B$3</f>
        <v>1966.0000000000455</v>
      </c>
      <c r="AB277">
        <f>C277*C$3</f>
        <v>2583.999999999945</v>
      </c>
      <c r="AC277">
        <f>D277*D$3</f>
        <v>-16142.999999999656</v>
      </c>
      <c r="AD277">
        <f>E277*E$3</f>
        <v>-2428.0000000001637</v>
      </c>
      <c r="AE277">
        <f>F277*F$3</f>
        <v>12428.000000000839</v>
      </c>
      <c r="AF277">
        <f>G277*G$3</f>
        <v>31256.00000000072</v>
      </c>
      <c r="AG277">
        <f>H277*H$3</f>
        <v>112864.0000000001</v>
      </c>
      <c r="AH277">
        <f>I277*I$3</f>
        <v>73824.000000000073</v>
      </c>
      <c r="AI277">
        <f>J277*J$3</f>
        <v>204206.00000000017</v>
      </c>
      <c r="AJ277">
        <f>K277*K$3</f>
        <v>235185.00000000195</v>
      </c>
      <c r="AK277">
        <f>L277*L$3</f>
        <v>-62008.000000001433</v>
      </c>
      <c r="AL277">
        <f>M277*M$3</f>
        <v>-32072.999999999316</v>
      </c>
      <c r="AM277">
        <f>N277*N$3</f>
        <v>0</v>
      </c>
      <c r="AN277">
        <f>O277*O$3</f>
        <v>0</v>
      </c>
      <c r="AO277">
        <f>P277*P$3</f>
        <v>13434.849104127044</v>
      </c>
      <c r="AP277">
        <f>Q277*Q$3</f>
        <v>-23293.039021502351</v>
      </c>
      <c r="AQ277">
        <f>R277*R$3</f>
        <v>-4036.0554528442258</v>
      </c>
      <c r="AR277" s="1">
        <f>S277*S$3</f>
        <v>-28610.347537826998</v>
      </c>
      <c r="AS277" s="1">
        <f t="shared" ref="AS277:AW292" si="608">T277*T$3</f>
        <v>5820.254255621664</v>
      </c>
      <c r="AT277" s="1">
        <f t="shared" si="608"/>
        <v>42699.392304078727</v>
      </c>
      <c r="AU277" s="1">
        <f t="shared" si="608"/>
        <v>0</v>
      </c>
      <c r="AV277" s="1">
        <f t="shared" si="608"/>
        <v>0</v>
      </c>
      <c r="AW277" s="1">
        <f t="shared" si="608"/>
        <v>0</v>
      </c>
      <c r="AX277" s="1">
        <f t="shared" si="573"/>
        <v>567676.05365165719</v>
      </c>
      <c r="AY277" s="1">
        <f t="shared" si="574"/>
        <v>6015.0536516538632</v>
      </c>
      <c r="AZ277" s="1">
        <f t="shared" si="575"/>
        <v>561661.00000000338</v>
      </c>
    </row>
    <row r="278" spans="1:52" x14ac:dyDescent="0.25">
      <c r="A278" s="4">
        <v>45694</v>
      </c>
      <c r="B278">
        <f t="shared" ref="B278:N278" si="609">(B828-B827)*100</f>
        <v>1.0000000000000675</v>
      </c>
      <c r="C278">
        <f t="shared" si="609"/>
        <v>0.99999999999997868</v>
      </c>
      <c r="D278">
        <f t="shared" si="609"/>
        <v>0</v>
      </c>
      <c r="E278">
        <f t="shared" si="609"/>
        <v>0</v>
      </c>
      <c r="F278">
        <f t="shared" si="609"/>
        <v>0</v>
      </c>
      <c r="G278">
        <f t="shared" si="609"/>
        <v>0.99999999999997868</v>
      </c>
      <c r="H278">
        <f t="shared" si="609"/>
        <v>4.0000000000000036</v>
      </c>
      <c r="I278">
        <f t="shared" si="609"/>
        <v>5.9999999999999609</v>
      </c>
      <c r="J278">
        <f t="shared" si="609"/>
        <v>6.9999999999999396</v>
      </c>
      <c r="K278">
        <f t="shared" si="609"/>
        <v>8.9999999999999858</v>
      </c>
      <c r="L278">
        <f t="shared" si="609"/>
        <v>8.9999999999999858</v>
      </c>
      <c r="M278">
        <f t="shared" si="609"/>
        <v>11.999999999999922</v>
      </c>
      <c r="N278">
        <f t="shared" si="609"/>
        <v>11.000000000000032</v>
      </c>
      <c r="O278" s="5">
        <f t="shared" si="602"/>
        <v>-2.4342463702170312E-3</v>
      </c>
      <c r="P278" s="5">
        <f t="shared" si="602"/>
        <v>-9.2401639197325549E-3</v>
      </c>
      <c r="Q278" s="5">
        <f t="shared" si="602"/>
        <v>-8.3305995244373054E-3</v>
      </c>
      <c r="R278" s="5">
        <f t="shared" si="602"/>
        <v>0</v>
      </c>
      <c r="S278" s="5">
        <f t="shared" si="602"/>
        <v>-4.6224593000139822E-3</v>
      </c>
      <c r="T278" s="5">
        <f t="shared" ref="T278:X278" si="610">LN(T827/T828)</f>
        <v>-2.700533334939454E-3</v>
      </c>
      <c r="U278" s="5">
        <f t="shared" si="610"/>
        <v>-2.0735230314291087E-3</v>
      </c>
      <c r="V278" s="5">
        <f t="shared" si="610"/>
        <v>-9.956382591756725E-3</v>
      </c>
      <c r="W278" s="5">
        <f t="shared" si="610"/>
        <v>-5.4847621458243637E-3</v>
      </c>
      <c r="X278" s="5">
        <f t="shared" si="610"/>
        <v>-4.3286573029911873E-3</v>
      </c>
      <c r="Z278" s="4">
        <v>45694</v>
      </c>
      <c r="AA278">
        <f>B278*B$3</f>
        <v>-983.00000000006639</v>
      </c>
      <c r="AB278">
        <f>C278*C$3</f>
        <v>-2583.999999999945</v>
      </c>
      <c r="AC278">
        <f>D278*D$3</f>
        <v>0</v>
      </c>
      <c r="AD278">
        <f>E278*E$3</f>
        <v>0</v>
      </c>
      <c r="AE278">
        <f>F278*F$3</f>
        <v>0</v>
      </c>
      <c r="AF278">
        <f>G278*G$3</f>
        <v>-15627.999999999667</v>
      </c>
      <c r="AG278">
        <f>H278*H$3</f>
        <v>-112864.0000000001</v>
      </c>
      <c r="AH278">
        <f>I278*I$3</f>
        <v>-110735.99999999927</v>
      </c>
      <c r="AI278">
        <f>J278*J$3</f>
        <v>-357360.49999999691</v>
      </c>
      <c r="AJ278">
        <f>K278*K$3</f>
        <v>-705554.99999999884</v>
      </c>
      <c r="AK278">
        <f>L278*L$3</f>
        <v>279035.99999999953</v>
      </c>
      <c r="AL278">
        <f>M278*M$3</f>
        <v>384875.9999999975</v>
      </c>
      <c r="AM278">
        <f>N278*N$3</f>
        <v>0</v>
      </c>
      <c r="AN278">
        <f>O278*O$3</f>
        <v>0</v>
      </c>
      <c r="AO278">
        <f>P278*P$3</f>
        <v>46200.819598662776</v>
      </c>
      <c r="AP278">
        <f>Q278*Q$3</f>
        <v>-99967.194293247667</v>
      </c>
      <c r="AQ278">
        <f>R278*R$3</f>
        <v>0</v>
      </c>
      <c r="AR278" s="1">
        <f>S278*S$3</f>
        <v>32357.215100097874</v>
      </c>
      <c r="AS278" s="1">
        <f t="shared" si="608"/>
        <v>-10802.133339757816</v>
      </c>
      <c r="AT278" s="1">
        <f t="shared" si="608"/>
        <v>-16588.184251432871</v>
      </c>
      <c r="AU278" s="1">
        <f t="shared" si="608"/>
        <v>0</v>
      </c>
      <c r="AV278" s="1">
        <f t="shared" si="608"/>
        <v>0</v>
      </c>
      <c r="AW278" s="1">
        <f t="shared" si="608"/>
        <v>0</v>
      </c>
      <c r="AX278" s="1">
        <f t="shared" si="573"/>
        <v>-690597.97718567564</v>
      </c>
      <c r="AY278" s="1">
        <f t="shared" si="574"/>
        <v>-48799.477185677708</v>
      </c>
      <c r="AZ278" s="1">
        <f t="shared" si="575"/>
        <v>-641798.4999999979</v>
      </c>
    </row>
    <row r="279" spans="1:52" x14ac:dyDescent="0.25">
      <c r="A279" s="4">
        <v>45693</v>
      </c>
      <c r="B279">
        <f t="shared" ref="B279:N279" si="611">(B829-B828)*100</f>
        <v>0.99999999999997868</v>
      </c>
      <c r="C279">
        <f t="shared" si="611"/>
        <v>0</v>
      </c>
      <c r="D279">
        <f t="shared" si="611"/>
        <v>0.99999999999997868</v>
      </c>
      <c r="E279">
        <f t="shared" si="611"/>
        <v>0</v>
      </c>
      <c r="F279">
        <f t="shared" si="611"/>
        <v>1.0000000000000675</v>
      </c>
      <c r="G279">
        <f t="shared" si="611"/>
        <v>2.0000000000000462</v>
      </c>
      <c r="H279">
        <f t="shared" si="611"/>
        <v>4.9999999999999822</v>
      </c>
      <c r="I279">
        <f t="shared" si="611"/>
        <v>3.0000000000000249</v>
      </c>
      <c r="J279">
        <f t="shared" si="611"/>
        <v>4.0000000000000036</v>
      </c>
      <c r="K279">
        <f t="shared" si="611"/>
        <v>3.0000000000000249</v>
      </c>
      <c r="L279">
        <f t="shared" si="611"/>
        <v>2.0000000000000462</v>
      </c>
      <c r="M279">
        <f t="shared" si="611"/>
        <v>1.0000000000000675</v>
      </c>
      <c r="N279">
        <f t="shared" si="611"/>
        <v>1.9999999999999574</v>
      </c>
      <c r="O279" s="5">
        <f t="shared" si="602"/>
        <v>1.2077504530593128E-3</v>
      </c>
      <c r="P279" s="5">
        <f t="shared" si="602"/>
        <v>3.5992840296468214E-3</v>
      </c>
      <c r="Q279" s="5">
        <f t="shared" si="602"/>
        <v>-9.7114826473597357E-3</v>
      </c>
      <c r="R279" s="5">
        <f t="shared" si="602"/>
        <v>1.3464388731316568E-3</v>
      </c>
      <c r="S279" s="5">
        <f t="shared" si="602"/>
        <v>0</v>
      </c>
      <c r="T279" s="5">
        <f t="shared" ref="T279:X279" si="612">LN(T828/T829)</f>
        <v>-4.3883686987457367E-3</v>
      </c>
      <c r="U279" s="5">
        <f t="shared" si="612"/>
        <v>-3.7240707809140109E-3</v>
      </c>
      <c r="V279" s="5">
        <f t="shared" si="612"/>
        <v>-7.3947348066951482E-3</v>
      </c>
      <c r="W279" s="5">
        <f t="shared" si="612"/>
        <v>-5.4050446576870883E-3</v>
      </c>
      <c r="X279" s="5">
        <f t="shared" si="612"/>
        <v>-7.0121738945035468E-3</v>
      </c>
      <c r="Z279" s="4">
        <v>45693</v>
      </c>
      <c r="AA279">
        <f>B279*B$3</f>
        <v>-982.99999999997908</v>
      </c>
      <c r="AB279">
        <f>C279*C$3</f>
        <v>0</v>
      </c>
      <c r="AC279">
        <f>D279*D$3</f>
        <v>16142.999999999656</v>
      </c>
      <c r="AD279">
        <f>E279*E$3</f>
        <v>0</v>
      </c>
      <c r="AE279">
        <f>F279*F$3</f>
        <v>-12428.000000000839</v>
      </c>
      <c r="AF279">
        <f>G279*G$3</f>
        <v>-31256.00000000072</v>
      </c>
      <c r="AG279">
        <f>H279*H$3</f>
        <v>-141079.99999999951</v>
      </c>
      <c r="AH279">
        <f>I279*I$3</f>
        <v>-55368.000000000458</v>
      </c>
      <c r="AI279">
        <f>J279*J$3</f>
        <v>-204206.00000000017</v>
      </c>
      <c r="AJ279">
        <f>K279*K$3</f>
        <v>-235185.00000000195</v>
      </c>
      <c r="AK279">
        <f>L279*L$3</f>
        <v>62008.000000001433</v>
      </c>
      <c r="AL279">
        <f>M279*M$3</f>
        <v>32073.000000002165</v>
      </c>
      <c r="AM279">
        <f>N279*N$3</f>
        <v>0</v>
      </c>
      <c r="AN279">
        <f>O279*O$3</f>
        <v>0</v>
      </c>
      <c r="AO279">
        <f>P279*P$3</f>
        <v>-17996.420148234105</v>
      </c>
      <c r="AP279">
        <f>Q279*Q$3</f>
        <v>-116537.79176831683</v>
      </c>
      <c r="AQ279">
        <f>R279*R$3</f>
        <v>-20196.583096974849</v>
      </c>
      <c r="AR279" s="1">
        <f>S279*S$3</f>
        <v>0</v>
      </c>
      <c r="AS279" s="1">
        <f t="shared" si="608"/>
        <v>-17553.474794982947</v>
      </c>
      <c r="AT279" s="1">
        <f t="shared" si="608"/>
        <v>-29792.566247312086</v>
      </c>
      <c r="AU279" s="1">
        <f t="shared" si="608"/>
        <v>0</v>
      </c>
      <c r="AV279" s="1">
        <f t="shared" si="608"/>
        <v>0</v>
      </c>
      <c r="AW279" s="1">
        <f t="shared" si="608"/>
        <v>0</v>
      </c>
      <c r="AX279" s="1">
        <f t="shared" si="573"/>
        <v>-772358.83605582127</v>
      </c>
      <c r="AY279" s="1">
        <f t="shared" si="574"/>
        <v>-202076.83605582084</v>
      </c>
      <c r="AZ279" s="1">
        <f t="shared" si="575"/>
        <v>-570282.00000000047</v>
      </c>
    </row>
    <row r="280" spans="1:52" x14ac:dyDescent="0.25">
      <c r="A280" s="4">
        <v>45692</v>
      </c>
      <c r="B280">
        <f t="shared" ref="B280:N280" si="613">(B830-B829)*100</f>
        <v>0</v>
      </c>
      <c r="C280">
        <f t="shared" si="613"/>
        <v>-0.99999999999997868</v>
      </c>
      <c r="D280">
        <f t="shared" si="613"/>
        <v>-3.0000000000000249</v>
      </c>
      <c r="E280">
        <f t="shared" si="613"/>
        <v>-1.9999999999999574</v>
      </c>
      <c r="F280">
        <f t="shared" si="613"/>
        <v>0</v>
      </c>
      <c r="G280">
        <f t="shared" si="613"/>
        <v>-3.0000000000000249</v>
      </c>
      <c r="H280">
        <f t="shared" si="613"/>
        <v>-4.0000000000000036</v>
      </c>
      <c r="I280">
        <f t="shared" si="613"/>
        <v>-1.0000000000000675</v>
      </c>
      <c r="J280">
        <f t="shared" si="613"/>
        <v>1.0000000000000675</v>
      </c>
      <c r="K280">
        <f t="shared" si="613"/>
        <v>1.9999999999999574</v>
      </c>
      <c r="L280">
        <f t="shared" si="613"/>
        <v>4.0000000000000036</v>
      </c>
      <c r="M280">
        <f t="shared" si="613"/>
        <v>5.9999999999999609</v>
      </c>
      <c r="N280">
        <f t="shared" si="613"/>
        <v>6.0000000000000497</v>
      </c>
      <c r="O280" s="5">
        <f t="shared" si="602"/>
        <v>-1.3035310811041548E-2</v>
      </c>
      <c r="P280" s="5">
        <f t="shared" si="602"/>
        <v>-9.6107647955058929E-4</v>
      </c>
      <c r="Q280" s="5">
        <f t="shared" si="602"/>
        <v>2.9421632919179536E-3</v>
      </c>
      <c r="R280" s="5">
        <f t="shared" si="602"/>
        <v>1.6181233304102998E-3</v>
      </c>
      <c r="S280" s="5">
        <f t="shared" si="602"/>
        <v>-6.3574484729362188E-3</v>
      </c>
      <c r="T280" s="5">
        <f t="shared" ref="T280:X280" si="614">LN(T829/T830)</f>
        <v>-7.736208334641767E-3</v>
      </c>
      <c r="U280" s="5">
        <f t="shared" si="614"/>
        <v>-1.1310850813896614E-2</v>
      </c>
      <c r="V280" s="5">
        <f t="shared" si="614"/>
        <v>-5.5378442127353286E-4</v>
      </c>
      <c r="W280" s="5">
        <f t="shared" si="614"/>
        <v>-1.1842084849983498E-2</v>
      </c>
      <c r="X280" s="5">
        <f t="shared" si="614"/>
        <v>-3.9630987518258802E-3</v>
      </c>
      <c r="Z280" s="4">
        <v>45692</v>
      </c>
      <c r="AA280">
        <f>B280*B$3</f>
        <v>0</v>
      </c>
      <c r="AB280">
        <f>C280*C$3</f>
        <v>2583.999999999945</v>
      </c>
      <c r="AC280">
        <f>D280*D$3</f>
        <v>-48429.0000000004</v>
      </c>
      <c r="AD280">
        <f>E280*E$3</f>
        <v>-4855.9999999998963</v>
      </c>
      <c r="AE280">
        <f>F280*F$3</f>
        <v>0</v>
      </c>
      <c r="AF280">
        <f>G280*G$3</f>
        <v>46884.000000000386</v>
      </c>
      <c r="AG280">
        <f>H280*H$3</f>
        <v>112864.0000000001</v>
      </c>
      <c r="AH280">
        <f>I280*I$3</f>
        <v>18456.000000001244</v>
      </c>
      <c r="AI280">
        <f>J280*J$3</f>
        <v>-51051.500000003449</v>
      </c>
      <c r="AJ280">
        <f>K280*K$3</f>
        <v>-156789.99999999665</v>
      </c>
      <c r="AK280">
        <f>L280*L$3</f>
        <v>124016.00000000012</v>
      </c>
      <c r="AL280">
        <f>M280*M$3</f>
        <v>192437.99999999875</v>
      </c>
      <c r="AM280">
        <f>N280*N$3</f>
        <v>0</v>
      </c>
      <c r="AN280">
        <f>O280*O$3</f>
        <v>0</v>
      </c>
      <c r="AO280">
        <f>P280*P$3</f>
        <v>4805.3823977529464</v>
      </c>
      <c r="AP280">
        <f>Q280*Q$3</f>
        <v>35305.959503015445</v>
      </c>
      <c r="AQ280">
        <f>R280*R$3</f>
        <v>-24271.849956154496</v>
      </c>
      <c r="AR280" s="1">
        <f>S280*S$3</f>
        <v>44502.139310553532</v>
      </c>
      <c r="AS280" s="1">
        <f t="shared" si="608"/>
        <v>-30944.833338567067</v>
      </c>
      <c r="AT280" s="1">
        <f t="shared" si="608"/>
        <v>-90486.806511172908</v>
      </c>
      <c r="AU280" s="1">
        <f t="shared" si="608"/>
        <v>0</v>
      </c>
      <c r="AV280" s="1">
        <f t="shared" si="608"/>
        <v>0</v>
      </c>
      <c r="AW280" s="1">
        <f t="shared" si="608"/>
        <v>0</v>
      </c>
      <c r="AX280" s="1">
        <f t="shared" si="573"/>
        <v>175025.49140542757</v>
      </c>
      <c r="AY280" s="1">
        <f t="shared" si="574"/>
        <v>-61090.008594572544</v>
      </c>
      <c r="AZ280" s="1">
        <f t="shared" si="575"/>
        <v>236115.50000000012</v>
      </c>
    </row>
    <row r="281" spans="1:52" x14ac:dyDescent="0.25">
      <c r="A281" s="4">
        <v>45691</v>
      </c>
      <c r="B281">
        <f t="shared" ref="B281:N281" si="615">(B831-B830)*100</f>
        <v>0</v>
      </c>
      <c r="C281">
        <f t="shared" si="615"/>
        <v>0.99999999999997868</v>
      </c>
      <c r="D281">
        <f t="shared" si="615"/>
        <v>-0.99999999999997868</v>
      </c>
      <c r="E281">
        <f t="shared" si="615"/>
        <v>0</v>
      </c>
      <c r="F281">
        <f t="shared" si="615"/>
        <v>-1.0000000000000675</v>
      </c>
      <c r="G281">
        <f t="shared" si="615"/>
        <v>-0.99999999999997868</v>
      </c>
      <c r="H281">
        <f t="shared" si="615"/>
        <v>-4.0000000000000036</v>
      </c>
      <c r="I281">
        <f t="shared" si="615"/>
        <v>-2.9999999999999361</v>
      </c>
      <c r="J281">
        <f t="shared" si="615"/>
        <v>-5.0000000000000711</v>
      </c>
      <c r="K281">
        <f t="shared" si="615"/>
        <v>-5.9999999999999609</v>
      </c>
      <c r="L281">
        <f t="shared" si="615"/>
        <v>-6.0000000000000497</v>
      </c>
      <c r="M281">
        <f t="shared" si="615"/>
        <v>-7.0000000000000284</v>
      </c>
      <c r="N281">
        <f t="shared" si="615"/>
        <v>-7.0000000000000284</v>
      </c>
      <c r="O281" s="5">
        <f t="shared" si="602"/>
        <v>6.5993298267159502E-3</v>
      </c>
      <c r="P281" s="5">
        <f t="shared" si="602"/>
        <v>-1.120025081667031E-2</v>
      </c>
      <c r="Q281" s="5">
        <f t="shared" si="602"/>
        <v>-3.9344579025568016E-3</v>
      </c>
      <c r="R281" s="5">
        <f t="shared" si="602"/>
        <v>-5.9203617490711418E-3</v>
      </c>
      <c r="S281" s="5">
        <f t="shared" si="602"/>
        <v>0</v>
      </c>
      <c r="T281" s="5">
        <f t="shared" ref="T281:X281" si="616">LN(T830/T831)</f>
        <v>1.4481894265026688E-2</v>
      </c>
      <c r="U281" s="5">
        <f t="shared" si="616"/>
        <v>1.0677099756316137E-2</v>
      </c>
      <c r="V281" s="5">
        <f t="shared" si="616"/>
        <v>8.1820817239008897E-3</v>
      </c>
      <c r="W281" s="5">
        <f t="shared" si="616"/>
        <v>1.1456719060551962E-2</v>
      </c>
      <c r="X281" s="5">
        <f t="shared" si="616"/>
        <v>6.4244303396078489E-3</v>
      </c>
      <c r="Z281" s="4">
        <v>45691</v>
      </c>
      <c r="AA281">
        <f>B281*B$3</f>
        <v>0</v>
      </c>
      <c r="AB281">
        <f>C281*C$3</f>
        <v>-2583.999999999945</v>
      </c>
      <c r="AC281">
        <f>D281*D$3</f>
        <v>-16142.999999999656</v>
      </c>
      <c r="AD281">
        <f>E281*E$3</f>
        <v>0</v>
      </c>
      <c r="AE281">
        <f>F281*F$3</f>
        <v>12428.000000000839</v>
      </c>
      <c r="AF281">
        <f>G281*G$3</f>
        <v>15627.999999999667</v>
      </c>
      <c r="AG281">
        <f>H281*H$3</f>
        <v>112864.0000000001</v>
      </c>
      <c r="AH281">
        <f>I281*I$3</f>
        <v>55367.999999998821</v>
      </c>
      <c r="AI281">
        <f>J281*J$3</f>
        <v>255257.50000000364</v>
      </c>
      <c r="AJ281">
        <f>K281*K$3</f>
        <v>470369.99999999691</v>
      </c>
      <c r="AK281">
        <f>L281*L$3</f>
        <v>-186024.00000000154</v>
      </c>
      <c r="AL281">
        <f>M281*M$3</f>
        <v>-224511.0000000009</v>
      </c>
      <c r="AM281">
        <f>N281*N$3</f>
        <v>0</v>
      </c>
      <c r="AN281">
        <f>O281*O$3</f>
        <v>0</v>
      </c>
      <c r="AO281">
        <f>P281*P$3</f>
        <v>56001.254083351545</v>
      </c>
      <c r="AP281">
        <f>Q281*Q$3</f>
        <v>-47213.494830681622</v>
      </c>
      <c r="AQ281">
        <f>R281*R$3</f>
        <v>88805.426236067127</v>
      </c>
      <c r="AR281" s="1">
        <f>S281*S$3</f>
        <v>0</v>
      </c>
      <c r="AS281" s="1">
        <f t="shared" si="608"/>
        <v>57927.577060106756</v>
      </c>
      <c r="AT281" s="1">
        <f t="shared" si="608"/>
        <v>85416.798050529091</v>
      </c>
      <c r="AU281" s="1">
        <f t="shared" si="608"/>
        <v>0</v>
      </c>
      <c r="AV281" s="1">
        <f t="shared" si="608"/>
        <v>0</v>
      </c>
      <c r="AW281" s="1">
        <f t="shared" si="608"/>
        <v>0</v>
      </c>
      <c r="AX281" s="1">
        <f t="shared" si="573"/>
        <v>733591.06059937098</v>
      </c>
      <c r="AY281" s="1">
        <f t="shared" si="574"/>
        <v>240937.5605993729</v>
      </c>
      <c r="AZ281" s="1">
        <f t="shared" si="575"/>
        <v>492653.49999999808</v>
      </c>
    </row>
    <row r="282" spans="1:52" x14ac:dyDescent="0.25">
      <c r="A282" s="4">
        <v>45688</v>
      </c>
      <c r="B282">
        <f t="shared" ref="B282:N282" si="617">(B832-B831)*100</f>
        <v>5.9999999999999609</v>
      </c>
      <c r="C282">
        <f t="shared" si="617"/>
        <v>-4.0000000000000036</v>
      </c>
      <c r="D282">
        <f t="shared" si="617"/>
        <v>0.99999999999997868</v>
      </c>
      <c r="E282">
        <f t="shared" si="617"/>
        <v>0.99999999999997868</v>
      </c>
      <c r="F282">
        <f t="shared" si="617"/>
        <v>0</v>
      </c>
      <c r="G282">
        <f t="shared" si="617"/>
        <v>0.99999999999997868</v>
      </c>
      <c r="H282">
        <f t="shared" si="617"/>
        <v>3.0000000000000249</v>
      </c>
      <c r="I282">
        <f t="shared" si="617"/>
        <v>2.9999999999999361</v>
      </c>
      <c r="J282">
        <f t="shared" si="617"/>
        <v>4.0000000000000036</v>
      </c>
      <c r="K282">
        <f t="shared" si="617"/>
        <v>3.0000000000000249</v>
      </c>
      <c r="L282">
        <f t="shared" si="617"/>
        <v>3.0000000000000249</v>
      </c>
      <c r="M282">
        <f t="shared" si="617"/>
        <v>4.0000000000000036</v>
      </c>
      <c r="N282">
        <f t="shared" si="617"/>
        <v>3.0000000000000249</v>
      </c>
      <c r="O282" s="5">
        <f t="shared" si="602"/>
        <v>-1.2020502619976735E-2</v>
      </c>
      <c r="P282" s="5">
        <f t="shared" si="602"/>
        <v>1.3363973261981328E-2</v>
      </c>
      <c r="Q282" s="5">
        <f t="shared" si="602"/>
        <v>-2.8700803920169663E-3</v>
      </c>
      <c r="R282" s="5">
        <f t="shared" si="602"/>
        <v>1.8799522120660171E-3</v>
      </c>
      <c r="S282" s="5">
        <f t="shared" si="602"/>
        <v>1.2638076097413154E-2</v>
      </c>
      <c r="T282" s="5">
        <f t="shared" ref="T282:X282" si="618">LN(T831/T832)</f>
        <v>2.6861791364861465E-3</v>
      </c>
      <c r="U282" s="5">
        <f t="shared" si="618"/>
        <v>2.5239841115174346E-3</v>
      </c>
      <c r="V282" s="5">
        <f t="shared" si="618"/>
        <v>-6.9390032443462134E-3</v>
      </c>
      <c r="W282" s="5">
        <f t="shared" si="618"/>
        <v>3.9793002825854627E-3</v>
      </c>
      <c r="X282" s="5">
        <f t="shared" si="618"/>
        <v>3.4136385790843838E-3</v>
      </c>
      <c r="Z282" s="4">
        <v>45688</v>
      </c>
      <c r="AA282">
        <f>B282*B$3</f>
        <v>-5897.9999999999618</v>
      </c>
      <c r="AB282">
        <f>C282*C$3</f>
        <v>10336.000000000009</v>
      </c>
      <c r="AC282">
        <f>D282*D$3</f>
        <v>16142.999999999656</v>
      </c>
      <c r="AD282">
        <f>E282*E$3</f>
        <v>2427.9999999999482</v>
      </c>
      <c r="AE282">
        <f>F282*F$3</f>
        <v>0</v>
      </c>
      <c r="AF282">
        <f>G282*G$3</f>
        <v>-15627.999999999667</v>
      </c>
      <c r="AG282">
        <f>H282*H$3</f>
        <v>-84648.000000000698</v>
      </c>
      <c r="AH282">
        <f>I282*I$3</f>
        <v>-55367.999999998821</v>
      </c>
      <c r="AI282">
        <f>J282*J$3</f>
        <v>-204206.00000000017</v>
      </c>
      <c r="AJ282">
        <f>K282*K$3</f>
        <v>-235185.00000000195</v>
      </c>
      <c r="AK282">
        <f>L282*L$3</f>
        <v>93012.000000000771</v>
      </c>
      <c r="AL282">
        <f>M282*M$3</f>
        <v>128292.00000000012</v>
      </c>
      <c r="AM282">
        <f>N282*N$3</f>
        <v>0</v>
      </c>
      <c r="AN282">
        <f>O282*O$3</f>
        <v>0</v>
      </c>
      <c r="AO282">
        <f>P282*P$3</f>
        <v>-66819.866309906647</v>
      </c>
      <c r="AP282">
        <f>Q282*Q$3</f>
        <v>-34440.964704203594</v>
      </c>
      <c r="AQ282">
        <f>R282*R$3</f>
        <v>-28199.283180990256</v>
      </c>
      <c r="AR282" s="1">
        <f>S282*S$3</f>
        <v>-88466.532681892073</v>
      </c>
      <c r="AS282" s="1">
        <f t="shared" si="608"/>
        <v>10744.716545944586</v>
      </c>
      <c r="AT282" s="1">
        <f t="shared" si="608"/>
        <v>20191.872892139476</v>
      </c>
      <c r="AU282" s="1">
        <f t="shared" si="608"/>
        <v>0</v>
      </c>
      <c r="AV282" s="1">
        <f t="shared" si="608"/>
        <v>0</v>
      </c>
      <c r="AW282" s="1">
        <f t="shared" si="608"/>
        <v>0</v>
      </c>
      <c r="AX282" s="1">
        <f t="shared" si="573"/>
        <v>-537712.05743890931</v>
      </c>
      <c r="AY282" s="1">
        <f t="shared" si="574"/>
        <v>-186990.05743890849</v>
      </c>
      <c r="AZ282" s="1">
        <f t="shared" si="575"/>
        <v>-350722.00000000081</v>
      </c>
    </row>
    <row r="283" spans="1:52" x14ac:dyDescent="0.25">
      <c r="A283" s="4">
        <v>45687</v>
      </c>
      <c r="B283">
        <f t="shared" ref="B283:N283" si="619">(B833-B832)*100</f>
        <v>1.0000000000000675</v>
      </c>
      <c r="C283">
        <f t="shared" si="619"/>
        <v>0.99999999999997868</v>
      </c>
      <c r="D283">
        <f t="shared" si="619"/>
        <v>0</v>
      </c>
      <c r="E283">
        <f t="shared" si="619"/>
        <v>-4.0000000000000036</v>
      </c>
      <c r="F283">
        <f t="shared" si="619"/>
        <v>-0.99999999999997868</v>
      </c>
      <c r="G283">
        <f t="shared" si="619"/>
        <v>-3.0000000000000249</v>
      </c>
      <c r="H283">
        <f t="shared" si="619"/>
        <v>-1.9999999999999574</v>
      </c>
      <c r="I283">
        <f t="shared" si="619"/>
        <v>-1.9999999999999574</v>
      </c>
      <c r="J283">
        <f t="shared" si="619"/>
        <v>-1.9999999999999574</v>
      </c>
      <c r="K283">
        <f t="shared" si="619"/>
        <v>-1.0000000000000675</v>
      </c>
      <c r="L283">
        <f t="shared" si="619"/>
        <v>0</v>
      </c>
      <c r="M283">
        <f t="shared" si="619"/>
        <v>-0.99999999999997868</v>
      </c>
      <c r="N283">
        <f t="shared" si="619"/>
        <v>-0.99999999999997868</v>
      </c>
      <c r="O283" s="5">
        <f t="shared" si="602"/>
        <v>6.9730545477944533E-3</v>
      </c>
      <c r="P283" s="5">
        <f t="shared" si="602"/>
        <v>-2.8839241329048711E-3</v>
      </c>
      <c r="Q283" s="5">
        <f t="shared" si="602"/>
        <v>-1.1396817185093521E-3</v>
      </c>
      <c r="R283" s="5">
        <f t="shared" si="602"/>
        <v>1.6142053545412009E-3</v>
      </c>
      <c r="S283" s="5">
        <f t="shared" si="602"/>
        <v>-5.3558958524497552E-3</v>
      </c>
      <c r="T283" s="5">
        <f t="shared" ref="T283:X283" si="620">LN(T832/T833)</f>
        <v>3.6492820854199198E-4</v>
      </c>
      <c r="U283" s="5">
        <f t="shared" si="620"/>
        <v>-1.0941771929054544E-3</v>
      </c>
      <c r="V283" s="5">
        <f t="shared" si="620"/>
        <v>-2.5038394658985367E-3</v>
      </c>
      <c r="W283" s="5">
        <f t="shared" si="620"/>
        <v>2.3676129393897806E-3</v>
      </c>
      <c r="X283" s="5">
        <f t="shared" si="620"/>
        <v>2.3641694122543094E-3</v>
      </c>
      <c r="Z283" s="4">
        <v>45687</v>
      </c>
      <c r="AA283">
        <f>B283*B$3</f>
        <v>-983.00000000006639</v>
      </c>
      <c r="AB283">
        <f>C283*C$3</f>
        <v>-2583.999999999945</v>
      </c>
      <c r="AC283">
        <f>D283*D$3</f>
        <v>0</v>
      </c>
      <c r="AD283">
        <f>E283*E$3</f>
        <v>-9712.0000000000091</v>
      </c>
      <c r="AE283">
        <f>F283*F$3</f>
        <v>12427.999999999734</v>
      </c>
      <c r="AF283">
        <f>G283*G$3</f>
        <v>46884.000000000386</v>
      </c>
      <c r="AG283">
        <f>H283*H$3</f>
        <v>56431.999999998799</v>
      </c>
      <c r="AH283">
        <f>I283*I$3</f>
        <v>36911.999999999214</v>
      </c>
      <c r="AI283">
        <f>J283*J$3</f>
        <v>102102.99999999782</v>
      </c>
      <c r="AJ283">
        <f>K283*K$3</f>
        <v>78395.000000005297</v>
      </c>
      <c r="AK283">
        <f>L283*L$3</f>
        <v>0</v>
      </c>
      <c r="AL283">
        <f>M283*M$3</f>
        <v>-32072.999999999316</v>
      </c>
      <c r="AM283">
        <f>N283*N$3</f>
        <v>0</v>
      </c>
      <c r="AN283">
        <f>O283*O$3</f>
        <v>0</v>
      </c>
      <c r="AO283">
        <f>P283*P$3</f>
        <v>14419.620664524355</v>
      </c>
      <c r="AP283">
        <f>Q283*Q$3</f>
        <v>-13676.180622112224</v>
      </c>
      <c r="AQ283">
        <f>R283*R$3</f>
        <v>-24213.080318118013</v>
      </c>
      <c r="AR283" s="1">
        <f>S283*S$3</f>
        <v>37491.270967148288</v>
      </c>
      <c r="AS283" s="1">
        <f t="shared" si="608"/>
        <v>1459.7128341679679</v>
      </c>
      <c r="AT283" s="1">
        <f t="shared" si="608"/>
        <v>-8753.417543243635</v>
      </c>
      <c r="AU283" s="1">
        <f t="shared" si="608"/>
        <v>0</v>
      </c>
      <c r="AV283" s="1">
        <f t="shared" si="608"/>
        <v>0</v>
      </c>
      <c r="AW283" s="1">
        <f t="shared" si="608"/>
        <v>0</v>
      </c>
      <c r="AX283" s="1">
        <f t="shared" si="573"/>
        <v>294529.9259823687</v>
      </c>
      <c r="AY283" s="1">
        <f t="shared" si="574"/>
        <v>6727.925982366738</v>
      </c>
      <c r="AZ283" s="1">
        <f t="shared" si="575"/>
        <v>287802.00000000198</v>
      </c>
    </row>
    <row r="284" spans="1:52" x14ac:dyDescent="0.25">
      <c r="A284" s="4">
        <v>45686</v>
      </c>
      <c r="B284">
        <f t="shared" ref="B284:N284" si="621">(B834-B833)*100</f>
        <v>0</v>
      </c>
      <c r="C284">
        <f t="shared" si="621"/>
        <v>1.0000000000000675</v>
      </c>
      <c r="D284">
        <f t="shared" si="621"/>
        <v>1.0000000000000675</v>
      </c>
      <c r="E284">
        <f t="shared" si="621"/>
        <v>0</v>
      </c>
      <c r="F284">
        <f t="shared" si="621"/>
        <v>-0.99999999999997868</v>
      </c>
      <c r="G284">
        <f t="shared" si="621"/>
        <v>-0.99999999999997868</v>
      </c>
      <c r="H284">
        <f t="shared" si="621"/>
        <v>-2.0000000000000462</v>
      </c>
      <c r="I284">
        <f t="shared" si="621"/>
        <v>-0.99999999999997868</v>
      </c>
      <c r="J284">
        <f t="shared" si="621"/>
        <v>-0.99999999999997868</v>
      </c>
      <c r="K284">
        <f t="shared" si="621"/>
        <v>0</v>
      </c>
      <c r="L284">
        <f t="shared" si="621"/>
        <v>-1.9999999999999574</v>
      </c>
      <c r="M284">
        <f t="shared" si="621"/>
        <v>-1.9999999999999574</v>
      </c>
      <c r="N284">
        <f t="shared" si="621"/>
        <v>-2.0000000000000462</v>
      </c>
      <c r="O284" s="5">
        <f t="shared" si="602"/>
        <v>-5.684154174329807E-3</v>
      </c>
      <c r="P284" s="5">
        <f t="shared" si="602"/>
        <v>-1.2401780701885166E-2</v>
      </c>
      <c r="Q284" s="5">
        <f t="shared" si="602"/>
        <v>6.5024929401288111E-3</v>
      </c>
      <c r="R284" s="5">
        <f t="shared" si="602"/>
        <v>-5.3705821890168304E-3</v>
      </c>
      <c r="S284" s="5">
        <f t="shared" si="602"/>
        <v>-1.5580419339548081E-4</v>
      </c>
      <c r="T284" s="5">
        <f t="shared" ref="T284:X284" si="622">LN(T833/T834)</f>
        <v>1.5342817485931783E-3</v>
      </c>
      <c r="U284" s="5">
        <f t="shared" si="622"/>
        <v>1.5189422352833389E-3</v>
      </c>
      <c r="V284" s="5">
        <f t="shared" si="622"/>
        <v>4.1872920890841658E-3</v>
      </c>
      <c r="W284" s="5">
        <f t="shared" si="622"/>
        <v>1.4740261435288839E-3</v>
      </c>
      <c r="X284" s="5">
        <f t="shared" si="622"/>
        <v>1.3271555459848684E-4</v>
      </c>
      <c r="Z284" s="4">
        <v>45686</v>
      </c>
      <c r="AA284">
        <f>B284*B$3</f>
        <v>0</v>
      </c>
      <c r="AB284">
        <f>C284*C$3</f>
        <v>-2584.0000000001746</v>
      </c>
      <c r="AC284">
        <f>D284*D$3</f>
        <v>16143.00000000109</v>
      </c>
      <c r="AD284">
        <f>E284*E$3</f>
        <v>0</v>
      </c>
      <c r="AE284">
        <f>F284*F$3</f>
        <v>12427.999999999734</v>
      </c>
      <c r="AF284">
        <f>G284*G$3</f>
        <v>15627.999999999667</v>
      </c>
      <c r="AG284">
        <f>H284*H$3</f>
        <v>56432.000000001302</v>
      </c>
      <c r="AH284">
        <f>I284*I$3</f>
        <v>18455.999999999607</v>
      </c>
      <c r="AI284">
        <f>J284*J$3</f>
        <v>51051.499999998909</v>
      </c>
      <c r="AJ284">
        <f>K284*K$3</f>
        <v>0</v>
      </c>
      <c r="AK284">
        <f>L284*L$3</f>
        <v>-62007.999999998676</v>
      </c>
      <c r="AL284">
        <f>M284*M$3</f>
        <v>-64145.999999998632</v>
      </c>
      <c r="AM284">
        <f>N284*N$3</f>
        <v>0</v>
      </c>
      <c r="AN284">
        <f>O284*O$3</f>
        <v>0</v>
      </c>
      <c r="AO284">
        <f>P284*P$3</f>
        <v>62008.903509425829</v>
      </c>
      <c r="AP284">
        <f>Q284*Q$3</f>
        <v>78029.915281545735</v>
      </c>
      <c r="AQ284">
        <f>R284*R$3</f>
        <v>80558.732835252464</v>
      </c>
      <c r="AR284" s="1">
        <f>S284*S$3</f>
        <v>1090.6293537683657</v>
      </c>
      <c r="AS284" s="1">
        <f t="shared" si="608"/>
        <v>6137.1269943727129</v>
      </c>
      <c r="AT284" s="1">
        <f t="shared" si="608"/>
        <v>12151.537882266712</v>
      </c>
      <c r="AU284" s="1">
        <f t="shared" si="608"/>
        <v>0</v>
      </c>
      <c r="AV284" s="1">
        <f t="shared" si="608"/>
        <v>0</v>
      </c>
      <c r="AW284" s="1">
        <f t="shared" si="608"/>
        <v>0</v>
      </c>
      <c r="AX284" s="1">
        <f t="shared" si="573"/>
        <v>281377.34585663467</v>
      </c>
      <c r="AY284" s="1">
        <f t="shared" si="574"/>
        <v>239976.84585663181</v>
      </c>
      <c r="AZ284" s="1">
        <f t="shared" si="575"/>
        <v>41400.500000002852</v>
      </c>
    </row>
    <row r="285" spans="1:52" x14ac:dyDescent="0.25">
      <c r="A285" s="4">
        <v>45685</v>
      </c>
      <c r="B285">
        <f t="shared" ref="B285:N285" si="623">(B835-B834)*100</f>
        <v>0.99999999999997868</v>
      </c>
      <c r="C285">
        <f t="shared" si="623"/>
        <v>0</v>
      </c>
      <c r="D285">
        <f t="shared" si="623"/>
        <v>2.9999999999999361</v>
      </c>
      <c r="E285">
        <f t="shared" si="623"/>
        <v>2.0000000000000462</v>
      </c>
      <c r="F285">
        <f t="shared" si="623"/>
        <v>0</v>
      </c>
      <c r="G285">
        <f t="shared" si="623"/>
        <v>4.0000000000000036</v>
      </c>
      <c r="H285">
        <f t="shared" si="623"/>
        <v>9.9999999999999645</v>
      </c>
      <c r="I285">
        <f t="shared" si="623"/>
        <v>8.9999999999999858</v>
      </c>
      <c r="J285">
        <f t="shared" si="623"/>
        <v>10.999999999999943</v>
      </c>
      <c r="K285">
        <f t="shared" si="623"/>
        <v>10.000000000000053</v>
      </c>
      <c r="L285">
        <f t="shared" si="623"/>
        <v>9.9999999999999645</v>
      </c>
      <c r="M285">
        <f t="shared" si="623"/>
        <v>8.9999999999999858</v>
      </c>
      <c r="N285">
        <f t="shared" si="623"/>
        <v>8.9999999999999858</v>
      </c>
      <c r="O285" s="5">
        <f t="shared" ref="O285:S294" si="624">LN(O834/O835)</f>
        <v>-5.7870140182596855E-3</v>
      </c>
      <c r="P285" s="5">
        <f t="shared" si="624"/>
        <v>5.4664426081507921E-3</v>
      </c>
      <c r="Q285" s="5">
        <f t="shared" si="624"/>
        <v>2.7329222176991144E-3</v>
      </c>
      <c r="R285" s="5">
        <f t="shared" si="624"/>
        <v>-2.4073838027609627E-3</v>
      </c>
      <c r="S285" s="5">
        <f t="shared" si="624"/>
        <v>-9.091852877654261E-3</v>
      </c>
      <c r="T285" s="5">
        <f t="shared" ref="T285:X285" si="625">LN(T834/T835)</f>
        <v>2.1539325619043463E-3</v>
      </c>
      <c r="U285" s="5">
        <f t="shared" si="625"/>
        <v>-9.9596424082399839E-5</v>
      </c>
      <c r="V285" s="5">
        <f t="shared" si="625"/>
        <v>-5.3758291414316836E-3</v>
      </c>
      <c r="W285" s="5">
        <f t="shared" si="625"/>
        <v>4.6366230376542169E-3</v>
      </c>
      <c r="X285" s="5">
        <f t="shared" si="625"/>
        <v>-3.1256380154088097E-3</v>
      </c>
      <c r="Z285" s="4">
        <v>45685</v>
      </c>
      <c r="AA285">
        <f>B285*B$3</f>
        <v>-982.99999999997908</v>
      </c>
      <c r="AB285">
        <f>C285*C$3</f>
        <v>0</v>
      </c>
      <c r="AC285">
        <f>D285*D$3</f>
        <v>48428.999999998967</v>
      </c>
      <c r="AD285">
        <f>E285*E$3</f>
        <v>4856.0000000001119</v>
      </c>
      <c r="AE285">
        <f>F285*F$3</f>
        <v>0</v>
      </c>
      <c r="AF285">
        <f>G285*G$3</f>
        <v>-62512.000000000058</v>
      </c>
      <c r="AG285">
        <f>H285*H$3</f>
        <v>-282159.99999999901</v>
      </c>
      <c r="AH285">
        <f>I285*I$3</f>
        <v>-166103.99999999974</v>
      </c>
      <c r="AI285">
        <f>J285*J$3</f>
        <v>-561566.49999999709</v>
      </c>
      <c r="AJ285">
        <f>K285*K$3</f>
        <v>-783950.00000000419</v>
      </c>
      <c r="AK285">
        <f>L285*L$3</f>
        <v>310039.99999999889</v>
      </c>
      <c r="AL285">
        <f>M285*M$3</f>
        <v>288656.99999999953</v>
      </c>
      <c r="AM285">
        <f>N285*N$3</f>
        <v>0</v>
      </c>
      <c r="AN285">
        <f>O285*O$3</f>
        <v>0</v>
      </c>
      <c r="AO285">
        <f>P285*P$3</f>
        <v>-27332.213040753959</v>
      </c>
      <c r="AP285">
        <f>Q285*Q$3</f>
        <v>32795.066612389375</v>
      </c>
      <c r="AQ285">
        <f>R285*R$3</f>
        <v>36110.757041414443</v>
      </c>
      <c r="AR285" s="1">
        <f>S285*S$3</f>
        <v>63642.970143579827</v>
      </c>
      <c r="AS285" s="1">
        <f t="shared" si="608"/>
        <v>8615.7302476173845</v>
      </c>
      <c r="AT285" s="1">
        <f t="shared" si="608"/>
        <v>-796.77139265919868</v>
      </c>
      <c r="AU285" s="1">
        <f t="shared" si="608"/>
        <v>0</v>
      </c>
      <c r="AV285" s="1">
        <f t="shared" si="608"/>
        <v>0</v>
      </c>
      <c r="AW285" s="1">
        <f t="shared" si="608"/>
        <v>0</v>
      </c>
      <c r="AX285" s="1">
        <f t="shared" si="573"/>
        <v>-1092257.9603884146</v>
      </c>
      <c r="AY285" s="1">
        <f t="shared" si="574"/>
        <v>113035.53961158787</v>
      </c>
      <c r="AZ285" s="1">
        <f t="shared" si="575"/>
        <v>-1205293.5000000023</v>
      </c>
    </row>
    <row r="286" spans="1:52" x14ac:dyDescent="0.25">
      <c r="A286" s="4">
        <v>45684</v>
      </c>
      <c r="B286">
        <f t="shared" ref="B286:N286" si="626">(B836-B835)*100</f>
        <v>0</v>
      </c>
      <c r="C286">
        <f t="shared" si="626"/>
        <v>0</v>
      </c>
      <c r="D286">
        <f t="shared" si="626"/>
        <v>1.0000000000000675</v>
      </c>
      <c r="E286">
        <f t="shared" si="626"/>
        <v>0</v>
      </c>
      <c r="F286">
        <f t="shared" si="626"/>
        <v>1.9999999999999574</v>
      </c>
      <c r="G286">
        <f t="shared" si="626"/>
        <v>0.99999999999997868</v>
      </c>
      <c r="H286">
        <f t="shared" si="626"/>
        <v>2.0000000000000462</v>
      </c>
      <c r="I286">
        <f t="shared" si="626"/>
        <v>1.9999999999999574</v>
      </c>
      <c r="J286">
        <f t="shared" si="626"/>
        <v>2.0000000000000462</v>
      </c>
      <c r="K286">
        <f t="shared" si="626"/>
        <v>1.9999999999999574</v>
      </c>
      <c r="L286">
        <f t="shared" si="626"/>
        <v>2.0000000000000462</v>
      </c>
      <c r="M286">
        <f t="shared" si="626"/>
        <v>0.99999999999997868</v>
      </c>
      <c r="N286">
        <f t="shared" si="626"/>
        <v>2.0000000000000462</v>
      </c>
      <c r="O286" s="5">
        <f t="shared" si="624"/>
        <v>5.8718683658230972E-3</v>
      </c>
      <c r="P286" s="5">
        <f t="shared" si="624"/>
        <v>4.7778399537130763E-3</v>
      </c>
      <c r="Q286" s="5">
        <f t="shared" si="624"/>
        <v>-6.9749570582213552E-3</v>
      </c>
      <c r="R286" s="5">
        <f t="shared" si="624"/>
        <v>6.4326139793589717E-3</v>
      </c>
      <c r="S286" s="5">
        <f t="shared" si="624"/>
        <v>2.1564519701745308E-2</v>
      </c>
      <c r="T286" s="5">
        <f t="shared" ref="T286:X286" si="627">LN(T835/T836)</f>
        <v>-4.9389215347801817E-3</v>
      </c>
      <c r="U286" s="5">
        <f t="shared" si="627"/>
        <v>-8.4984919521807235E-3</v>
      </c>
      <c r="V286" s="5">
        <f t="shared" si="627"/>
        <v>-2.6354410789768056E-3</v>
      </c>
      <c r="W286" s="5">
        <f t="shared" si="627"/>
        <v>-1.5342680469050103E-3</v>
      </c>
      <c r="X286" s="5">
        <f t="shared" si="627"/>
        <v>-7.165054474641703E-4</v>
      </c>
      <c r="Z286" s="4">
        <v>45684</v>
      </c>
      <c r="AA286">
        <f>B286*B$3</f>
        <v>0</v>
      </c>
      <c r="AB286">
        <f>C286*C$3</f>
        <v>0</v>
      </c>
      <c r="AC286">
        <f>D286*D$3</f>
        <v>16143.00000000109</v>
      </c>
      <c r="AD286">
        <f>E286*E$3</f>
        <v>0</v>
      </c>
      <c r="AE286">
        <f>F286*F$3</f>
        <v>-24855.999999999469</v>
      </c>
      <c r="AF286">
        <f>G286*G$3</f>
        <v>-15627.999999999667</v>
      </c>
      <c r="AG286">
        <f>H286*H$3</f>
        <v>-56432.000000001302</v>
      </c>
      <c r="AH286">
        <f>I286*I$3</f>
        <v>-36911.999999999214</v>
      </c>
      <c r="AI286">
        <f>J286*J$3</f>
        <v>-102103.00000000236</v>
      </c>
      <c r="AJ286">
        <f>K286*K$3</f>
        <v>-156789.99999999665</v>
      </c>
      <c r="AK286">
        <f>L286*L$3</f>
        <v>62008.000000001433</v>
      </c>
      <c r="AL286">
        <f>M286*M$3</f>
        <v>32072.999999999316</v>
      </c>
      <c r="AM286">
        <f>N286*N$3</f>
        <v>0</v>
      </c>
      <c r="AN286">
        <f>O286*O$3</f>
        <v>0</v>
      </c>
      <c r="AO286">
        <f>P286*P$3</f>
        <v>-23889.199768565381</v>
      </c>
      <c r="AP286">
        <f>Q286*Q$3</f>
        <v>-83699.484698656262</v>
      </c>
      <c r="AQ286">
        <f>R286*R$3</f>
        <v>-96489.209690384581</v>
      </c>
      <c r="AR286" s="1">
        <f>S286*S$3</f>
        <v>-150951.63791221715</v>
      </c>
      <c r="AS286" s="1">
        <f t="shared" si="608"/>
        <v>-19755.686139120728</v>
      </c>
      <c r="AT286" s="1">
        <f t="shared" si="608"/>
        <v>-67987.935617445793</v>
      </c>
      <c r="AU286" s="1">
        <f t="shared" si="608"/>
        <v>0</v>
      </c>
      <c r="AV286" s="1">
        <f t="shared" si="608"/>
        <v>0</v>
      </c>
      <c r="AW286" s="1">
        <f t="shared" si="608"/>
        <v>0</v>
      </c>
      <c r="AX286" s="1">
        <f t="shared" si="573"/>
        <v>-725270.15382638667</v>
      </c>
      <c r="AY286" s="1">
        <f t="shared" si="574"/>
        <v>-442773.15382638987</v>
      </c>
      <c r="AZ286" s="1">
        <f t="shared" si="575"/>
        <v>-282496.9999999968</v>
      </c>
    </row>
    <row r="287" spans="1:52" x14ac:dyDescent="0.25">
      <c r="A287" s="4">
        <v>45681</v>
      </c>
      <c r="B287">
        <f t="shared" ref="B287:N287" si="628">(B837-B836)*100</f>
        <v>-3.0000000000000249</v>
      </c>
      <c r="C287">
        <f t="shared" si="628"/>
        <v>-1.0000000000000675</v>
      </c>
      <c r="D287">
        <f t="shared" si="628"/>
        <v>0</v>
      </c>
      <c r="E287">
        <f t="shared" si="628"/>
        <v>0</v>
      </c>
      <c r="F287">
        <f t="shared" si="628"/>
        <v>1.0000000000000675</v>
      </c>
      <c r="G287">
        <f t="shared" si="628"/>
        <v>2.0000000000000462</v>
      </c>
      <c r="H287">
        <f t="shared" si="628"/>
        <v>0</v>
      </c>
      <c r="I287">
        <f t="shared" si="628"/>
        <v>-0.99999999999997868</v>
      </c>
      <c r="J287">
        <f t="shared" si="628"/>
        <v>-2.0000000000000462</v>
      </c>
      <c r="K287">
        <f t="shared" si="628"/>
        <v>-4.0000000000000036</v>
      </c>
      <c r="L287">
        <f t="shared" si="628"/>
        <v>-5.0000000000000711</v>
      </c>
      <c r="M287">
        <f t="shared" si="628"/>
        <v>-3.0000000000000249</v>
      </c>
      <c r="N287">
        <f t="shared" si="628"/>
        <v>-4.9999999999999822</v>
      </c>
      <c r="O287" s="5">
        <f t="shared" si="624"/>
        <v>-8.012348684184779E-3</v>
      </c>
      <c r="P287" s="5">
        <f t="shared" si="624"/>
        <v>-1.3155423867287823E-2</v>
      </c>
      <c r="Q287" s="5">
        <f t="shared" si="624"/>
        <v>-5.4306070341693822E-3</v>
      </c>
      <c r="R287" s="5">
        <f t="shared" si="624"/>
        <v>8.0699399134074559E-4</v>
      </c>
      <c r="S287" s="5">
        <f t="shared" si="624"/>
        <v>-1.8321337657143065E-3</v>
      </c>
      <c r="T287" s="5">
        <f t="shared" ref="T287:X287" si="629">LN(T836/T837)</f>
        <v>-5.6232701369144115E-4</v>
      </c>
      <c r="U287" s="5">
        <f t="shared" si="629"/>
        <v>-3.219236687974998E-3</v>
      </c>
      <c r="V287" s="5">
        <f t="shared" si="629"/>
        <v>-1.8234696010351302E-3</v>
      </c>
      <c r="W287" s="5">
        <f t="shared" si="629"/>
        <v>-1.3154704157215262E-3</v>
      </c>
      <c r="X287" s="5">
        <f t="shared" si="629"/>
        <v>1.3011283438962569E-3</v>
      </c>
      <c r="Z287" s="4">
        <v>45681</v>
      </c>
      <c r="AA287">
        <f>B287*B$3</f>
        <v>2949.0000000000246</v>
      </c>
      <c r="AB287">
        <f>C287*C$3</f>
        <v>2584.0000000001746</v>
      </c>
      <c r="AC287">
        <f>D287*D$3</f>
        <v>0</v>
      </c>
      <c r="AD287">
        <f>E287*E$3</f>
        <v>0</v>
      </c>
      <c r="AE287">
        <f>F287*F$3</f>
        <v>-12428.000000000839</v>
      </c>
      <c r="AF287">
        <f>G287*G$3</f>
        <v>-31256.00000000072</v>
      </c>
      <c r="AG287">
        <f>H287*H$3</f>
        <v>0</v>
      </c>
      <c r="AH287">
        <f>I287*I$3</f>
        <v>18455.999999999607</v>
      </c>
      <c r="AI287">
        <f>J287*J$3</f>
        <v>102103.00000000236</v>
      </c>
      <c r="AJ287">
        <f>K287*K$3</f>
        <v>313580.00000000029</v>
      </c>
      <c r="AK287">
        <f>L287*L$3</f>
        <v>-155020.00000000221</v>
      </c>
      <c r="AL287">
        <f>M287*M$3</f>
        <v>-96219.0000000008</v>
      </c>
      <c r="AM287">
        <f>N287*N$3</f>
        <v>0</v>
      </c>
      <c r="AN287">
        <f>O287*O$3</f>
        <v>0</v>
      </c>
      <c r="AO287">
        <f>P287*P$3</f>
        <v>65777.119336439107</v>
      </c>
      <c r="AP287">
        <f>Q287*Q$3</f>
        <v>-65167.284410032589</v>
      </c>
      <c r="AQ287">
        <f>R287*R$3</f>
        <v>-12104.909870111183</v>
      </c>
      <c r="AR287" s="1">
        <f>S287*S$3</f>
        <v>12824.936360000145</v>
      </c>
      <c r="AS287" s="1">
        <f t="shared" si="608"/>
        <v>-2249.3080547657646</v>
      </c>
      <c r="AT287" s="1">
        <f t="shared" si="608"/>
        <v>-25753.893503799984</v>
      </c>
      <c r="AU287" s="1">
        <f t="shared" si="608"/>
        <v>0</v>
      </c>
      <c r="AV287" s="1">
        <f t="shared" si="608"/>
        <v>0</v>
      </c>
      <c r="AW287" s="1">
        <f t="shared" si="608"/>
        <v>0</v>
      </c>
      <c r="AX287" s="1">
        <f t="shared" si="573"/>
        <v>118075.65985772765</v>
      </c>
      <c r="AY287" s="1">
        <f t="shared" si="574"/>
        <v>-26673.340142270266</v>
      </c>
      <c r="AZ287" s="1">
        <f t="shared" si="575"/>
        <v>144748.9999999979</v>
      </c>
    </row>
    <row r="288" spans="1:52" x14ac:dyDescent="0.25">
      <c r="A288" s="4">
        <v>45680</v>
      </c>
      <c r="B288">
        <f t="shared" ref="B288:N288" si="630">(B838-B837)*100</f>
        <v>0</v>
      </c>
      <c r="C288">
        <f t="shared" si="630"/>
        <v>0</v>
      </c>
      <c r="D288">
        <f t="shared" si="630"/>
        <v>0</v>
      </c>
      <c r="E288">
        <f t="shared" si="630"/>
        <v>0.99999999999997868</v>
      </c>
      <c r="F288">
        <f t="shared" si="630"/>
        <v>0</v>
      </c>
      <c r="G288">
        <f t="shared" si="630"/>
        <v>0.99999999999997868</v>
      </c>
      <c r="H288">
        <f t="shared" si="630"/>
        <v>0</v>
      </c>
      <c r="I288">
        <f t="shared" si="630"/>
        <v>-0.99999999999997868</v>
      </c>
      <c r="J288">
        <f t="shared" si="630"/>
        <v>-2.9999999999999361</v>
      </c>
      <c r="K288">
        <f t="shared" si="630"/>
        <v>-1.9999999999999574</v>
      </c>
      <c r="L288">
        <f t="shared" si="630"/>
        <v>-2.9999999999999361</v>
      </c>
      <c r="M288">
        <f t="shared" si="630"/>
        <v>-1.9999999999999574</v>
      </c>
      <c r="N288">
        <f t="shared" si="630"/>
        <v>-2.0000000000000462</v>
      </c>
      <c r="O288" s="5">
        <f t="shared" si="624"/>
        <v>-4.6192562000359257E-3</v>
      </c>
      <c r="P288" s="5">
        <f t="shared" si="624"/>
        <v>-8.3782938145294666E-3</v>
      </c>
      <c r="Q288" s="5">
        <f t="shared" si="624"/>
        <v>-6.9291741976778417E-3</v>
      </c>
      <c r="R288" s="5">
        <f t="shared" si="624"/>
        <v>-8.0699399134080251E-4</v>
      </c>
      <c r="S288" s="5">
        <f t="shared" si="624"/>
        <v>-7.5198275873811738E-3</v>
      </c>
      <c r="T288" s="5">
        <f t="shared" ref="T288:X288" si="631">LN(T837/T838)</f>
        <v>-4.0591449116535112E-4</v>
      </c>
      <c r="U288" s="5">
        <f t="shared" si="631"/>
        <v>1.7193497287700842E-3</v>
      </c>
      <c r="V288" s="5">
        <f t="shared" si="631"/>
        <v>4.2663132771492565E-3</v>
      </c>
      <c r="W288" s="5">
        <f t="shared" si="631"/>
        <v>-2.0718262110330002E-3</v>
      </c>
      <c r="X288" s="5">
        <f t="shared" si="631"/>
        <v>-4.4126018072715027E-4</v>
      </c>
      <c r="Z288" s="4">
        <v>45680</v>
      </c>
      <c r="AA288">
        <f>B288*B$3</f>
        <v>0</v>
      </c>
      <c r="AB288">
        <f>C288*C$3</f>
        <v>0</v>
      </c>
      <c r="AC288">
        <f>D288*D$3</f>
        <v>0</v>
      </c>
      <c r="AD288">
        <f>E288*E$3</f>
        <v>2427.9999999999482</v>
      </c>
      <c r="AE288">
        <f>F288*F$3</f>
        <v>0</v>
      </c>
      <c r="AF288">
        <f>G288*G$3</f>
        <v>-15627.999999999667</v>
      </c>
      <c r="AG288">
        <f>H288*H$3</f>
        <v>0</v>
      </c>
      <c r="AH288">
        <f>I288*I$3</f>
        <v>18455.999999999607</v>
      </c>
      <c r="AI288">
        <f>J288*J$3</f>
        <v>153154.49999999674</v>
      </c>
      <c r="AJ288">
        <f>K288*K$3</f>
        <v>156789.99999999665</v>
      </c>
      <c r="AK288">
        <f>L288*L$3</f>
        <v>-93011.999999998021</v>
      </c>
      <c r="AL288">
        <f>M288*M$3</f>
        <v>-64145.999999998632</v>
      </c>
      <c r="AM288">
        <f>N288*N$3</f>
        <v>0</v>
      </c>
      <c r="AN288">
        <f>O288*O$3</f>
        <v>0</v>
      </c>
      <c r="AO288">
        <f>P288*P$3</f>
        <v>41891.469072647335</v>
      </c>
      <c r="AP288">
        <f>Q288*Q$3</f>
        <v>-83150.090372134102</v>
      </c>
      <c r="AQ288">
        <f>R288*R$3</f>
        <v>12104.909870112038</v>
      </c>
      <c r="AR288" s="1">
        <f>S288*S$3</f>
        <v>52638.793111668216</v>
      </c>
      <c r="AS288" s="1">
        <f t="shared" si="608"/>
        <v>-1623.6579646614045</v>
      </c>
      <c r="AT288" s="1">
        <f t="shared" si="608"/>
        <v>13754.797830160674</v>
      </c>
      <c r="AU288" s="1">
        <f t="shared" si="608"/>
        <v>0</v>
      </c>
      <c r="AV288" s="1">
        <f t="shared" si="608"/>
        <v>0</v>
      </c>
      <c r="AW288" s="1">
        <f t="shared" si="608"/>
        <v>0</v>
      </c>
      <c r="AX288" s="1">
        <f t="shared" si="573"/>
        <v>193658.72154778935</v>
      </c>
      <c r="AY288" s="1">
        <f t="shared" si="574"/>
        <v>35616.221547792753</v>
      </c>
      <c r="AZ288" s="1">
        <f t="shared" si="575"/>
        <v>158042.49999999659</v>
      </c>
    </row>
    <row r="289" spans="1:52" x14ac:dyDescent="0.25">
      <c r="A289" s="4">
        <v>45679</v>
      </c>
      <c r="B289">
        <f t="shared" ref="B289:N289" si="632">(B839-B838)*100</f>
        <v>0.99999999999997868</v>
      </c>
      <c r="C289">
        <f t="shared" si="632"/>
        <v>0</v>
      </c>
      <c r="D289">
        <f t="shared" si="632"/>
        <v>-2.0000000000000462</v>
      </c>
      <c r="E289">
        <f t="shared" si="632"/>
        <v>-0.99999999999997868</v>
      </c>
      <c r="F289">
        <f t="shared" si="632"/>
        <v>0</v>
      </c>
      <c r="G289">
        <f t="shared" si="632"/>
        <v>0</v>
      </c>
      <c r="H289">
        <f t="shared" si="632"/>
        <v>-2.0000000000000462</v>
      </c>
      <c r="I289">
        <f t="shared" si="632"/>
        <v>0</v>
      </c>
      <c r="J289">
        <f t="shared" si="632"/>
        <v>1.9999999999999574</v>
      </c>
      <c r="K289">
        <f t="shared" si="632"/>
        <v>2.9999999999999361</v>
      </c>
      <c r="L289">
        <f t="shared" si="632"/>
        <v>4.0000000000000036</v>
      </c>
      <c r="M289">
        <f t="shared" si="632"/>
        <v>4.0000000000000036</v>
      </c>
      <c r="N289">
        <f t="shared" si="632"/>
        <v>4.0000000000000036</v>
      </c>
      <c r="O289" s="5">
        <f t="shared" si="624"/>
        <v>-1.2755359936133472E-2</v>
      </c>
      <c r="P289" s="5">
        <f t="shared" si="624"/>
        <v>-9.1218306800164087E-3</v>
      </c>
      <c r="Q289" s="5">
        <f t="shared" si="624"/>
        <v>2.0957351865813422E-4</v>
      </c>
      <c r="R289" s="5">
        <f t="shared" si="624"/>
        <v>-2.6852862537508388E-3</v>
      </c>
      <c r="S289" s="5">
        <f t="shared" si="624"/>
        <v>-8.2438291977793964E-3</v>
      </c>
      <c r="T289" s="5">
        <f t="shared" ref="T289:X289" si="633">LN(T838/T839)</f>
        <v>1.4162053621809129E-3</v>
      </c>
      <c r="U289" s="5">
        <f t="shared" si="633"/>
        <v>-3.268898748531073E-4</v>
      </c>
      <c r="V289" s="5">
        <f t="shared" si="633"/>
        <v>3.3760182518431463E-3</v>
      </c>
      <c r="W289" s="5">
        <f t="shared" si="633"/>
        <v>3.0272283379772012E-3</v>
      </c>
      <c r="X289" s="5">
        <f t="shared" si="633"/>
        <v>7.1718781813591296E-4</v>
      </c>
      <c r="Z289" s="4">
        <v>45679</v>
      </c>
      <c r="AA289">
        <f>B289*B$3</f>
        <v>-982.99999999997908</v>
      </c>
      <c r="AB289">
        <f>C289*C$3</f>
        <v>0</v>
      </c>
      <c r="AC289">
        <f>D289*D$3</f>
        <v>-32286.000000000746</v>
      </c>
      <c r="AD289">
        <f>E289*E$3</f>
        <v>-2427.9999999999482</v>
      </c>
      <c r="AE289">
        <f>F289*F$3</f>
        <v>0</v>
      </c>
      <c r="AF289">
        <f>G289*G$3</f>
        <v>0</v>
      </c>
      <c r="AG289">
        <f>H289*H$3</f>
        <v>56432.000000001302</v>
      </c>
      <c r="AH289">
        <f>I289*I$3</f>
        <v>0</v>
      </c>
      <c r="AI289">
        <f>J289*J$3</f>
        <v>-102102.99999999782</v>
      </c>
      <c r="AJ289">
        <f>K289*K$3</f>
        <v>-235184.99999999499</v>
      </c>
      <c r="AK289">
        <f>L289*L$3</f>
        <v>124016.00000000012</v>
      </c>
      <c r="AL289">
        <f>M289*M$3</f>
        <v>128292.00000000012</v>
      </c>
      <c r="AM289">
        <f>N289*N$3</f>
        <v>0</v>
      </c>
      <c r="AN289">
        <f>O289*O$3</f>
        <v>0</v>
      </c>
      <c r="AO289">
        <f>P289*P$3</f>
        <v>45609.153400082047</v>
      </c>
      <c r="AP289">
        <f>Q289*Q$3</f>
        <v>2514.8822238976104</v>
      </c>
      <c r="AQ289">
        <f>R289*R$3</f>
        <v>40279.293806262584</v>
      </c>
      <c r="AR289" s="1">
        <f>S289*S$3</f>
        <v>57706.804384455776</v>
      </c>
      <c r="AS289" s="1">
        <f t="shared" si="608"/>
        <v>5664.8214487236519</v>
      </c>
      <c r="AT289" s="1">
        <f t="shared" si="608"/>
        <v>-2615.1189988248584</v>
      </c>
      <c r="AU289" s="1">
        <f t="shared" si="608"/>
        <v>0</v>
      </c>
      <c r="AV289" s="1">
        <f t="shared" si="608"/>
        <v>0</v>
      </c>
      <c r="AW289" s="1">
        <f t="shared" si="608"/>
        <v>0</v>
      </c>
      <c r="AX289" s="1">
        <f t="shared" si="573"/>
        <v>84914.836264604848</v>
      </c>
      <c r="AY289" s="1">
        <f t="shared" si="574"/>
        <v>149159.83626459682</v>
      </c>
      <c r="AZ289" s="1">
        <f t="shared" si="575"/>
        <v>-64244.999999991967</v>
      </c>
    </row>
    <row r="290" spans="1:52" x14ac:dyDescent="0.25">
      <c r="A290" s="4">
        <v>45678</v>
      </c>
      <c r="B290">
        <f t="shared" ref="B290:N290" si="634">(B840-B839)*100</f>
        <v>0</v>
      </c>
      <c r="C290">
        <f t="shared" si="634"/>
        <v>1.0000000000000675</v>
      </c>
      <c r="D290">
        <f t="shared" si="634"/>
        <v>0</v>
      </c>
      <c r="E290">
        <f t="shared" si="634"/>
        <v>0</v>
      </c>
      <c r="F290">
        <f t="shared" si="634"/>
        <v>-2.0000000000000462</v>
      </c>
      <c r="G290">
        <f t="shared" si="634"/>
        <v>-3.0000000000000249</v>
      </c>
      <c r="H290">
        <f t="shared" si="634"/>
        <v>-3.9999999999999147</v>
      </c>
      <c r="I290">
        <f t="shared" si="634"/>
        <v>-4.0000000000000036</v>
      </c>
      <c r="J290">
        <f t="shared" si="634"/>
        <v>-3.0000000000000249</v>
      </c>
      <c r="K290">
        <f t="shared" si="634"/>
        <v>-1.9999999999999574</v>
      </c>
      <c r="L290">
        <f t="shared" si="634"/>
        <v>0</v>
      </c>
      <c r="M290">
        <f t="shared" si="634"/>
        <v>0</v>
      </c>
      <c r="N290">
        <f t="shared" si="634"/>
        <v>0</v>
      </c>
      <c r="O290" s="5">
        <f t="shared" si="624"/>
        <v>-2.7923979051176482E-3</v>
      </c>
      <c r="P290" s="5">
        <f t="shared" si="624"/>
        <v>-6.8621423799793387E-3</v>
      </c>
      <c r="Q290" s="5">
        <f t="shared" si="624"/>
        <v>-8.6952316942420123E-3</v>
      </c>
      <c r="R290" s="5">
        <f t="shared" si="624"/>
        <v>-3.2128541693253938E-3</v>
      </c>
      <c r="S290" s="5">
        <f t="shared" si="624"/>
        <v>-6.2577157923274966E-3</v>
      </c>
      <c r="T290" s="5">
        <f t="shared" ref="T290:X290" si="635">LN(T839/T840)</f>
        <v>-1.1459330971382305E-2</v>
      </c>
      <c r="U290" s="5">
        <f t="shared" si="635"/>
        <v>-7.6897470643985423E-3</v>
      </c>
      <c r="V290" s="5">
        <f t="shared" si="635"/>
        <v>-6.8904166643664756E-4</v>
      </c>
      <c r="W290" s="5">
        <f t="shared" si="635"/>
        <v>-1.1319910811426165E-2</v>
      </c>
      <c r="X290" s="5">
        <f t="shared" si="635"/>
        <v>-5.6239869620843888E-3</v>
      </c>
      <c r="Z290" s="4">
        <v>45678</v>
      </c>
      <c r="AA290">
        <f>B290*B$3</f>
        <v>0</v>
      </c>
      <c r="AB290">
        <f>C290*C$3</f>
        <v>-2584.0000000001746</v>
      </c>
      <c r="AC290">
        <f>D290*D$3</f>
        <v>0</v>
      </c>
      <c r="AD290">
        <f>E290*E$3</f>
        <v>0</v>
      </c>
      <c r="AE290">
        <f>F290*F$3</f>
        <v>24856.000000000575</v>
      </c>
      <c r="AF290">
        <f>G290*G$3</f>
        <v>46884.000000000386</v>
      </c>
      <c r="AG290">
        <f>H290*H$3</f>
        <v>112863.9999999976</v>
      </c>
      <c r="AH290">
        <f>I290*I$3</f>
        <v>73824.000000000073</v>
      </c>
      <c r="AI290">
        <f>J290*J$3</f>
        <v>153154.50000000128</v>
      </c>
      <c r="AJ290">
        <f>K290*K$3</f>
        <v>156789.99999999665</v>
      </c>
      <c r="AK290">
        <f>L290*L$3</f>
        <v>0</v>
      </c>
      <c r="AL290">
        <f>M290*M$3</f>
        <v>0</v>
      </c>
      <c r="AM290">
        <f>N290*N$3</f>
        <v>0</v>
      </c>
      <c r="AN290">
        <f>O290*O$3</f>
        <v>0</v>
      </c>
      <c r="AO290">
        <f>P290*P$3</f>
        <v>34310.711899896691</v>
      </c>
      <c r="AP290">
        <f>Q290*Q$3</f>
        <v>-104342.78033090415</v>
      </c>
      <c r="AQ290">
        <f>R290*R$3</f>
        <v>48192.812539880906</v>
      </c>
      <c r="AR290" s="1">
        <f>S290*S$3</f>
        <v>43804.010546292477</v>
      </c>
      <c r="AS290" s="1">
        <f t="shared" si="608"/>
        <v>-45837.323885529222</v>
      </c>
      <c r="AT290" s="1">
        <f t="shared" si="608"/>
        <v>-61517.97651518834</v>
      </c>
      <c r="AU290" s="1">
        <f t="shared" si="608"/>
        <v>0</v>
      </c>
      <c r="AV290" s="1">
        <f t="shared" si="608"/>
        <v>0</v>
      </c>
      <c r="AW290" s="1">
        <f t="shared" si="608"/>
        <v>0</v>
      </c>
      <c r="AX290" s="1">
        <f t="shared" si="573"/>
        <v>480397.9542544448</v>
      </c>
      <c r="AY290" s="1">
        <f t="shared" si="574"/>
        <v>-85390.545745551644</v>
      </c>
      <c r="AZ290" s="1">
        <f t="shared" si="575"/>
        <v>565788.49999999651</v>
      </c>
    </row>
    <row r="291" spans="1:52" x14ac:dyDescent="0.25">
      <c r="A291" s="4">
        <v>45674</v>
      </c>
      <c r="B291">
        <f t="shared" ref="B291:N291" si="636">(B841-B840)*100</f>
        <v>-2.9999999999999361</v>
      </c>
      <c r="C291">
        <f t="shared" si="636"/>
        <v>-2.0000000000000462</v>
      </c>
      <c r="D291">
        <f t="shared" si="636"/>
        <v>0.99999999999997868</v>
      </c>
      <c r="E291">
        <f t="shared" si="636"/>
        <v>0</v>
      </c>
      <c r="F291">
        <f t="shared" si="636"/>
        <v>0</v>
      </c>
      <c r="G291">
        <f t="shared" si="636"/>
        <v>1.0000000000000675</v>
      </c>
      <c r="H291">
        <f t="shared" si="636"/>
        <v>3.9999999999999147</v>
      </c>
      <c r="I291">
        <f t="shared" si="636"/>
        <v>4.9999999999999822</v>
      </c>
      <c r="J291">
        <f t="shared" si="636"/>
        <v>6.0000000000000497</v>
      </c>
      <c r="K291">
        <f t="shared" si="636"/>
        <v>4.9999999999999822</v>
      </c>
      <c r="L291">
        <f t="shared" si="636"/>
        <v>4.9999999999999822</v>
      </c>
      <c r="M291">
        <f t="shared" si="636"/>
        <v>4.0000000000000036</v>
      </c>
      <c r="N291">
        <f t="shared" si="636"/>
        <v>4.0000000000000036</v>
      </c>
      <c r="O291" s="5">
        <f t="shared" si="624"/>
        <v>4.7467527621589574E-3</v>
      </c>
      <c r="P291" s="5">
        <f t="shared" si="624"/>
        <v>-2.3843405120872779E-3</v>
      </c>
      <c r="Q291" s="5">
        <f t="shared" si="624"/>
        <v>8.6952316942419273E-3</v>
      </c>
      <c r="R291" s="5">
        <f t="shared" si="624"/>
        <v>-4.2678112258228117E-3</v>
      </c>
      <c r="S291" s="5">
        <f t="shared" si="624"/>
        <v>-2.0868402053289417E-3</v>
      </c>
      <c r="T291" s="5">
        <f t="shared" ref="T291:X291" si="637">LN(T840/T841)</f>
        <v>-6.4879449491389292E-4</v>
      </c>
      <c r="U291" s="5">
        <f t="shared" si="637"/>
        <v>5.2630744639728063E-4</v>
      </c>
      <c r="V291" s="5">
        <f t="shared" si="637"/>
        <v>-5.7700437227389571E-3</v>
      </c>
      <c r="W291" s="5">
        <f t="shared" si="637"/>
        <v>4.033544444345092E-3</v>
      </c>
      <c r="X291" s="5">
        <f t="shared" si="637"/>
        <v>-1.0420491741657538E-3</v>
      </c>
      <c r="Z291" s="4">
        <v>45674</v>
      </c>
      <c r="AA291">
        <f>B291*B$3</f>
        <v>2948.9999999999372</v>
      </c>
      <c r="AB291">
        <f>C291*C$3</f>
        <v>5168.0000000001191</v>
      </c>
      <c r="AC291">
        <f>D291*D$3</f>
        <v>16142.999999999656</v>
      </c>
      <c r="AD291">
        <f>E291*E$3</f>
        <v>0</v>
      </c>
      <c r="AE291">
        <f>F291*F$3</f>
        <v>0</v>
      </c>
      <c r="AF291">
        <f>G291*G$3</f>
        <v>-15628.000000001055</v>
      </c>
      <c r="AG291">
        <f>H291*H$3</f>
        <v>-112863.9999999976</v>
      </c>
      <c r="AH291">
        <f>I291*I$3</f>
        <v>-92279.999999999665</v>
      </c>
      <c r="AI291">
        <f>J291*J$3</f>
        <v>-306309.00000000256</v>
      </c>
      <c r="AJ291">
        <f>K291*K$3</f>
        <v>-391974.9999999986</v>
      </c>
      <c r="AK291">
        <f>L291*L$3</f>
        <v>155019.99999999945</v>
      </c>
      <c r="AL291">
        <f>M291*M$3</f>
        <v>128292.00000000012</v>
      </c>
      <c r="AM291">
        <f>N291*N$3</f>
        <v>0</v>
      </c>
      <c r="AN291">
        <f>O291*O$3</f>
        <v>0</v>
      </c>
      <c r="AO291">
        <f>P291*P$3</f>
        <v>11921.70256043639</v>
      </c>
      <c r="AP291">
        <f>Q291*Q$3</f>
        <v>104342.78033090313</v>
      </c>
      <c r="AQ291">
        <f>R291*R$3</f>
        <v>64017.168387342172</v>
      </c>
      <c r="AR291" s="1">
        <f>S291*S$3</f>
        <v>14607.881437302593</v>
      </c>
      <c r="AS291" s="1">
        <f t="shared" si="608"/>
        <v>-2595.1779796555716</v>
      </c>
      <c r="AT291" s="1">
        <f t="shared" si="608"/>
        <v>4210.4595711782449</v>
      </c>
      <c r="AU291" s="1">
        <f t="shared" si="608"/>
        <v>0</v>
      </c>
      <c r="AV291" s="1">
        <f t="shared" si="608"/>
        <v>0</v>
      </c>
      <c r="AW291" s="1">
        <f t="shared" si="608"/>
        <v>0</v>
      </c>
      <c r="AX291" s="1">
        <f t="shared" si="573"/>
        <v>-414979.18569249322</v>
      </c>
      <c r="AY291" s="1">
        <f t="shared" si="574"/>
        <v>196504.81430750698</v>
      </c>
      <c r="AZ291" s="1">
        <f t="shared" si="575"/>
        <v>-611484.00000000023</v>
      </c>
    </row>
    <row r="292" spans="1:52" x14ac:dyDescent="0.25">
      <c r="A292" s="4">
        <v>45673</v>
      </c>
      <c r="B292">
        <f t="shared" ref="B292:N292" si="638">(B842-B841)*100</f>
        <v>1.9999999999999574</v>
      </c>
      <c r="C292">
        <f t="shared" si="638"/>
        <v>0.99999999999997868</v>
      </c>
      <c r="D292">
        <f t="shared" si="638"/>
        <v>1.0000000000000675</v>
      </c>
      <c r="E292">
        <f t="shared" si="638"/>
        <v>0.99999999999997868</v>
      </c>
      <c r="F292">
        <f t="shared" si="638"/>
        <v>3.0000000000000249</v>
      </c>
      <c r="G292">
        <f t="shared" si="638"/>
        <v>2.9999999999999361</v>
      </c>
      <c r="H292">
        <f t="shared" si="638"/>
        <v>10.000000000000053</v>
      </c>
      <c r="I292">
        <f t="shared" si="638"/>
        <v>12.000000000000011</v>
      </c>
      <c r="J292">
        <f t="shared" si="638"/>
        <v>13.999999999999968</v>
      </c>
      <c r="K292">
        <f t="shared" si="638"/>
        <v>15.000000000000036</v>
      </c>
      <c r="L292">
        <f t="shared" si="638"/>
        <v>12.000000000000011</v>
      </c>
      <c r="M292">
        <f t="shared" si="638"/>
        <v>10.999999999999943</v>
      </c>
      <c r="N292">
        <f t="shared" si="638"/>
        <v>10.000000000000053</v>
      </c>
      <c r="O292" s="5">
        <f t="shared" si="624"/>
        <v>-9.1140337562531728E-4</v>
      </c>
      <c r="P292" s="5">
        <f t="shared" si="624"/>
        <v>8.4409551175788876E-3</v>
      </c>
      <c r="Q292" s="5">
        <f t="shared" si="624"/>
        <v>-2.7309894378342121E-3</v>
      </c>
      <c r="R292" s="5">
        <f t="shared" si="624"/>
        <v>-1.5957450194682896E-3</v>
      </c>
      <c r="S292" s="5">
        <f t="shared" si="624"/>
        <v>1.5841455262277392E-2</v>
      </c>
      <c r="T292" s="5">
        <f t="shared" ref="T292:X292" si="639">LN(T841/T842)</f>
        <v>1.1228832625104009E-3</v>
      </c>
      <c r="U292" s="5">
        <f t="shared" si="639"/>
        <v>-2.4456233657014332E-3</v>
      </c>
      <c r="V292" s="5">
        <f t="shared" si="639"/>
        <v>-1.1422138616915755E-2</v>
      </c>
      <c r="W292" s="5">
        <f t="shared" si="639"/>
        <v>-7.0485014456938364E-3</v>
      </c>
      <c r="X292" s="5">
        <f t="shared" si="639"/>
        <v>-3.727372872847221E-4</v>
      </c>
      <c r="Z292" s="4">
        <v>45673</v>
      </c>
      <c r="AA292">
        <f>B292*B$3</f>
        <v>-1965.9999999999582</v>
      </c>
      <c r="AB292">
        <f>C292*C$3</f>
        <v>-2583.999999999945</v>
      </c>
      <c r="AC292">
        <f>D292*D$3</f>
        <v>16143.00000000109</v>
      </c>
      <c r="AD292">
        <f>E292*E$3</f>
        <v>2427.9999999999482</v>
      </c>
      <c r="AE292">
        <f>F292*F$3</f>
        <v>-37284.000000000306</v>
      </c>
      <c r="AF292">
        <f>G292*G$3</f>
        <v>-46883.999999999003</v>
      </c>
      <c r="AG292">
        <f>H292*H$3</f>
        <v>-282160.00000000151</v>
      </c>
      <c r="AH292">
        <f>I292*I$3</f>
        <v>-221472.0000000002</v>
      </c>
      <c r="AI292">
        <f>J292*J$3</f>
        <v>-714720.99999999837</v>
      </c>
      <c r="AJ292">
        <f>K292*K$3</f>
        <v>-1175925.0000000028</v>
      </c>
      <c r="AK292">
        <f>L292*L$3</f>
        <v>372048.00000000035</v>
      </c>
      <c r="AL292">
        <f>M292*M$3</f>
        <v>352802.9999999982</v>
      </c>
      <c r="AM292">
        <f>N292*N$3</f>
        <v>0</v>
      </c>
      <c r="AN292">
        <f>O292*O$3</f>
        <v>0</v>
      </c>
      <c r="AO292">
        <f>P292*P$3</f>
        <v>-42204.775587894437</v>
      </c>
      <c r="AP292">
        <f>Q292*Q$3</f>
        <v>-32771.873254010548</v>
      </c>
      <c r="AQ292">
        <f>R292*R$3</f>
        <v>23936.175292024345</v>
      </c>
      <c r="AR292" s="1">
        <f>S292*S$3</f>
        <v>-110890.18683594174</v>
      </c>
      <c r="AS292" s="1">
        <f t="shared" si="608"/>
        <v>4491.5330500416039</v>
      </c>
      <c r="AT292" s="1">
        <f t="shared" si="608"/>
        <v>-19564.986925611465</v>
      </c>
      <c r="AU292" s="1">
        <f t="shared" si="608"/>
        <v>0</v>
      </c>
      <c r="AV292" s="1">
        <f t="shared" si="608"/>
        <v>0</v>
      </c>
      <c r="AW292" s="1">
        <f t="shared" si="608"/>
        <v>0</v>
      </c>
      <c r="AX292" s="1">
        <f t="shared" si="573"/>
        <v>-1916578.1142613946</v>
      </c>
      <c r="AY292" s="1">
        <f t="shared" si="574"/>
        <v>-177004.11426139224</v>
      </c>
      <c r="AZ292" s="1">
        <f t="shared" si="575"/>
        <v>-1739574.0000000023</v>
      </c>
    </row>
    <row r="293" spans="1:52" x14ac:dyDescent="0.25">
      <c r="A293" s="4">
        <v>45672</v>
      </c>
      <c r="B293">
        <f t="shared" ref="B293:N293" si="640">(B843-B842)*100</f>
        <v>0</v>
      </c>
      <c r="C293">
        <f t="shared" si="640"/>
        <v>1.0000000000000675</v>
      </c>
      <c r="D293">
        <f t="shared" si="640"/>
        <v>0.99999999999997868</v>
      </c>
      <c r="E293">
        <f t="shared" si="640"/>
        <v>0.99999999999997868</v>
      </c>
      <c r="F293">
        <f t="shared" si="640"/>
        <v>0.99999999999997868</v>
      </c>
      <c r="G293">
        <f t="shared" si="640"/>
        <v>2.0000000000000462</v>
      </c>
      <c r="H293">
        <f t="shared" si="640"/>
        <v>3.0000000000000249</v>
      </c>
      <c r="I293">
        <f t="shared" si="640"/>
        <v>3.0000000000000249</v>
      </c>
      <c r="J293">
        <f t="shared" si="640"/>
        <v>2.0000000000000462</v>
      </c>
      <c r="K293">
        <f t="shared" si="640"/>
        <v>0.99999999999997868</v>
      </c>
      <c r="L293">
        <f t="shared" si="640"/>
        <v>0.99999999999997868</v>
      </c>
      <c r="M293">
        <f t="shared" si="640"/>
        <v>-0.99999999999997868</v>
      </c>
      <c r="N293">
        <f t="shared" si="640"/>
        <v>-1.0000000000000675</v>
      </c>
      <c r="O293" s="5">
        <f t="shared" si="624"/>
        <v>-4.8578275005820987E-3</v>
      </c>
      <c r="P293" s="5">
        <f t="shared" si="624"/>
        <v>4.0621019482070652E-3</v>
      </c>
      <c r="Q293" s="5">
        <f t="shared" si="624"/>
        <v>-8.0201477763503625E-3</v>
      </c>
      <c r="R293" s="5">
        <f t="shared" si="624"/>
        <v>-2.3888531599108795E-3</v>
      </c>
      <c r="S293" s="5">
        <f t="shared" si="624"/>
        <v>-1.9306437086079901E-3</v>
      </c>
      <c r="T293" s="5">
        <f t="shared" ref="T293:X293" si="641">LN(T842/T843)</f>
        <v>-4.0425110937458023E-3</v>
      </c>
      <c r="U293" s="5">
        <f t="shared" si="641"/>
        <v>1.6257529025501313E-3</v>
      </c>
      <c r="V293" s="5">
        <f t="shared" si="641"/>
        <v>4.3498748766195834E-3</v>
      </c>
      <c r="W293" s="5">
        <f t="shared" si="641"/>
        <v>7.9898307787992318E-5</v>
      </c>
      <c r="X293" s="5">
        <f t="shared" si="641"/>
        <v>-3.6318889163824606E-3</v>
      </c>
      <c r="Z293" s="4">
        <v>45672</v>
      </c>
      <c r="AA293">
        <f>B293*B$3</f>
        <v>0</v>
      </c>
      <c r="AB293">
        <f>C293*C$3</f>
        <v>-2584.0000000001746</v>
      </c>
      <c r="AC293">
        <f>D293*D$3</f>
        <v>16142.999999999656</v>
      </c>
      <c r="AD293">
        <f>E293*E$3</f>
        <v>2427.9999999999482</v>
      </c>
      <c r="AE293">
        <f>F293*F$3</f>
        <v>-12427.999999999734</v>
      </c>
      <c r="AF293">
        <f>G293*G$3</f>
        <v>-31256.00000000072</v>
      </c>
      <c r="AG293">
        <f>H293*H$3</f>
        <v>-84648.000000000698</v>
      </c>
      <c r="AH293">
        <f>I293*I$3</f>
        <v>-55368.000000000458</v>
      </c>
      <c r="AI293">
        <f>J293*J$3</f>
        <v>-102103.00000000236</v>
      </c>
      <c r="AJ293">
        <f>K293*K$3</f>
        <v>-78394.999999998327</v>
      </c>
      <c r="AK293">
        <f>L293*L$3</f>
        <v>31003.999999999338</v>
      </c>
      <c r="AL293">
        <f>M293*M$3</f>
        <v>-32072.999999999316</v>
      </c>
      <c r="AM293">
        <f>N293*N$3</f>
        <v>0</v>
      </c>
      <c r="AN293">
        <f>O293*O$3</f>
        <v>0</v>
      </c>
      <c r="AO293">
        <f>P293*P$3</f>
        <v>-20310.509741035326</v>
      </c>
      <c r="AP293">
        <f>Q293*Q$3</f>
        <v>-96241.773316204344</v>
      </c>
      <c r="AQ293">
        <f>R293*R$3</f>
        <v>35832.797398663191</v>
      </c>
      <c r="AR293" s="1">
        <f>S293*S$3</f>
        <v>13514.50596025593</v>
      </c>
      <c r="AS293" s="1">
        <f t="shared" ref="AS293:AW308" si="642">T293*T$3</f>
        <v>-16170.044374983208</v>
      </c>
      <c r="AT293" s="1">
        <f t="shared" si="642"/>
        <v>13006.02322040105</v>
      </c>
      <c r="AU293" s="1">
        <f t="shared" si="642"/>
        <v>0</v>
      </c>
      <c r="AV293" s="1">
        <f t="shared" si="642"/>
        <v>0</v>
      </c>
      <c r="AW293" s="1">
        <f t="shared" si="642"/>
        <v>0</v>
      </c>
      <c r="AX293" s="1">
        <f t="shared" si="573"/>
        <v>-419649.00085290562</v>
      </c>
      <c r="AY293" s="1">
        <f t="shared" si="574"/>
        <v>-70369.000852902696</v>
      </c>
      <c r="AZ293" s="1">
        <f t="shared" si="575"/>
        <v>-349280.00000000291</v>
      </c>
    </row>
    <row r="294" spans="1:52" x14ac:dyDescent="0.25">
      <c r="A294" s="4">
        <v>45671</v>
      </c>
      <c r="B294">
        <f t="shared" ref="B294:N294" si="643">(B844-B843)*100</f>
        <v>0</v>
      </c>
      <c r="C294">
        <f t="shared" si="643"/>
        <v>-1.0000000000000675</v>
      </c>
      <c r="D294">
        <f t="shared" si="643"/>
        <v>-0.99999999999997868</v>
      </c>
      <c r="E294">
        <f t="shared" si="643"/>
        <v>-0.99999999999997868</v>
      </c>
      <c r="F294">
        <f t="shared" si="643"/>
        <v>-3.0000000000000249</v>
      </c>
      <c r="G294">
        <f t="shared" si="643"/>
        <v>0.99999999999997868</v>
      </c>
      <c r="H294">
        <f t="shared" si="643"/>
        <v>0</v>
      </c>
      <c r="I294">
        <f t="shared" si="643"/>
        <v>-3.0000000000000249</v>
      </c>
      <c r="J294">
        <f t="shared" si="643"/>
        <v>-2.0000000000000462</v>
      </c>
      <c r="K294">
        <f t="shared" si="643"/>
        <v>-0.99999999999997868</v>
      </c>
      <c r="L294">
        <f t="shared" si="643"/>
        <v>-2.0000000000000462</v>
      </c>
      <c r="M294">
        <f t="shared" si="643"/>
        <v>-0.99999999999997868</v>
      </c>
      <c r="N294">
        <f t="shared" si="643"/>
        <v>-0.99999999999997868</v>
      </c>
      <c r="O294" s="5">
        <f t="shared" si="624"/>
        <v>-6.7026141321146647E-3</v>
      </c>
      <c r="P294" s="5">
        <f t="shared" si="624"/>
        <v>-3.2565741737192932E-3</v>
      </c>
      <c r="Q294" s="5">
        <f t="shared" si="624"/>
        <v>3.5213393723078691E-3</v>
      </c>
      <c r="R294" s="5">
        <f t="shared" si="624"/>
        <v>-2.1186448602852144E-3</v>
      </c>
      <c r="S294" s="5">
        <f t="shared" si="624"/>
        <v>-9.3275123228847949E-3</v>
      </c>
      <c r="T294" s="5">
        <f t="shared" ref="T294:X294" si="644">LN(T843/T844)</f>
        <v>-2.0304839862357884E-3</v>
      </c>
      <c r="U294" s="5">
        <f t="shared" si="644"/>
        <v>-2.3217233905627245E-3</v>
      </c>
      <c r="V294" s="5">
        <f t="shared" si="644"/>
        <v>-3.3179624393586122E-3</v>
      </c>
      <c r="W294" s="5">
        <f t="shared" si="644"/>
        <v>-6.0123858841770886E-3</v>
      </c>
      <c r="X294" s="5">
        <f t="shared" si="644"/>
        <v>-1.0804328909980779E-3</v>
      </c>
      <c r="Z294" s="4">
        <v>45671</v>
      </c>
      <c r="AA294">
        <f>B294*B$3</f>
        <v>0</v>
      </c>
      <c r="AB294">
        <f>C294*C$3</f>
        <v>2584.0000000001746</v>
      </c>
      <c r="AC294">
        <f>D294*D$3</f>
        <v>-16142.999999999656</v>
      </c>
      <c r="AD294">
        <f>E294*E$3</f>
        <v>-2427.9999999999482</v>
      </c>
      <c r="AE294">
        <f>F294*F$3</f>
        <v>37284.000000000306</v>
      </c>
      <c r="AF294">
        <f>G294*G$3</f>
        <v>-15627.999999999667</v>
      </c>
      <c r="AG294">
        <f>H294*H$3</f>
        <v>0</v>
      </c>
      <c r="AH294">
        <f>I294*I$3</f>
        <v>55368.000000000458</v>
      </c>
      <c r="AI294">
        <f>J294*J$3</f>
        <v>102103.00000000236</v>
      </c>
      <c r="AJ294">
        <f>K294*K$3</f>
        <v>78394.999999998327</v>
      </c>
      <c r="AK294">
        <f>L294*L$3</f>
        <v>-62008.000000001433</v>
      </c>
      <c r="AL294">
        <f>M294*M$3</f>
        <v>-32072.999999999316</v>
      </c>
      <c r="AM294">
        <f>N294*N$3</f>
        <v>0</v>
      </c>
      <c r="AN294">
        <f>O294*O$3</f>
        <v>0</v>
      </c>
      <c r="AO294">
        <f>P294*P$3</f>
        <v>16282.870868596467</v>
      </c>
      <c r="AP294">
        <f>Q294*Q$3</f>
        <v>42256.07246769443</v>
      </c>
      <c r="AQ294">
        <f>R294*R$3</f>
        <v>31779.672904278217</v>
      </c>
      <c r="AR294" s="1">
        <f>S294*S$3</f>
        <v>65292.586260193566</v>
      </c>
      <c r="AS294" s="1">
        <f t="shared" si="642"/>
        <v>-8121.9359449431531</v>
      </c>
      <c r="AT294" s="1">
        <f t="shared" si="642"/>
        <v>-18573.787124501796</v>
      </c>
      <c r="AU294" s="1">
        <f t="shared" si="642"/>
        <v>0</v>
      </c>
      <c r="AV294" s="1">
        <f t="shared" si="642"/>
        <v>0</v>
      </c>
      <c r="AW294" s="1">
        <f t="shared" si="642"/>
        <v>0</v>
      </c>
      <c r="AX294" s="1">
        <f t="shared" si="573"/>
        <v>276369.47943131934</v>
      </c>
      <c r="AY294" s="1">
        <f t="shared" si="574"/>
        <v>128915.47943131771</v>
      </c>
      <c r="AZ294" s="1">
        <f t="shared" si="575"/>
        <v>147454.00000000163</v>
      </c>
    </row>
    <row r="295" spans="1:52" x14ac:dyDescent="0.25">
      <c r="A295" s="4">
        <v>45670</v>
      </c>
      <c r="B295">
        <f t="shared" ref="B295:N295" si="645">(B845-B844)*100</f>
        <v>2.0000000000000462</v>
      </c>
      <c r="C295">
        <f t="shared" si="645"/>
        <v>1.0000000000000675</v>
      </c>
      <c r="D295">
        <f t="shared" si="645"/>
        <v>-1.0000000000000675</v>
      </c>
      <c r="E295">
        <f t="shared" si="645"/>
        <v>-2.0000000000000462</v>
      </c>
      <c r="F295">
        <f t="shared" si="645"/>
        <v>-2.9999999999999361</v>
      </c>
      <c r="G295">
        <f t="shared" si="645"/>
        <v>-8.9999999999999858</v>
      </c>
      <c r="H295">
        <f t="shared" si="645"/>
        <v>-13.000000000000078</v>
      </c>
      <c r="I295">
        <f t="shared" si="645"/>
        <v>-15.000000000000036</v>
      </c>
      <c r="J295">
        <f t="shared" si="645"/>
        <v>-12.999999999999989</v>
      </c>
      <c r="K295">
        <f t="shared" si="645"/>
        <v>-12.999999999999989</v>
      </c>
      <c r="L295">
        <f t="shared" si="645"/>
        <v>-8.9999999999999858</v>
      </c>
      <c r="M295">
        <f t="shared" si="645"/>
        <v>-5.9999999999999609</v>
      </c>
      <c r="N295">
        <f t="shared" si="645"/>
        <v>-4.0000000000000036</v>
      </c>
      <c r="O295" s="5">
        <f t="shared" ref="O295:S304" si="646">LN(O844/O845)</f>
        <v>1.8682710821079755E-3</v>
      </c>
      <c r="P295" s="5">
        <f t="shared" si="646"/>
        <v>-8.6549596103469139E-3</v>
      </c>
      <c r="Q295" s="5">
        <f t="shared" si="646"/>
        <v>5.2456009648500215E-3</v>
      </c>
      <c r="R295" s="5">
        <f t="shared" si="646"/>
        <v>2.3837913552761975E-3</v>
      </c>
      <c r="S295" s="5">
        <f t="shared" si="646"/>
        <v>8.8344559159366724E-4</v>
      </c>
      <c r="T295" s="5">
        <f t="shared" ref="T295:X295" si="647">LN(T844/T845)</f>
        <v>5.1766878955839613E-3</v>
      </c>
      <c r="U295" s="5">
        <f t="shared" si="647"/>
        <v>7.7066083905769998E-3</v>
      </c>
      <c r="V295" s="5">
        <f t="shared" si="647"/>
        <v>-1.0192650853544671E-3</v>
      </c>
      <c r="W295" s="5">
        <f t="shared" si="647"/>
        <v>5.6248676256552424E-3</v>
      </c>
      <c r="X295" s="5">
        <f t="shared" si="647"/>
        <v>5.1398870435630777E-3</v>
      </c>
      <c r="Z295" s="4">
        <v>45670</v>
      </c>
      <c r="AA295">
        <f>B295*B$3</f>
        <v>-1966.0000000000455</v>
      </c>
      <c r="AB295">
        <f>C295*C$3</f>
        <v>-2584.0000000001746</v>
      </c>
      <c r="AC295">
        <f>D295*D$3</f>
        <v>-16143.00000000109</v>
      </c>
      <c r="AD295">
        <f>E295*E$3</f>
        <v>-4856.0000000001119</v>
      </c>
      <c r="AE295">
        <f>F295*F$3</f>
        <v>37283.999999999207</v>
      </c>
      <c r="AF295">
        <f>G295*G$3</f>
        <v>140651.99999999977</v>
      </c>
      <c r="AG295">
        <f>H295*H$3</f>
        <v>366808.00000000221</v>
      </c>
      <c r="AH295">
        <f>I295*I$3</f>
        <v>276840.00000000064</v>
      </c>
      <c r="AI295">
        <f>J295*J$3</f>
        <v>663669.49999999942</v>
      </c>
      <c r="AJ295">
        <f>K295*K$3</f>
        <v>1019134.9999999992</v>
      </c>
      <c r="AK295">
        <f>L295*L$3</f>
        <v>-279035.99999999953</v>
      </c>
      <c r="AL295">
        <f>M295*M$3</f>
        <v>-192437.99999999875</v>
      </c>
      <c r="AM295">
        <f>N295*N$3</f>
        <v>0</v>
      </c>
      <c r="AN295">
        <f>O295*O$3</f>
        <v>0</v>
      </c>
      <c r="AO295">
        <f>P295*P$3</f>
        <v>43274.798051734571</v>
      </c>
      <c r="AP295">
        <f>Q295*Q$3</f>
        <v>62947.211578200258</v>
      </c>
      <c r="AQ295">
        <f>R295*R$3</f>
        <v>-35756.870329142963</v>
      </c>
      <c r="AR295" s="1">
        <f>S295*S$3</f>
        <v>-6184.1191411556711</v>
      </c>
      <c r="AS295" s="1">
        <f t="shared" si="642"/>
        <v>20706.751582335844</v>
      </c>
      <c r="AT295" s="1">
        <f t="shared" si="642"/>
        <v>61652.867124616001</v>
      </c>
      <c r="AU295" s="1">
        <f t="shared" si="642"/>
        <v>0</v>
      </c>
      <c r="AV295" s="1">
        <f t="shared" si="642"/>
        <v>0</v>
      </c>
      <c r="AW295" s="1">
        <f t="shared" si="642"/>
        <v>0</v>
      </c>
      <c r="AX295" s="1">
        <f t="shared" si="573"/>
        <v>2154006.1388665889</v>
      </c>
      <c r="AY295" s="1">
        <f t="shared" si="574"/>
        <v>146640.63886658804</v>
      </c>
      <c r="AZ295" s="1">
        <f t="shared" si="575"/>
        <v>2007365.5000000009</v>
      </c>
    </row>
    <row r="296" spans="1:52" x14ac:dyDescent="0.25">
      <c r="A296" s="4">
        <v>45667</v>
      </c>
      <c r="B296">
        <f t="shared" ref="B296:N296" si="648">(B846-B845)*100</f>
        <v>-3.0000000000000249</v>
      </c>
      <c r="C296">
        <f t="shared" si="648"/>
        <v>-2.0000000000000462</v>
      </c>
      <c r="D296">
        <f t="shared" si="648"/>
        <v>0</v>
      </c>
      <c r="E296">
        <f t="shared" si="648"/>
        <v>0</v>
      </c>
      <c r="F296">
        <f t="shared" si="648"/>
        <v>0.99999999999997868</v>
      </c>
      <c r="G296">
        <f t="shared" si="648"/>
        <v>3.0000000000000249</v>
      </c>
      <c r="H296">
        <f t="shared" si="648"/>
        <v>1.0000000000000675</v>
      </c>
      <c r="I296">
        <f t="shared" si="648"/>
        <v>0</v>
      </c>
      <c r="J296">
        <f t="shared" si="648"/>
        <v>-0.99999999999997868</v>
      </c>
      <c r="K296">
        <f t="shared" si="648"/>
        <v>-1.0000000000000675</v>
      </c>
      <c r="L296">
        <f t="shared" si="648"/>
        <v>-0.99999999999997868</v>
      </c>
      <c r="M296">
        <f t="shared" si="648"/>
        <v>-1.0000000000000675</v>
      </c>
      <c r="N296">
        <f t="shared" si="648"/>
        <v>-0.99999999999997868</v>
      </c>
      <c r="O296" s="5">
        <f t="shared" si="646"/>
        <v>-5.8227184465094338E-3</v>
      </c>
      <c r="P296" s="5">
        <f t="shared" si="646"/>
        <v>4.1366179142264163E-3</v>
      </c>
      <c r="Q296" s="5">
        <f t="shared" si="646"/>
        <v>-1.920618372528198E-3</v>
      </c>
      <c r="R296" s="5">
        <f t="shared" si="646"/>
        <v>-7.9522867013846884E-4</v>
      </c>
      <c r="S296" s="5">
        <f t="shared" si="646"/>
        <v>1.4046377006475317E-2</v>
      </c>
      <c r="T296" s="5">
        <f t="shared" ref="T296:X296" si="649">LN(T845/T846)</f>
        <v>4.644651565516451E-3</v>
      </c>
      <c r="U296" s="5">
        <f t="shared" si="649"/>
        <v>1.4407428206512448E-2</v>
      </c>
      <c r="V296" s="5">
        <f t="shared" si="649"/>
        <v>-1.1887310481619355E-3</v>
      </c>
      <c r="W296" s="5">
        <f t="shared" si="649"/>
        <v>7.2788811151650798E-3</v>
      </c>
      <c r="X296" s="5">
        <f t="shared" si="649"/>
        <v>2.8767003539855091E-3</v>
      </c>
      <c r="Z296" s="4">
        <v>45667</v>
      </c>
      <c r="AA296">
        <f>B296*B$3</f>
        <v>2949.0000000000246</v>
      </c>
      <c r="AB296">
        <f>C296*C$3</f>
        <v>5168.0000000001191</v>
      </c>
      <c r="AC296">
        <f>D296*D$3</f>
        <v>0</v>
      </c>
      <c r="AD296">
        <f>E296*E$3</f>
        <v>0</v>
      </c>
      <c r="AE296">
        <f>F296*F$3</f>
        <v>-12427.999999999734</v>
      </c>
      <c r="AF296">
        <f>G296*G$3</f>
        <v>-46884.000000000386</v>
      </c>
      <c r="AG296">
        <f>H296*H$3</f>
        <v>-28216.000000001906</v>
      </c>
      <c r="AH296">
        <f>I296*I$3</f>
        <v>0</v>
      </c>
      <c r="AI296">
        <f>J296*J$3</f>
        <v>51051.499999998909</v>
      </c>
      <c r="AJ296">
        <f>K296*K$3</f>
        <v>78395.000000005297</v>
      </c>
      <c r="AK296">
        <f>L296*L$3</f>
        <v>-31003.999999999338</v>
      </c>
      <c r="AL296">
        <f>M296*M$3</f>
        <v>-32073.000000002165</v>
      </c>
      <c r="AM296">
        <f>N296*N$3</f>
        <v>0</v>
      </c>
      <c r="AN296">
        <f>O296*O$3</f>
        <v>0</v>
      </c>
      <c r="AO296">
        <f>P296*P$3</f>
        <v>-20683.089571132081</v>
      </c>
      <c r="AP296">
        <f>Q296*Q$3</f>
        <v>-23047.420470338377</v>
      </c>
      <c r="AQ296">
        <f>R296*R$3</f>
        <v>11928.430052077032</v>
      </c>
      <c r="AR296" s="1">
        <f>S296*S$3</f>
        <v>-98324.639045327218</v>
      </c>
      <c r="AS296" s="1">
        <f t="shared" si="642"/>
        <v>18578.606262065805</v>
      </c>
      <c r="AT296" s="1">
        <f t="shared" si="642"/>
        <v>115259.42565209958</v>
      </c>
      <c r="AU296" s="1">
        <f t="shared" si="642"/>
        <v>0</v>
      </c>
      <c r="AV296" s="1">
        <f t="shared" si="642"/>
        <v>0</v>
      </c>
      <c r="AW296" s="1">
        <f t="shared" si="642"/>
        <v>0</v>
      </c>
      <c r="AX296" s="1">
        <f t="shared" si="573"/>
        <v>-9330.1871205544448</v>
      </c>
      <c r="AY296" s="1">
        <f t="shared" si="574"/>
        <v>3711.3128794447402</v>
      </c>
      <c r="AZ296" s="1">
        <f t="shared" si="575"/>
        <v>-13041.499999999185</v>
      </c>
    </row>
    <row r="297" spans="1:52" x14ac:dyDescent="0.25">
      <c r="A297" s="4">
        <v>45665</v>
      </c>
      <c r="B297">
        <f t="shared" ref="B297:N297" si="650">(B847-B846)*100</f>
        <v>0.99999999999997868</v>
      </c>
      <c r="C297">
        <f t="shared" si="650"/>
        <v>0.99999999999997868</v>
      </c>
      <c r="D297">
        <f t="shared" si="650"/>
        <v>0</v>
      </c>
      <c r="E297">
        <f t="shared" si="650"/>
        <v>0</v>
      </c>
      <c r="F297">
        <f t="shared" si="650"/>
        <v>-0.99999999999997868</v>
      </c>
      <c r="G297">
        <f t="shared" si="650"/>
        <v>0</v>
      </c>
      <c r="H297">
        <f t="shared" si="650"/>
        <v>1.9999999999999574</v>
      </c>
      <c r="I297">
        <f t="shared" si="650"/>
        <v>2.0000000000000462</v>
      </c>
      <c r="J297">
        <f t="shared" si="650"/>
        <v>0.99999999999997868</v>
      </c>
      <c r="K297">
        <f t="shared" si="650"/>
        <v>1.0000000000000675</v>
      </c>
      <c r="L297">
        <f t="shared" si="650"/>
        <v>0</v>
      </c>
      <c r="M297">
        <f t="shared" si="650"/>
        <v>0</v>
      </c>
      <c r="N297">
        <f t="shared" si="650"/>
        <v>0</v>
      </c>
      <c r="O297" s="5">
        <f t="shared" si="646"/>
        <v>9.5039058409968763E-3</v>
      </c>
      <c r="P297" s="5">
        <f t="shared" si="646"/>
        <v>-2.8856717663906873E-3</v>
      </c>
      <c r="Q297" s="5">
        <f t="shared" si="646"/>
        <v>-5.0872022565468826E-3</v>
      </c>
      <c r="R297" s="5">
        <f t="shared" si="646"/>
        <v>-5.2980133689569699E-4</v>
      </c>
      <c r="S297" s="5">
        <f t="shared" si="646"/>
        <v>5.9540945606328865E-3</v>
      </c>
      <c r="T297" s="5">
        <f t="shared" ref="T297:X297" si="651">LN(T846/T847)</f>
        <v>3.9390109920332435E-3</v>
      </c>
      <c r="U297" s="5">
        <f t="shared" si="651"/>
        <v>2.6487789340040794E-3</v>
      </c>
      <c r="V297" s="5">
        <f t="shared" si="651"/>
        <v>3.120439228958341E-3</v>
      </c>
      <c r="W297" s="5">
        <f t="shared" si="651"/>
        <v>6.7049143626485329E-4</v>
      </c>
      <c r="X297" s="5">
        <f t="shared" si="651"/>
        <v>4.8608451817066384E-3</v>
      </c>
      <c r="Z297" s="4">
        <v>45665</v>
      </c>
      <c r="AA297">
        <f>B297*B$3</f>
        <v>-982.99999999997908</v>
      </c>
      <c r="AB297">
        <f>C297*C$3</f>
        <v>-2583.999999999945</v>
      </c>
      <c r="AC297">
        <f>D297*D$3</f>
        <v>0</v>
      </c>
      <c r="AD297">
        <f>E297*E$3</f>
        <v>0</v>
      </c>
      <c r="AE297">
        <f>F297*F$3</f>
        <v>12427.999999999734</v>
      </c>
      <c r="AF297">
        <f>G297*G$3</f>
        <v>0</v>
      </c>
      <c r="AG297">
        <f>H297*H$3</f>
        <v>-56431.999999998799</v>
      </c>
      <c r="AH297">
        <f>I297*I$3</f>
        <v>-36912.000000000851</v>
      </c>
      <c r="AI297">
        <f>J297*J$3</f>
        <v>-51051.499999998909</v>
      </c>
      <c r="AJ297">
        <f>K297*K$3</f>
        <v>-78395.000000005297</v>
      </c>
      <c r="AK297">
        <f>L297*L$3</f>
        <v>0</v>
      </c>
      <c r="AL297">
        <f>M297*M$3</f>
        <v>0</v>
      </c>
      <c r="AM297">
        <f>N297*N$3</f>
        <v>0</v>
      </c>
      <c r="AN297">
        <f>O297*O$3</f>
        <v>0</v>
      </c>
      <c r="AO297">
        <f>P297*P$3</f>
        <v>14428.358831953436</v>
      </c>
      <c r="AP297">
        <f>Q297*Q$3</f>
        <v>-61046.427078562592</v>
      </c>
      <c r="AQ297">
        <f>R297*R$3</f>
        <v>7947.0200534354544</v>
      </c>
      <c r="AR297" s="1">
        <f>S297*S$3</f>
        <v>-41678.661924430206</v>
      </c>
      <c r="AS297" s="1">
        <f t="shared" si="642"/>
        <v>15756.043968132974</v>
      </c>
      <c r="AT297" s="1">
        <f t="shared" si="642"/>
        <v>21190.231472032636</v>
      </c>
      <c r="AU297" s="1">
        <f t="shared" si="642"/>
        <v>0</v>
      </c>
      <c r="AV297" s="1">
        <f t="shared" si="642"/>
        <v>0</v>
      </c>
      <c r="AW297" s="1">
        <f t="shared" si="642"/>
        <v>0</v>
      </c>
      <c r="AX297" s="1">
        <f t="shared" si="573"/>
        <v>-257332.93467744233</v>
      </c>
      <c r="AY297" s="1">
        <f t="shared" si="574"/>
        <v>-43403.434677438301</v>
      </c>
      <c r="AZ297" s="1">
        <f t="shared" si="575"/>
        <v>-213929.50000000402</v>
      </c>
    </row>
    <row r="298" spans="1:52" x14ac:dyDescent="0.25">
      <c r="A298" s="4">
        <v>45664</v>
      </c>
      <c r="B298">
        <f t="shared" ref="B298:N298" si="652">(B848-B847)*100</f>
        <v>0.99999999999997868</v>
      </c>
      <c r="C298">
        <f t="shared" si="652"/>
        <v>1.0000000000000675</v>
      </c>
      <c r="D298">
        <f t="shared" si="652"/>
        <v>0</v>
      </c>
      <c r="E298">
        <f t="shared" si="652"/>
        <v>0</v>
      </c>
      <c r="F298">
        <f t="shared" si="652"/>
        <v>0</v>
      </c>
      <c r="G298">
        <f t="shared" si="652"/>
        <v>-2.0000000000000462</v>
      </c>
      <c r="H298">
        <f t="shared" si="652"/>
        <v>-1.9999999999999574</v>
      </c>
      <c r="I298">
        <f t="shared" si="652"/>
        <v>-3.0000000000000249</v>
      </c>
      <c r="J298">
        <f t="shared" si="652"/>
        <v>-4.0000000000000036</v>
      </c>
      <c r="K298">
        <f t="shared" si="652"/>
        <v>-5.0000000000000711</v>
      </c>
      <c r="L298">
        <f t="shared" si="652"/>
        <v>-4.9999999999999822</v>
      </c>
      <c r="M298">
        <f t="shared" si="652"/>
        <v>-5.9999999999999609</v>
      </c>
      <c r="N298">
        <f t="shared" si="652"/>
        <v>-6.0000000000000497</v>
      </c>
      <c r="O298" s="5">
        <f t="shared" si="646"/>
        <v>-6.2041658457981808E-3</v>
      </c>
      <c r="P298" s="5">
        <f t="shared" si="646"/>
        <v>-1.3821702269516474E-3</v>
      </c>
      <c r="Q298" s="5">
        <f t="shared" si="646"/>
        <v>-8.3053198367101055E-4</v>
      </c>
      <c r="R298" s="5">
        <f t="shared" si="646"/>
        <v>4.246290881451004E-3</v>
      </c>
      <c r="S298" s="5">
        <f t="shared" si="646"/>
        <v>-7.092757803847786E-4</v>
      </c>
      <c r="T298" s="5">
        <f t="shared" ref="T298:X298" si="653">LN(T847/T848)</f>
        <v>-7.8317099971927338E-3</v>
      </c>
      <c r="U298" s="5">
        <f t="shared" si="653"/>
        <v>-6.7455571033657041E-3</v>
      </c>
      <c r="V298" s="5">
        <f t="shared" si="653"/>
        <v>1.662268541365081E-3</v>
      </c>
      <c r="W298" s="5">
        <f t="shared" si="653"/>
        <v>-3.0494095819185371E-3</v>
      </c>
      <c r="X298" s="5">
        <f t="shared" si="653"/>
        <v>-4.7068816982770182E-3</v>
      </c>
      <c r="Z298" s="4">
        <v>45664</v>
      </c>
      <c r="AA298">
        <f>B298*B$3</f>
        <v>-982.99999999997908</v>
      </c>
      <c r="AB298">
        <f>C298*C$3</f>
        <v>-2584.0000000001746</v>
      </c>
      <c r="AC298">
        <f>D298*D$3</f>
        <v>0</v>
      </c>
      <c r="AD298">
        <f>E298*E$3</f>
        <v>0</v>
      </c>
      <c r="AE298">
        <f>F298*F$3</f>
        <v>0</v>
      </c>
      <c r="AF298">
        <f>G298*G$3</f>
        <v>31256.00000000072</v>
      </c>
      <c r="AG298">
        <f>H298*H$3</f>
        <v>56431.999999998799</v>
      </c>
      <c r="AH298">
        <f>I298*I$3</f>
        <v>55368.000000000458</v>
      </c>
      <c r="AI298">
        <f>J298*J$3</f>
        <v>204206.00000000017</v>
      </c>
      <c r="AJ298">
        <f>K298*K$3</f>
        <v>391975.00000000559</v>
      </c>
      <c r="AK298">
        <f>L298*L$3</f>
        <v>-155019.99999999945</v>
      </c>
      <c r="AL298">
        <f>M298*M$3</f>
        <v>-192437.99999999875</v>
      </c>
      <c r="AM298">
        <f>N298*N$3</f>
        <v>0</v>
      </c>
      <c r="AN298">
        <f>O298*O$3</f>
        <v>0</v>
      </c>
      <c r="AO298">
        <f>P298*P$3</f>
        <v>6910.8511347582371</v>
      </c>
      <c r="AP298">
        <f>Q298*Q$3</f>
        <v>-9966.3838040521259</v>
      </c>
      <c r="AQ298">
        <f>R298*R$3</f>
        <v>-63694.363221765059</v>
      </c>
      <c r="AR298" s="1">
        <f>S298*S$3</f>
        <v>4964.93046269345</v>
      </c>
      <c r="AS298" s="1">
        <f t="shared" si="642"/>
        <v>-31326.839988770935</v>
      </c>
      <c r="AT298" s="1">
        <f t="shared" si="642"/>
        <v>-53964.456826925634</v>
      </c>
      <c r="AU298" s="1">
        <f t="shared" si="642"/>
        <v>0</v>
      </c>
      <c r="AV298" s="1">
        <f t="shared" si="642"/>
        <v>0</v>
      </c>
      <c r="AW298" s="1">
        <f t="shared" si="642"/>
        <v>0</v>
      </c>
      <c r="AX298" s="1">
        <f t="shared" si="573"/>
        <v>241135.73775594536</v>
      </c>
      <c r="AY298" s="1">
        <f t="shared" si="574"/>
        <v>-147076.26224406206</v>
      </c>
      <c r="AZ298" s="1">
        <f t="shared" si="575"/>
        <v>388212.00000000745</v>
      </c>
    </row>
    <row r="299" spans="1:52" x14ac:dyDescent="0.25">
      <c r="A299" s="4">
        <v>45663</v>
      </c>
      <c r="B299">
        <f t="shared" ref="B299:N299" si="654">(B849-B848)*100</f>
        <v>1.0000000000000675</v>
      </c>
      <c r="C299">
        <f t="shared" si="654"/>
        <v>-1.0000000000000675</v>
      </c>
      <c r="D299">
        <f t="shared" si="654"/>
        <v>-0.99999999999997868</v>
      </c>
      <c r="E299">
        <f t="shared" si="654"/>
        <v>0</v>
      </c>
      <c r="F299">
        <f t="shared" si="654"/>
        <v>0.99999999999997868</v>
      </c>
      <c r="G299">
        <f t="shared" si="654"/>
        <v>0.99999999999997868</v>
      </c>
      <c r="H299">
        <f t="shared" si="654"/>
        <v>0</v>
      </c>
      <c r="I299">
        <f t="shared" si="654"/>
        <v>2.0000000000000462</v>
      </c>
      <c r="J299">
        <f t="shared" si="654"/>
        <v>-0.99999999999997868</v>
      </c>
      <c r="K299">
        <f t="shared" si="654"/>
        <v>-0.99999999999997868</v>
      </c>
      <c r="L299">
        <f t="shared" si="654"/>
        <v>-2.0000000000000462</v>
      </c>
      <c r="M299">
        <f t="shared" si="654"/>
        <v>-3.0000000000000249</v>
      </c>
      <c r="N299">
        <f t="shared" si="654"/>
        <v>-2.9999999999999361</v>
      </c>
      <c r="O299" s="5">
        <f t="shared" si="646"/>
        <v>-7.2386112802105603E-3</v>
      </c>
      <c r="P299" s="5">
        <f t="shared" si="646"/>
        <v>0</v>
      </c>
      <c r="Q299" s="5">
        <f t="shared" si="646"/>
        <v>1.1910702234027022E-2</v>
      </c>
      <c r="R299" s="5">
        <f t="shared" si="646"/>
        <v>-1.8599713081008855E-3</v>
      </c>
      <c r="S299" s="5">
        <f t="shared" si="646"/>
        <v>-1.7705796591496469E-2</v>
      </c>
      <c r="T299" s="5">
        <f t="shared" ref="T299:X299" si="655">LN(T848/T849)</f>
        <v>-3.6106625795832197E-3</v>
      </c>
      <c r="U299" s="5">
        <f t="shared" si="655"/>
        <v>-3.7582571974484574E-3</v>
      </c>
      <c r="V299" s="5">
        <f t="shared" si="655"/>
        <v>7.5595328903294804E-4</v>
      </c>
      <c r="W299" s="5">
        <f t="shared" si="655"/>
        <v>-3.1083357428196949E-3</v>
      </c>
      <c r="X299" s="5">
        <f t="shared" si="655"/>
        <v>-2.9649186146379087E-3</v>
      </c>
      <c r="Z299" s="4">
        <v>45663</v>
      </c>
      <c r="AA299">
        <f>B299*B$3</f>
        <v>-983.00000000006639</v>
      </c>
      <c r="AB299">
        <f>C299*C$3</f>
        <v>2584.0000000001746</v>
      </c>
      <c r="AC299">
        <f>D299*D$3</f>
        <v>-16142.999999999656</v>
      </c>
      <c r="AD299">
        <f>E299*E$3</f>
        <v>0</v>
      </c>
      <c r="AE299">
        <f>F299*F$3</f>
        <v>-12427.999999999734</v>
      </c>
      <c r="AF299">
        <f>G299*G$3</f>
        <v>-15627.999999999667</v>
      </c>
      <c r="AG299">
        <f>H299*H$3</f>
        <v>0</v>
      </c>
      <c r="AH299">
        <f>I299*I$3</f>
        <v>-36912.000000000851</v>
      </c>
      <c r="AI299">
        <f>J299*J$3</f>
        <v>51051.499999998909</v>
      </c>
      <c r="AJ299">
        <f>K299*K$3</f>
        <v>78394.999999998327</v>
      </c>
      <c r="AK299">
        <f>L299*L$3</f>
        <v>-62008.000000001433</v>
      </c>
      <c r="AL299">
        <f>M299*M$3</f>
        <v>-96219.0000000008</v>
      </c>
      <c r="AM299">
        <f>N299*N$3</f>
        <v>0</v>
      </c>
      <c r="AN299">
        <f>O299*O$3</f>
        <v>0</v>
      </c>
      <c r="AO299">
        <f>P299*P$3</f>
        <v>0</v>
      </c>
      <c r="AP299">
        <f>Q299*Q$3</f>
        <v>142928.42680832426</v>
      </c>
      <c r="AQ299">
        <f>R299*R$3</f>
        <v>27899.569621513281</v>
      </c>
      <c r="AR299" s="1">
        <f>S299*S$3</f>
        <v>123940.57614047528</v>
      </c>
      <c r="AS299" s="1">
        <f t="shared" si="642"/>
        <v>-14442.650318332879</v>
      </c>
      <c r="AT299" s="1">
        <f t="shared" si="642"/>
        <v>-30066.057579587658</v>
      </c>
      <c r="AU299" s="1">
        <f t="shared" si="642"/>
        <v>0</v>
      </c>
      <c r="AV299" s="1">
        <f t="shared" si="642"/>
        <v>0</v>
      </c>
      <c r="AW299" s="1">
        <f t="shared" si="642"/>
        <v>0</v>
      </c>
      <c r="AX299" s="1">
        <f t="shared" si="573"/>
        <v>141969.36467238748</v>
      </c>
      <c r="AY299" s="1">
        <f t="shared" si="574"/>
        <v>250259.86467239229</v>
      </c>
      <c r="AZ299" s="1">
        <f t="shared" si="575"/>
        <v>-108290.5000000048</v>
      </c>
    </row>
    <row r="300" spans="1:52" x14ac:dyDescent="0.25">
      <c r="A300" s="4">
        <v>45660</v>
      </c>
      <c r="B300">
        <f t="shared" ref="B300:N300" si="656">(B850-B849)*100</f>
        <v>0.99999999999997868</v>
      </c>
      <c r="C300">
        <f t="shared" si="656"/>
        <v>1.0000000000000675</v>
      </c>
      <c r="D300">
        <f t="shared" si="656"/>
        <v>2.0000000000000462</v>
      </c>
      <c r="E300">
        <f t="shared" si="656"/>
        <v>0</v>
      </c>
      <c r="F300">
        <f t="shared" si="656"/>
        <v>0</v>
      </c>
      <c r="G300">
        <f t="shared" si="656"/>
        <v>-0.99999999999997868</v>
      </c>
      <c r="H300">
        <f t="shared" si="656"/>
        <v>-3.0000000000000249</v>
      </c>
      <c r="I300">
        <f t="shared" si="656"/>
        <v>-3.0000000000000249</v>
      </c>
      <c r="J300">
        <f t="shared" si="656"/>
        <v>-3.0000000000000249</v>
      </c>
      <c r="K300">
        <f t="shared" si="656"/>
        <v>-4.0000000000000036</v>
      </c>
      <c r="L300">
        <f t="shared" si="656"/>
        <v>-2.9999999999999361</v>
      </c>
      <c r="M300">
        <f t="shared" si="656"/>
        <v>-1.9999999999999574</v>
      </c>
      <c r="N300">
        <f t="shared" si="656"/>
        <v>-3.0000000000000249</v>
      </c>
      <c r="O300" s="5">
        <f t="shared" si="646"/>
        <v>-8.4598904789502539E-3</v>
      </c>
      <c r="P300" s="5">
        <f t="shared" si="646"/>
        <v>-7.7964164690368454E-3</v>
      </c>
      <c r="Q300" s="5">
        <f t="shared" si="646"/>
        <v>3.3862678252942436E-3</v>
      </c>
      <c r="R300" s="5">
        <f t="shared" si="646"/>
        <v>3.7234085570202633E-3</v>
      </c>
      <c r="S300" s="5">
        <f t="shared" si="646"/>
        <v>2.6107462232684005E-3</v>
      </c>
      <c r="T300" s="5">
        <f t="shared" ref="T300:X300" si="657">LN(T849/T850)</f>
        <v>8.1139971329246587E-3</v>
      </c>
      <c r="U300" s="5">
        <f t="shared" si="657"/>
        <v>1.1167151921014655E-2</v>
      </c>
      <c r="V300" s="5">
        <f t="shared" si="657"/>
        <v>-2.2660508812818439E-3</v>
      </c>
      <c r="W300" s="5">
        <f t="shared" si="657"/>
        <v>-1.0647567004228333E-3</v>
      </c>
      <c r="X300" s="5">
        <f t="shared" si="657"/>
        <v>4.6819484889304786E-3</v>
      </c>
      <c r="Z300" s="4">
        <v>45660</v>
      </c>
      <c r="AA300">
        <f>B300*B$3</f>
        <v>-982.99999999997908</v>
      </c>
      <c r="AB300">
        <f>C300*C$3</f>
        <v>-2584.0000000001746</v>
      </c>
      <c r="AC300">
        <f>D300*D$3</f>
        <v>32286.000000000746</v>
      </c>
      <c r="AD300">
        <f>E300*E$3</f>
        <v>0</v>
      </c>
      <c r="AE300">
        <f>F300*F$3</f>
        <v>0</v>
      </c>
      <c r="AF300">
        <f>G300*G$3</f>
        <v>15627.999999999667</v>
      </c>
      <c r="AG300">
        <f>H300*H$3</f>
        <v>84648.000000000698</v>
      </c>
      <c r="AH300">
        <f>I300*I$3</f>
        <v>55368.000000000458</v>
      </c>
      <c r="AI300">
        <f>J300*J$3</f>
        <v>153154.50000000128</v>
      </c>
      <c r="AJ300">
        <f>K300*K$3</f>
        <v>313580.00000000029</v>
      </c>
      <c r="AK300">
        <f>L300*L$3</f>
        <v>-93011.999999998021</v>
      </c>
      <c r="AL300">
        <f>M300*M$3</f>
        <v>-64145.999999998632</v>
      </c>
      <c r="AM300">
        <f>N300*N$3</f>
        <v>0</v>
      </c>
      <c r="AN300">
        <f>O300*O$3</f>
        <v>0</v>
      </c>
      <c r="AO300">
        <f>P300*P$3</f>
        <v>38982.08234518423</v>
      </c>
      <c r="AP300">
        <f>Q300*Q$3</f>
        <v>40635.213903530923</v>
      </c>
      <c r="AQ300">
        <f>R300*R$3</f>
        <v>-55851.128355303947</v>
      </c>
      <c r="AR300" s="1">
        <f>S300*S$3</f>
        <v>-18275.223562878804</v>
      </c>
      <c r="AS300" s="1">
        <f t="shared" si="642"/>
        <v>32455.988531698633</v>
      </c>
      <c r="AT300" s="1">
        <f t="shared" si="642"/>
        <v>89337.215368117249</v>
      </c>
      <c r="AU300" s="1">
        <f t="shared" si="642"/>
        <v>0</v>
      </c>
      <c r="AV300" s="1">
        <f t="shared" si="642"/>
        <v>0</v>
      </c>
      <c r="AW300" s="1">
        <f t="shared" si="642"/>
        <v>0</v>
      </c>
      <c r="AX300" s="1">
        <f t="shared" si="573"/>
        <v>621223.64823035477</v>
      </c>
      <c r="AY300" s="1">
        <f t="shared" si="574"/>
        <v>127284.14823034828</v>
      </c>
      <c r="AZ300" s="1">
        <f t="shared" si="575"/>
        <v>493939.50000000652</v>
      </c>
    </row>
    <row r="301" spans="1:52" x14ac:dyDescent="0.25">
      <c r="A301" s="4">
        <v>45659</v>
      </c>
      <c r="B301">
        <f t="shared" ref="B301:N301" si="658">(B851-B850)*100</f>
        <v>-4.9999999999999822</v>
      </c>
      <c r="C301">
        <f t="shared" si="658"/>
        <v>2.9999999999999361</v>
      </c>
      <c r="D301">
        <f t="shared" si="658"/>
        <v>0.99999999999997868</v>
      </c>
      <c r="E301">
        <f t="shared" si="658"/>
        <v>1.0000000000000675</v>
      </c>
      <c r="F301">
        <f t="shared" si="658"/>
        <v>-0.99999999999997868</v>
      </c>
      <c r="G301">
        <f t="shared" si="658"/>
        <v>-0.99999999999997868</v>
      </c>
      <c r="H301">
        <f t="shared" si="658"/>
        <v>0</v>
      </c>
      <c r="I301">
        <f t="shared" si="658"/>
        <v>-2.0000000000000462</v>
      </c>
      <c r="J301">
        <f t="shared" si="658"/>
        <v>0</v>
      </c>
      <c r="K301">
        <f t="shared" si="658"/>
        <v>1.0000000000000675</v>
      </c>
      <c r="L301">
        <f t="shared" si="658"/>
        <v>0.99999999999997868</v>
      </c>
      <c r="M301">
        <f t="shared" si="658"/>
        <v>0</v>
      </c>
      <c r="N301">
        <f t="shared" si="658"/>
        <v>-0.99999999999997868</v>
      </c>
      <c r="O301" s="5">
        <f t="shared" si="646"/>
        <v>2.628970168157046E-3</v>
      </c>
      <c r="P301" s="5">
        <f t="shared" si="646"/>
        <v>-6.1482602874715839E-3</v>
      </c>
      <c r="Q301" s="5">
        <f t="shared" si="646"/>
        <v>4.3649306446764367E-3</v>
      </c>
      <c r="R301" s="5">
        <f t="shared" si="646"/>
        <v>-1.0652464389481072E-3</v>
      </c>
      <c r="S301" s="5">
        <f t="shared" si="646"/>
        <v>-1.2741911224239767E-2</v>
      </c>
      <c r="T301" s="5">
        <f t="shared" ref="T301:X301" si="659">LN(T850/T851)</f>
        <v>5.2309064221463036E-3</v>
      </c>
      <c r="U301" s="5">
        <f t="shared" si="659"/>
        <v>2.3814908634136687E-3</v>
      </c>
      <c r="V301" s="5">
        <f t="shared" si="659"/>
        <v>4.6010048829059754E-3</v>
      </c>
      <c r="W301" s="5">
        <f t="shared" si="659"/>
        <v>4.156226961934557E-3</v>
      </c>
      <c r="X301" s="5">
        <f t="shared" si="659"/>
        <v>4.9806952902270362E-3</v>
      </c>
      <c r="Z301" s="4">
        <v>45659</v>
      </c>
      <c r="AA301">
        <f>B301*B$3</f>
        <v>4914.9999999999827</v>
      </c>
      <c r="AB301">
        <f>C301*C$3</f>
        <v>-7751.9999999998345</v>
      </c>
      <c r="AC301">
        <f>D301*D$3</f>
        <v>16142.999999999656</v>
      </c>
      <c r="AD301">
        <f>E301*E$3</f>
        <v>2428.0000000001637</v>
      </c>
      <c r="AE301">
        <f>F301*F$3</f>
        <v>12427.999999999734</v>
      </c>
      <c r="AF301">
        <f>G301*G$3</f>
        <v>15627.999999999667</v>
      </c>
      <c r="AG301">
        <f>H301*H$3</f>
        <v>0</v>
      </c>
      <c r="AH301">
        <f>I301*I$3</f>
        <v>36912.000000000851</v>
      </c>
      <c r="AI301">
        <f>J301*J$3</f>
        <v>0</v>
      </c>
      <c r="AJ301">
        <f>K301*K$3</f>
        <v>-78395.000000005297</v>
      </c>
      <c r="AK301">
        <f>L301*L$3</f>
        <v>31003.999999999338</v>
      </c>
      <c r="AL301">
        <f>M301*M$3</f>
        <v>0</v>
      </c>
      <c r="AM301">
        <f>N301*N$3</f>
        <v>0</v>
      </c>
      <c r="AN301">
        <f>O301*O$3</f>
        <v>0</v>
      </c>
      <c r="AO301">
        <f>P301*P$3</f>
        <v>30741.301437357921</v>
      </c>
      <c r="AP301">
        <f>Q301*Q$3</f>
        <v>52379.167736117241</v>
      </c>
      <c r="AQ301">
        <f>R301*R$3</f>
        <v>15978.696584221609</v>
      </c>
      <c r="AR301" s="1">
        <f>S301*S$3</f>
        <v>89193.378569678374</v>
      </c>
      <c r="AS301" s="1">
        <f t="shared" si="642"/>
        <v>20923.625688585213</v>
      </c>
      <c r="AT301" s="1">
        <f t="shared" si="642"/>
        <v>19051.926907309349</v>
      </c>
      <c r="AU301" s="1">
        <f t="shared" si="642"/>
        <v>0</v>
      </c>
      <c r="AV301" s="1">
        <f t="shared" si="642"/>
        <v>0</v>
      </c>
      <c r="AW301" s="1">
        <f t="shared" si="642"/>
        <v>0</v>
      </c>
      <c r="AX301" s="1">
        <f t="shared" si="573"/>
        <v>261579.09692326398</v>
      </c>
      <c r="AY301" s="1">
        <f t="shared" si="574"/>
        <v>228268.09692326974</v>
      </c>
      <c r="AZ301" s="1">
        <f t="shared" si="575"/>
        <v>33310.999999994237</v>
      </c>
    </row>
    <row r="302" spans="1:52" x14ac:dyDescent="0.25">
      <c r="A302" s="4">
        <v>45657</v>
      </c>
      <c r="B302">
        <f t="shared" ref="B302:N302" si="660">(B852-B851)*100</f>
        <v>2.9999999999999361</v>
      </c>
      <c r="C302">
        <f t="shared" si="660"/>
        <v>3.0000000000000249</v>
      </c>
      <c r="D302">
        <f t="shared" si="660"/>
        <v>0</v>
      </c>
      <c r="E302">
        <f t="shared" si="660"/>
        <v>0.99999999999997868</v>
      </c>
      <c r="F302">
        <f t="shared" si="660"/>
        <v>0.99999999999997868</v>
      </c>
      <c r="G302">
        <f t="shared" si="660"/>
        <v>0.99999999999997868</v>
      </c>
      <c r="H302">
        <f t="shared" si="660"/>
        <v>-0.99999999999997868</v>
      </c>
      <c r="I302">
        <f t="shared" si="660"/>
        <v>2.0000000000000462</v>
      </c>
      <c r="J302">
        <f t="shared" si="660"/>
        <v>-0.99999999999997868</v>
      </c>
      <c r="K302">
        <f t="shared" si="660"/>
        <v>-2.0000000000000462</v>
      </c>
      <c r="L302">
        <f t="shared" si="660"/>
        <v>-3.0000000000000249</v>
      </c>
      <c r="M302">
        <f t="shared" si="660"/>
        <v>-2.0000000000000462</v>
      </c>
      <c r="N302">
        <f t="shared" si="660"/>
        <v>-1.0000000000000675</v>
      </c>
      <c r="O302" s="5">
        <f t="shared" si="646"/>
        <v>0</v>
      </c>
      <c r="P302" s="5">
        <f t="shared" si="646"/>
        <v>0</v>
      </c>
      <c r="Q302" s="5">
        <f t="shared" si="646"/>
        <v>0</v>
      </c>
      <c r="R302" s="5">
        <f t="shared" si="646"/>
        <v>0</v>
      </c>
      <c r="S302" s="5">
        <f t="shared" si="646"/>
        <v>1.0832829426097781E-2</v>
      </c>
      <c r="T302" s="5">
        <f t="shared" ref="T302:X302" si="661">LN(T851/T852)</f>
        <v>2.2294183048875314E-3</v>
      </c>
      <c r="U302" s="5">
        <f t="shared" si="661"/>
        <v>2.3645552761249115E-3</v>
      </c>
      <c r="V302" s="5">
        <f t="shared" si="661"/>
        <v>-5.5769926934662942E-3</v>
      </c>
      <c r="W302" s="5">
        <f t="shared" si="661"/>
        <v>8.1956335541768935E-4</v>
      </c>
      <c r="X302" s="5">
        <f t="shared" si="661"/>
        <v>1.5512373795367681E-3</v>
      </c>
      <c r="Z302" s="4">
        <v>45657</v>
      </c>
      <c r="AA302">
        <f>B302*B$3</f>
        <v>-2948.9999999999372</v>
      </c>
      <c r="AB302">
        <f>C302*C$3</f>
        <v>-7752.0000000000646</v>
      </c>
      <c r="AC302">
        <f>D302*D$3</f>
        <v>0</v>
      </c>
      <c r="AD302">
        <f>E302*E$3</f>
        <v>2427.9999999999482</v>
      </c>
      <c r="AE302">
        <f>F302*F$3</f>
        <v>-12427.999999999734</v>
      </c>
      <c r="AF302">
        <f>G302*G$3</f>
        <v>-15627.999999999667</v>
      </c>
      <c r="AG302">
        <f>H302*H$3</f>
        <v>28215.9999999994</v>
      </c>
      <c r="AH302">
        <f>I302*I$3</f>
        <v>-36912.000000000851</v>
      </c>
      <c r="AI302">
        <f>J302*J$3</f>
        <v>51051.499999998909</v>
      </c>
      <c r="AJ302">
        <f>K302*K$3</f>
        <v>156790.00000000361</v>
      </c>
      <c r="AK302">
        <f>L302*L$3</f>
        <v>-93012.000000000771</v>
      </c>
      <c r="AL302">
        <f>M302*M$3</f>
        <v>-64146.000000001484</v>
      </c>
      <c r="AM302">
        <f>N302*N$3</f>
        <v>0</v>
      </c>
      <c r="AN302">
        <f>O302*O$3</f>
        <v>0</v>
      </c>
      <c r="AO302">
        <f>P302*P$3</f>
        <v>0</v>
      </c>
      <c r="AP302">
        <f>Q302*Q$3</f>
        <v>0</v>
      </c>
      <c r="AQ302">
        <f>R302*R$3</f>
        <v>0</v>
      </c>
      <c r="AR302" s="1">
        <f>S302*S$3</f>
        <v>-75829.805982684469</v>
      </c>
      <c r="AS302" s="1">
        <f t="shared" si="642"/>
        <v>8917.6732195501263</v>
      </c>
      <c r="AT302" s="1">
        <f t="shared" si="642"/>
        <v>18916.442208999291</v>
      </c>
      <c r="AU302" s="1">
        <f t="shared" si="642"/>
        <v>0</v>
      </c>
      <c r="AV302" s="1">
        <f t="shared" si="642"/>
        <v>0</v>
      </c>
      <c r="AW302" s="1">
        <f t="shared" si="642"/>
        <v>0</v>
      </c>
      <c r="AX302" s="1">
        <f t="shared" si="573"/>
        <v>-42337.190554135683</v>
      </c>
      <c r="AY302" s="1">
        <f t="shared" si="574"/>
        <v>-47995.690554135057</v>
      </c>
      <c r="AZ302" s="1">
        <f t="shared" si="575"/>
        <v>5658.4999999993743</v>
      </c>
    </row>
    <row r="303" spans="1:52" x14ac:dyDescent="0.25">
      <c r="A303" s="4">
        <v>45656</v>
      </c>
      <c r="B303">
        <f t="shared" ref="B303:N303" si="662">(B853-B852)*100</f>
        <v>1.0000000000000675</v>
      </c>
      <c r="C303">
        <f t="shared" si="662"/>
        <v>0.99999999999997868</v>
      </c>
      <c r="D303">
        <f t="shared" si="662"/>
        <v>-6.0000000000000497</v>
      </c>
      <c r="E303">
        <f t="shared" si="662"/>
        <v>1.9999999999999574</v>
      </c>
      <c r="F303">
        <f t="shared" si="662"/>
        <v>4.0000000000000036</v>
      </c>
      <c r="G303">
        <f t="shared" si="662"/>
        <v>3.0000000000000249</v>
      </c>
      <c r="H303">
        <f t="shared" si="662"/>
        <v>6.9999999999999396</v>
      </c>
      <c r="I303">
        <f t="shared" si="662"/>
        <v>7.0000000000000284</v>
      </c>
      <c r="J303">
        <f t="shared" si="662"/>
        <v>8.0000000000000071</v>
      </c>
      <c r="K303">
        <f t="shared" si="662"/>
        <v>7.0000000000000284</v>
      </c>
      <c r="L303">
        <f t="shared" si="662"/>
        <v>7.0000000000000284</v>
      </c>
      <c r="M303">
        <f t="shared" si="662"/>
        <v>4.9999999999999822</v>
      </c>
      <c r="N303">
        <f t="shared" si="662"/>
        <v>5.0000000000000711</v>
      </c>
      <c r="O303" s="5">
        <f t="shared" si="646"/>
        <v>-1.0975886436168471E-3</v>
      </c>
      <c r="P303" s="5">
        <f t="shared" si="646"/>
        <v>-1.1344300706117583E-3</v>
      </c>
      <c r="Q303" s="5">
        <f t="shared" si="646"/>
        <v>1.1799887404442063E-3</v>
      </c>
      <c r="R303" s="5">
        <f t="shared" si="646"/>
        <v>2.6652467802816223E-3</v>
      </c>
      <c r="S303" s="5">
        <f t="shared" si="646"/>
        <v>1.6531560976541258E-2</v>
      </c>
      <c r="T303" s="5">
        <f t="shared" ref="T303:X303" si="663">LN(T852/T853)</f>
        <v>-5.9431546682585986E-4</v>
      </c>
      <c r="U303" s="5">
        <f t="shared" si="663"/>
        <v>-3.9069317100466003E-3</v>
      </c>
      <c r="V303" s="5">
        <f t="shared" si="663"/>
        <v>7.920892821785847E-4</v>
      </c>
      <c r="W303" s="5">
        <f t="shared" si="663"/>
        <v>-3.3613513293380144E-4</v>
      </c>
      <c r="X303" s="5">
        <f t="shared" si="663"/>
        <v>3.2653262628492899E-3</v>
      </c>
      <c r="Z303" s="4">
        <v>45656</v>
      </c>
      <c r="AA303">
        <f>B303*B$3</f>
        <v>-983.00000000006639</v>
      </c>
      <c r="AB303">
        <f>C303*C$3</f>
        <v>-2583.999999999945</v>
      </c>
      <c r="AC303">
        <f>D303*D$3</f>
        <v>-96858.0000000008</v>
      </c>
      <c r="AD303">
        <f>E303*E$3</f>
        <v>4855.9999999998963</v>
      </c>
      <c r="AE303">
        <f>F303*F$3</f>
        <v>-49712.000000000044</v>
      </c>
      <c r="AF303">
        <f>G303*G$3</f>
        <v>-46884.000000000386</v>
      </c>
      <c r="AG303">
        <f>H303*H$3</f>
        <v>-197511.99999999828</v>
      </c>
      <c r="AH303">
        <f>I303*I$3</f>
        <v>-129192.00000000052</v>
      </c>
      <c r="AI303">
        <f>J303*J$3</f>
        <v>-408412.00000000035</v>
      </c>
      <c r="AJ303">
        <f>K303*K$3</f>
        <v>-548765.00000000221</v>
      </c>
      <c r="AK303">
        <f>L303*L$3</f>
        <v>217028.00000000087</v>
      </c>
      <c r="AL303">
        <f>M303*M$3</f>
        <v>160364.99999999942</v>
      </c>
      <c r="AM303">
        <f>N303*N$3</f>
        <v>0</v>
      </c>
      <c r="AN303">
        <f>O303*O$3</f>
        <v>0</v>
      </c>
      <c r="AO303">
        <f>P303*P$3</f>
        <v>5672.1503530587916</v>
      </c>
      <c r="AP303">
        <f>Q303*Q$3</f>
        <v>14159.864885330475</v>
      </c>
      <c r="AQ303">
        <f>R303*R$3</f>
        <v>-39978.701704224331</v>
      </c>
      <c r="AR303" s="1">
        <f>S303*S$3</f>
        <v>-115720.92683578881</v>
      </c>
      <c r="AS303" s="1">
        <f t="shared" si="642"/>
        <v>-2377.2618673034394</v>
      </c>
      <c r="AT303" s="1">
        <f t="shared" si="642"/>
        <v>-31255.453680372801</v>
      </c>
      <c r="AU303" s="1">
        <f t="shared" si="642"/>
        <v>0</v>
      </c>
      <c r="AV303" s="1">
        <f t="shared" si="642"/>
        <v>0</v>
      </c>
      <c r="AW303" s="1">
        <f t="shared" si="642"/>
        <v>0</v>
      </c>
      <c r="AX303" s="1">
        <f t="shared" si="573"/>
        <v>-1268153.3288493026</v>
      </c>
      <c r="AY303" s="1">
        <f t="shared" si="574"/>
        <v>-169500.3288493001</v>
      </c>
      <c r="AZ303" s="1">
        <f t="shared" si="575"/>
        <v>-1098653.0000000026</v>
      </c>
    </row>
    <row r="304" spans="1:52" x14ac:dyDescent="0.25">
      <c r="A304" s="4">
        <v>45653</v>
      </c>
      <c r="B304">
        <f t="shared" ref="B304:N304" si="664">(B854-B853)*100</f>
        <v>0.99999999999997868</v>
      </c>
      <c r="C304">
        <f t="shared" si="664"/>
        <v>2.0000000000000462</v>
      </c>
      <c r="D304">
        <f t="shared" si="664"/>
        <v>4.0000000000000036</v>
      </c>
      <c r="E304">
        <f t="shared" si="664"/>
        <v>2.0000000000000462</v>
      </c>
      <c r="F304">
        <f t="shared" si="664"/>
        <v>1.9999999999999574</v>
      </c>
      <c r="G304">
        <f t="shared" si="664"/>
        <v>3.0000000000000249</v>
      </c>
      <c r="H304">
        <f t="shared" si="664"/>
        <v>-0.99999999999997868</v>
      </c>
      <c r="I304">
        <f t="shared" si="664"/>
        <v>-1.0000000000000675</v>
      </c>
      <c r="J304">
        <f t="shared" si="664"/>
        <v>-3.0000000000000249</v>
      </c>
      <c r="K304">
        <f t="shared" si="664"/>
        <v>-4.0000000000000036</v>
      </c>
      <c r="L304">
        <f t="shared" si="664"/>
        <v>-4.0000000000000036</v>
      </c>
      <c r="M304">
        <f t="shared" si="664"/>
        <v>-5.9999999999999609</v>
      </c>
      <c r="N304">
        <f t="shared" si="664"/>
        <v>-6.0000000000000497</v>
      </c>
      <c r="O304" s="5">
        <f t="shared" si="646"/>
        <v>5.4189276981956806E-3</v>
      </c>
      <c r="P304" s="5">
        <f t="shared" si="646"/>
        <v>3.6506464379801803E-3</v>
      </c>
      <c r="Q304" s="5">
        <f t="shared" si="646"/>
        <v>1.8989712881226932E-3</v>
      </c>
      <c r="R304" s="5">
        <f t="shared" si="646"/>
        <v>1.8699083851096015E-3</v>
      </c>
      <c r="S304" s="5">
        <f t="shared" si="646"/>
        <v>5.4728407528779454E-3</v>
      </c>
      <c r="T304" s="5">
        <f t="shared" ref="T304:X304" si="665">LN(T853/T854)</f>
        <v>-2.269603720485935E-3</v>
      </c>
      <c r="U304" s="5">
        <f t="shared" si="665"/>
        <v>1.1157610230429109E-3</v>
      </c>
      <c r="V304" s="5">
        <f t="shared" si="665"/>
        <v>3.90627749297067E-3</v>
      </c>
      <c r="W304" s="5">
        <f t="shared" si="665"/>
        <v>3.4597511832064787E-3</v>
      </c>
      <c r="X304" s="5">
        <f t="shared" si="665"/>
        <v>-5.7837375049086528E-4</v>
      </c>
      <c r="Z304" s="4">
        <v>45653</v>
      </c>
      <c r="AA304">
        <f>B304*B$3</f>
        <v>-982.99999999997908</v>
      </c>
      <c r="AB304">
        <f>C304*C$3</f>
        <v>-5168.0000000001191</v>
      </c>
      <c r="AC304">
        <f>D304*D$3</f>
        <v>64572.000000000058</v>
      </c>
      <c r="AD304">
        <f>E304*E$3</f>
        <v>4856.0000000001119</v>
      </c>
      <c r="AE304">
        <f>F304*F$3</f>
        <v>-24855.999999999469</v>
      </c>
      <c r="AF304">
        <f>G304*G$3</f>
        <v>-46884.000000000386</v>
      </c>
      <c r="AG304">
        <f>H304*H$3</f>
        <v>28215.9999999994</v>
      </c>
      <c r="AH304">
        <f>I304*I$3</f>
        <v>18456.000000001244</v>
      </c>
      <c r="AI304">
        <f>J304*J$3</f>
        <v>153154.50000000128</v>
      </c>
      <c r="AJ304">
        <f>K304*K$3</f>
        <v>313580.00000000029</v>
      </c>
      <c r="AK304">
        <f>L304*L$3</f>
        <v>-124016.00000000012</v>
      </c>
      <c r="AL304">
        <f>M304*M$3</f>
        <v>-192437.99999999875</v>
      </c>
      <c r="AM304">
        <f>N304*N$3</f>
        <v>0</v>
      </c>
      <c r="AN304">
        <f>O304*O$3</f>
        <v>0</v>
      </c>
      <c r="AO304">
        <f>P304*P$3</f>
        <v>-18253.2321899009</v>
      </c>
      <c r="AP304">
        <f>Q304*Q$3</f>
        <v>22787.65545747232</v>
      </c>
      <c r="AQ304">
        <f>R304*R$3</f>
        <v>-28048.625776644021</v>
      </c>
      <c r="AR304" s="1">
        <f>S304*S$3</f>
        <v>-38309.88527014562</v>
      </c>
      <c r="AS304" s="1">
        <f t="shared" si="642"/>
        <v>-9078.4148819437396</v>
      </c>
      <c r="AT304" s="1">
        <f t="shared" si="642"/>
        <v>8926.0881843432871</v>
      </c>
      <c r="AU304" s="1">
        <f t="shared" si="642"/>
        <v>0</v>
      </c>
      <c r="AV304" s="1">
        <f t="shared" si="642"/>
        <v>0</v>
      </c>
      <c r="AW304" s="1">
        <f t="shared" si="642"/>
        <v>0</v>
      </c>
      <c r="AX304" s="1">
        <f t="shared" si="573"/>
        <v>126513.0855231849</v>
      </c>
      <c r="AY304" s="1">
        <f t="shared" si="574"/>
        <v>-61976.414476818682</v>
      </c>
      <c r="AZ304" s="1">
        <f t="shared" si="575"/>
        <v>188489.50000000358</v>
      </c>
    </row>
    <row r="305" spans="1:52" x14ac:dyDescent="0.25">
      <c r="A305" s="4">
        <v>45652</v>
      </c>
      <c r="B305">
        <f t="shared" ref="B305:N305" si="666">(B855-B854)*100</f>
        <v>-0.99999999999997868</v>
      </c>
      <c r="C305">
        <f t="shared" si="666"/>
        <v>-0.99999999999997868</v>
      </c>
      <c r="D305">
        <f t="shared" si="666"/>
        <v>5.0000000000000711</v>
      </c>
      <c r="E305">
        <f t="shared" si="666"/>
        <v>0.99999999999997868</v>
      </c>
      <c r="F305">
        <f t="shared" si="666"/>
        <v>-0.99999999999997868</v>
      </c>
      <c r="G305">
        <f t="shared" si="666"/>
        <v>0.99999999999997868</v>
      </c>
      <c r="H305">
        <f t="shared" si="666"/>
        <v>-0.99999999999997868</v>
      </c>
      <c r="I305">
        <f t="shared" si="666"/>
        <v>1.0000000000000675</v>
      </c>
      <c r="J305">
        <f t="shared" si="666"/>
        <v>0.99999999999997868</v>
      </c>
      <c r="K305">
        <f t="shared" si="666"/>
        <v>2.9999999999999361</v>
      </c>
      <c r="L305">
        <f t="shared" si="666"/>
        <v>0.99999999999997868</v>
      </c>
      <c r="M305">
        <f t="shared" si="666"/>
        <v>0.99999999999997868</v>
      </c>
      <c r="N305">
        <f t="shared" si="666"/>
        <v>0</v>
      </c>
      <c r="O305" s="5">
        <f t="shared" ref="O305:S314" si="667">LN(O854/O855)</f>
        <v>1.9320226487544257E-3</v>
      </c>
      <c r="P305" s="5">
        <f t="shared" si="667"/>
        <v>4.3175232111965995E-3</v>
      </c>
      <c r="Q305" s="5">
        <f t="shared" si="667"/>
        <v>-3.7439809609302031E-3</v>
      </c>
      <c r="R305" s="5">
        <f t="shared" si="667"/>
        <v>2.6773777707163942E-3</v>
      </c>
      <c r="S305" s="5">
        <f t="shared" si="667"/>
        <v>5.9894320492621901E-4</v>
      </c>
      <c r="T305" s="5">
        <f t="shared" ref="T305:X305" si="668">LN(T854/T855)</f>
        <v>6.032264546451245E-4</v>
      </c>
      <c r="U305" s="5">
        <f t="shared" si="668"/>
        <v>-7.3983472223796245E-4</v>
      </c>
      <c r="V305" s="5">
        <f t="shared" si="668"/>
        <v>-2.0361365268267392E-4</v>
      </c>
      <c r="W305" s="5">
        <f t="shared" si="668"/>
        <v>5.6218638017284664E-5</v>
      </c>
      <c r="X305" s="5">
        <f t="shared" si="668"/>
        <v>1.0568372008735692E-3</v>
      </c>
      <c r="Z305" s="4">
        <v>45652</v>
      </c>
      <c r="AA305">
        <f>B305*B$3</f>
        <v>982.99999999997908</v>
      </c>
      <c r="AB305">
        <f>C305*C$3</f>
        <v>2583.999999999945</v>
      </c>
      <c r="AC305">
        <f>D305*D$3</f>
        <v>80715.00000000115</v>
      </c>
      <c r="AD305">
        <f>E305*E$3</f>
        <v>2427.9999999999482</v>
      </c>
      <c r="AE305">
        <f>F305*F$3</f>
        <v>12427.999999999734</v>
      </c>
      <c r="AF305">
        <f>G305*G$3</f>
        <v>-15627.999999999667</v>
      </c>
      <c r="AG305">
        <f>H305*H$3</f>
        <v>28215.9999999994</v>
      </c>
      <c r="AH305">
        <f>I305*I$3</f>
        <v>-18456.000000001244</v>
      </c>
      <c r="AI305">
        <f>J305*J$3</f>
        <v>-51051.499999998909</v>
      </c>
      <c r="AJ305">
        <f>K305*K$3</f>
        <v>-235184.99999999499</v>
      </c>
      <c r="AK305">
        <f>L305*L$3</f>
        <v>31003.999999999338</v>
      </c>
      <c r="AL305">
        <f>M305*M$3</f>
        <v>32072.999999999316</v>
      </c>
      <c r="AM305">
        <f>N305*N$3</f>
        <v>0</v>
      </c>
      <c r="AN305">
        <f>O305*O$3</f>
        <v>0</v>
      </c>
      <c r="AO305">
        <f>P305*P$3</f>
        <v>-21587.616055982999</v>
      </c>
      <c r="AP305">
        <f>Q305*Q$3</f>
        <v>-44927.771531162434</v>
      </c>
      <c r="AQ305">
        <f>R305*R$3</f>
        <v>-40160.666560745914</v>
      </c>
      <c r="AR305" s="1">
        <f>S305*S$3</f>
        <v>-4192.6024344835332</v>
      </c>
      <c r="AS305" s="1">
        <f t="shared" si="642"/>
        <v>2412.9058185804979</v>
      </c>
      <c r="AT305" s="1">
        <f t="shared" si="642"/>
        <v>-5918.6777779036993</v>
      </c>
      <c r="AU305" s="1">
        <f t="shared" si="642"/>
        <v>0</v>
      </c>
      <c r="AV305" s="1">
        <f t="shared" si="642"/>
        <v>0</v>
      </c>
      <c r="AW305" s="1">
        <f t="shared" si="642"/>
        <v>0</v>
      </c>
      <c r="AX305" s="1">
        <f t="shared" si="573"/>
        <v>-244263.92854169407</v>
      </c>
      <c r="AY305" s="1">
        <f t="shared" si="574"/>
        <v>-114374.42854169807</v>
      </c>
      <c r="AZ305" s="1">
        <f t="shared" si="575"/>
        <v>-129889.499999996</v>
      </c>
    </row>
    <row r="306" spans="1:52" x14ac:dyDescent="0.25">
      <c r="A306" s="4">
        <v>45650</v>
      </c>
      <c r="B306">
        <f t="shared" ref="B306:N306" si="669">(B856-B855)*100</f>
        <v>0</v>
      </c>
      <c r="C306">
        <f t="shared" si="669"/>
        <v>0</v>
      </c>
      <c r="D306">
        <f t="shared" si="669"/>
        <v>-4.0000000000000036</v>
      </c>
      <c r="E306">
        <f t="shared" si="669"/>
        <v>-0.99999999999997868</v>
      </c>
      <c r="F306">
        <f t="shared" si="669"/>
        <v>0</v>
      </c>
      <c r="G306">
        <f t="shared" si="669"/>
        <v>1.9999999999999574</v>
      </c>
      <c r="H306">
        <f t="shared" si="669"/>
        <v>0.99999999999997868</v>
      </c>
      <c r="I306">
        <f t="shared" si="669"/>
        <v>0</v>
      </c>
      <c r="J306">
        <f t="shared" si="669"/>
        <v>1.0000000000000675</v>
      </c>
      <c r="K306">
        <f t="shared" si="669"/>
        <v>0</v>
      </c>
      <c r="L306">
        <f t="shared" si="669"/>
        <v>0</v>
      </c>
      <c r="M306">
        <f t="shared" si="669"/>
        <v>0.99999999999997868</v>
      </c>
      <c r="N306">
        <f t="shared" si="669"/>
        <v>2.0000000000000462</v>
      </c>
      <c r="O306" s="5">
        <f t="shared" si="667"/>
        <v>-1.2180961853046513E-3</v>
      </c>
      <c r="P306" s="5">
        <f t="shared" si="667"/>
        <v>-1.012004770928787E-2</v>
      </c>
      <c r="Q306" s="5">
        <f t="shared" si="667"/>
        <v>1.6129360943516928E-3</v>
      </c>
      <c r="R306" s="5">
        <f t="shared" si="667"/>
        <v>1.878438765144406E-3</v>
      </c>
      <c r="S306" s="5">
        <f t="shared" si="667"/>
        <v>-1.3755500657321132E-3</v>
      </c>
      <c r="T306" s="5">
        <f t="shared" ref="T306:X306" si="670">LN(T855/T856)</f>
        <v>2.615307224549856E-3</v>
      </c>
      <c r="U306" s="5">
        <f t="shared" si="670"/>
        <v>2.8242457381582333E-3</v>
      </c>
      <c r="V306" s="5">
        <f t="shared" si="670"/>
        <v>4.0292853914263606E-3</v>
      </c>
      <c r="W306" s="5">
        <f t="shared" si="670"/>
        <v>1.2748084399091144E-3</v>
      </c>
      <c r="X306" s="5">
        <f t="shared" si="670"/>
        <v>6.0507123516744758E-3</v>
      </c>
      <c r="Z306" s="4">
        <v>45650</v>
      </c>
      <c r="AA306">
        <f>B306*B$3</f>
        <v>0</v>
      </c>
      <c r="AB306">
        <f>C306*C$3</f>
        <v>0</v>
      </c>
      <c r="AC306">
        <f>D306*D$3</f>
        <v>-64572.000000000058</v>
      </c>
      <c r="AD306">
        <f>E306*E$3</f>
        <v>-2427.9999999999482</v>
      </c>
      <c r="AE306">
        <f>F306*F$3</f>
        <v>0</v>
      </c>
      <c r="AF306">
        <f>G306*G$3</f>
        <v>-31255.999999999334</v>
      </c>
      <c r="AG306">
        <f>H306*H$3</f>
        <v>-28215.9999999994</v>
      </c>
      <c r="AH306">
        <f>I306*I$3</f>
        <v>0</v>
      </c>
      <c r="AI306">
        <f>J306*J$3</f>
        <v>-51051.500000003449</v>
      </c>
      <c r="AJ306">
        <f>K306*K$3</f>
        <v>0</v>
      </c>
      <c r="AK306">
        <f>L306*L$3</f>
        <v>0</v>
      </c>
      <c r="AL306">
        <f>M306*M$3</f>
        <v>32072.999999999316</v>
      </c>
      <c r="AM306">
        <f>N306*N$3</f>
        <v>0</v>
      </c>
      <c r="AN306">
        <f>O306*O$3</f>
        <v>0</v>
      </c>
      <c r="AO306">
        <f>P306*P$3</f>
        <v>50600.238546439352</v>
      </c>
      <c r="AP306">
        <f>Q306*Q$3</f>
        <v>19355.233132220314</v>
      </c>
      <c r="AQ306">
        <f>R306*R$3</f>
        <v>-28176.581477166092</v>
      </c>
      <c r="AR306" s="1">
        <f>S306*S$3</f>
        <v>9628.8504601247932</v>
      </c>
      <c r="AS306" s="1">
        <f t="shared" si="642"/>
        <v>10461.228898199424</v>
      </c>
      <c r="AT306" s="1">
        <f t="shared" si="642"/>
        <v>22593.965905265868</v>
      </c>
      <c r="AU306" s="1">
        <f t="shared" si="642"/>
        <v>0</v>
      </c>
      <c r="AV306" s="1">
        <f t="shared" si="642"/>
        <v>0</v>
      </c>
      <c r="AW306" s="1">
        <f t="shared" si="642"/>
        <v>0</v>
      </c>
      <c r="AX306" s="1">
        <f t="shared" si="573"/>
        <v>-60987.564534919191</v>
      </c>
      <c r="AY306" s="1">
        <f t="shared" si="574"/>
        <v>84462.935465083661</v>
      </c>
      <c r="AZ306" s="1">
        <f t="shared" si="575"/>
        <v>-145450.50000000285</v>
      </c>
    </row>
    <row r="307" spans="1:52" x14ac:dyDescent="0.25">
      <c r="A307" s="4">
        <v>45649</v>
      </c>
      <c r="B307">
        <f t="shared" ref="B307:N307" si="671">(B857-B856)*100</f>
        <v>-1.0000000000000675</v>
      </c>
      <c r="C307">
        <f t="shared" si="671"/>
        <v>-2.0000000000000462</v>
      </c>
      <c r="D307">
        <f t="shared" si="671"/>
        <v>-2.0000000000000462</v>
      </c>
      <c r="E307">
        <f t="shared" si="671"/>
        <v>-2.0000000000000462</v>
      </c>
      <c r="F307">
        <f t="shared" si="671"/>
        <v>-0.99999999999997868</v>
      </c>
      <c r="G307">
        <f t="shared" si="671"/>
        <v>0.99999999999997868</v>
      </c>
      <c r="H307">
        <f t="shared" si="671"/>
        <v>0</v>
      </c>
      <c r="I307">
        <f t="shared" si="671"/>
        <v>-4.0000000000000036</v>
      </c>
      <c r="J307">
        <f t="shared" si="671"/>
        <v>-7.0000000000000284</v>
      </c>
      <c r="K307">
        <f t="shared" si="671"/>
        <v>-6.9999999999999396</v>
      </c>
      <c r="L307">
        <f t="shared" si="671"/>
        <v>-7.0000000000000284</v>
      </c>
      <c r="M307">
        <f t="shared" si="671"/>
        <v>-5.9999999999999609</v>
      </c>
      <c r="N307">
        <f t="shared" si="671"/>
        <v>-6.0000000000000497</v>
      </c>
      <c r="O307" s="5">
        <f t="shared" si="667"/>
        <v>1.3596535834518904E-2</v>
      </c>
      <c r="P307" s="5">
        <f t="shared" si="667"/>
        <v>7.8369416947192318E-3</v>
      </c>
      <c r="Q307" s="5">
        <f t="shared" si="667"/>
        <v>-5.2024489297807439E-3</v>
      </c>
      <c r="R307" s="5">
        <f t="shared" si="667"/>
        <v>-1.6103063061040171E-3</v>
      </c>
      <c r="S307" s="5">
        <f t="shared" si="667"/>
        <v>9.4292047958535706E-3</v>
      </c>
      <c r="T307" s="5">
        <f t="shared" ref="T307:X307" si="672">LN(T856/T857)</f>
        <v>-6.5513101571751803E-3</v>
      </c>
      <c r="U307" s="5">
        <f t="shared" si="672"/>
        <v>-5.7405192691949913E-3</v>
      </c>
      <c r="V307" s="5">
        <f t="shared" si="672"/>
        <v>-7.0724276802265991E-3</v>
      </c>
      <c r="W307" s="5">
        <f t="shared" si="672"/>
        <v>-3.0262284411469629E-3</v>
      </c>
      <c r="X307" s="5">
        <f t="shared" si="672"/>
        <v>-6.6292965172228182E-3</v>
      </c>
      <c r="Z307" s="4">
        <v>45649</v>
      </c>
      <c r="AA307">
        <f>B307*B$3</f>
        <v>983.00000000006639</v>
      </c>
      <c r="AB307">
        <f>C307*C$3</f>
        <v>5168.0000000001191</v>
      </c>
      <c r="AC307">
        <f>D307*D$3</f>
        <v>-32286.000000000746</v>
      </c>
      <c r="AD307">
        <f>E307*E$3</f>
        <v>-4856.0000000001119</v>
      </c>
      <c r="AE307">
        <f>F307*F$3</f>
        <v>12427.999999999734</v>
      </c>
      <c r="AF307">
        <f>G307*G$3</f>
        <v>-15627.999999999667</v>
      </c>
      <c r="AG307">
        <f>H307*H$3</f>
        <v>0</v>
      </c>
      <c r="AH307">
        <f>I307*I$3</f>
        <v>73824.000000000073</v>
      </c>
      <c r="AI307">
        <f>J307*J$3</f>
        <v>357360.50000000146</v>
      </c>
      <c r="AJ307">
        <f>K307*K$3</f>
        <v>548764.99999999523</v>
      </c>
      <c r="AK307">
        <f>L307*L$3</f>
        <v>-217028.00000000087</v>
      </c>
      <c r="AL307">
        <f>M307*M$3</f>
        <v>-192437.99999999875</v>
      </c>
      <c r="AM307">
        <f>N307*N$3</f>
        <v>0</v>
      </c>
      <c r="AN307">
        <f>O307*O$3</f>
        <v>0</v>
      </c>
      <c r="AO307">
        <f>P307*P$3</f>
        <v>-39184.708473596162</v>
      </c>
      <c r="AP307">
        <f>Q307*Q$3</f>
        <v>-62429.387157368925</v>
      </c>
      <c r="AQ307">
        <f>R307*R$3</f>
        <v>24154.594591560257</v>
      </c>
      <c r="AR307" s="1">
        <f>S307*S$3</f>
        <v>-66004.433570975001</v>
      </c>
      <c r="AS307" s="1">
        <f t="shared" si="642"/>
        <v>-26205.240628700722</v>
      </c>
      <c r="AT307" s="1">
        <f t="shared" si="642"/>
        <v>-45924.154153559932</v>
      </c>
      <c r="AU307" s="1">
        <f t="shared" si="642"/>
        <v>0</v>
      </c>
      <c r="AV307" s="1">
        <f t="shared" si="642"/>
        <v>0</v>
      </c>
      <c r="AW307" s="1">
        <f t="shared" si="642"/>
        <v>0</v>
      </c>
      <c r="AX307" s="1">
        <f t="shared" si="573"/>
        <v>320699.17060735612</v>
      </c>
      <c r="AY307" s="1">
        <f t="shared" si="574"/>
        <v>-215593.3293926405</v>
      </c>
      <c r="AZ307" s="1">
        <f t="shared" si="575"/>
        <v>536292.49999999662</v>
      </c>
    </row>
    <row r="308" spans="1:52" x14ac:dyDescent="0.25">
      <c r="A308" s="4">
        <v>45646</v>
      </c>
      <c r="B308">
        <f t="shared" ref="B308:N308" si="673">(B858-B857)*100</f>
        <v>-0.99999999999997868</v>
      </c>
      <c r="C308">
        <f t="shared" si="673"/>
        <v>0</v>
      </c>
      <c r="D308">
        <f t="shared" si="673"/>
        <v>0.99999999999997868</v>
      </c>
      <c r="E308">
        <f t="shared" si="673"/>
        <v>0</v>
      </c>
      <c r="F308">
        <f t="shared" si="673"/>
        <v>0</v>
      </c>
      <c r="G308">
        <f t="shared" si="673"/>
        <v>1.0000000000000675</v>
      </c>
      <c r="H308">
        <f t="shared" si="673"/>
        <v>2.0000000000000462</v>
      </c>
      <c r="I308">
        <f t="shared" si="673"/>
        <v>2.9999999999999361</v>
      </c>
      <c r="J308">
        <f t="shared" si="673"/>
        <v>5.9999999999999609</v>
      </c>
      <c r="K308">
        <f t="shared" si="673"/>
        <v>5.9999999999999609</v>
      </c>
      <c r="L308">
        <f t="shared" si="673"/>
        <v>5.0000000000000711</v>
      </c>
      <c r="M308">
        <f t="shared" si="673"/>
        <v>3.0000000000000249</v>
      </c>
      <c r="N308">
        <f t="shared" si="673"/>
        <v>2.0000000000000462</v>
      </c>
      <c r="O308" s="5">
        <f t="shared" si="667"/>
        <v>-1.7306634300723701E-2</v>
      </c>
      <c r="P308" s="5">
        <f t="shared" si="667"/>
        <v>1.4834258440043122E-3</v>
      </c>
      <c r="Q308" s="5">
        <f t="shared" si="667"/>
        <v>7.9706587374354064E-3</v>
      </c>
      <c r="R308" s="5">
        <f t="shared" si="667"/>
        <v>2.9542118974316043E-3</v>
      </c>
      <c r="S308" s="5">
        <f t="shared" si="667"/>
        <v>-1.310125203887743E-2</v>
      </c>
      <c r="T308" s="5">
        <f t="shared" ref="T308:X308" si="674">LN(T857/T858)</f>
        <v>-1.4189884036622776E-3</v>
      </c>
      <c r="U308" s="5">
        <f t="shared" si="674"/>
        <v>5.5645812452108237E-3</v>
      </c>
      <c r="V308" s="5">
        <f t="shared" si="674"/>
        <v>1.9026070636539532E-2</v>
      </c>
      <c r="W308" s="5">
        <f t="shared" si="674"/>
        <v>-4.4691349266430466E-3</v>
      </c>
      <c r="X308" s="5">
        <f t="shared" si="674"/>
        <v>-3.0100088712773079E-3</v>
      </c>
      <c r="Z308" s="4">
        <v>45646</v>
      </c>
      <c r="AA308">
        <f>B308*B$3</f>
        <v>982.99999999997908</v>
      </c>
      <c r="AB308">
        <f>C308*C$3</f>
        <v>0</v>
      </c>
      <c r="AC308">
        <f>D308*D$3</f>
        <v>16142.999999999656</v>
      </c>
      <c r="AD308">
        <f>E308*E$3</f>
        <v>0</v>
      </c>
      <c r="AE308">
        <f>F308*F$3</f>
        <v>0</v>
      </c>
      <c r="AF308">
        <f>G308*G$3</f>
        <v>-15628.000000001055</v>
      </c>
      <c r="AG308">
        <f>H308*H$3</f>
        <v>-56432.000000001302</v>
      </c>
      <c r="AH308">
        <f>I308*I$3</f>
        <v>-55367.999999998821</v>
      </c>
      <c r="AI308">
        <f>J308*J$3</f>
        <v>-306308.99999999802</v>
      </c>
      <c r="AJ308">
        <f>K308*K$3</f>
        <v>-470369.99999999691</v>
      </c>
      <c r="AK308">
        <f>L308*L$3</f>
        <v>155020.00000000221</v>
      </c>
      <c r="AL308">
        <f>M308*M$3</f>
        <v>96219.0000000008</v>
      </c>
      <c r="AM308">
        <f>N308*N$3</f>
        <v>0</v>
      </c>
      <c r="AN308">
        <f>O308*O$3</f>
        <v>0</v>
      </c>
      <c r="AO308">
        <f>P308*P$3</f>
        <v>-7417.1292200215612</v>
      </c>
      <c r="AP308">
        <f>Q308*Q$3</f>
        <v>95647.904849224884</v>
      </c>
      <c r="AQ308">
        <f>R308*R$3</f>
        <v>-44313.178461474061</v>
      </c>
      <c r="AR308" s="1">
        <f>S308*S$3</f>
        <v>91708.764272142012</v>
      </c>
      <c r="AS308" s="1">
        <f t="shared" si="642"/>
        <v>-5675.95361464911</v>
      </c>
      <c r="AT308" s="1">
        <f t="shared" si="642"/>
        <v>44516.649961686591</v>
      </c>
      <c r="AU308" s="1">
        <f t="shared" si="642"/>
        <v>0</v>
      </c>
      <c r="AV308" s="1">
        <f t="shared" si="642"/>
        <v>0</v>
      </c>
      <c r="AW308" s="1">
        <f t="shared" si="642"/>
        <v>0</v>
      </c>
      <c r="AX308" s="1">
        <f t="shared" si="573"/>
        <v>-461274.94221308472</v>
      </c>
      <c r="AY308" s="1">
        <f t="shared" si="574"/>
        <v>174467.05778690876</v>
      </c>
      <c r="AZ308" s="1">
        <f t="shared" si="575"/>
        <v>-635741.99999999348</v>
      </c>
    </row>
    <row r="309" spans="1:52" x14ac:dyDescent="0.25">
      <c r="A309" s="4">
        <v>45645</v>
      </c>
      <c r="B309">
        <f t="shared" ref="B309:N309" si="675">(B859-B858)*100</f>
        <v>2.0000000000000462</v>
      </c>
      <c r="C309">
        <f t="shared" si="675"/>
        <v>0.99999999999997868</v>
      </c>
      <c r="D309">
        <f t="shared" si="675"/>
        <v>1.0000000000000675</v>
      </c>
      <c r="E309">
        <f t="shared" si="675"/>
        <v>1.0000000000000675</v>
      </c>
      <c r="F309">
        <f t="shared" si="675"/>
        <v>0.99999999999997868</v>
      </c>
      <c r="G309">
        <f t="shared" si="675"/>
        <v>1.9999999999999574</v>
      </c>
      <c r="H309">
        <f t="shared" si="675"/>
        <v>2.9999999999999361</v>
      </c>
      <c r="I309">
        <f t="shared" si="675"/>
        <v>0</v>
      </c>
      <c r="J309">
        <f t="shared" si="675"/>
        <v>-2.9999999999999361</v>
      </c>
      <c r="K309">
        <f t="shared" si="675"/>
        <v>-5.9999999999999609</v>
      </c>
      <c r="L309">
        <f t="shared" si="675"/>
        <v>-7.0000000000000284</v>
      </c>
      <c r="M309">
        <f t="shared" si="675"/>
        <v>-8.0000000000000071</v>
      </c>
      <c r="N309">
        <f t="shared" si="675"/>
        <v>-8.9999999999999858</v>
      </c>
      <c r="O309" s="5">
        <f t="shared" si="667"/>
        <v>3.5153406955655765E-3</v>
      </c>
      <c r="P309" s="5">
        <f t="shared" si="667"/>
        <v>3.769124065933674E-4</v>
      </c>
      <c r="Q309" s="5">
        <f t="shared" si="667"/>
        <v>-2.4554023582688111E-3</v>
      </c>
      <c r="R309" s="5">
        <f t="shared" si="667"/>
        <v>-4.0263106331945298E-3</v>
      </c>
      <c r="S309" s="5">
        <f t="shared" si="667"/>
        <v>-3.6193438148874515E-3</v>
      </c>
      <c r="T309" s="5">
        <f t="shared" ref="T309:X309" si="676">LN(T858/T859)</f>
        <v>1.3892921674058065E-2</v>
      </c>
      <c r="U309" s="5">
        <f t="shared" si="676"/>
        <v>1.1324521699212262E-2</v>
      </c>
      <c r="V309" s="5">
        <f t="shared" si="676"/>
        <v>7.1436848606676049E-3</v>
      </c>
      <c r="W309" s="5">
        <f t="shared" si="676"/>
        <v>2.1512051413313877E-2</v>
      </c>
      <c r="X309" s="5">
        <f t="shared" si="676"/>
        <v>1.0277770412936156E-2</v>
      </c>
      <c r="Z309" s="4">
        <v>45645</v>
      </c>
      <c r="AA309">
        <f>B309*B$3</f>
        <v>-1966.0000000000455</v>
      </c>
      <c r="AB309">
        <f>C309*C$3</f>
        <v>-2583.999999999945</v>
      </c>
      <c r="AC309">
        <f>D309*D$3</f>
        <v>16143.00000000109</v>
      </c>
      <c r="AD309">
        <f>E309*E$3</f>
        <v>2428.0000000001637</v>
      </c>
      <c r="AE309">
        <f>F309*F$3</f>
        <v>-12427.999999999734</v>
      </c>
      <c r="AF309">
        <f>G309*G$3</f>
        <v>-31255.999999999334</v>
      </c>
      <c r="AG309">
        <f>H309*H$3</f>
        <v>-84647.999999998196</v>
      </c>
      <c r="AH309">
        <f>I309*I$3</f>
        <v>0</v>
      </c>
      <c r="AI309">
        <f>J309*J$3</f>
        <v>153154.49999999674</v>
      </c>
      <c r="AJ309">
        <f>K309*K$3</f>
        <v>470369.99999999691</v>
      </c>
      <c r="AK309">
        <f>L309*L$3</f>
        <v>-217028.00000000087</v>
      </c>
      <c r="AL309">
        <f>M309*M$3</f>
        <v>-256584.00000000023</v>
      </c>
      <c r="AM309">
        <f>N309*N$3</f>
        <v>0</v>
      </c>
      <c r="AN309">
        <f>O309*O$3</f>
        <v>0</v>
      </c>
      <c r="AO309">
        <f>P309*P$3</f>
        <v>-1884.562032966837</v>
      </c>
      <c r="AP309">
        <f>Q309*Q$3</f>
        <v>-29464.828299225734</v>
      </c>
      <c r="AQ309">
        <f>R309*R$3</f>
        <v>60394.65949791795</v>
      </c>
      <c r="AR309" s="1">
        <f>S309*S$3</f>
        <v>25335.406704212161</v>
      </c>
      <c r="AS309" s="1">
        <f t="shared" ref="AS309:AW324" si="677">T309*T$3</f>
        <v>55571.68669623226</v>
      </c>
      <c r="AT309" s="1">
        <f t="shared" si="677"/>
        <v>90596.173593698099</v>
      </c>
      <c r="AU309" s="1">
        <f t="shared" si="677"/>
        <v>0</v>
      </c>
      <c r="AV309" s="1">
        <f t="shared" si="677"/>
        <v>0</v>
      </c>
      <c r="AW309" s="1">
        <f t="shared" si="677"/>
        <v>0</v>
      </c>
      <c r="AX309" s="1">
        <f t="shared" si="573"/>
        <v>236150.03615986445</v>
      </c>
      <c r="AY309" s="1">
        <f t="shared" si="574"/>
        <v>200548.53615986789</v>
      </c>
      <c r="AZ309" s="1">
        <f t="shared" si="575"/>
        <v>35601.499999996566</v>
      </c>
    </row>
    <row r="310" spans="1:52" x14ac:dyDescent="0.25">
      <c r="A310" s="4">
        <v>45644</v>
      </c>
      <c r="B310">
        <f t="shared" ref="B310:N310" si="678">(B860-B859)*100</f>
        <v>1.9999999999999574</v>
      </c>
      <c r="C310">
        <f t="shared" si="678"/>
        <v>1.0000000000000675</v>
      </c>
      <c r="D310">
        <f t="shared" si="678"/>
        <v>1.9999999999999574</v>
      </c>
      <c r="E310">
        <f t="shared" si="678"/>
        <v>0</v>
      </c>
      <c r="F310">
        <f t="shared" si="678"/>
        <v>0</v>
      </c>
      <c r="G310">
        <f t="shared" si="678"/>
        <v>-4.9999999999999822</v>
      </c>
      <c r="H310">
        <f t="shared" si="678"/>
        <v>-9.9999999999999645</v>
      </c>
      <c r="I310">
        <f t="shared" si="678"/>
        <v>-12.999999999999989</v>
      </c>
      <c r="J310">
        <f t="shared" si="678"/>
        <v>-14.000000000000057</v>
      </c>
      <c r="K310">
        <f t="shared" si="678"/>
        <v>-12.000000000000011</v>
      </c>
      <c r="L310">
        <f t="shared" si="678"/>
        <v>-9.9999999999999645</v>
      </c>
      <c r="M310">
        <f t="shared" si="678"/>
        <v>-6.0000000000000497</v>
      </c>
      <c r="N310">
        <f t="shared" si="678"/>
        <v>-6.0000000000000497</v>
      </c>
      <c r="O310" s="5">
        <f t="shared" si="667"/>
        <v>-9.8943261682954658E-4</v>
      </c>
      <c r="P310" s="5">
        <f t="shared" si="667"/>
        <v>7.0734057393108708E-3</v>
      </c>
      <c r="Q310" s="5">
        <f t="shared" si="667"/>
        <v>9.4911154136079808E-4</v>
      </c>
      <c r="R310" s="5">
        <f t="shared" si="667"/>
        <v>-1.3385091009242742E-3</v>
      </c>
      <c r="S310" s="5">
        <f t="shared" si="667"/>
        <v>7.4199594490549749E-3</v>
      </c>
      <c r="T310" s="5">
        <f t="shared" ref="T310:X310" si="679">LN(T859/T860)</f>
        <v>2.1222625439108467E-3</v>
      </c>
      <c r="U310" s="5">
        <f t="shared" si="679"/>
        <v>-1.6129105393622709E-3</v>
      </c>
      <c r="V310" s="5">
        <f t="shared" si="679"/>
        <v>-3.3413256266442595E-3</v>
      </c>
      <c r="W310" s="5">
        <f t="shared" si="679"/>
        <v>5.5429997481152996E-3</v>
      </c>
      <c r="X310" s="5">
        <f t="shared" si="679"/>
        <v>-1.7463819669578831E-3</v>
      </c>
      <c r="Z310" s="4">
        <v>45644</v>
      </c>
      <c r="AA310">
        <f>B310*B$3</f>
        <v>-1965.9999999999582</v>
      </c>
      <c r="AB310">
        <f>C310*C$3</f>
        <v>-2584.0000000001746</v>
      </c>
      <c r="AC310">
        <f>D310*D$3</f>
        <v>32285.999999999312</v>
      </c>
      <c r="AD310">
        <f>E310*E$3</f>
        <v>0</v>
      </c>
      <c r="AE310">
        <f>F310*F$3</f>
        <v>0</v>
      </c>
      <c r="AF310">
        <f>G310*G$3</f>
        <v>78139.999999999724</v>
      </c>
      <c r="AG310">
        <f>H310*H$3</f>
        <v>282159.99999999901</v>
      </c>
      <c r="AH310">
        <f>I310*I$3</f>
        <v>239927.9999999998</v>
      </c>
      <c r="AI310">
        <f>J310*J$3</f>
        <v>714721.00000000291</v>
      </c>
      <c r="AJ310">
        <f>K310*K$3</f>
        <v>940740.00000000081</v>
      </c>
      <c r="AK310">
        <f>L310*L$3</f>
        <v>-310039.99999999889</v>
      </c>
      <c r="AL310">
        <f>M310*M$3</f>
        <v>-192438.0000000016</v>
      </c>
      <c r="AM310">
        <f>N310*N$3</f>
        <v>0</v>
      </c>
      <c r="AN310">
        <f>O310*O$3</f>
        <v>0</v>
      </c>
      <c r="AO310">
        <f>P310*P$3</f>
        <v>-35367.028696554356</v>
      </c>
      <c r="AP310">
        <f>Q310*Q$3</f>
        <v>11389.338496329578</v>
      </c>
      <c r="AQ310">
        <f>R310*R$3</f>
        <v>20077.636513864112</v>
      </c>
      <c r="AR310" s="1">
        <f>S310*S$3</f>
        <v>-51939.716143384823</v>
      </c>
      <c r="AS310" s="1">
        <f t="shared" si="677"/>
        <v>8489.050175643386</v>
      </c>
      <c r="AT310" s="1">
        <f t="shared" si="677"/>
        <v>-12903.284314898168</v>
      </c>
      <c r="AU310" s="1">
        <f t="shared" si="677"/>
        <v>0</v>
      </c>
      <c r="AV310" s="1">
        <f t="shared" si="677"/>
        <v>0</v>
      </c>
      <c r="AW310" s="1">
        <f t="shared" si="677"/>
        <v>0</v>
      </c>
      <c r="AX310" s="1">
        <f t="shared" si="573"/>
        <v>1720692.9960310007</v>
      </c>
      <c r="AY310" s="1">
        <f t="shared" si="574"/>
        <v>-60254.003969000274</v>
      </c>
      <c r="AZ310" s="1">
        <f t="shared" si="575"/>
        <v>1780947.0000000009</v>
      </c>
    </row>
    <row r="311" spans="1:52" x14ac:dyDescent="0.25">
      <c r="A311" s="4">
        <v>45643</v>
      </c>
      <c r="B311">
        <f t="shared" ref="B311:N311" si="680">(B861-B860)*100</f>
        <v>-3.0000000000000249</v>
      </c>
      <c r="C311">
        <f t="shared" si="680"/>
        <v>0</v>
      </c>
      <c r="D311">
        <f t="shared" si="680"/>
        <v>-0.99999999999997868</v>
      </c>
      <c r="E311">
        <f t="shared" si="680"/>
        <v>0</v>
      </c>
      <c r="F311">
        <f t="shared" si="680"/>
        <v>0</v>
      </c>
      <c r="G311">
        <f t="shared" si="680"/>
        <v>-0.99999999999997868</v>
      </c>
      <c r="H311">
        <f t="shared" si="680"/>
        <v>0</v>
      </c>
      <c r="I311">
        <f t="shared" si="680"/>
        <v>0</v>
      </c>
      <c r="J311">
        <f t="shared" si="680"/>
        <v>-0.99999999999997868</v>
      </c>
      <c r="K311">
        <f t="shared" si="680"/>
        <v>-0.99999999999997868</v>
      </c>
      <c r="L311">
        <f t="shared" si="680"/>
        <v>-1.0000000000000675</v>
      </c>
      <c r="M311">
        <f t="shared" si="680"/>
        <v>0</v>
      </c>
      <c r="N311">
        <f t="shared" si="680"/>
        <v>0.99999999999997868</v>
      </c>
      <c r="O311" s="5">
        <f t="shared" si="667"/>
        <v>1.9241356868637424E-2</v>
      </c>
      <c r="P311" s="5">
        <f t="shared" si="667"/>
        <v>4.7281411959458957E-3</v>
      </c>
      <c r="Q311" s="5">
        <f t="shared" si="667"/>
        <v>6.7708222461467021E-3</v>
      </c>
      <c r="R311" s="5">
        <f t="shared" si="667"/>
        <v>5.3518866677479751E-4</v>
      </c>
      <c r="S311" s="5">
        <f t="shared" si="667"/>
        <v>4.7537818568043127E-3</v>
      </c>
      <c r="T311" s="5">
        <f t="shared" ref="T311:X311" si="681">LN(T860/T861)</f>
        <v>-6.9391447748995666E-4</v>
      </c>
      <c r="U311" s="5">
        <f t="shared" si="681"/>
        <v>-4.9749479375813766E-3</v>
      </c>
      <c r="V311" s="5">
        <f t="shared" si="681"/>
        <v>4.1165282864203834E-3</v>
      </c>
      <c r="W311" s="5">
        <f t="shared" si="681"/>
        <v>-1.4572451165437378E-3</v>
      </c>
      <c r="X311" s="5">
        <f t="shared" si="681"/>
        <v>2.5713884478395003E-3</v>
      </c>
      <c r="Z311" s="4">
        <v>45643</v>
      </c>
      <c r="AA311">
        <f>B311*B$3</f>
        <v>2949.0000000000246</v>
      </c>
      <c r="AB311">
        <f>C311*C$3</f>
        <v>0</v>
      </c>
      <c r="AC311">
        <f>D311*D$3</f>
        <v>-16142.999999999656</v>
      </c>
      <c r="AD311">
        <f>E311*E$3</f>
        <v>0</v>
      </c>
      <c r="AE311">
        <f>F311*F$3</f>
        <v>0</v>
      </c>
      <c r="AF311">
        <f>G311*G$3</f>
        <v>15627.999999999667</v>
      </c>
      <c r="AG311">
        <f>H311*H$3</f>
        <v>0</v>
      </c>
      <c r="AH311">
        <f>I311*I$3</f>
        <v>0</v>
      </c>
      <c r="AI311">
        <f>J311*J$3</f>
        <v>51051.499999998909</v>
      </c>
      <c r="AJ311">
        <f>K311*K$3</f>
        <v>78394.999999998327</v>
      </c>
      <c r="AK311">
        <f>L311*L$3</f>
        <v>-31004.000000002092</v>
      </c>
      <c r="AL311">
        <f>M311*M$3</f>
        <v>0</v>
      </c>
      <c r="AM311">
        <f>N311*N$3</f>
        <v>0</v>
      </c>
      <c r="AN311">
        <f>O311*O$3</f>
        <v>0</v>
      </c>
      <c r="AO311">
        <f>P311*P$3</f>
        <v>-23640.705979729479</v>
      </c>
      <c r="AP311">
        <f>Q311*Q$3</f>
        <v>81249.866953760429</v>
      </c>
      <c r="AQ311">
        <f>R311*R$3</f>
        <v>-8027.8300016219628</v>
      </c>
      <c r="AR311" s="1">
        <f>S311*S$3</f>
        <v>-33276.47299763019</v>
      </c>
      <c r="AS311" s="1">
        <f t="shared" si="677"/>
        <v>-2775.6579099598266</v>
      </c>
      <c r="AT311" s="1">
        <f t="shared" si="677"/>
        <v>-39799.58350065101</v>
      </c>
      <c r="AU311" s="1">
        <f t="shared" si="677"/>
        <v>0</v>
      </c>
      <c r="AV311" s="1">
        <f t="shared" si="677"/>
        <v>0</v>
      </c>
      <c r="AW311" s="1">
        <f t="shared" si="677"/>
        <v>0</v>
      </c>
      <c r="AX311" s="1">
        <f t="shared" si="573"/>
        <v>74606.116564163123</v>
      </c>
      <c r="AY311" s="1">
        <f t="shared" si="574"/>
        <v>-26270.383435832042</v>
      </c>
      <c r="AZ311" s="1">
        <f t="shared" si="575"/>
        <v>100876.49999999517</v>
      </c>
    </row>
    <row r="312" spans="1:52" x14ac:dyDescent="0.25">
      <c r="A312" s="4">
        <v>45642</v>
      </c>
      <c r="B312">
        <f t="shared" ref="B312:N312" si="682">(B862-B861)*100</f>
        <v>0</v>
      </c>
      <c r="C312">
        <f t="shared" si="682"/>
        <v>-1.0000000000000675</v>
      </c>
      <c r="D312">
        <f t="shared" si="682"/>
        <v>-3.0000000000000249</v>
      </c>
      <c r="E312">
        <f t="shared" si="682"/>
        <v>0</v>
      </c>
      <c r="F312">
        <f t="shared" si="682"/>
        <v>2.0000000000000462</v>
      </c>
      <c r="G312">
        <f t="shared" si="682"/>
        <v>0</v>
      </c>
      <c r="H312">
        <f t="shared" si="682"/>
        <v>0</v>
      </c>
      <c r="I312">
        <f t="shared" si="682"/>
        <v>-0.99999999999997868</v>
      </c>
      <c r="J312">
        <f t="shared" si="682"/>
        <v>0</v>
      </c>
      <c r="K312">
        <f t="shared" si="682"/>
        <v>0.99999999999997868</v>
      </c>
      <c r="L312">
        <f t="shared" si="682"/>
        <v>1.0000000000000675</v>
      </c>
      <c r="M312">
        <f t="shared" si="682"/>
        <v>1.0000000000000675</v>
      </c>
      <c r="N312">
        <f t="shared" si="682"/>
        <v>1.0000000000000675</v>
      </c>
      <c r="O312" s="5">
        <f t="shared" si="667"/>
        <v>1.8113624492166927E-3</v>
      </c>
      <c r="P312" s="5">
        <f t="shared" si="667"/>
        <v>1.8743714196522033E-3</v>
      </c>
      <c r="Q312" s="5">
        <f t="shared" si="667"/>
        <v>7.7389968266061209E-3</v>
      </c>
      <c r="R312" s="5">
        <f t="shared" si="667"/>
        <v>2.1436235432513691E-3</v>
      </c>
      <c r="S312" s="5">
        <f t="shared" si="667"/>
        <v>-1.2918099268715452E-4</v>
      </c>
      <c r="T312" s="5">
        <f t="shared" ref="T312:X312" si="683">LN(T861/T862)</f>
        <v>-3.4308317144118193E-3</v>
      </c>
      <c r="U312" s="5">
        <f t="shared" si="683"/>
        <v>3.9475019206260918E-3</v>
      </c>
      <c r="V312" s="5">
        <f t="shared" si="683"/>
        <v>5.6593883261525221E-3</v>
      </c>
      <c r="W312" s="5">
        <f t="shared" si="683"/>
        <v>1.2378306568504654E-3</v>
      </c>
      <c r="X312" s="5">
        <f t="shared" si="683"/>
        <v>-2.9819798950048631E-4</v>
      </c>
      <c r="Z312" s="4">
        <v>45642</v>
      </c>
      <c r="AA312">
        <f>B312*B$3</f>
        <v>0</v>
      </c>
      <c r="AB312">
        <f>C312*C$3</f>
        <v>2584.0000000001746</v>
      </c>
      <c r="AC312">
        <f>D312*D$3</f>
        <v>-48429.0000000004</v>
      </c>
      <c r="AD312">
        <f>E312*E$3</f>
        <v>0</v>
      </c>
      <c r="AE312">
        <f>F312*F$3</f>
        <v>-24856.000000000575</v>
      </c>
      <c r="AF312">
        <f>G312*G$3</f>
        <v>0</v>
      </c>
      <c r="AG312">
        <f>H312*H$3</f>
        <v>0</v>
      </c>
      <c r="AH312">
        <f>I312*I$3</f>
        <v>18455.999999999607</v>
      </c>
      <c r="AI312">
        <f>J312*J$3</f>
        <v>0</v>
      </c>
      <c r="AJ312">
        <f>K312*K$3</f>
        <v>-78394.999999998327</v>
      </c>
      <c r="AK312">
        <f>L312*L$3</f>
        <v>31004.000000002092</v>
      </c>
      <c r="AL312">
        <f>M312*M$3</f>
        <v>32073.000000002165</v>
      </c>
      <c r="AM312">
        <f>N312*N$3</f>
        <v>0</v>
      </c>
      <c r="AN312">
        <f>O312*O$3</f>
        <v>0</v>
      </c>
      <c r="AO312">
        <f>P312*P$3</f>
        <v>-9371.8570982610163</v>
      </c>
      <c r="AP312">
        <f>Q312*Q$3</f>
        <v>92867.961919273454</v>
      </c>
      <c r="AQ312">
        <f>R312*R$3</f>
        <v>-32154.353148770537</v>
      </c>
      <c r="AR312" s="1">
        <f>S312*S$3</f>
        <v>904.26694881008166</v>
      </c>
      <c r="AS312" s="1">
        <f t="shared" si="677"/>
        <v>-13723.326857647276</v>
      </c>
      <c r="AT312" s="1">
        <f t="shared" si="677"/>
        <v>31580.015365008734</v>
      </c>
      <c r="AU312" s="1">
        <f t="shared" si="677"/>
        <v>0</v>
      </c>
      <c r="AV312" s="1">
        <f t="shared" si="677"/>
        <v>0</v>
      </c>
      <c r="AW312" s="1">
        <f t="shared" si="677"/>
        <v>0</v>
      </c>
      <c r="AX312" s="1">
        <f t="shared" si="573"/>
        <v>2539.7071284181911</v>
      </c>
      <c r="AY312" s="1">
        <f t="shared" si="574"/>
        <v>70102.707128413444</v>
      </c>
      <c r="AZ312" s="1">
        <f t="shared" si="575"/>
        <v>-67562.999999995256</v>
      </c>
    </row>
    <row r="313" spans="1:52" x14ac:dyDescent="0.25">
      <c r="A313" s="4">
        <v>45639</v>
      </c>
      <c r="B313">
        <f t="shared" ref="B313:N313" si="684">(B863-B862)*100</f>
        <v>0</v>
      </c>
      <c r="C313">
        <f t="shared" si="684"/>
        <v>1.0000000000000675</v>
      </c>
      <c r="D313">
        <f t="shared" si="684"/>
        <v>0.99999999999997868</v>
      </c>
      <c r="E313">
        <f t="shared" si="684"/>
        <v>0</v>
      </c>
      <c r="F313">
        <f t="shared" si="684"/>
        <v>-1.0000000000000675</v>
      </c>
      <c r="G313">
        <f t="shared" si="684"/>
        <v>-2.0000000000000462</v>
      </c>
      <c r="H313">
        <f t="shared" si="684"/>
        <v>-7.0000000000000284</v>
      </c>
      <c r="I313">
        <f t="shared" si="684"/>
        <v>-7.0000000000000284</v>
      </c>
      <c r="J313">
        <f t="shared" si="684"/>
        <v>-7.0000000000000284</v>
      </c>
      <c r="K313">
        <f t="shared" si="684"/>
        <v>-8.0000000000000071</v>
      </c>
      <c r="L313">
        <f t="shared" si="684"/>
        <v>-8.0000000000000071</v>
      </c>
      <c r="M313">
        <f t="shared" si="684"/>
        <v>-7.0000000000000284</v>
      </c>
      <c r="N313">
        <f t="shared" si="684"/>
        <v>-6.0000000000000497</v>
      </c>
      <c r="O313" s="5">
        <f t="shared" si="667"/>
        <v>1.6561036922806947E-2</v>
      </c>
      <c r="P313" s="5">
        <f t="shared" si="667"/>
        <v>-7.0488004970878518E-3</v>
      </c>
      <c r="Q313" s="5">
        <f t="shared" si="667"/>
        <v>-1.4348084555329326E-4</v>
      </c>
      <c r="R313" s="5">
        <f t="shared" si="667"/>
        <v>-2.4112536800020312E-3</v>
      </c>
      <c r="S313" s="5">
        <f t="shared" si="667"/>
        <v>8.598645124950785E-4</v>
      </c>
      <c r="T313" s="5">
        <f t="shared" ref="T313:X313" si="685">LN(T862/T863)</f>
        <v>3.1261282522748522E-3</v>
      </c>
      <c r="U313" s="5">
        <f t="shared" si="685"/>
        <v>6.9969442618508706E-3</v>
      </c>
      <c r="V313" s="5">
        <f t="shared" si="685"/>
        <v>2.243928726205417E-3</v>
      </c>
      <c r="W313" s="5">
        <f t="shared" si="685"/>
        <v>1.3952237557141006E-3</v>
      </c>
      <c r="X313" s="5">
        <f t="shared" si="685"/>
        <v>9.9143118555336095E-3</v>
      </c>
      <c r="Z313" s="4">
        <v>45639</v>
      </c>
      <c r="AA313">
        <f>B313*B$3</f>
        <v>0</v>
      </c>
      <c r="AB313">
        <f>C313*C$3</f>
        <v>-2584.0000000001746</v>
      </c>
      <c r="AC313">
        <f>D313*D$3</f>
        <v>16142.999999999656</v>
      </c>
      <c r="AD313">
        <f>E313*E$3</f>
        <v>0</v>
      </c>
      <c r="AE313">
        <f>F313*F$3</f>
        <v>12428.000000000839</v>
      </c>
      <c r="AF313">
        <f>G313*G$3</f>
        <v>31256.00000000072</v>
      </c>
      <c r="AG313">
        <f>H313*H$3</f>
        <v>197512.00000000081</v>
      </c>
      <c r="AH313">
        <f>I313*I$3</f>
        <v>129192.00000000052</v>
      </c>
      <c r="AI313">
        <f>J313*J$3</f>
        <v>357360.50000000146</v>
      </c>
      <c r="AJ313">
        <f>K313*K$3</f>
        <v>627160.00000000058</v>
      </c>
      <c r="AK313">
        <f>L313*L$3</f>
        <v>-248032.00000000023</v>
      </c>
      <c r="AL313">
        <f>M313*M$3</f>
        <v>-224511.0000000009</v>
      </c>
      <c r="AM313">
        <f>N313*N$3</f>
        <v>0</v>
      </c>
      <c r="AN313">
        <f>O313*O$3</f>
        <v>0</v>
      </c>
      <c r="AO313">
        <f>P313*P$3</f>
        <v>35244.002485439261</v>
      </c>
      <c r="AP313">
        <f>Q313*Q$3</f>
        <v>-1721.7701466395192</v>
      </c>
      <c r="AQ313">
        <f>R313*R$3</f>
        <v>36168.805200030467</v>
      </c>
      <c r="AR313" s="1">
        <f>S313*S$3</f>
        <v>-6019.0515874655493</v>
      </c>
      <c r="AS313" s="1">
        <f t="shared" si="677"/>
        <v>12504.513009099408</v>
      </c>
      <c r="AT313" s="1">
        <f t="shared" si="677"/>
        <v>55975.554094806961</v>
      </c>
      <c r="AU313" s="1">
        <f t="shared" si="677"/>
        <v>0</v>
      </c>
      <c r="AV313" s="1">
        <f t="shared" si="677"/>
        <v>0</v>
      </c>
      <c r="AW313" s="1">
        <f t="shared" si="677"/>
        <v>0</v>
      </c>
      <c r="AX313" s="1">
        <f t="shared" si="573"/>
        <v>1028076.5530552743</v>
      </c>
      <c r="AY313" s="1">
        <f t="shared" si="574"/>
        <v>132152.05305527104</v>
      </c>
      <c r="AZ313" s="1">
        <f t="shared" si="575"/>
        <v>895924.50000000326</v>
      </c>
    </row>
    <row r="314" spans="1:52" x14ac:dyDescent="0.25">
      <c r="A314" s="4">
        <v>45638</v>
      </c>
      <c r="B314">
        <f t="shared" ref="B314:N314" si="686">(B864-B863)*100</f>
        <v>6.0000000000000497</v>
      </c>
      <c r="C314">
        <f t="shared" si="686"/>
        <v>0.99999999999997868</v>
      </c>
      <c r="D314">
        <f t="shared" si="686"/>
        <v>3.0000000000000249</v>
      </c>
      <c r="E314">
        <f t="shared" si="686"/>
        <v>1.9999999999999574</v>
      </c>
      <c r="F314">
        <f t="shared" si="686"/>
        <v>1.0000000000000675</v>
      </c>
      <c r="G314">
        <f t="shared" si="686"/>
        <v>-0.99999999999997868</v>
      </c>
      <c r="H314">
        <f t="shared" si="686"/>
        <v>-2.9999999999999361</v>
      </c>
      <c r="I314">
        <f t="shared" si="686"/>
        <v>-4.9999999999999822</v>
      </c>
      <c r="J314">
        <f t="shared" si="686"/>
        <v>-4.9999999999999822</v>
      </c>
      <c r="K314">
        <f t="shared" si="686"/>
        <v>-4.9999999999999822</v>
      </c>
      <c r="L314">
        <f t="shared" si="686"/>
        <v>-6.0000000000000497</v>
      </c>
      <c r="M314">
        <f t="shared" si="686"/>
        <v>-7.0000000000000284</v>
      </c>
      <c r="N314">
        <f t="shared" si="686"/>
        <v>-6.9999999999999396</v>
      </c>
      <c r="O314" s="5">
        <f t="shared" si="667"/>
        <v>-1.5235589804625711E-2</v>
      </c>
      <c r="P314" s="5">
        <f t="shared" si="667"/>
        <v>6.7871249699307142E-4</v>
      </c>
      <c r="Q314" s="5">
        <f t="shared" si="667"/>
        <v>3.4698018633558549E-3</v>
      </c>
      <c r="R314" s="5">
        <f t="shared" si="667"/>
        <v>2.9478783239501424E-3</v>
      </c>
      <c r="S314" s="5">
        <f t="shared" si="667"/>
        <v>0</v>
      </c>
      <c r="T314" s="5">
        <f t="shared" ref="T314:X314" si="687">LN(T863/T864)</f>
        <v>2.4826807922636754E-3</v>
      </c>
      <c r="U314" s="5">
        <f t="shared" si="687"/>
        <v>1.0729890640934125E-3</v>
      </c>
      <c r="V314" s="5">
        <f t="shared" si="687"/>
        <v>2.8810110203949042E-3</v>
      </c>
      <c r="W314" s="5">
        <f t="shared" si="687"/>
        <v>-1.2383473277371511E-3</v>
      </c>
      <c r="X314" s="5">
        <f t="shared" si="687"/>
        <v>8.0422104235858803E-4</v>
      </c>
      <c r="Z314" s="4">
        <v>45638</v>
      </c>
      <c r="AA314">
        <f>B314*B$3</f>
        <v>-5898.0000000000491</v>
      </c>
      <c r="AB314">
        <f>C314*C$3</f>
        <v>-2583.999999999945</v>
      </c>
      <c r="AC314">
        <f>D314*D$3</f>
        <v>48429.0000000004</v>
      </c>
      <c r="AD314">
        <f>E314*E$3</f>
        <v>4855.9999999998963</v>
      </c>
      <c r="AE314">
        <f>F314*F$3</f>
        <v>-12428.000000000839</v>
      </c>
      <c r="AF314">
        <f>G314*G$3</f>
        <v>15627.999999999667</v>
      </c>
      <c r="AG314">
        <f>H314*H$3</f>
        <v>84647.999999998196</v>
      </c>
      <c r="AH314">
        <f>I314*I$3</f>
        <v>92279.999999999665</v>
      </c>
      <c r="AI314">
        <f>J314*J$3</f>
        <v>255257.4999999991</v>
      </c>
      <c r="AJ314">
        <f>K314*K$3</f>
        <v>391974.9999999986</v>
      </c>
      <c r="AK314">
        <f>L314*L$3</f>
        <v>-186024.00000000154</v>
      </c>
      <c r="AL314">
        <f>M314*M$3</f>
        <v>-224511.0000000009</v>
      </c>
      <c r="AM314">
        <f>N314*N$3</f>
        <v>0</v>
      </c>
      <c r="AN314">
        <f>O314*O$3</f>
        <v>0</v>
      </c>
      <c r="AO314">
        <f>P314*P$3</f>
        <v>-3393.5624849653573</v>
      </c>
      <c r="AP314">
        <f>Q314*Q$3</f>
        <v>41637.622360270259</v>
      </c>
      <c r="AQ314">
        <f>R314*R$3</f>
        <v>-44218.17485925214</v>
      </c>
      <c r="AR314" s="1">
        <f>S314*S$3</f>
        <v>0</v>
      </c>
      <c r="AS314" s="1">
        <f t="shared" si="677"/>
        <v>9930.7231690547014</v>
      </c>
      <c r="AT314" s="1">
        <f t="shared" si="677"/>
        <v>8583.9125127472998</v>
      </c>
      <c r="AU314" s="1">
        <f t="shared" si="677"/>
        <v>0</v>
      </c>
      <c r="AV314" s="1">
        <f t="shared" si="677"/>
        <v>0</v>
      </c>
      <c r="AW314" s="1">
        <f t="shared" si="677"/>
        <v>0</v>
      </c>
      <c r="AX314" s="1">
        <f t="shared" si="573"/>
        <v>474169.02069784695</v>
      </c>
      <c r="AY314" s="1">
        <f t="shared" si="574"/>
        <v>12540.520697854767</v>
      </c>
      <c r="AZ314" s="1">
        <f t="shared" si="575"/>
        <v>461628.4999999922</v>
      </c>
    </row>
    <row r="315" spans="1:52" x14ac:dyDescent="0.25">
      <c r="A315" s="4">
        <v>45637</v>
      </c>
      <c r="B315">
        <f t="shared" ref="B315:N315" si="688">(B865-B864)*100</f>
        <v>4.0000000000000036</v>
      </c>
      <c r="C315">
        <f t="shared" si="688"/>
        <v>3.0000000000000249</v>
      </c>
      <c r="D315">
        <f t="shared" si="688"/>
        <v>3.0000000000000249</v>
      </c>
      <c r="E315">
        <f t="shared" si="688"/>
        <v>4.0000000000000036</v>
      </c>
      <c r="F315">
        <f t="shared" si="688"/>
        <v>2.9999999999999361</v>
      </c>
      <c r="G315">
        <f t="shared" si="688"/>
        <v>0.99999999999997868</v>
      </c>
      <c r="H315">
        <f t="shared" si="688"/>
        <v>0</v>
      </c>
      <c r="I315">
        <f t="shared" si="688"/>
        <v>-0.99999999999997868</v>
      </c>
      <c r="J315">
        <f t="shared" si="688"/>
        <v>-4.0000000000000036</v>
      </c>
      <c r="K315">
        <f t="shared" si="688"/>
        <v>-4.9999999999999822</v>
      </c>
      <c r="L315">
        <f t="shared" si="688"/>
        <v>-4.0000000000000036</v>
      </c>
      <c r="M315">
        <f t="shared" si="688"/>
        <v>-5.9999999999999609</v>
      </c>
      <c r="N315">
        <f t="shared" si="688"/>
        <v>-7.0000000000000284</v>
      </c>
      <c r="O315" s="5">
        <f t="shared" ref="O315:S324" si="689">LN(O864/O865)</f>
        <v>-3.4590370710638465E-3</v>
      </c>
      <c r="P315" s="5">
        <f t="shared" si="689"/>
        <v>-6.1056176016470185E-3</v>
      </c>
      <c r="Q315" s="5">
        <f t="shared" si="689"/>
        <v>2.5844995980720191E-3</v>
      </c>
      <c r="R315" s="5">
        <f t="shared" si="689"/>
        <v>4.3033955600529734E-3</v>
      </c>
      <c r="S315" s="5">
        <f t="shared" si="689"/>
        <v>-2.9889451225046217E-3</v>
      </c>
      <c r="T315" s="5">
        <f t="shared" ref="T315:X315" si="690">LN(T864/T865)</f>
        <v>2.1088709645178294E-3</v>
      </c>
      <c r="U315" s="5">
        <f t="shared" si="690"/>
        <v>-2.4252669498078974E-3</v>
      </c>
      <c r="V315" s="5">
        <f t="shared" si="690"/>
        <v>2.6318110267620491E-3</v>
      </c>
      <c r="W315" s="5">
        <f t="shared" si="690"/>
        <v>9.6621068660282822E-3</v>
      </c>
      <c r="X315" s="5">
        <f t="shared" si="690"/>
        <v>4.4404449066542733E-3</v>
      </c>
      <c r="Z315" s="4">
        <v>45637</v>
      </c>
      <c r="AA315">
        <f>B315*B$3</f>
        <v>-3932.0000000000036</v>
      </c>
      <c r="AB315">
        <f>C315*C$3</f>
        <v>-7752.0000000000646</v>
      </c>
      <c r="AC315">
        <f>D315*D$3</f>
        <v>48429.0000000004</v>
      </c>
      <c r="AD315">
        <f>E315*E$3</f>
        <v>9712.0000000000091</v>
      </c>
      <c r="AE315">
        <f>F315*F$3</f>
        <v>-37283.999999999207</v>
      </c>
      <c r="AF315">
        <f>G315*G$3</f>
        <v>-15627.999999999667</v>
      </c>
      <c r="AG315">
        <f>H315*H$3</f>
        <v>0</v>
      </c>
      <c r="AH315">
        <f>I315*I$3</f>
        <v>18455.999999999607</v>
      </c>
      <c r="AI315">
        <f>J315*J$3</f>
        <v>204206.00000000017</v>
      </c>
      <c r="AJ315">
        <f>K315*K$3</f>
        <v>391974.9999999986</v>
      </c>
      <c r="AK315">
        <f>L315*L$3</f>
        <v>-124016.00000000012</v>
      </c>
      <c r="AL315">
        <f>M315*M$3</f>
        <v>-192437.99999999875</v>
      </c>
      <c r="AM315">
        <f>N315*N$3</f>
        <v>0</v>
      </c>
      <c r="AN315">
        <f>O315*O$3</f>
        <v>0</v>
      </c>
      <c r="AO315">
        <f>P315*P$3</f>
        <v>30528.088008235092</v>
      </c>
      <c r="AP315">
        <f>Q315*Q$3</f>
        <v>31013.995176864228</v>
      </c>
      <c r="AQ315">
        <f>R315*R$3</f>
        <v>-64550.933400794602</v>
      </c>
      <c r="AR315" s="1">
        <f>S315*S$3</f>
        <v>20922.615857532353</v>
      </c>
      <c r="AS315" s="1">
        <f t="shared" si="677"/>
        <v>8435.4838580713185</v>
      </c>
      <c r="AT315" s="1">
        <f t="shared" si="677"/>
        <v>-19402.135598463181</v>
      </c>
      <c r="AU315" s="1">
        <f t="shared" si="677"/>
        <v>0</v>
      </c>
      <c r="AV315" s="1">
        <f t="shared" si="677"/>
        <v>0</v>
      </c>
      <c r="AW315" s="1">
        <f t="shared" si="677"/>
        <v>0</v>
      </c>
      <c r="AX315" s="1">
        <f t="shared" si="573"/>
        <v>298675.11390144622</v>
      </c>
      <c r="AY315" s="1">
        <f t="shared" si="574"/>
        <v>6947.1139014452092</v>
      </c>
      <c r="AZ315" s="1">
        <f t="shared" si="575"/>
        <v>291728.00000000099</v>
      </c>
    </row>
    <row r="316" spans="1:52" x14ac:dyDescent="0.25">
      <c r="A316" s="4">
        <v>45636</v>
      </c>
      <c r="B316">
        <f t="shared" ref="B316:N316" si="691">(B866-B865)*100</f>
        <v>2.9999999999999361</v>
      </c>
      <c r="C316">
        <f t="shared" si="691"/>
        <v>1.9999999999999574</v>
      </c>
      <c r="D316">
        <f t="shared" si="691"/>
        <v>0.99999999999997868</v>
      </c>
      <c r="E316">
        <f t="shared" si="691"/>
        <v>0.99999999999997868</v>
      </c>
      <c r="F316">
        <f t="shared" si="691"/>
        <v>-0.99999999999997868</v>
      </c>
      <c r="G316">
        <f t="shared" si="691"/>
        <v>-1.9999999999999574</v>
      </c>
      <c r="H316">
        <f t="shared" si="691"/>
        <v>-2.0000000000000462</v>
      </c>
      <c r="I316">
        <f t="shared" si="691"/>
        <v>0.99999999999997868</v>
      </c>
      <c r="J316">
        <f t="shared" si="691"/>
        <v>-1.9999999999999574</v>
      </c>
      <c r="K316">
        <f t="shared" si="691"/>
        <v>-2.0000000000000462</v>
      </c>
      <c r="L316">
        <f t="shared" si="691"/>
        <v>-1.9999999999999574</v>
      </c>
      <c r="M316">
        <f t="shared" si="691"/>
        <v>-2.0000000000000462</v>
      </c>
      <c r="N316">
        <f t="shared" si="691"/>
        <v>-2.0000000000000462</v>
      </c>
      <c r="O316" s="5">
        <f t="shared" si="689"/>
        <v>-6.7716551025614265E-4</v>
      </c>
      <c r="P316" s="5">
        <f t="shared" si="689"/>
        <v>5.9492485108254172E-4</v>
      </c>
      <c r="Q316" s="5">
        <f t="shared" si="689"/>
        <v>-1.7511876494363031E-3</v>
      </c>
      <c r="R316" s="5">
        <f t="shared" si="689"/>
        <v>-1.6159443322483218E-3</v>
      </c>
      <c r="S316" s="5">
        <f t="shared" si="689"/>
        <v>-1.4564768721047848E-3</v>
      </c>
      <c r="T316" s="5">
        <f t="shared" ref="T316:X316" si="692">LN(T865/T866)</f>
        <v>9.714799294287613E-4</v>
      </c>
      <c r="U316" s="5">
        <f t="shared" si="692"/>
        <v>1.6550104530656584E-5</v>
      </c>
      <c r="V316" s="5">
        <f t="shared" si="692"/>
        <v>9.1429452464875643E-3</v>
      </c>
      <c r="W316" s="5">
        <f t="shared" si="692"/>
        <v>-5.9181273184820086E-3</v>
      </c>
      <c r="X316" s="5">
        <f t="shared" si="692"/>
        <v>-9.1038816043152517E-5</v>
      </c>
      <c r="Z316" s="4">
        <v>45636</v>
      </c>
      <c r="AA316">
        <f>B316*B$3</f>
        <v>-2948.9999999999372</v>
      </c>
      <c r="AB316">
        <f>C316*C$3</f>
        <v>-5167.99999999989</v>
      </c>
      <c r="AC316">
        <f>D316*D$3</f>
        <v>16142.999999999656</v>
      </c>
      <c r="AD316">
        <f>E316*E$3</f>
        <v>2427.9999999999482</v>
      </c>
      <c r="AE316">
        <f>F316*F$3</f>
        <v>12427.999999999734</v>
      </c>
      <c r="AF316">
        <f>G316*G$3</f>
        <v>31255.999999999334</v>
      </c>
      <c r="AG316">
        <f>H316*H$3</f>
        <v>56432.000000001302</v>
      </c>
      <c r="AH316">
        <f>I316*I$3</f>
        <v>-18455.999999999607</v>
      </c>
      <c r="AI316">
        <f>J316*J$3</f>
        <v>102102.99999999782</v>
      </c>
      <c r="AJ316">
        <f>K316*K$3</f>
        <v>156790.00000000361</v>
      </c>
      <c r="AK316">
        <f>L316*L$3</f>
        <v>-62007.999999998676</v>
      </c>
      <c r="AL316">
        <f>M316*M$3</f>
        <v>-64146.000000001484</v>
      </c>
      <c r="AM316">
        <f>N316*N$3</f>
        <v>0</v>
      </c>
      <c r="AN316">
        <f>O316*O$3</f>
        <v>0</v>
      </c>
      <c r="AO316">
        <f>P316*P$3</f>
        <v>-2974.6242554127084</v>
      </c>
      <c r="AP316">
        <f>Q316*Q$3</f>
        <v>-21014.251793235639</v>
      </c>
      <c r="AQ316">
        <f>R316*R$3</f>
        <v>24239.164983724826</v>
      </c>
      <c r="AR316" s="1">
        <f>S316*S$3</f>
        <v>10195.338104733493</v>
      </c>
      <c r="AS316" s="1">
        <f t="shared" si="677"/>
        <v>3885.9197177150454</v>
      </c>
      <c r="AT316" s="1">
        <f t="shared" si="677"/>
        <v>132.40083624525266</v>
      </c>
      <c r="AU316" s="1">
        <f t="shared" si="677"/>
        <v>0</v>
      </c>
      <c r="AV316" s="1">
        <f t="shared" si="677"/>
        <v>0</v>
      </c>
      <c r="AW316" s="1">
        <f t="shared" si="677"/>
        <v>0</v>
      </c>
      <c r="AX316" s="1">
        <f t="shared" si="573"/>
        <v>239316.94759377211</v>
      </c>
      <c r="AY316" s="1">
        <f t="shared" si="574"/>
        <v>14463.94759377027</v>
      </c>
      <c r="AZ316" s="1">
        <f t="shared" si="575"/>
        <v>224853.00000000183</v>
      </c>
    </row>
    <row r="317" spans="1:52" x14ac:dyDescent="0.25">
      <c r="A317" s="4">
        <v>45635</v>
      </c>
      <c r="B317">
        <f t="shared" ref="B317:N317" si="693">(B867-B866)*100</f>
        <v>1.0000000000000675</v>
      </c>
      <c r="C317">
        <f t="shared" si="693"/>
        <v>0</v>
      </c>
      <c r="D317">
        <f t="shared" si="693"/>
        <v>0</v>
      </c>
      <c r="E317">
        <f t="shared" si="693"/>
        <v>-0.99999999999997868</v>
      </c>
      <c r="F317">
        <f t="shared" si="693"/>
        <v>0</v>
      </c>
      <c r="G317">
        <f t="shared" si="693"/>
        <v>-0.99999999999997868</v>
      </c>
      <c r="H317">
        <f t="shared" si="693"/>
        <v>-3.0000000000000249</v>
      </c>
      <c r="I317">
        <f t="shared" si="693"/>
        <v>-4.0000000000000036</v>
      </c>
      <c r="J317">
        <f t="shared" si="693"/>
        <v>-4.0000000000000036</v>
      </c>
      <c r="K317">
        <f t="shared" si="693"/>
        <v>-4.0000000000000036</v>
      </c>
      <c r="L317">
        <f t="shared" si="693"/>
        <v>-4.9999999999999822</v>
      </c>
      <c r="M317">
        <f t="shared" si="693"/>
        <v>-4.9999999999999822</v>
      </c>
      <c r="N317">
        <f t="shared" si="693"/>
        <v>-4.9999999999999822</v>
      </c>
      <c r="O317" s="5">
        <f t="shared" si="689"/>
        <v>4.5839377948823107E-3</v>
      </c>
      <c r="P317" s="5">
        <f t="shared" si="689"/>
        <v>-8.7598720685420142E-3</v>
      </c>
      <c r="Q317" s="5">
        <f t="shared" si="689"/>
        <v>-3.0875791837885231E-5</v>
      </c>
      <c r="R317" s="5">
        <f t="shared" si="689"/>
        <v>0</v>
      </c>
      <c r="S317" s="5">
        <f t="shared" si="689"/>
        <v>1.0450796771860175E-3</v>
      </c>
      <c r="T317" s="5">
        <f t="shared" ref="T317:X317" si="694">LN(T866/T867)</f>
        <v>1.9036466409966346E-3</v>
      </c>
      <c r="U317" s="5">
        <f t="shared" si="694"/>
        <v>7.8698249100176776E-4</v>
      </c>
      <c r="V317" s="5">
        <f t="shared" si="694"/>
        <v>-1.1790816849291568E-3</v>
      </c>
      <c r="W317" s="5">
        <f t="shared" si="694"/>
        <v>7.7791825482578887E-3</v>
      </c>
      <c r="X317" s="5">
        <f t="shared" si="694"/>
        <v>2.8454078708280888E-4</v>
      </c>
      <c r="Z317" s="4">
        <v>45635</v>
      </c>
      <c r="AA317">
        <f>B317*B$3</f>
        <v>-983.00000000006639</v>
      </c>
      <c r="AB317">
        <f>C317*C$3</f>
        <v>0</v>
      </c>
      <c r="AC317">
        <f>D317*D$3</f>
        <v>0</v>
      </c>
      <c r="AD317">
        <f>E317*E$3</f>
        <v>-2427.9999999999482</v>
      </c>
      <c r="AE317">
        <f>F317*F$3</f>
        <v>0</v>
      </c>
      <c r="AF317">
        <f>G317*G$3</f>
        <v>15627.999999999667</v>
      </c>
      <c r="AG317">
        <f>H317*H$3</f>
        <v>84648.000000000698</v>
      </c>
      <c r="AH317">
        <f>I317*I$3</f>
        <v>73824.000000000073</v>
      </c>
      <c r="AI317">
        <f>J317*J$3</f>
        <v>204206.00000000017</v>
      </c>
      <c r="AJ317">
        <f>K317*K$3</f>
        <v>313580.00000000029</v>
      </c>
      <c r="AK317">
        <f>L317*L$3</f>
        <v>-155019.99999999945</v>
      </c>
      <c r="AL317">
        <f>M317*M$3</f>
        <v>-160364.99999999942</v>
      </c>
      <c r="AM317">
        <f>N317*N$3</f>
        <v>0</v>
      </c>
      <c r="AN317">
        <f>O317*O$3</f>
        <v>0</v>
      </c>
      <c r="AO317">
        <f>P317*P$3</f>
        <v>43799.360342710068</v>
      </c>
      <c r="AP317">
        <f>Q317*Q$3</f>
        <v>-370.50950205462277</v>
      </c>
      <c r="AQ317">
        <f>R317*R$3</f>
        <v>0</v>
      </c>
      <c r="AR317" s="1">
        <f>S317*S$3</f>
        <v>-7315.5577403021225</v>
      </c>
      <c r="AS317" s="1">
        <f t="shared" si="677"/>
        <v>7614.5865639865387</v>
      </c>
      <c r="AT317" s="1">
        <f t="shared" si="677"/>
        <v>6295.8599280141425</v>
      </c>
      <c r="AU317" s="1">
        <f t="shared" si="677"/>
        <v>0</v>
      </c>
      <c r="AV317" s="1">
        <f t="shared" si="677"/>
        <v>0</v>
      </c>
      <c r="AW317" s="1">
        <f t="shared" si="677"/>
        <v>0</v>
      </c>
      <c r="AX317" s="1">
        <f t="shared" si="573"/>
        <v>423113.73959235614</v>
      </c>
      <c r="AY317" s="1">
        <f t="shared" si="574"/>
        <v>50023.739592354003</v>
      </c>
      <c r="AZ317" s="1">
        <f t="shared" si="575"/>
        <v>373090.00000000215</v>
      </c>
    </row>
    <row r="318" spans="1:52" x14ac:dyDescent="0.25">
      <c r="A318" s="4">
        <v>45632</v>
      </c>
      <c r="B318">
        <f t="shared" ref="B318:N318" si="695">(B868-B867)*100</f>
        <v>1.9999999999999574</v>
      </c>
      <c r="C318">
        <f t="shared" si="695"/>
        <v>3.0000000000000249</v>
      </c>
      <c r="D318">
        <f t="shared" si="695"/>
        <v>4.0000000000000036</v>
      </c>
      <c r="E318">
        <f t="shared" si="695"/>
        <v>4.0000000000000036</v>
      </c>
      <c r="F318">
        <f t="shared" si="695"/>
        <v>4.0000000000000036</v>
      </c>
      <c r="G318">
        <f t="shared" si="695"/>
        <v>4.0000000000000036</v>
      </c>
      <c r="H318">
        <f t="shared" si="695"/>
        <v>5.0000000000000711</v>
      </c>
      <c r="I318">
        <f t="shared" si="695"/>
        <v>4.9999999999999822</v>
      </c>
      <c r="J318">
        <f t="shared" si="695"/>
        <v>4.0000000000000036</v>
      </c>
      <c r="K318">
        <f t="shared" si="695"/>
        <v>3.0000000000000249</v>
      </c>
      <c r="L318">
        <f t="shared" si="695"/>
        <v>1.9999999999999574</v>
      </c>
      <c r="M318">
        <f t="shared" si="695"/>
        <v>0.99999999999997868</v>
      </c>
      <c r="N318">
        <f t="shared" si="695"/>
        <v>-0.99999999999997868</v>
      </c>
      <c r="O318" s="5">
        <f t="shared" si="689"/>
        <v>7.3916564818509193E-3</v>
      </c>
      <c r="P318" s="5">
        <f t="shared" si="689"/>
        <v>-1.8270558888790105E-3</v>
      </c>
      <c r="Q318" s="5">
        <f t="shared" si="689"/>
        <v>-2.7954509936146434E-3</v>
      </c>
      <c r="R318" s="5">
        <f t="shared" si="689"/>
        <v>-2.1505384632285844E-3</v>
      </c>
      <c r="S318" s="5">
        <f t="shared" si="689"/>
        <v>-1.2381265262958231E-3</v>
      </c>
      <c r="T318" s="5">
        <f t="shared" ref="T318:X318" si="696">LN(T867/T868)</f>
        <v>-6.7730059724609489E-3</v>
      </c>
      <c r="U318" s="5">
        <f t="shared" si="696"/>
        <v>-4.5701402985001312E-3</v>
      </c>
      <c r="V318" s="5">
        <f t="shared" si="696"/>
        <v>-2.393829119411898E-3</v>
      </c>
      <c r="W318" s="5">
        <f t="shared" si="696"/>
        <v>-2.6332252505678177E-3</v>
      </c>
      <c r="X318" s="5">
        <f t="shared" si="696"/>
        <v>-6.0494076661570641E-3</v>
      </c>
      <c r="Z318" s="4">
        <v>45632</v>
      </c>
      <c r="AA318">
        <f>B318*B$3</f>
        <v>-1965.9999999999582</v>
      </c>
      <c r="AB318">
        <f>C318*C$3</f>
        <v>-7752.0000000000646</v>
      </c>
      <c r="AC318">
        <f>D318*D$3</f>
        <v>64572.000000000058</v>
      </c>
      <c r="AD318">
        <f>E318*E$3</f>
        <v>9712.0000000000091</v>
      </c>
      <c r="AE318">
        <f>F318*F$3</f>
        <v>-49712.000000000044</v>
      </c>
      <c r="AF318">
        <f>G318*G$3</f>
        <v>-62512.000000000058</v>
      </c>
      <c r="AG318">
        <f>H318*H$3</f>
        <v>-141080.00000000201</v>
      </c>
      <c r="AH318">
        <f>I318*I$3</f>
        <v>-92279.999999999665</v>
      </c>
      <c r="AI318">
        <f>J318*J$3</f>
        <v>-204206.00000000017</v>
      </c>
      <c r="AJ318">
        <f>K318*K$3</f>
        <v>-235185.00000000195</v>
      </c>
      <c r="AK318">
        <f>L318*L$3</f>
        <v>62007.999999998676</v>
      </c>
      <c r="AL318">
        <f>M318*M$3</f>
        <v>32072.999999999316</v>
      </c>
      <c r="AM318">
        <f>N318*N$3</f>
        <v>0</v>
      </c>
      <c r="AN318">
        <f>O318*O$3</f>
        <v>0</v>
      </c>
      <c r="AO318">
        <f>P318*P$3</f>
        <v>9135.2794443950534</v>
      </c>
      <c r="AP318">
        <f>Q318*Q$3</f>
        <v>-33545.411923375723</v>
      </c>
      <c r="AQ318">
        <f>R318*R$3</f>
        <v>32258.076948428767</v>
      </c>
      <c r="AR318" s="1">
        <f>S318*S$3</f>
        <v>8666.8856840707613</v>
      </c>
      <c r="AS318" s="1">
        <f t="shared" si="677"/>
        <v>-27092.023889843796</v>
      </c>
      <c r="AT318" s="1">
        <f t="shared" si="677"/>
        <v>-36561.122388001051</v>
      </c>
      <c r="AU318" s="1">
        <f t="shared" si="677"/>
        <v>0</v>
      </c>
      <c r="AV318" s="1">
        <f t="shared" si="677"/>
        <v>0</v>
      </c>
      <c r="AW318" s="1">
        <f t="shared" si="677"/>
        <v>0</v>
      </c>
      <c r="AX318" s="1">
        <f t="shared" si="573"/>
        <v>-673466.31612433179</v>
      </c>
      <c r="AY318" s="1">
        <f t="shared" si="574"/>
        <v>-47138.316124325989</v>
      </c>
      <c r="AZ318" s="1">
        <f t="shared" si="575"/>
        <v>-626328.00000000582</v>
      </c>
    </row>
    <row r="319" spans="1:52" x14ac:dyDescent="0.25">
      <c r="A319" s="4">
        <v>45631</v>
      </c>
      <c r="B319">
        <f t="shared" ref="B319:N319" si="697">(B869-B868)*100</f>
        <v>6.0000000000000497</v>
      </c>
      <c r="C319">
        <f t="shared" si="697"/>
        <v>0.99999999999997868</v>
      </c>
      <c r="D319">
        <f t="shared" si="697"/>
        <v>0.99999999999997868</v>
      </c>
      <c r="E319">
        <f t="shared" si="697"/>
        <v>0</v>
      </c>
      <c r="F319">
        <f t="shared" si="697"/>
        <v>0</v>
      </c>
      <c r="G319">
        <f t="shared" si="697"/>
        <v>0</v>
      </c>
      <c r="H319">
        <f t="shared" si="697"/>
        <v>-2.0000000000000462</v>
      </c>
      <c r="I319">
        <f t="shared" si="697"/>
        <v>-0.99999999999997868</v>
      </c>
      <c r="J319">
        <f t="shared" si="697"/>
        <v>0</v>
      </c>
      <c r="K319">
        <f t="shared" si="697"/>
        <v>0.99999999999997868</v>
      </c>
      <c r="L319">
        <f t="shared" si="697"/>
        <v>2.0000000000000462</v>
      </c>
      <c r="M319">
        <f t="shared" si="697"/>
        <v>2.0000000000000462</v>
      </c>
      <c r="N319">
        <f t="shared" si="697"/>
        <v>1.9999999999999574</v>
      </c>
      <c r="O319" s="5">
        <f t="shared" si="689"/>
        <v>-1.215719483854307E-2</v>
      </c>
      <c r="P319" s="5">
        <f t="shared" si="689"/>
        <v>1.1324387079662322E-4</v>
      </c>
      <c r="Q319" s="5">
        <f t="shared" si="689"/>
        <v>1.6639964396640509E-3</v>
      </c>
      <c r="R319" s="5">
        <f t="shared" si="689"/>
        <v>-3.7523496185503527E-3</v>
      </c>
      <c r="S319" s="5">
        <f t="shared" si="689"/>
        <v>-4.7303591035726148E-3</v>
      </c>
      <c r="T319" s="5">
        <f t="shared" ref="T319:X319" si="698">LN(T868/T869)</f>
        <v>-3.1535938218249938E-4</v>
      </c>
      <c r="U319" s="5">
        <f t="shared" si="698"/>
        <v>-2.1188133650508682E-3</v>
      </c>
      <c r="V319" s="5">
        <f t="shared" si="698"/>
        <v>6.1289682361408051E-3</v>
      </c>
      <c r="W319" s="5">
        <f t="shared" si="698"/>
        <v>8.1384447796317861E-3</v>
      </c>
      <c r="X319" s="5">
        <f t="shared" si="698"/>
        <v>-2.9940568572892944E-3</v>
      </c>
      <c r="Z319" s="4">
        <v>45631</v>
      </c>
      <c r="AA319">
        <f>B319*B$3</f>
        <v>-5898.0000000000491</v>
      </c>
      <c r="AB319">
        <f>C319*C$3</f>
        <v>-2583.999999999945</v>
      </c>
      <c r="AC319">
        <f>D319*D$3</f>
        <v>16142.999999999656</v>
      </c>
      <c r="AD319">
        <f>E319*E$3</f>
        <v>0</v>
      </c>
      <c r="AE319">
        <f>F319*F$3</f>
        <v>0</v>
      </c>
      <c r="AF319">
        <f>G319*G$3</f>
        <v>0</v>
      </c>
      <c r="AG319">
        <f>H319*H$3</f>
        <v>56432.000000001302</v>
      </c>
      <c r="AH319">
        <f>I319*I$3</f>
        <v>18455.999999999607</v>
      </c>
      <c r="AI319">
        <f>J319*J$3</f>
        <v>0</v>
      </c>
      <c r="AJ319">
        <f>K319*K$3</f>
        <v>-78394.999999998327</v>
      </c>
      <c r="AK319">
        <f>L319*L$3</f>
        <v>62008.000000001433</v>
      </c>
      <c r="AL319">
        <f>M319*M$3</f>
        <v>64146.000000001484</v>
      </c>
      <c r="AM319">
        <f>N319*N$3</f>
        <v>0</v>
      </c>
      <c r="AN319">
        <f>O319*O$3</f>
        <v>0</v>
      </c>
      <c r="AO319">
        <f>P319*P$3</f>
        <v>-566.21935398311609</v>
      </c>
      <c r="AP319">
        <f>Q319*Q$3</f>
        <v>19967.957275968609</v>
      </c>
      <c r="AQ319">
        <f>R319*R$3</f>
        <v>56285.24427825529</v>
      </c>
      <c r="AR319" s="1">
        <f>S319*S$3</f>
        <v>33112.513725008306</v>
      </c>
      <c r="AS319" s="1">
        <f t="shared" si="677"/>
        <v>-1261.4375287299974</v>
      </c>
      <c r="AT319" s="1">
        <f t="shared" si="677"/>
        <v>-16950.506920406944</v>
      </c>
      <c r="AU319" s="1">
        <f t="shared" si="677"/>
        <v>0</v>
      </c>
      <c r="AV319" s="1">
        <f t="shared" si="677"/>
        <v>0</v>
      </c>
      <c r="AW319" s="1">
        <f t="shared" si="677"/>
        <v>0</v>
      </c>
      <c r="AX319" s="1">
        <f t="shared" si="573"/>
        <v>220895.55147611731</v>
      </c>
      <c r="AY319" s="1">
        <f t="shared" si="574"/>
        <v>90587.551476112145</v>
      </c>
      <c r="AZ319" s="1">
        <f t="shared" si="575"/>
        <v>130308.00000000517</v>
      </c>
    </row>
    <row r="320" spans="1:52" x14ac:dyDescent="0.25">
      <c r="A320" s="4">
        <v>45630</v>
      </c>
      <c r="B320">
        <f t="shared" ref="B320:N320" si="699">(B870-B869)*100</f>
        <v>0.99999999999997868</v>
      </c>
      <c r="C320">
        <f t="shared" si="699"/>
        <v>1.9999999999999574</v>
      </c>
      <c r="D320">
        <f t="shared" si="699"/>
        <v>2.0000000000000462</v>
      </c>
      <c r="E320">
        <f t="shared" si="699"/>
        <v>2.0000000000000462</v>
      </c>
      <c r="F320">
        <f t="shared" si="699"/>
        <v>2.0000000000000462</v>
      </c>
      <c r="G320">
        <f t="shared" si="699"/>
        <v>3.9999999999999147</v>
      </c>
      <c r="H320">
        <f t="shared" si="699"/>
        <v>4.0000000000000036</v>
      </c>
      <c r="I320">
        <f t="shared" si="699"/>
        <v>4.0000000000000036</v>
      </c>
      <c r="J320">
        <f t="shared" si="699"/>
        <v>4.0000000000000036</v>
      </c>
      <c r="K320">
        <f t="shared" si="699"/>
        <v>4.0000000000000036</v>
      </c>
      <c r="L320">
        <f t="shared" si="699"/>
        <v>4.0000000000000036</v>
      </c>
      <c r="M320">
        <f t="shared" si="699"/>
        <v>4.9999999999999822</v>
      </c>
      <c r="N320">
        <f t="shared" si="699"/>
        <v>5.0000000000000711</v>
      </c>
      <c r="O320" s="5">
        <f t="shared" si="689"/>
        <v>-2.0778028945973629E-3</v>
      </c>
      <c r="P320" s="5">
        <f t="shared" si="689"/>
        <v>-5.7591486604984237E-3</v>
      </c>
      <c r="Q320" s="5">
        <f t="shared" si="689"/>
        <v>-6.5066704953627309E-3</v>
      </c>
      <c r="R320" s="5">
        <f t="shared" si="689"/>
        <v>5.3518866677479751E-4</v>
      </c>
      <c r="S320" s="5">
        <f t="shared" si="689"/>
        <v>-2.0520701361498271E-3</v>
      </c>
      <c r="T320" s="5">
        <f t="shared" ref="T320:X320" si="700">LN(T869/T870)</f>
        <v>-9.1398116617242068E-4</v>
      </c>
      <c r="U320" s="5">
        <f t="shared" si="700"/>
        <v>-1.2413704477458728E-3</v>
      </c>
      <c r="V320" s="5">
        <f t="shared" si="700"/>
        <v>9.2933481928672817E-4</v>
      </c>
      <c r="W320" s="5">
        <f t="shared" si="700"/>
        <v>-1.5746425518432465E-3</v>
      </c>
      <c r="X320" s="5">
        <f t="shared" si="700"/>
        <v>1.3537034451865389E-4</v>
      </c>
      <c r="Z320" s="4">
        <v>45630</v>
      </c>
      <c r="AA320">
        <f>B320*B$3</f>
        <v>-982.99999999997908</v>
      </c>
      <c r="AB320">
        <f>C320*C$3</f>
        <v>-5167.99999999989</v>
      </c>
      <c r="AC320">
        <f>D320*D$3</f>
        <v>32286.000000000746</v>
      </c>
      <c r="AD320">
        <f>E320*E$3</f>
        <v>4856.0000000001119</v>
      </c>
      <c r="AE320">
        <f>F320*F$3</f>
        <v>-24856.000000000575</v>
      </c>
      <c r="AF320">
        <f>G320*G$3</f>
        <v>-62511.999999998668</v>
      </c>
      <c r="AG320">
        <f>H320*H$3</f>
        <v>-112864.0000000001</v>
      </c>
      <c r="AH320">
        <f>I320*I$3</f>
        <v>-73824.000000000073</v>
      </c>
      <c r="AI320">
        <f>J320*J$3</f>
        <v>-204206.00000000017</v>
      </c>
      <c r="AJ320">
        <f>K320*K$3</f>
        <v>-313580.00000000029</v>
      </c>
      <c r="AK320">
        <f>L320*L$3</f>
        <v>124016.00000000012</v>
      </c>
      <c r="AL320">
        <f>M320*M$3</f>
        <v>160364.99999999942</v>
      </c>
      <c r="AM320">
        <f>N320*N$3</f>
        <v>0</v>
      </c>
      <c r="AN320">
        <f>O320*O$3</f>
        <v>0</v>
      </c>
      <c r="AO320">
        <f>P320*P$3</f>
        <v>28795.743302492119</v>
      </c>
      <c r="AP320">
        <f>Q320*Q$3</f>
        <v>-78080.045944352765</v>
      </c>
      <c r="AQ320">
        <f>R320*R$3</f>
        <v>-8027.8300016219628</v>
      </c>
      <c r="AR320" s="1">
        <f>S320*S$3</f>
        <v>14364.490953048789</v>
      </c>
      <c r="AS320" s="1">
        <f t="shared" si="677"/>
        <v>-3655.9246646896827</v>
      </c>
      <c r="AT320" s="1">
        <f t="shared" si="677"/>
        <v>-9930.963581966982</v>
      </c>
      <c r="AU320" s="1">
        <f t="shared" si="677"/>
        <v>0</v>
      </c>
      <c r="AV320" s="1">
        <f t="shared" si="677"/>
        <v>0</v>
      </c>
      <c r="AW320" s="1">
        <f t="shared" si="677"/>
        <v>0</v>
      </c>
      <c r="AX320" s="1">
        <f t="shared" si="573"/>
        <v>-533004.52993708977</v>
      </c>
      <c r="AY320" s="1">
        <f t="shared" si="574"/>
        <v>-56534.529937090483</v>
      </c>
      <c r="AZ320" s="1">
        <f t="shared" si="575"/>
        <v>-476469.9999999993</v>
      </c>
    </row>
    <row r="321" spans="1:52" x14ac:dyDescent="0.25">
      <c r="A321" s="4">
        <v>45629</v>
      </c>
      <c r="B321">
        <f t="shared" ref="B321:N321" si="701">(B871-B870)*100</f>
        <v>8.9999999999999858</v>
      </c>
      <c r="C321">
        <f t="shared" si="701"/>
        <v>7.0000000000000284</v>
      </c>
      <c r="D321">
        <f t="shared" si="701"/>
        <v>1.9999999999999574</v>
      </c>
      <c r="E321">
        <f t="shared" si="701"/>
        <v>2.9999999999999361</v>
      </c>
      <c r="F321">
        <f t="shared" si="701"/>
        <v>2.9999999999999361</v>
      </c>
      <c r="G321">
        <f t="shared" si="701"/>
        <v>3.0000000000000249</v>
      </c>
      <c r="H321">
        <f t="shared" si="701"/>
        <v>0</v>
      </c>
      <c r="I321">
        <f t="shared" si="701"/>
        <v>-1.9999999999999574</v>
      </c>
      <c r="J321">
        <f t="shared" si="701"/>
        <v>-3.0000000000000249</v>
      </c>
      <c r="K321">
        <f t="shared" si="701"/>
        <v>-4.0000000000000036</v>
      </c>
      <c r="L321">
        <f t="shared" si="701"/>
        <v>-4.0000000000000036</v>
      </c>
      <c r="M321">
        <f t="shared" si="701"/>
        <v>-4.0000000000000036</v>
      </c>
      <c r="N321">
        <f t="shared" si="701"/>
        <v>-4.0000000000000036</v>
      </c>
      <c r="O321" s="5">
        <f t="shared" si="689"/>
        <v>1.2032803199070806E-3</v>
      </c>
      <c r="P321" s="5">
        <f t="shared" si="689"/>
        <v>-4.5835566799094689E-3</v>
      </c>
      <c r="Q321" s="5">
        <f t="shared" si="689"/>
        <v>1.4718210306332567E-3</v>
      </c>
      <c r="R321" s="5">
        <f t="shared" si="689"/>
        <v>-5.072764849501807E-3</v>
      </c>
      <c r="S321" s="5">
        <f t="shared" si="689"/>
        <v>-2.4942076640809678E-3</v>
      </c>
      <c r="T321" s="5">
        <f t="shared" ref="T321:X321" si="702">LN(T870/T871)</f>
        <v>4.1671175681725608E-3</v>
      </c>
      <c r="U321" s="5">
        <f t="shared" si="702"/>
        <v>3.398289047822434E-3</v>
      </c>
      <c r="V321" s="5">
        <f t="shared" si="702"/>
        <v>-2.6051556913638863E-3</v>
      </c>
      <c r="W321" s="5">
        <f t="shared" si="702"/>
        <v>4.1787607343854154E-3</v>
      </c>
      <c r="X321" s="5">
        <f t="shared" si="702"/>
        <v>4.8102937950238595E-3</v>
      </c>
      <c r="Z321" s="4">
        <v>45629</v>
      </c>
      <c r="AA321">
        <f>B321*B$3</f>
        <v>-8846.9999999999854</v>
      </c>
      <c r="AB321">
        <f>C321*C$3</f>
        <v>-18088.000000000073</v>
      </c>
      <c r="AC321">
        <f>D321*D$3</f>
        <v>32285.999999999312</v>
      </c>
      <c r="AD321">
        <f>E321*E$3</f>
        <v>7283.9999999998445</v>
      </c>
      <c r="AE321">
        <f>F321*F$3</f>
        <v>-37283.999999999207</v>
      </c>
      <c r="AF321">
        <f>G321*G$3</f>
        <v>-46884.000000000386</v>
      </c>
      <c r="AG321">
        <f>H321*H$3</f>
        <v>0</v>
      </c>
      <c r="AH321">
        <f>I321*I$3</f>
        <v>36911.999999999214</v>
      </c>
      <c r="AI321">
        <f>J321*J$3</f>
        <v>153154.50000000128</v>
      </c>
      <c r="AJ321">
        <f>K321*K$3</f>
        <v>313580.00000000029</v>
      </c>
      <c r="AK321">
        <f>L321*L$3</f>
        <v>-124016.00000000012</v>
      </c>
      <c r="AL321">
        <f>M321*M$3</f>
        <v>-128292.00000000012</v>
      </c>
      <c r="AM321">
        <f>N321*N$3</f>
        <v>0</v>
      </c>
      <c r="AN321">
        <f>O321*O$3</f>
        <v>0</v>
      </c>
      <c r="AO321">
        <f>P321*P$3</f>
        <v>22917.783399547345</v>
      </c>
      <c r="AP321">
        <f>Q321*Q$3</f>
        <v>17661.85236759908</v>
      </c>
      <c r="AQ321">
        <f>R321*R$3</f>
        <v>76091.472742527112</v>
      </c>
      <c r="AR321" s="1">
        <f>S321*S$3</f>
        <v>17459.453648566774</v>
      </c>
      <c r="AS321" s="1">
        <f t="shared" si="677"/>
        <v>16668.470272690243</v>
      </c>
      <c r="AT321" s="1">
        <f t="shared" si="677"/>
        <v>27186.312382579472</v>
      </c>
      <c r="AU321" s="1">
        <f t="shared" si="677"/>
        <v>0</v>
      </c>
      <c r="AV321" s="1">
        <f t="shared" si="677"/>
        <v>0</v>
      </c>
      <c r="AW321" s="1">
        <f t="shared" si="677"/>
        <v>0</v>
      </c>
      <c r="AX321" s="1">
        <f t="shared" si="573"/>
        <v>357790.84481351014</v>
      </c>
      <c r="AY321" s="1">
        <f t="shared" si="574"/>
        <v>177985.34481350999</v>
      </c>
      <c r="AZ321" s="1">
        <f t="shared" si="575"/>
        <v>179805.50000000015</v>
      </c>
    </row>
    <row r="322" spans="1:52" x14ac:dyDescent="0.25">
      <c r="A322" s="4">
        <v>45628</v>
      </c>
      <c r="B322">
        <f t="shared" ref="B322:N322" si="703">(B872-B871)*100</f>
        <v>0.99999999999997868</v>
      </c>
      <c r="C322">
        <f t="shared" si="703"/>
        <v>6.0000000000000497</v>
      </c>
      <c r="D322">
        <f t="shared" si="703"/>
        <v>7.0000000000000284</v>
      </c>
      <c r="E322">
        <f t="shared" si="703"/>
        <v>0.99999999999997868</v>
      </c>
      <c r="F322">
        <f t="shared" si="703"/>
        <v>-0.99999999999997868</v>
      </c>
      <c r="G322">
        <f t="shared" si="703"/>
        <v>0</v>
      </c>
      <c r="H322">
        <f t="shared" si="703"/>
        <v>-4.0000000000000036</v>
      </c>
      <c r="I322">
        <f t="shared" si="703"/>
        <v>-1.0000000000000675</v>
      </c>
      <c r="J322">
        <f t="shared" si="703"/>
        <v>-3.0000000000000249</v>
      </c>
      <c r="K322">
        <f t="shared" si="703"/>
        <v>-3.0000000000000249</v>
      </c>
      <c r="L322">
        <f t="shared" si="703"/>
        <v>-1.0000000000000675</v>
      </c>
      <c r="M322">
        <f t="shared" si="703"/>
        <v>-0.99999999999997868</v>
      </c>
      <c r="N322">
        <f t="shared" si="703"/>
        <v>0</v>
      </c>
      <c r="O322" s="5">
        <f t="shared" si="689"/>
        <v>1.6341626079170106E-3</v>
      </c>
      <c r="P322" s="5">
        <f t="shared" si="689"/>
        <v>5.8274332278202478E-3</v>
      </c>
      <c r="Q322" s="5">
        <f t="shared" si="689"/>
        <v>3.4782964882276442E-4</v>
      </c>
      <c r="R322" s="5">
        <f t="shared" si="689"/>
        <v>-1.0646793659429203E-3</v>
      </c>
      <c r="S322" s="5">
        <f t="shared" si="689"/>
        <v>1.5458722164131487E-3</v>
      </c>
      <c r="T322" s="5">
        <f t="shared" ref="T322:X322" si="704">LN(T871/T872)</f>
        <v>1.6992399754420281E-3</v>
      </c>
      <c r="U322" s="5">
        <f t="shared" si="704"/>
        <v>-3.8102381719029615E-4</v>
      </c>
      <c r="V322" s="5">
        <f t="shared" si="704"/>
        <v>-8.4764352373421469E-3</v>
      </c>
      <c r="W322" s="5">
        <f t="shared" si="704"/>
        <v>7.6630395979282505E-4</v>
      </c>
      <c r="X322" s="5">
        <f t="shared" si="704"/>
        <v>-3.5485089034029404E-4</v>
      </c>
      <c r="Z322" s="4">
        <v>45628</v>
      </c>
      <c r="AA322">
        <f>B322*B$3</f>
        <v>-982.99999999997908</v>
      </c>
      <c r="AB322">
        <f>C322*C$3</f>
        <v>-15504.000000000129</v>
      </c>
      <c r="AC322">
        <f>D322*D$3</f>
        <v>113001.00000000047</v>
      </c>
      <c r="AD322">
        <f>E322*E$3</f>
        <v>2427.9999999999482</v>
      </c>
      <c r="AE322">
        <f>F322*F$3</f>
        <v>12427.999999999734</v>
      </c>
      <c r="AF322">
        <f>G322*G$3</f>
        <v>0</v>
      </c>
      <c r="AG322">
        <f>H322*H$3</f>
        <v>112864.0000000001</v>
      </c>
      <c r="AH322">
        <f>I322*I$3</f>
        <v>18456.000000001244</v>
      </c>
      <c r="AI322">
        <f>J322*J$3</f>
        <v>153154.50000000128</v>
      </c>
      <c r="AJ322">
        <f>K322*K$3</f>
        <v>235185.00000000195</v>
      </c>
      <c r="AK322">
        <f>L322*L$3</f>
        <v>-31004.000000002092</v>
      </c>
      <c r="AL322">
        <f>M322*M$3</f>
        <v>-32072.999999999316</v>
      </c>
      <c r="AM322">
        <f>N322*N$3</f>
        <v>0</v>
      </c>
      <c r="AN322">
        <f>O322*O$3</f>
        <v>0</v>
      </c>
      <c r="AO322">
        <f>P322*P$3</f>
        <v>-29137.166139101239</v>
      </c>
      <c r="AP322">
        <f>Q322*Q$3</f>
        <v>4173.9557858731732</v>
      </c>
      <c r="AQ322">
        <f>R322*R$3</f>
        <v>15970.190489143804</v>
      </c>
      <c r="AR322" s="1">
        <f>S322*S$3</f>
        <v>-10821.10551489204</v>
      </c>
      <c r="AS322" s="1">
        <f t="shared" si="677"/>
        <v>6796.9599017681121</v>
      </c>
      <c r="AT322" s="1">
        <f t="shared" si="677"/>
        <v>-3048.1905375223691</v>
      </c>
      <c r="AU322" s="1">
        <f t="shared" si="677"/>
        <v>0</v>
      </c>
      <c r="AV322" s="1">
        <f t="shared" si="677"/>
        <v>0</v>
      </c>
      <c r="AW322" s="1">
        <f t="shared" si="677"/>
        <v>0</v>
      </c>
      <c r="AX322" s="1">
        <f t="shared" si="573"/>
        <v>551887.14398527285</v>
      </c>
      <c r="AY322" s="1">
        <f t="shared" si="574"/>
        <v>-16065.35601473056</v>
      </c>
      <c r="AZ322" s="1">
        <f t="shared" si="575"/>
        <v>567952.50000000338</v>
      </c>
    </row>
    <row r="323" spans="1:52" x14ac:dyDescent="0.25">
      <c r="A323" s="4">
        <v>45625</v>
      </c>
      <c r="B323">
        <f t="shared" ref="B323:N323" si="705">(B873-B872)*100</f>
        <v>0</v>
      </c>
      <c r="C323">
        <f t="shared" si="705"/>
        <v>0.99999999999997868</v>
      </c>
      <c r="D323">
        <f t="shared" si="705"/>
        <v>1.9999999999999574</v>
      </c>
      <c r="E323">
        <f t="shared" si="705"/>
        <v>2.0000000000000462</v>
      </c>
      <c r="F323">
        <f t="shared" si="705"/>
        <v>0.99999999999997868</v>
      </c>
      <c r="G323">
        <f t="shared" si="705"/>
        <v>4.0000000000000036</v>
      </c>
      <c r="H323">
        <f t="shared" si="705"/>
        <v>6.0000000000000497</v>
      </c>
      <c r="I323">
        <f t="shared" si="705"/>
        <v>7.0000000000000284</v>
      </c>
      <c r="J323">
        <f t="shared" si="705"/>
        <v>6.0000000000000497</v>
      </c>
      <c r="K323">
        <f t="shared" si="705"/>
        <v>7.0000000000000284</v>
      </c>
      <c r="L323">
        <f t="shared" si="705"/>
        <v>7.0000000000000284</v>
      </c>
      <c r="M323">
        <f t="shared" si="705"/>
        <v>6.9999999999999396</v>
      </c>
      <c r="N323">
        <f t="shared" si="705"/>
        <v>8.0000000000000071</v>
      </c>
      <c r="O323" s="5">
        <f t="shared" si="689"/>
        <v>3.777591055857174E-2</v>
      </c>
      <c r="P323" s="5">
        <f t="shared" si="689"/>
        <v>1.178968473183881E-2</v>
      </c>
      <c r="Q323" s="5">
        <f t="shared" si="689"/>
        <v>2.3151241145975654E-3</v>
      </c>
      <c r="R323" s="5">
        <f t="shared" si="689"/>
        <v>1.8639334380627327E-3</v>
      </c>
      <c r="S323" s="5">
        <f t="shared" si="689"/>
        <v>-1.2378195814865881E-2</v>
      </c>
      <c r="T323" s="5">
        <f t="shared" ref="T323:X323" si="706">LN(T872/T873)</f>
        <v>-6.8215119287364824E-3</v>
      </c>
      <c r="U323" s="5">
        <f t="shared" si="706"/>
        <v>-9.7290321191999922E-3</v>
      </c>
      <c r="V323" s="5">
        <f t="shared" si="706"/>
        <v>-1.2065296103224659E-2</v>
      </c>
      <c r="W323" s="5">
        <f t="shared" si="706"/>
        <v>-4.96457932301191E-3</v>
      </c>
      <c r="X323" s="5">
        <f t="shared" si="706"/>
        <v>-4.4441444020783833E-3</v>
      </c>
      <c r="Z323" s="4">
        <v>45625</v>
      </c>
      <c r="AA323">
        <f>B323*B$3</f>
        <v>0</v>
      </c>
      <c r="AB323">
        <f>C323*C$3</f>
        <v>-2583.999999999945</v>
      </c>
      <c r="AC323">
        <f>D323*D$3</f>
        <v>32285.999999999312</v>
      </c>
      <c r="AD323">
        <f>E323*E$3</f>
        <v>4856.0000000001119</v>
      </c>
      <c r="AE323">
        <f>F323*F$3</f>
        <v>-12427.999999999734</v>
      </c>
      <c r="AF323">
        <f>G323*G$3</f>
        <v>-62512.000000000058</v>
      </c>
      <c r="AG323">
        <f>H323*H$3</f>
        <v>-169296.0000000014</v>
      </c>
      <c r="AH323">
        <f>I323*I$3</f>
        <v>-129192.00000000052</v>
      </c>
      <c r="AI323">
        <f>J323*J$3</f>
        <v>-306309.00000000256</v>
      </c>
      <c r="AJ323">
        <f>K323*K$3</f>
        <v>-548765.00000000221</v>
      </c>
      <c r="AK323">
        <f>L323*L$3</f>
        <v>217028.00000000087</v>
      </c>
      <c r="AL323">
        <f>M323*M$3</f>
        <v>224510.99999999805</v>
      </c>
      <c r="AM323">
        <f>N323*N$3</f>
        <v>0</v>
      </c>
      <c r="AN323">
        <f>O323*O$3</f>
        <v>0</v>
      </c>
      <c r="AO323">
        <f>P323*P$3</f>
        <v>-58948.42365919405</v>
      </c>
      <c r="AP323">
        <f>Q323*Q$3</f>
        <v>27781.489375170786</v>
      </c>
      <c r="AQ323">
        <f>R323*R$3</f>
        <v>-27959.001570940989</v>
      </c>
      <c r="AR323" s="1">
        <f>S323*S$3</f>
        <v>86647.370704061163</v>
      </c>
      <c r="AS323" s="1">
        <f t="shared" si="677"/>
        <v>-27286.047714945929</v>
      </c>
      <c r="AT323" s="1">
        <f t="shared" si="677"/>
        <v>-77832.256953599936</v>
      </c>
      <c r="AU323" s="1">
        <f t="shared" si="677"/>
        <v>0</v>
      </c>
      <c r="AV323" s="1">
        <f t="shared" si="677"/>
        <v>0</v>
      </c>
      <c r="AW323" s="1">
        <f t="shared" si="677"/>
        <v>0</v>
      </c>
      <c r="AX323" s="1">
        <f t="shared" si="573"/>
        <v>-830001.86981945706</v>
      </c>
      <c r="AY323" s="1">
        <f t="shared" si="574"/>
        <v>-77596.869819448955</v>
      </c>
      <c r="AZ323" s="1">
        <f t="shared" si="575"/>
        <v>-752405.00000000815</v>
      </c>
    </row>
    <row r="324" spans="1:52" x14ac:dyDescent="0.25">
      <c r="A324" s="4">
        <v>45623</v>
      </c>
      <c r="B324">
        <f t="shared" ref="B324:N324" si="707">(B874-B873)*100</f>
        <v>-1.9999999999999574</v>
      </c>
      <c r="C324">
        <f t="shared" si="707"/>
        <v>-3.0000000000000249</v>
      </c>
      <c r="D324">
        <f t="shared" si="707"/>
        <v>1.0000000000000675</v>
      </c>
      <c r="E324">
        <f t="shared" si="707"/>
        <v>-2.0000000000000462</v>
      </c>
      <c r="F324">
        <f t="shared" si="707"/>
        <v>2.0000000000000462</v>
      </c>
      <c r="G324">
        <f t="shared" si="707"/>
        <v>3.0000000000000249</v>
      </c>
      <c r="H324">
        <f t="shared" si="707"/>
        <v>1.9999999999999574</v>
      </c>
      <c r="I324">
        <f t="shared" si="707"/>
        <v>4.0000000000000036</v>
      </c>
      <c r="J324">
        <f t="shared" si="707"/>
        <v>5.9999999999999609</v>
      </c>
      <c r="K324">
        <f t="shared" si="707"/>
        <v>7.0000000000000284</v>
      </c>
      <c r="L324">
        <f t="shared" si="707"/>
        <v>4.9999999999999822</v>
      </c>
      <c r="M324">
        <f t="shared" si="707"/>
        <v>4.0000000000000036</v>
      </c>
      <c r="N324">
        <f t="shared" si="707"/>
        <v>4.0000000000000036</v>
      </c>
      <c r="O324" s="5">
        <f t="shared" si="689"/>
        <v>5.1773927734831164E-3</v>
      </c>
      <c r="P324" s="5">
        <f t="shared" si="689"/>
        <v>-4.1210882427507927E-3</v>
      </c>
      <c r="Q324" s="5">
        <f t="shared" si="689"/>
        <v>-1.8750485782531425E-3</v>
      </c>
      <c r="R324" s="5">
        <f t="shared" si="689"/>
        <v>-2.9274804673219837E-3</v>
      </c>
      <c r="S324" s="5">
        <f t="shared" si="689"/>
        <v>-3.6170782776162877E-3</v>
      </c>
      <c r="T324" s="5">
        <f t="shared" ref="T324:X324" si="708">LN(T873/T874)</f>
        <v>-4.4802568330073568E-3</v>
      </c>
      <c r="U324" s="5">
        <f t="shared" si="708"/>
        <v>-3.2513819275578281E-3</v>
      </c>
      <c r="V324" s="5">
        <f t="shared" si="708"/>
        <v>-8.9074183938818701E-3</v>
      </c>
      <c r="W324" s="5">
        <f t="shared" si="708"/>
        <v>-1.7583389599580969E-3</v>
      </c>
      <c r="X324" s="5">
        <f t="shared" si="708"/>
        <v>-2.8506369365826631E-3</v>
      </c>
      <c r="Z324" s="4">
        <v>45623</v>
      </c>
      <c r="AA324">
        <f>B324*B$3</f>
        <v>1965.9999999999582</v>
      </c>
      <c r="AB324">
        <f>C324*C$3</f>
        <v>7752.0000000000646</v>
      </c>
      <c r="AC324">
        <f>D324*D$3</f>
        <v>16143.00000000109</v>
      </c>
      <c r="AD324">
        <f>E324*E$3</f>
        <v>-4856.0000000001119</v>
      </c>
      <c r="AE324">
        <f>F324*F$3</f>
        <v>-24856.000000000575</v>
      </c>
      <c r="AF324">
        <f>G324*G$3</f>
        <v>-46884.000000000386</v>
      </c>
      <c r="AG324">
        <f>H324*H$3</f>
        <v>-56431.999999998799</v>
      </c>
      <c r="AH324">
        <f>I324*I$3</f>
        <v>-73824.000000000073</v>
      </c>
      <c r="AI324">
        <f>J324*J$3</f>
        <v>-306308.99999999802</v>
      </c>
      <c r="AJ324">
        <f>K324*K$3</f>
        <v>-548765.00000000221</v>
      </c>
      <c r="AK324">
        <f>L324*L$3</f>
        <v>155019.99999999945</v>
      </c>
      <c r="AL324">
        <f>M324*M$3</f>
        <v>128292.00000000012</v>
      </c>
      <c r="AM324">
        <f>N324*N$3</f>
        <v>0</v>
      </c>
      <c r="AN324">
        <f>O324*O$3</f>
        <v>0</v>
      </c>
      <c r="AO324">
        <f>P324*P$3</f>
        <v>20605.441213753962</v>
      </c>
      <c r="AP324">
        <f>Q324*Q$3</f>
        <v>-22500.582939037711</v>
      </c>
      <c r="AQ324">
        <f>R324*R$3</f>
        <v>43912.207009829755</v>
      </c>
      <c r="AR324" s="1">
        <f>S324*S$3</f>
        <v>25319.547943314014</v>
      </c>
      <c r="AS324" s="1">
        <f t="shared" si="677"/>
        <v>-17921.027332029429</v>
      </c>
      <c r="AT324" s="1">
        <f t="shared" si="677"/>
        <v>-26011.055420462624</v>
      </c>
      <c r="AU324" s="1">
        <f t="shared" si="677"/>
        <v>0</v>
      </c>
      <c r="AV324" s="1">
        <f t="shared" si="677"/>
        <v>0</v>
      </c>
      <c r="AW324" s="1">
        <f t="shared" si="677"/>
        <v>0</v>
      </c>
      <c r="AX324" s="1">
        <f t="shared" si="573"/>
        <v>-729348.46952463151</v>
      </c>
      <c r="AY324" s="1">
        <f t="shared" si="574"/>
        <v>23404.530475367959</v>
      </c>
      <c r="AZ324" s="1">
        <f t="shared" si="575"/>
        <v>-752752.99999999942</v>
      </c>
    </row>
    <row r="325" spans="1:52" x14ac:dyDescent="0.25">
      <c r="A325" s="4">
        <v>45622</v>
      </c>
      <c r="B325">
        <f t="shared" ref="B325:N325" si="709">(B875-B874)*100</f>
        <v>0</v>
      </c>
      <c r="C325">
        <f t="shared" si="709"/>
        <v>0</v>
      </c>
      <c r="D325">
        <f t="shared" si="709"/>
        <v>0.99999999999997868</v>
      </c>
      <c r="E325">
        <f t="shared" si="709"/>
        <v>0</v>
      </c>
      <c r="F325">
        <f t="shared" si="709"/>
        <v>0.99999999999997868</v>
      </c>
      <c r="G325">
        <f t="shared" si="709"/>
        <v>0</v>
      </c>
      <c r="H325">
        <f t="shared" si="709"/>
        <v>0</v>
      </c>
      <c r="I325">
        <f t="shared" si="709"/>
        <v>0</v>
      </c>
      <c r="J325">
        <f t="shared" si="709"/>
        <v>0</v>
      </c>
      <c r="K325">
        <f t="shared" si="709"/>
        <v>-3.0000000000000249</v>
      </c>
      <c r="L325">
        <f t="shared" si="709"/>
        <v>-3.0000000000000249</v>
      </c>
      <c r="M325">
        <f t="shared" si="709"/>
        <v>-2.9999999999999361</v>
      </c>
      <c r="N325">
        <f t="shared" si="709"/>
        <v>-3.0000000000000249</v>
      </c>
      <c r="O325" s="5">
        <f t="shared" ref="O325:S334" si="710">LN(O874/O875)</f>
        <v>-2.0692152574988823E-4</v>
      </c>
      <c r="P325" s="5">
        <f t="shared" si="710"/>
        <v>3.8701500748794808E-3</v>
      </c>
      <c r="Q325" s="5">
        <f t="shared" si="710"/>
        <v>-5.2987152871461461E-3</v>
      </c>
      <c r="R325" s="5">
        <f t="shared" si="710"/>
        <v>-2.653929370873314E-3</v>
      </c>
      <c r="S325" s="5">
        <f t="shared" si="710"/>
        <v>1.9823604441580597E-2</v>
      </c>
      <c r="T325" s="5">
        <f t="shared" ref="T325:X325" si="711">LN(T874/T875)</f>
        <v>3.4002086829334026E-3</v>
      </c>
      <c r="U325" s="5">
        <f t="shared" si="711"/>
        <v>4.8369115318264945E-3</v>
      </c>
      <c r="V325" s="5">
        <f t="shared" si="711"/>
        <v>1.5039992342156254E-3</v>
      </c>
      <c r="W325" s="5">
        <f t="shared" si="711"/>
        <v>1.1701707631957058E-2</v>
      </c>
      <c r="X325" s="5">
        <f t="shared" si="711"/>
        <v>-1.8771781439044161E-3</v>
      </c>
      <c r="Z325" s="4">
        <v>45622</v>
      </c>
      <c r="AA325">
        <f>B325*B$3</f>
        <v>0</v>
      </c>
      <c r="AB325">
        <f>C325*C$3</f>
        <v>0</v>
      </c>
      <c r="AC325">
        <f>D325*D$3</f>
        <v>16142.999999999656</v>
      </c>
      <c r="AD325">
        <f>E325*E$3</f>
        <v>0</v>
      </c>
      <c r="AE325">
        <f>F325*F$3</f>
        <v>-12427.999999999734</v>
      </c>
      <c r="AF325">
        <f>G325*G$3</f>
        <v>0</v>
      </c>
      <c r="AG325">
        <f>H325*H$3</f>
        <v>0</v>
      </c>
      <c r="AH325">
        <f>I325*I$3</f>
        <v>0</v>
      </c>
      <c r="AI325">
        <f>J325*J$3</f>
        <v>0</v>
      </c>
      <c r="AJ325">
        <f>K325*K$3</f>
        <v>235185.00000000195</v>
      </c>
      <c r="AK325">
        <f>L325*L$3</f>
        <v>-93012.000000000771</v>
      </c>
      <c r="AL325">
        <f>M325*M$3</f>
        <v>-96218.999999997948</v>
      </c>
      <c r="AM325">
        <f>N325*N$3</f>
        <v>0</v>
      </c>
      <c r="AN325">
        <f>O325*O$3</f>
        <v>0</v>
      </c>
      <c r="AO325">
        <f>P325*P$3</f>
        <v>-19350.750374397405</v>
      </c>
      <c r="AP325">
        <f>Q325*Q$3</f>
        <v>-63584.583445753757</v>
      </c>
      <c r="AQ325">
        <f>R325*R$3</f>
        <v>39808.940563099713</v>
      </c>
      <c r="AR325" s="1">
        <f>S325*S$3</f>
        <v>-138765.23109106417</v>
      </c>
      <c r="AS325" s="1">
        <f t="shared" ref="AS325:AW340" si="712">T325*T$3</f>
        <v>13600.83473173361</v>
      </c>
      <c r="AT325" s="1">
        <f t="shared" si="712"/>
        <v>38695.292254611959</v>
      </c>
      <c r="AU325" s="1">
        <f t="shared" si="712"/>
        <v>0</v>
      </c>
      <c r="AV325" s="1">
        <f t="shared" si="712"/>
        <v>0</v>
      </c>
      <c r="AW325" s="1">
        <f t="shared" si="712"/>
        <v>0</v>
      </c>
      <c r="AX325" s="1">
        <f t="shared" si="573"/>
        <v>-79926.497361766902</v>
      </c>
      <c r="AY325" s="1">
        <f t="shared" si="574"/>
        <v>-129595.49736177005</v>
      </c>
      <c r="AZ325" s="1">
        <f t="shared" si="575"/>
        <v>49669.000000003143</v>
      </c>
    </row>
    <row r="326" spans="1:52" x14ac:dyDescent="0.25">
      <c r="A326" s="4">
        <v>45621</v>
      </c>
      <c r="B326">
        <f t="shared" ref="B326:N326" si="713">(B876-B875)*100</f>
        <v>-2.0000000000000462</v>
      </c>
      <c r="C326">
        <f t="shared" si="713"/>
        <v>0</v>
      </c>
      <c r="D326">
        <f t="shared" si="713"/>
        <v>0.99999999999997868</v>
      </c>
      <c r="E326">
        <f t="shared" si="713"/>
        <v>1.0000000000000675</v>
      </c>
      <c r="F326">
        <f t="shared" si="713"/>
        <v>0</v>
      </c>
      <c r="G326">
        <f t="shared" si="713"/>
        <v>4.9999999999999822</v>
      </c>
      <c r="H326">
        <f t="shared" si="713"/>
        <v>16.000000000000014</v>
      </c>
      <c r="I326">
        <f t="shared" si="713"/>
        <v>11.000000000000032</v>
      </c>
      <c r="J326">
        <f t="shared" si="713"/>
        <v>12.999999999999989</v>
      </c>
      <c r="K326">
        <f t="shared" si="713"/>
        <v>13.999999999999968</v>
      </c>
      <c r="L326">
        <f t="shared" si="713"/>
        <v>14.000000000000057</v>
      </c>
      <c r="M326">
        <f t="shared" si="713"/>
        <v>13.999999999999968</v>
      </c>
      <c r="N326">
        <f t="shared" si="713"/>
        <v>14.999999999999947</v>
      </c>
      <c r="O326" s="5">
        <f t="shared" si="710"/>
        <v>-2.101275316732181E-3</v>
      </c>
      <c r="P326" s="5">
        <f t="shared" si="710"/>
        <v>-7.2431558689141414E-3</v>
      </c>
      <c r="Q326" s="5">
        <f t="shared" si="710"/>
        <v>1.1047686556369571E-2</v>
      </c>
      <c r="R326" s="5">
        <f t="shared" si="710"/>
        <v>-3.703707937484303E-3</v>
      </c>
      <c r="S326" s="5">
        <f t="shared" si="710"/>
        <v>-1.0231798733194174E-2</v>
      </c>
      <c r="T326" s="5">
        <f t="shared" ref="T326:X326" si="714">LN(T875/T876)</f>
        <v>-1.0054927377042421E-3</v>
      </c>
      <c r="U326" s="5">
        <f t="shared" si="714"/>
        <v>-7.1756773194900532E-4</v>
      </c>
      <c r="V326" s="5">
        <f t="shared" si="714"/>
        <v>-4.6702097043961117E-4</v>
      </c>
      <c r="W326" s="5">
        <f t="shared" si="714"/>
        <v>-4.5349260719194017E-3</v>
      </c>
      <c r="X326" s="5">
        <f t="shared" si="714"/>
        <v>4.0171994894337435E-3</v>
      </c>
      <c r="Z326" s="4">
        <v>45621</v>
      </c>
      <c r="AA326">
        <f>B326*B$3</f>
        <v>1966.0000000000455</v>
      </c>
      <c r="AB326">
        <f>C326*C$3</f>
        <v>0</v>
      </c>
      <c r="AC326">
        <f>D326*D$3</f>
        <v>16142.999999999656</v>
      </c>
      <c r="AD326">
        <f>E326*E$3</f>
        <v>2428.0000000001637</v>
      </c>
      <c r="AE326">
        <f>F326*F$3</f>
        <v>0</v>
      </c>
      <c r="AF326">
        <f>G326*G$3</f>
        <v>-78139.999999999724</v>
      </c>
      <c r="AG326">
        <f>H326*H$3</f>
        <v>-451456.00000000041</v>
      </c>
      <c r="AH326">
        <f>I326*I$3</f>
        <v>-203016.00000000058</v>
      </c>
      <c r="AI326">
        <f>J326*J$3</f>
        <v>-663669.49999999942</v>
      </c>
      <c r="AJ326">
        <f>K326*K$3</f>
        <v>-1097529.9999999974</v>
      </c>
      <c r="AK326">
        <f>L326*L$3</f>
        <v>434056.00000000175</v>
      </c>
      <c r="AL326">
        <f>M326*M$3</f>
        <v>449021.99999999895</v>
      </c>
      <c r="AM326">
        <f>N326*N$3</f>
        <v>0</v>
      </c>
      <c r="AN326">
        <f>O326*O$3</f>
        <v>0</v>
      </c>
      <c r="AO326">
        <f>P326*P$3</f>
        <v>36215.779344570707</v>
      </c>
      <c r="AP326">
        <f>Q326*Q$3</f>
        <v>132572.23867643485</v>
      </c>
      <c r="AQ326">
        <f>R326*R$3</f>
        <v>55555.619062264544</v>
      </c>
      <c r="AR326" s="1">
        <f>S326*S$3</f>
        <v>71622.591132359215</v>
      </c>
      <c r="AS326" s="1">
        <f t="shared" si="712"/>
        <v>-4021.9709508169681</v>
      </c>
      <c r="AT326" s="1">
        <f t="shared" si="712"/>
        <v>-5740.5418555920423</v>
      </c>
      <c r="AU326" s="1">
        <f t="shared" si="712"/>
        <v>0</v>
      </c>
      <c r="AV326" s="1">
        <f t="shared" si="712"/>
        <v>0</v>
      </c>
      <c r="AW326" s="1">
        <f t="shared" si="712"/>
        <v>0</v>
      </c>
      <c r="AX326" s="1">
        <f t="shared" ref="AX326:AX389" si="715">SUM(AA326:AW326)</f>
        <v>-1303992.7845907765</v>
      </c>
      <c r="AY326" s="1">
        <f t="shared" ref="AY326:AY389" si="716">SUM(AN326:AW326)</f>
        <v>286203.71540922025</v>
      </c>
      <c r="AZ326" s="1">
        <f t="shared" ref="AZ326:AZ389" si="717">AX326-AY326</f>
        <v>-1590196.4999999967</v>
      </c>
    </row>
    <row r="327" spans="1:52" x14ac:dyDescent="0.25">
      <c r="A327" s="4">
        <v>45618</v>
      </c>
      <c r="B327">
        <f t="shared" ref="B327:N327" si="718">(B877-B876)*100</f>
        <v>0</v>
      </c>
      <c r="C327">
        <f t="shared" si="718"/>
        <v>0</v>
      </c>
      <c r="D327">
        <f t="shared" si="718"/>
        <v>0</v>
      </c>
      <c r="E327">
        <f t="shared" si="718"/>
        <v>-1.0000000000000675</v>
      </c>
      <c r="F327">
        <f t="shared" si="718"/>
        <v>-0.99999999999997868</v>
      </c>
      <c r="G327">
        <f t="shared" si="718"/>
        <v>-3.0000000000000249</v>
      </c>
      <c r="H327">
        <f t="shared" si="718"/>
        <v>-3.0000000000000249</v>
      </c>
      <c r="I327">
        <f t="shared" si="718"/>
        <v>-2.0000000000000462</v>
      </c>
      <c r="J327">
        <f t="shared" si="718"/>
        <v>0</v>
      </c>
      <c r="K327">
        <f t="shared" si="718"/>
        <v>1.0000000000000675</v>
      </c>
      <c r="L327">
        <f t="shared" si="718"/>
        <v>1.9999999999999574</v>
      </c>
      <c r="M327">
        <f t="shared" si="718"/>
        <v>0.99999999999997868</v>
      </c>
      <c r="N327">
        <f t="shared" si="718"/>
        <v>1.0000000000000675</v>
      </c>
      <c r="O327" s="5">
        <f t="shared" si="710"/>
        <v>-8.4271358746323944E-4</v>
      </c>
      <c r="P327" s="5">
        <f t="shared" si="710"/>
        <v>4.8054916288687516E-3</v>
      </c>
      <c r="Q327" s="5">
        <f t="shared" si="710"/>
        <v>-1.430063464856493E-3</v>
      </c>
      <c r="R327" s="5">
        <f t="shared" si="710"/>
        <v>-7.9187017467718295E-4</v>
      </c>
      <c r="S327" s="5">
        <f t="shared" si="710"/>
        <v>2.5310284204542685E-3</v>
      </c>
      <c r="T327" s="5">
        <f t="shared" ref="T327:X327" si="719">LN(T876/T877)</f>
        <v>7.3132804671589089E-3</v>
      </c>
      <c r="U327" s="5">
        <f t="shared" si="719"/>
        <v>5.5906360705872387E-3</v>
      </c>
      <c r="V327" s="5">
        <f t="shared" si="719"/>
        <v>-6.9593212218958091E-3</v>
      </c>
      <c r="W327" s="5">
        <f t="shared" si="719"/>
        <v>5.6976457359670556E-4</v>
      </c>
      <c r="X327" s="5">
        <f t="shared" si="719"/>
        <v>3.6711829522996118E-3</v>
      </c>
      <c r="Z327" s="4">
        <v>45618</v>
      </c>
      <c r="AA327">
        <f>B327*B$3</f>
        <v>0</v>
      </c>
      <c r="AB327">
        <f>C327*C$3</f>
        <v>0</v>
      </c>
      <c r="AC327">
        <f>D327*D$3</f>
        <v>0</v>
      </c>
      <c r="AD327">
        <f>E327*E$3</f>
        <v>-2428.0000000001637</v>
      </c>
      <c r="AE327">
        <f>F327*F$3</f>
        <v>12427.999999999734</v>
      </c>
      <c r="AF327">
        <f>G327*G$3</f>
        <v>46884.000000000386</v>
      </c>
      <c r="AG327">
        <f>H327*H$3</f>
        <v>84648.000000000698</v>
      </c>
      <c r="AH327">
        <f>I327*I$3</f>
        <v>36912.000000000851</v>
      </c>
      <c r="AI327">
        <f>J327*J$3</f>
        <v>0</v>
      </c>
      <c r="AJ327">
        <f>K327*K$3</f>
        <v>-78395.000000005297</v>
      </c>
      <c r="AK327">
        <f>L327*L$3</f>
        <v>62007.999999998676</v>
      </c>
      <c r="AL327">
        <f>M327*M$3</f>
        <v>32072.999999999316</v>
      </c>
      <c r="AM327">
        <f>N327*N$3</f>
        <v>0</v>
      </c>
      <c r="AN327">
        <f>O327*O$3</f>
        <v>0</v>
      </c>
      <c r="AO327">
        <f>P327*P$3</f>
        <v>-24027.458144343756</v>
      </c>
      <c r="AP327">
        <f>Q327*Q$3</f>
        <v>-17160.761578277918</v>
      </c>
      <c r="AQ327">
        <f>R327*R$3</f>
        <v>11878.052620157745</v>
      </c>
      <c r="AR327" s="1">
        <f>S327*S$3</f>
        <v>-17717.198943179879</v>
      </c>
      <c r="AS327" s="1">
        <f t="shared" si="712"/>
        <v>29253.121868635637</v>
      </c>
      <c r="AT327" s="1">
        <f t="shared" si="712"/>
        <v>44725.088564697908</v>
      </c>
      <c r="AU327" s="1">
        <f t="shared" si="712"/>
        <v>0</v>
      </c>
      <c r="AV327" s="1">
        <f t="shared" si="712"/>
        <v>0</v>
      </c>
      <c r="AW327" s="1">
        <f t="shared" si="712"/>
        <v>0</v>
      </c>
      <c r="AX327" s="1">
        <f t="shared" si="715"/>
        <v>221080.84438768393</v>
      </c>
      <c r="AY327" s="1">
        <f t="shared" si="716"/>
        <v>26950.844387689736</v>
      </c>
      <c r="AZ327" s="1">
        <f t="shared" si="717"/>
        <v>194129.99999999418</v>
      </c>
    </row>
    <row r="328" spans="1:52" x14ac:dyDescent="0.25">
      <c r="A328" s="4">
        <v>45617</v>
      </c>
      <c r="B328">
        <f t="shared" ref="B328:N328" si="720">(B878-B877)*100</f>
        <v>-4.0000000000000036</v>
      </c>
      <c r="C328">
        <f t="shared" si="720"/>
        <v>-4.0000000000000036</v>
      </c>
      <c r="D328">
        <f t="shared" si="720"/>
        <v>-0.99999999999997868</v>
      </c>
      <c r="E328">
        <f t="shared" si="720"/>
        <v>0</v>
      </c>
      <c r="F328">
        <f t="shared" si="720"/>
        <v>-0.99999999999997868</v>
      </c>
      <c r="G328">
        <f t="shared" si="720"/>
        <v>-1.9999999999999574</v>
      </c>
      <c r="H328">
        <f t="shared" si="720"/>
        <v>-3.0000000000000249</v>
      </c>
      <c r="I328">
        <f t="shared" si="720"/>
        <v>-4.0000000000000036</v>
      </c>
      <c r="J328">
        <f t="shared" si="720"/>
        <v>-1.9999999999999574</v>
      </c>
      <c r="K328">
        <f t="shared" si="720"/>
        <v>-2.0000000000000462</v>
      </c>
      <c r="L328">
        <f t="shared" si="720"/>
        <v>-1.9999999999999574</v>
      </c>
      <c r="M328">
        <f t="shared" si="720"/>
        <v>-1.9999999999999574</v>
      </c>
      <c r="N328">
        <f t="shared" si="720"/>
        <v>-2.0000000000000462</v>
      </c>
      <c r="O328" s="5">
        <f t="shared" si="710"/>
        <v>7.4195836878810737E-3</v>
      </c>
      <c r="P328" s="5">
        <f t="shared" si="710"/>
        <v>-1.1825170796266335E-3</v>
      </c>
      <c r="Q328" s="5">
        <f t="shared" si="710"/>
        <v>-5.4473789690689543E-4</v>
      </c>
      <c r="R328" s="5">
        <f t="shared" si="710"/>
        <v>-2.1085932957591903E-3</v>
      </c>
      <c r="S328" s="5">
        <f t="shared" si="710"/>
        <v>5.7798524101719713E-3</v>
      </c>
      <c r="T328" s="5">
        <f t="shared" ref="T328:X328" si="721">LN(T877/T878)</f>
        <v>5.8066942883498347E-3</v>
      </c>
      <c r="U328" s="5">
        <f t="shared" si="721"/>
        <v>3.0926860529905155E-3</v>
      </c>
      <c r="V328" s="5">
        <f t="shared" si="721"/>
        <v>3.7224020602507051E-3</v>
      </c>
      <c r="W328" s="5">
        <f t="shared" si="721"/>
        <v>4.2131234342930261E-3</v>
      </c>
      <c r="X328" s="5">
        <f t="shared" si="721"/>
        <v>1.7896386025374007E-3</v>
      </c>
      <c r="Z328" s="4">
        <v>45617</v>
      </c>
      <c r="AA328">
        <f>B328*B$3</f>
        <v>3932.0000000000036</v>
      </c>
      <c r="AB328">
        <f>C328*C$3</f>
        <v>10336.000000000009</v>
      </c>
      <c r="AC328">
        <f>D328*D$3</f>
        <v>-16142.999999999656</v>
      </c>
      <c r="AD328">
        <f>E328*E$3</f>
        <v>0</v>
      </c>
      <c r="AE328">
        <f>F328*F$3</f>
        <v>12427.999999999734</v>
      </c>
      <c r="AF328">
        <f>G328*G$3</f>
        <v>31255.999999999334</v>
      </c>
      <c r="AG328">
        <f>H328*H$3</f>
        <v>84648.000000000698</v>
      </c>
      <c r="AH328">
        <f>I328*I$3</f>
        <v>73824.000000000073</v>
      </c>
      <c r="AI328">
        <f>J328*J$3</f>
        <v>102102.99999999782</v>
      </c>
      <c r="AJ328">
        <f>K328*K$3</f>
        <v>156790.00000000361</v>
      </c>
      <c r="AK328">
        <f>L328*L$3</f>
        <v>-62007.999999998676</v>
      </c>
      <c r="AL328">
        <f>M328*M$3</f>
        <v>-64145.999999998632</v>
      </c>
      <c r="AM328">
        <f>N328*N$3</f>
        <v>0</v>
      </c>
      <c r="AN328">
        <f>O328*O$3</f>
        <v>0</v>
      </c>
      <c r="AO328">
        <f>P328*P$3</f>
        <v>5912.5853981331675</v>
      </c>
      <c r="AP328">
        <f>Q328*Q$3</f>
        <v>-6536.8547628827455</v>
      </c>
      <c r="AQ328">
        <f>R328*R$3</f>
        <v>31628.899436387856</v>
      </c>
      <c r="AR328" s="1">
        <f>S328*S$3</f>
        <v>-40458.966871203796</v>
      </c>
      <c r="AS328" s="1">
        <f t="shared" si="712"/>
        <v>23226.77715339934</v>
      </c>
      <c r="AT328" s="1">
        <f t="shared" si="712"/>
        <v>24741.488423924126</v>
      </c>
      <c r="AU328" s="1">
        <f t="shared" si="712"/>
        <v>0</v>
      </c>
      <c r="AV328" s="1">
        <f t="shared" si="712"/>
        <v>0</v>
      </c>
      <c r="AW328" s="1">
        <f t="shared" si="712"/>
        <v>0</v>
      </c>
      <c r="AX328" s="1">
        <f t="shared" si="715"/>
        <v>371533.92877776228</v>
      </c>
      <c r="AY328" s="1">
        <f t="shared" si="716"/>
        <v>38513.928777757945</v>
      </c>
      <c r="AZ328" s="1">
        <f t="shared" si="717"/>
        <v>333020.00000000431</v>
      </c>
    </row>
    <row r="329" spans="1:52" x14ac:dyDescent="0.25">
      <c r="A329" s="4">
        <v>45616</v>
      </c>
      <c r="B329">
        <f t="shared" ref="B329:N329" si="722">(B879-B878)*100</f>
        <v>-0.99999999999997868</v>
      </c>
      <c r="C329">
        <f t="shared" si="722"/>
        <v>0</v>
      </c>
      <c r="D329">
        <f t="shared" si="722"/>
        <v>0</v>
      </c>
      <c r="E329">
        <f t="shared" si="722"/>
        <v>-0.99999999999997868</v>
      </c>
      <c r="F329">
        <f t="shared" si="722"/>
        <v>0</v>
      </c>
      <c r="G329">
        <f t="shared" si="722"/>
        <v>-3.0000000000000249</v>
      </c>
      <c r="H329">
        <f t="shared" si="722"/>
        <v>-4.0000000000000036</v>
      </c>
      <c r="I329">
        <f t="shared" si="722"/>
        <v>-1.9999999999999574</v>
      </c>
      <c r="J329">
        <f t="shared" si="722"/>
        <v>-3.0000000000000249</v>
      </c>
      <c r="K329">
        <f t="shared" si="722"/>
        <v>-1.9999999999999574</v>
      </c>
      <c r="L329">
        <f t="shared" si="722"/>
        <v>-2.0000000000000462</v>
      </c>
      <c r="M329">
        <f t="shared" si="722"/>
        <v>0</v>
      </c>
      <c r="N329">
        <f t="shared" si="722"/>
        <v>-1.9999999999999574</v>
      </c>
      <c r="O329" s="5">
        <f t="shared" si="710"/>
        <v>0</v>
      </c>
      <c r="P329" s="5">
        <f t="shared" si="710"/>
        <v>2.2297567883132097E-3</v>
      </c>
      <c r="Q329" s="5">
        <f t="shared" si="710"/>
        <v>-3.743459734712894E-3</v>
      </c>
      <c r="R329" s="5">
        <f t="shared" si="710"/>
        <v>1.053740877271564E-3</v>
      </c>
      <c r="S329" s="5">
        <f t="shared" si="710"/>
        <v>1.0322602102840524E-2</v>
      </c>
      <c r="T329" s="5">
        <f t="shared" ref="T329:X329" si="723">LN(T878/T879)</f>
        <v>-1.1979117760987207E-3</v>
      </c>
      <c r="U329" s="5">
        <f t="shared" si="723"/>
        <v>-1.2051633484175075E-3</v>
      </c>
      <c r="V329" s="5">
        <f t="shared" si="723"/>
        <v>6.5300031487413354E-4</v>
      </c>
      <c r="W329" s="5">
        <f t="shared" si="723"/>
        <v>-5.4570480637696371E-3</v>
      </c>
      <c r="X329" s="5">
        <f t="shared" si="723"/>
        <v>-1.280240431615991E-3</v>
      </c>
      <c r="Z329" s="4">
        <v>45616</v>
      </c>
      <c r="AA329">
        <f>B329*B$3</f>
        <v>982.99999999997908</v>
      </c>
      <c r="AB329">
        <f>C329*C$3</f>
        <v>0</v>
      </c>
      <c r="AC329">
        <f>D329*D$3</f>
        <v>0</v>
      </c>
      <c r="AD329">
        <f>E329*E$3</f>
        <v>-2427.9999999999482</v>
      </c>
      <c r="AE329">
        <f>F329*F$3</f>
        <v>0</v>
      </c>
      <c r="AF329">
        <f>G329*G$3</f>
        <v>46884.000000000386</v>
      </c>
      <c r="AG329">
        <f>H329*H$3</f>
        <v>112864.0000000001</v>
      </c>
      <c r="AH329">
        <f>I329*I$3</f>
        <v>36911.999999999214</v>
      </c>
      <c r="AI329">
        <f>J329*J$3</f>
        <v>153154.50000000128</v>
      </c>
      <c r="AJ329">
        <f>K329*K$3</f>
        <v>156789.99999999665</v>
      </c>
      <c r="AK329">
        <f>L329*L$3</f>
        <v>-62008.000000001433</v>
      </c>
      <c r="AL329">
        <f>M329*M$3</f>
        <v>0</v>
      </c>
      <c r="AM329">
        <f>N329*N$3</f>
        <v>0</v>
      </c>
      <c r="AN329">
        <f>O329*O$3</f>
        <v>0</v>
      </c>
      <c r="AO329">
        <f>P329*P$3</f>
        <v>-11148.783941566049</v>
      </c>
      <c r="AP329">
        <f>Q329*Q$3</f>
        <v>-44921.516816554729</v>
      </c>
      <c r="AQ329">
        <f>R329*R$3</f>
        <v>-15806.11315907346</v>
      </c>
      <c r="AR329" s="1">
        <f>S329*S$3</f>
        <v>-72258.214719883676</v>
      </c>
      <c r="AS329" s="1">
        <f t="shared" si="712"/>
        <v>-4791.6471043948832</v>
      </c>
      <c r="AT329" s="1">
        <f t="shared" si="712"/>
        <v>-9641.3067873400596</v>
      </c>
      <c r="AU329" s="1">
        <f t="shared" si="712"/>
        <v>0</v>
      </c>
      <c r="AV329" s="1">
        <f t="shared" si="712"/>
        <v>0</v>
      </c>
      <c r="AW329" s="1">
        <f t="shared" si="712"/>
        <v>0</v>
      </c>
      <c r="AX329" s="1">
        <f t="shared" si="715"/>
        <v>284583.91747118335</v>
      </c>
      <c r="AY329" s="1">
        <f t="shared" si="716"/>
        <v>-158567.58252881287</v>
      </c>
      <c r="AZ329" s="1">
        <f t="shared" si="717"/>
        <v>443151.49999999622</v>
      </c>
    </row>
    <row r="330" spans="1:52" x14ac:dyDescent="0.25">
      <c r="A330" s="4">
        <v>45615</v>
      </c>
      <c r="B330">
        <f t="shared" ref="B330:N330" si="724">(B880-B879)*100</f>
        <v>3.0000000000000249</v>
      </c>
      <c r="C330">
        <f t="shared" si="724"/>
        <v>2.0000000000000462</v>
      </c>
      <c r="D330">
        <f t="shared" si="724"/>
        <v>0.99999999999997868</v>
      </c>
      <c r="E330">
        <f t="shared" si="724"/>
        <v>0.99999999999997868</v>
      </c>
      <c r="F330">
        <f t="shared" si="724"/>
        <v>0</v>
      </c>
      <c r="G330">
        <f t="shared" si="724"/>
        <v>-0.99999999999997868</v>
      </c>
      <c r="H330">
        <f t="shared" si="724"/>
        <v>2.0000000000000462</v>
      </c>
      <c r="I330">
        <f t="shared" si="724"/>
        <v>0.99999999999997868</v>
      </c>
      <c r="J330">
        <f t="shared" si="724"/>
        <v>3.0000000000000249</v>
      </c>
      <c r="K330">
        <f t="shared" si="724"/>
        <v>2.9999999999999361</v>
      </c>
      <c r="L330">
        <f t="shared" si="724"/>
        <v>3.0000000000000249</v>
      </c>
      <c r="M330">
        <f t="shared" si="724"/>
        <v>4.0000000000000036</v>
      </c>
      <c r="N330">
        <f t="shared" si="724"/>
        <v>4.0000000000000036</v>
      </c>
      <c r="O330" s="5">
        <f t="shared" si="710"/>
        <v>2.4276065329434161E-3</v>
      </c>
      <c r="P330" s="5">
        <f t="shared" si="710"/>
        <v>-3.1043741989741826E-3</v>
      </c>
      <c r="Q330" s="5">
        <f t="shared" si="710"/>
        <v>2.4085654038606009E-3</v>
      </c>
      <c r="R330" s="5">
        <f t="shared" si="710"/>
        <v>0</v>
      </c>
      <c r="S330" s="5">
        <f t="shared" si="710"/>
        <v>-1.3211797644368042E-2</v>
      </c>
      <c r="T330" s="5">
        <f t="shared" ref="T330:X330" si="725">LN(T879/T880)</f>
        <v>-5.7892298428060315E-3</v>
      </c>
      <c r="U330" s="5">
        <f t="shared" si="725"/>
        <v>-4.8697142296113445E-3</v>
      </c>
      <c r="V330" s="5">
        <f t="shared" si="725"/>
        <v>-3.0391178108831726E-4</v>
      </c>
      <c r="W330" s="5">
        <f t="shared" si="725"/>
        <v>-6.5521006796145278E-3</v>
      </c>
      <c r="X330" s="5">
        <f t="shared" si="725"/>
        <v>-6.1743297027786106E-3</v>
      </c>
      <c r="Z330" s="4">
        <v>45615</v>
      </c>
      <c r="AA330">
        <f>B330*B$3</f>
        <v>-2949.0000000000246</v>
      </c>
      <c r="AB330">
        <f>C330*C$3</f>
        <v>-5168.0000000001191</v>
      </c>
      <c r="AC330">
        <f>D330*D$3</f>
        <v>16142.999999999656</v>
      </c>
      <c r="AD330">
        <f>E330*E$3</f>
        <v>2427.9999999999482</v>
      </c>
      <c r="AE330">
        <f>F330*F$3</f>
        <v>0</v>
      </c>
      <c r="AF330">
        <f>G330*G$3</f>
        <v>15627.999999999667</v>
      </c>
      <c r="AG330">
        <f>H330*H$3</f>
        <v>-56432.000000001302</v>
      </c>
      <c r="AH330">
        <f>I330*I$3</f>
        <v>-18455.999999999607</v>
      </c>
      <c r="AI330">
        <f>J330*J$3</f>
        <v>-153154.50000000128</v>
      </c>
      <c r="AJ330">
        <f>K330*K$3</f>
        <v>-235184.99999999499</v>
      </c>
      <c r="AK330">
        <f>L330*L$3</f>
        <v>93012.000000000771</v>
      </c>
      <c r="AL330">
        <f>M330*M$3</f>
        <v>128292.00000000012</v>
      </c>
      <c r="AM330">
        <f>N330*N$3</f>
        <v>0</v>
      </c>
      <c r="AN330">
        <f>O330*O$3</f>
        <v>0</v>
      </c>
      <c r="AO330">
        <f>P330*P$3</f>
        <v>15521.870994870913</v>
      </c>
      <c r="AP330">
        <f>Q330*Q$3</f>
        <v>28902.784846327209</v>
      </c>
      <c r="AQ330">
        <f>R330*R$3</f>
        <v>0</v>
      </c>
      <c r="AR330" s="1">
        <f>S330*S$3</f>
        <v>92482.583510576296</v>
      </c>
      <c r="AS330" s="1">
        <f t="shared" si="712"/>
        <v>-23156.919371224125</v>
      </c>
      <c r="AT330" s="1">
        <f t="shared" si="712"/>
        <v>-38957.713836890754</v>
      </c>
      <c r="AU330" s="1">
        <f t="shared" si="712"/>
        <v>0</v>
      </c>
      <c r="AV330" s="1">
        <f t="shared" si="712"/>
        <v>0</v>
      </c>
      <c r="AW330" s="1">
        <f t="shared" si="712"/>
        <v>0</v>
      </c>
      <c r="AX330" s="1">
        <f t="shared" si="715"/>
        <v>-141048.89385633761</v>
      </c>
      <c r="AY330" s="1">
        <f t="shared" si="716"/>
        <v>74792.606143659534</v>
      </c>
      <c r="AZ330" s="1">
        <f t="shared" si="717"/>
        <v>-215841.49999999715</v>
      </c>
    </row>
    <row r="331" spans="1:52" x14ac:dyDescent="0.25">
      <c r="A331" s="4">
        <v>45614</v>
      </c>
      <c r="B331">
        <f t="shared" ref="B331:N331" si="726">(B881-B880)*100</f>
        <v>0</v>
      </c>
      <c r="C331">
        <f t="shared" si="726"/>
        <v>1.9999999999999574</v>
      </c>
      <c r="D331">
        <f t="shared" si="726"/>
        <v>-3.0000000000000249</v>
      </c>
      <c r="E331">
        <f t="shared" si="726"/>
        <v>0</v>
      </c>
      <c r="F331">
        <f t="shared" si="726"/>
        <v>0</v>
      </c>
      <c r="G331">
        <f t="shared" si="726"/>
        <v>0.99999999999997868</v>
      </c>
      <c r="H331">
        <f t="shared" si="726"/>
        <v>1.9999999999999574</v>
      </c>
      <c r="I331">
        <f t="shared" si="726"/>
        <v>1.9999999999999574</v>
      </c>
      <c r="J331">
        <f t="shared" si="726"/>
        <v>1.9999999999999574</v>
      </c>
      <c r="K331">
        <f t="shared" si="726"/>
        <v>1.0000000000000675</v>
      </c>
      <c r="L331">
        <f t="shared" si="726"/>
        <v>0.99999999999997868</v>
      </c>
      <c r="M331">
        <f t="shared" si="726"/>
        <v>0</v>
      </c>
      <c r="N331">
        <f t="shared" si="726"/>
        <v>-1.0000000000000675</v>
      </c>
      <c r="O331" s="5">
        <f t="shared" si="710"/>
        <v>-4.8838877146259365E-3</v>
      </c>
      <c r="P331" s="5">
        <f t="shared" si="710"/>
        <v>-5.9204257221678889E-3</v>
      </c>
      <c r="Q331" s="5">
        <f t="shared" si="710"/>
        <v>-9.5387068439185851E-4</v>
      </c>
      <c r="R331" s="5">
        <f t="shared" si="710"/>
        <v>-1.5801952195175833E-3</v>
      </c>
      <c r="S331" s="5">
        <f t="shared" si="710"/>
        <v>0</v>
      </c>
      <c r="T331" s="5">
        <f t="shared" ref="T331:X331" si="727">LN(T880/T881)</f>
        <v>-3.4760225258064257E-4</v>
      </c>
      <c r="U331" s="5">
        <f t="shared" si="727"/>
        <v>3.9698280726239779E-3</v>
      </c>
      <c r="V331" s="5">
        <f t="shared" si="727"/>
        <v>-1.1596499551066298E-2</v>
      </c>
      <c r="W331" s="5">
        <f t="shared" si="727"/>
        <v>-1.2254124358345106E-3</v>
      </c>
      <c r="X331" s="5">
        <f t="shared" si="727"/>
        <v>-1.9897145158810662E-3</v>
      </c>
      <c r="Z331" s="4">
        <v>45614</v>
      </c>
      <c r="AA331">
        <f>B331*B$3</f>
        <v>0</v>
      </c>
      <c r="AB331">
        <f>C331*C$3</f>
        <v>-5167.99999999989</v>
      </c>
      <c r="AC331">
        <f>D331*D$3</f>
        <v>-48429.0000000004</v>
      </c>
      <c r="AD331">
        <f>E331*E$3</f>
        <v>0</v>
      </c>
      <c r="AE331">
        <f>F331*F$3</f>
        <v>0</v>
      </c>
      <c r="AF331">
        <f>G331*G$3</f>
        <v>-15627.999999999667</v>
      </c>
      <c r="AG331">
        <f>H331*H$3</f>
        <v>-56431.999999998799</v>
      </c>
      <c r="AH331">
        <f>I331*I$3</f>
        <v>-36911.999999999214</v>
      </c>
      <c r="AI331">
        <f>J331*J$3</f>
        <v>-102102.99999999782</v>
      </c>
      <c r="AJ331">
        <f>K331*K$3</f>
        <v>-78395.000000005297</v>
      </c>
      <c r="AK331">
        <f>L331*L$3</f>
        <v>31003.999999999338</v>
      </c>
      <c r="AL331">
        <f>M331*M$3</f>
        <v>0</v>
      </c>
      <c r="AM331">
        <f>N331*N$3</f>
        <v>0</v>
      </c>
      <c r="AN331">
        <f>O331*O$3</f>
        <v>0</v>
      </c>
      <c r="AO331">
        <f>P331*P$3</f>
        <v>29602.128610839445</v>
      </c>
      <c r="AP331">
        <f>Q331*Q$3</f>
        <v>-11446.448212702302</v>
      </c>
      <c r="AQ331">
        <f>R331*R$3</f>
        <v>23702.928292763751</v>
      </c>
      <c r="AR331" s="1">
        <f>S331*S$3</f>
        <v>0</v>
      </c>
      <c r="AS331" s="1">
        <f t="shared" si="712"/>
        <v>-1390.4090103225703</v>
      </c>
      <c r="AT331" s="1">
        <f t="shared" si="712"/>
        <v>31758.624580991822</v>
      </c>
      <c r="AU331" s="1">
        <f t="shared" si="712"/>
        <v>0</v>
      </c>
      <c r="AV331" s="1">
        <f t="shared" si="712"/>
        <v>0</v>
      </c>
      <c r="AW331" s="1">
        <f t="shared" si="712"/>
        <v>0</v>
      </c>
      <c r="AX331" s="1">
        <f t="shared" si="715"/>
        <v>-239836.1757384316</v>
      </c>
      <c r="AY331" s="1">
        <f t="shared" si="716"/>
        <v>72226.824261570146</v>
      </c>
      <c r="AZ331" s="1">
        <f t="shared" si="717"/>
        <v>-312063.00000000175</v>
      </c>
    </row>
    <row r="332" spans="1:52" x14ac:dyDescent="0.25">
      <c r="A332" s="4">
        <v>45611</v>
      </c>
      <c r="B332">
        <f t="shared" ref="B332:N332" si="728">(B882-B881)*100</f>
        <v>0</v>
      </c>
      <c r="C332">
        <f t="shared" si="728"/>
        <v>0.99999999999997868</v>
      </c>
      <c r="D332">
        <f t="shared" si="728"/>
        <v>1.0000000000000675</v>
      </c>
      <c r="E332">
        <f t="shared" si="728"/>
        <v>1.0000000000000675</v>
      </c>
      <c r="F332">
        <f t="shared" si="728"/>
        <v>-1.0000000000000675</v>
      </c>
      <c r="G332">
        <f t="shared" si="728"/>
        <v>2.0000000000000462</v>
      </c>
      <c r="H332">
        <f t="shared" si="728"/>
        <v>3.0000000000000249</v>
      </c>
      <c r="I332">
        <f t="shared" si="728"/>
        <v>3.0000000000000249</v>
      </c>
      <c r="J332">
        <f t="shared" si="728"/>
        <v>2.0000000000000462</v>
      </c>
      <c r="K332">
        <f t="shared" si="728"/>
        <v>1.9999999999999574</v>
      </c>
      <c r="L332">
        <f t="shared" si="728"/>
        <v>0</v>
      </c>
      <c r="M332">
        <f t="shared" si="728"/>
        <v>-0.99999999999997868</v>
      </c>
      <c r="N332">
        <f t="shared" si="728"/>
        <v>-1.9999999999999574</v>
      </c>
      <c r="O332" s="5">
        <f t="shared" si="710"/>
        <v>0</v>
      </c>
      <c r="P332" s="5">
        <f t="shared" si="710"/>
        <v>-1.2450387960156854E-2</v>
      </c>
      <c r="Q332" s="5">
        <f t="shared" si="710"/>
        <v>-6.3054295418633272E-3</v>
      </c>
      <c r="R332" s="5">
        <f t="shared" si="710"/>
        <v>7.8978548267463137E-4</v>
      </c>
      <c r="S332" s="5">
        <f t="shared" si="710"/>
        <v>-2.2054940422653506E-3</v>
      </c>
      <c r="T332" s="5">
        <f t="shared" ref="T332:X332" si="729">LN(T881/T882)</f>
        <v>3.2274490359619607E-3</v>
      </c>
      <c r="U332" s="5">
        <f t="shared" si="729"/>
        <v>3.0703120516819794E-3</v>
      </c>
      <c r="V332" s="5">
        <f t="shared" si="729"/>
        <v>6.6624898450484762E-3</v>
      </c>
      <c r="W332" s="5">
        <f t="shared" si="729"/>
        <v>5.7470689723253454E-3</v>
      </c>
      <c r="X332" s="5">
        <f t="shared" si="729"/>
        <v>5.2583591440009923E-3</v>
      </c>
      <c r="Z332" s="4">
        <v>45611</v>
      </c>
      <c r="AA332">
        <f>B332*B$3</f>
        <v>0</v>
      </c>
      <c r="AB332">
        <f>C332*C$3</f>
        <v>-2583.999999999945</v>
      </c>
      <c r="AC332">
        <f>D332*D$3</f>
        <v>16143.00000000109</v>
      </c>
      <c r="AD332">
        <f>E332*E$3</f>
        <v>2428.0000000001637</v>
      </c>
      <c r="AE332">
        <f>F332*F$3</f>
        <v>12428.000000000839</v>
      </c>
      <c r="AF332">
        <f>G332*G$3</f>
        <v>-31256.00000000072</v>
      </c>
      <c r="AG332">
        <f>H332*H$3</f>
        <v>-84648.000000000698</v>
      </c>
      <c r="AH332">
        <f>I332*I$3</f>
        <v>-55368.000000000458</v>
      </c>
      <c r="AI332">
        <f>J332*J$3</f>
        <v>-102103.00000000236</v>
      </c>
      <c r="AJ332">
        <f>K332*K$3</f>
        <v>-156789.99999999665</v>
      </c>
      <c r="AK332">
        <f>L332*L$3</f>
        <v>0</v>
      </c>
      <c r="AL332">
        <f>M332*M$3</f>
        <v>-32072.999999999316</v>
      </c>
      <c r="AM332">
        <f>N332*N$3</f>
        <v>0</v>
      </c>
      <c r="AN332">
        <f>O332*O$3</f>
        <v>0</v>
      </c>
      <c r="AO332">
        <f>P332*P$3</f>
        <v>62251.939800784268</v>
      </c>
      <c r="AP332">
        <f>Q332*Q$3</f>
        <v>-75665.154502359932</v>
      </c>
      <c r="AQ332">
        <f>R332*R$3</f>
        <v>-11846.78224011947</v>
      </c>
      <c r="AR332" s="1">
        <f>S332*S$3</f>
        <v>15438.458295857454</v>
      </c>
      <c r="AS332" s="1">
        <f t="shared" si="712"/>
        <v>12909.796143847843</v>
      </c>
      <c r="AT332" s="1">
        <f t="shared" si="712"/>
        <v>24562.496413455836</v>
      </c>
      <c r="AU332" s="1">
        <f t="shared" si="712"/>
        <v>0</v>
      </c>
      <c r="AV332" s="1">
        <f t="shared" si="712"/>
        <v>0</v>
      </c>
      <c r="AW332" s="1">
        <f t="shared" si="712"/>
        <v>0</v>
      </c>
      <c r="AX332" s="1">
        <f t="shared" si="715"/>
        <v>-406172.24608853197</v>
      </c>
      <c r="AY332" s="1">
        <f t="shared" si="716"/>
        <v>27650.753911465996</v>
      </c>
      <c r="AZ332" s="1">
        <f t="shared" si="717"/>
        <v>-433822.99999999796</v>
      </c>
    </row>
    <row r="333" spans="1:52" x14ac:dyDescent="0.25">
      <c r="A333" s="4">
        <v>45610</v>
      </c>
      <c r="B333">
        <f t="shared" ref="B333:N333" si="730">(B883-B882)*100</f>
        <v>-0.99999999999997868</v>
      </c>
      <c r="C333">
        <f t="shared" si="730"/>
        <v>-0.99999999999997868</v>
      </c>
      <c r="D333">
        <f t="shared" si="730"/>
        <v>-1.0000000000000675</v>
      </c>
      <c r="E333">
        <f t="shared" si="730"/>
        <v>-3.0000000000000249</v>
      </c>
      <c r="F333">
        <f t="shared" si="730"/>
        <v>-2.9999999999999361</v>
      </c>
      <c r="G333">
        <f t="shared" si="730"/>
        <v>-5.0000000000000711</v>
      </c>
      <c r="H333">
        <f t="shared" si="730"/>
        <v>-7.0000000000000284</v>
      </c>
      <c r="I333">
        <f t="shared" si="730"/>
        <v>-4.9999999999999822</v>
      </c>
      <c r="J333">
        <f t="shared" si="730"/>
        <v>-2.0000000000000462</v>
      </c>
      <c r="K333">
        <f t="shared" si="730"/>
        <v>0</v>
      </c>
      <c r="L333">
        <f t="shared" si="730"/>
        <v>1.0000000000000675</v>
      </c>
      <c r="M333">
        <f t="shared" si="730"/>
        <v>4.0000000000000036</v>
      </c>
      <c r="N333">
        <f t="shared" si="730"/>
        <v>4.9999999999999822</v>
      </c>
      <c r="O333" s="5">
        <f t="shared" si="710"/>
        <v>2.9759866935964042E-3</v>
      </c>
      <c r="P333" s="5">
        <f t="shared" si="710"/>
        <v>1.6734538406380801E-3</v>
      </c>
      <c r="Q333" s="5">
        <f t="shared" si="710"/>
        <v>-2.1878840703190459E-3</v>
      </c>
      <c r="R333" s="5">
        <f t="shared" si="710"/>
        <v>-3.4179078889443027E-3</v>
      </c>
      <c r="S333" s="5">
        <f t="shared" si="710"/>
        <v>-4.3379565351198395E-3</v>
      </c>
      <c r="T333" s="5">
        <f t="shared" ref="T333:X333" si="731">LN(T882/T883)</f>
        <v>4.9668645486951749E-3</v>
      </c>
      <c r="U333" s="5">
        <f t="shared" si="731"/>
        <v>2.5445964368491134E-3</v>
      </c>
      <c r="V333" s="5">
        <f t="shared" si="731"/>
        <v>4.9922194218286536E-3</v>
      </c>
      <c r="W333" s="5">
        <f t="shared" si="731"/>
        <v>5.6359993141138062E-3</v>
      </c>
      <c r="X333" s="5">
        <f t="shared" si="731"/>
        <v>4.0838945771662439E-3</v>
      </c>
      <c r="Z333" s="4">
        <v>45610</v>
      </c>
      <c r="AA333">
        <f>B333*B$3</f>
        <v>982.99999999997908</v>
      </c>
      <c r="AB333">
        <f>C333*C$3</f>
        <v>2583.999999999945</v>
      </c>
      <c r="AC333">
        <f>D333*D$3</f>
        <v>-16143.00000000109</v>
      </c>
      <c r="AD333">
        <f>E333*E$3</f>
        <v>-7284.00000000006</v>
      </c>
      <c r="AE333">
        <f>F333*F$3</f>
        <v>37283.999999999207</v>
      </c>
      <c r="AF333">
        <f>G333*G$3</f>
        <v>78140.000000001106</v>
      </c>
      <c r="AG333">
        <f>H333*H$3</f>
        <v>197512.00000000081</v>
      </c>
      <c r="AH333">
        <f>I333*I$3</f>
        <v>92279.999999999665</v>
      </c>
      <c r="AI333">
        <f>J333*J$3</f>
        <v>102103.00000000236</v>
      </c>
      <c r="AJ333">
        <f>K333*K$3</f>
        <v>0</v>
      </c>
      <c r="AK333">
        <f>L333*L$3</f>
        <v>31004.000000002092</v>
      </c>
      <c r="AL333">
        <f>M333*M$3</f>
        <v>128292.00000000012</v>
      </c>
      <c r="AM333">
        <f>N333*N$3</f>
        <v>0</v>
      </c>
      <c r="AN333">
        <f>O333*O$3</f>
        <v>0</v>
      </c>
      <c r="AO333">
        <f>P333*P$3</f>
        <v>-8367.2692031904007</v>
      </c>
      <c r="AP333">
        <f>Q333*Q$3</f>
        <v>-26254.608843828551</v>
      </c>
      <c r="AQ333">
        <f>R333*R$3</f>
        <v>51268.618334164537</v>
      </c>
      <c r="AR333" s="1">
        <f>S333*S$3</f>
        <v>30365.695745838875</v>
      </c>
      <c r="AS333" s="1">
        <f t="shared" si="712"/>
        <v>19867.458194780698</v>
      </c>
      <c r="AT333" s="1">
        <f t="shared" si="712"/>
        <v>20356.771494792909</v>
      </c>
      <c r="AU333" s="1">
        <f t="shared" si="712"/>
        <v>0</v>
      </c>
      <c r="AV333" s="1">
        <f t="shared" si="712"/>
        <v>0</v>
      </c>
      <c r="AW333" s="1">
        <f t="shared" si="712"/>
        <v>0</v>
      </c>
      <c r="AX333" s="1">
        <f t="shared" si="715"/>
        <v>733991.66572256223</v>
      </c>
      <c r="AY333" s="1">
        <f t="shared" si="716"/>
        <v>87236.665722558071</v>
      </c>
      <c r="AZ333" s="1">
        <f t="shared" si="717"/>
        <v>646755.00000000419</v>
      </c>
    </row>
    <row r="334" spans="1:52" x14ac:dyDescent="0.25">
      <c r="A334" s="4">
        <v>45609</v>
      </c>
      <c r="B334">
        <f t="shared" ref="B334:N334" si="732">(B884-B883)*100</f>
        <v>0.99999999999997868</v>
      </c>
      <c r="C334">
        <f t="shared" si="732"/>
        <v>3.0000000000000249</v>
      </c>
      <c r="D334">
        <f t="shared" si="732"/>
        <v>3.0000000000000249</v>
      </c>
      <c r="E334">
        <f t="shared" si="732"/>
        <v>4.0000000000000036</v>
      </c>
      <c r="F334">
        <f t="shared" si="732"/>
        <v>4.9999999999999822</v>
      </c>
      <c r="G334">
        <f t="shared" si="732"/>
        <v>7.0000000000000284</v>
      </c>
      <c r="H334">
        <f t="shared" si="732"/>
        <v>7.0000000000000284</v>
      </c>
      <c r="I334">
        <f t="shared" si="732"/>
        <v>4.0000000000000036</v>
      </c>
      <c r="J334">
        <f t="shared" si="732"/>
        <v>2.0000000000000462</v>
      </c>
      <c r="K334">
        <f t="shared" si="732"/>
        <v>0</v>
      </c>
      <c r="L334">
        <f t="shared" si="732"/>
        <v>-1.0000000000000675</v>
      </c>
      <c r="M334">
        <f t="shared" si="732"/>
        <v>-3.0000000000000249</v>
      </c>
      <c r="N334">
        <f t="shared" si="732"/>
        <v>-4.9999999999999822</v>
      </c>
      <c r="O334" s="5">
        <f t="shared" si="710"/>
        <v>3.2928657761520413E-4</v>
      </c>
      <c r="P334" s="5">
        <f t="shared" si="710"/>
        <v>5.3739493413872373E-3</v>
      </c>
      <c r="Q334" s="5">
        <f t="shared" si="710"/>
        <v>3.3499163302476969E-3</v>
      </c>
      <c r="R334" s="5">
        <f t="shared" si="710"/>
        <v>3.9447782910163251E-3</v>
      </c>
      <c r="S334" s="5">
        <f t="shared" si="710"/>
        <v>-7.5415981054157413E-3</v>
      </c>
      <c r="T334" s="5">
        <f t="shared" ref="T334:X334" si="733">LN(T883/T884)</f>
        <v>4.4796439667150216E-3</v>
      </c>
      <c r="U334" s="5">
        <f t="shared" si="733"/>
        <v>1.060404647245467E-2</v>
      </c>
      <c r="V334" s="5">
        <f t="shared" si="733"/>
        <v>7.6265842440190051E-3</v>
      </c>
      <c r="W334" s="5">
        <f t="shared" si="733"/>
        <v>7.355497889939942E-3</v>
      </c>
      <c r="X334" s="5">
        <f t="shared" si="733"/>
        <v>2.1447710179468035E-3</v>
      </c>
      <c r="Z334" s="4">
        <v>45609</v>
      </c>
      <c r="AA334">
        <f>B334*B$3</f>
        <v>-982.99999999997908</v>
      </c>
      <c r="AB334">
        <f>C334*C$3</f>
        <v>-7752.0000000000646</v>
      </c>
      <c r="AC334">
        <f>D334*D$3</f>
        <v>48429.0000000004</v>
      </c>
      <c r="AD334">
        <f>E334*E$3</f>
        <v>9712.0000000000091</v>
      </c>
      <c r="AE334">
        <f>F334*F$3</f>
        <v>-62139.999999999782</v>
      </c>
      <c r="AF334">
        <f>G334*G$3</f>
        <v>-109396.00000000045</v>
      </c>
      <c r="AG334">
        <f>H334*H$3</f>
        <v>-197512.00000000081</v>
      </c>
      <c r="AH334">
        <f>I334*I$3</f>
        <v>-73824.000000000073</v>
      </c>
      <c r="AI334">
        <f>J334*J$3</f>
        <v>-102103.00000000236</v>
      </c>
      <c r="AJ334">
        <f>K334*K$3</f>
        <v>0</v>
      </c>
      <c r="AK334">
        <f>L334*L$3</f>
        <v>-31004.000000002092</v>
      </c>
      <c r="AL334">
        <f>M334*M$3</f>
        <v>-96219.0000000008</v>
      </c>
      <c r="AM334">
        <f>N334*N$3</f>
        <v>0</v>
      </c>
      <c r="AN334">
        <f>O334*O$3</f>
        <v>0</v>
      </c>
      <c r="AO334">
        <f>P334*P$3</f>
        <v>-26869.746706936188</v>
      </c>
      <c r="AP334">
        <f>Q334*Q$3</f>
        <v>40198.99596297236</v>
      </c>
      <c r="AQ334">
        <f>R334*R$3</f>
        <v>-59171.674365244879</v>
      </c>
      <c r="AR334" s="1">
        <f>S334*S$3</f>
        <v>52791.18673791019</v>
      </c>
      <c r="AS334" s="1">
        <f t="shared" si="712"/>
        <v>17918.575866860087</v>
      </c>
      <c r="AT334" s="1">
        <f t="shared" si="712"/>
        <v>84832.371779637353</v>
      </c>
      <c r="AU334" s="1">
        <f t="shared" si="712"/>
        <v>0</v>
      </c>
      <c r="AV334" s="1">
        <f t="shared" si="712"/>
        <v>0</v>
      </c>
      <c r="AW334" s="1">
        <f t="shared" si="712"/>
        <v>0</v>
      </c>
      <c r="AX334" s="1">
        <f t="shared" si="715"/>
        <v>-513092.29072480713</v>
      </c>
      <c r="AY334" s="1">
        <f t="shared" si="716"/>
        <v>109699.70927519893</v>
      </c>
      <c r="AZ334" s="1">
        <f t="shared" si="717"/>
        <v>-622792.00000000605</v>
      </c>
    </row>
    <row r="335" spans="1:52" x14ac:dyDescent="0.25">
      <c r="A335" s="4">
        <v>45608</v>
      </c>
      <c r="B335">
        <f t="shared" ref="B335:N335" si="734">(B885-B884)*100</f>
        <v>0</v>
      </c>
      <c r="C335">
        <f t="shared" si="734"/>
        <v>-0.99999999999997868</v>
      </c>
      <c r="D335">
        <f t="shared" si="734"/>
        <v>0</v>
      </c>
      <c r="E335">
        <f t="shared" si="734"/>
        <v>-0.99999999999997868</v>
      </c>
      <c r="F335">
        <f t="shared" si="734"/>
        <v>-3.0000000000000249</v>
      </c>
      <c r="G335">
        <f t="shared" si="734"/>
        <v>-5.9999999999999609</v>
      </c>
      <c r="H335">
        <f t="shared" si="734"/>
        <v>-8.0000000000000071</v>
      </c>
      <c r="I335">
        <f t="shared" si="734"/>
        <v>-11.000000000000032</v>
      </c>
      <c r="J335">
        <f t="shared" si="734"/>
        <v>-12.000000000000011</v>
      </c>
      <c r="K335">
        <f t="shared" si="734"/>
        <v>-12.999999999999989</v>
      </c>
      <c r="L335">
        <f t="shared" si="734"/>
        <v>-12.999999999999989</v>
      </c>
      <c r="M335">
        <f t="shared" si="734"/>
        <v>-12.000000000000011</v>
      </c>
      <c r="N335">
        <f t="shared" si="734"/>
        <v>-11.000000000000032</v>
      </c>
      <c r="O335" s="5">
        <f t="shared" ref="O335:S344" si="735">LN(O884/O885)</f>
        <v>7.9766946034299645E-4</v>
      </c>
      <c r="P335" s="5">
        <f t="shared" si="735"/>
        <v>2.1456666220399261E-2</v>
      </c>
      <c r="Q335" s="5">
        <f t="shared" si="735"/>
        <v>3.0528501290947724E-2</v>
      </c>
      <c r="R335" s="5">
        <f t="shared" si="735"/>
        <v>8.2021891244601804E-3</v>
      </c>
      <c r="S335" s="5">
        <f t="shared" si="735"/>
        <v>2.3267903980707782E-2</v>
      </c>
      <c r="T335" s="5">
        <f t="shared" ref="T335:X335" si="736">LN(T884/T885)</f>
        <v>1.2188742939071689E-2</v>
      </c>
      <c r="U335" s="5">
        <f t="shared" si="736"/>
        <v>8.3001197323829597E-3</v>
      </c>
      <c r="V335" s="5">
        <f t="shared" si="736"/>
        <v>1.9565848745159917E-3</v>
      </c>
      <c r="W335" s="5">
        <f t="shared" si="736"/>
        <v>1.4970310913665035E-2</v>
      </c>
      <c r="X335" s="5">
        <f t="shared" si="736"/>
        <v>8.5451352991452959E-3</v>
      </c>
      <c r="Z335" s="4">
        <v>45608</v>
      </c>
      <c r="AA335">
        <f>B335*B$3</f>
        <v>0</v>
      </c>
      <c r="AB335">
        <f>C335*C$3</f>
        <v>2583.999999999945</v>
      </c>
      <c r="AC335">
        <f>D335*D$3</f>
        <v>0</v>
      </c>
      <c r="AD335">
        <f>E335*E$3</f>
        <v>-2427.9999999999482</v>
      </c>
      <c r="AE335">
        <f>F335*F$3</f>
        <v>37284.000000000306</v>
      </c>
      <c r="AF335">
        <f>G335*G$3</f>
        <v>93767.999999999389</v>
      </c>
      <c r="AG335">
        <f>H335*H$3</f>
        <v>225728.0000000002</v>
      </c>
      <c r="AH335">
        <f>I335*I$3</f>
        <v>203016.00000000058</v>
      </c>
      <c r="AI335">
        <f>J335*J$3</f>
        <v>612618.00000000058</v>
      </c>
      <c r="AJ335">
        <f>K335*K$3</f>
        <v>1019134.9999999992</v>
      </c>
      <c r="AK335">
        <f>L335*L$3</f>
        <v>-403051.99999999965</v>
      </c>
      <c r="AL335">
        <f>M335*M$3</f>
        <v>-384876.00000000035</v>
      </c>
      <c r="AM335">
        <f>N335*N$3</f>
        <v>0</v>
      </c>
      <c r="AN335">
        <f>O335*O$3</f>
        <v>0</v>
      </c>
      <c r="AO335">
        <f>P335*P$3</f>
        <v>-107283.3311019963</v>
      </c>
      <c r="AP335">
        <f>Q335*Q$3</f>
        <v>366342.01549137267</v>
      </c>
      <c r="AQ335">
        <f>R335*R$3</f>
        <v>-123032.83686690271</v>
      </c>
      <c r="AR335" s="1">
        <f>S335*S$3</f>
        <v>-162875.32786495448</v>
      </c>
      <c r="AS335" s="1">
        <f t="shared" si="712"/>
        <v>48754.971756286759</v>
      </c>
      <c r="AT335" s="1">
        <f t="shared" si="712"/>
        <v>66400.957859063681</v>
      </c>
      <c r="AU335" s="1">
        <f t="shared" si="712"/>
        <v>0</v>
      </c>
      <c r="AV335" s="1">
        <f t="shared" si="712"/>
        <v>0</v>
      </c>
      <c r="AW335" s="1">
        <f t="shared" si="712"/>
        <v>0</v>
      </c>
      <c r="AX335" s="1">
        <f t="shared" si="715"/>
        <v>1492083.4492728696</v>
      </c>
      <c r="AY335" s="1">
        <f t="shared" si="716"/>
        <v>88306.44927286962</v>
      </c>
      <c r="AZ335" s="1">
        <f t="shared" si="717"/>
        <v>1403777</v>
      </c>
    </row>
    <row r="336" spans="1:52" x14ac:dyDescent="0.25">
      <c r="A336" s="4">
        <v>45604</v>
      </c>
      <c r="B336">
        <f t="shared" ref="B336:N336" si="737">(B886-B885)*100</f>
        <v>-0.99999999999997868</v>
      </c>
      <c r="C336">
        <f t="shared" si="737"/>
        <v>0</v>
      </c>
      <c r="D336">
        <f t="shared" si="737"/>
        <v>0</v>
      </c>
      <c r="E336">
        <f t="shared" si="737"/>
        <v>-1.0000000000000675</v>
      </c>
      <c r="F336">
        <f t="shared" si="737"/>
        <v>-1.9999999999999574</v>
      </c>
      <c r="G336">
        <f t="shared" si="737"/>
        <v>-4.0000000000000036</v>
      </c>
      <c r="H336">
        <f t="shared" si="737"/>
        <v>-4.9999999999999822</v>
      </c>
      <c r="I336">
        <f t="shared" si="737"/>
        <v>-4.9999999999999822</v>
      </c>
      <c r="J336">
        <f t="shared" si="737"/>
        <v>-3.0000000000000249</v>
      </c>
      <c r="K336">
        <f t="shared" si="737"/>
        <v>0</v>
      </c>
      <c r="L336">
        <f t="shared" si="737"/>
        <v>0.99999999999997868</v>
      </c>
      <c r="M336">
        <f t="shared" si="737"/>
        <v>4.0000000000000036</v>
      </c>
      <c r="N336">
        <f t="shared" si="737"/>
        <v>4.9999999999999822</v>
      </c>
      <c r="O336" s="5">
        <f t="shared" si="735"/>
        <v>1.7923571553454084E-2</v>
      </c>
      <c r="P336" s="5">
        <f t="shared" si="735"/>
        <v>1.2568764735082545E-2</v>
      </c>
      <c r="Q336" s="5">
        <f t="shared" si="735"/>
        <v>-1.8348182726132357E-2</v>
      </c>
      <c r="R336" s="5">
        <f t="shared" si="735"/>
        <v>3.726381740813787E-3</v>
      </c>
      <c r="S336" s="5">
        <f t="shared" si="735"/>
        <v>1.6365081738964407E-2</v>
      </c>
      <c r="T336" s="5">
        <f t="shared" ref="T336:X336" si="738">LN(T885/T886)</f>
        <v>-5.7694859439214102E-3</v>
      </c>
      <c r="U336" s="5">
        <f t="shared" si="738"/>
        <v>-7.6560869357221268E-3</v>
      </c>
      <c r="V336" s="5">
        <f t="shared" si="738"/>
        <v>-7.4147633917228187E-3</v>
      </c>
      <c r="W336" s="5">
        <f t="shared" si="738"/>
        <v>-1.6583788546663047E-2</v>
      </c>
      <c r="X336" s="5">
        <f t="shared" si="738"/>
        <v>-3.340014893812047E-3</v>
      </c>
      <c r="Z336" s="4">
        <v>45604</v>
      </c>
      <c r="AA336">
        <f>B336*B$3</f>
        <v>982.99999999997908</v>
      </c>
      <c r="AB336">
        <f>C336*C$3</f>
        <v>0</v>
      </c>
      <c r="AC336">
        <f>D336*D$3</f>
        <v>0</v>
      </c>
      <c r="AD336">
        <f>E336*E$3</f>
        <v>-2428.0000000001637</v>
      </c>
      <c r="AE336">
        <f>F336*F$3</f>
        <v>24855.999999999469</v>
      </c>
      <c r="AF336">
        <f>G336*G$3</f>
        <v>62512.000000000058</v>
      </c>
      <c r="AG336">
        <f>H336*H$3</f>
        <v>141079.99999999951</v>
      </c>
      <c r="AH336">
        <f>I336*I$3</f>
        <v>92279.999999999665</v>
      </c>
      <c r="AI336">
        <f>J336*J$3</f>
        <v>153154.50000000128</v>
      </c>
      <c r="AJ336">
        <f>K336*K$3</f>
        <v>0</v>
      </c>
      <c r="AK336">
        <f>L336*L$3</f>
        <v>31003.999999999338</v>
      </c>
      <c r="AL336">
        <f>M336*M$3</f>
        <v>128292.00000000012</v>
      </c>
      <c r="AM336">
        <f>N336*N$3</f>
        <v>0</v>
      </c>
      <c r="AN336">
        <f>O336*O$3</f>
        <v>0</v>
      </c>
      <c r="AO336">
        <f>P336*P$3</f>
        <v>-62843.823675412721</v>
      </c>
      <c r="AP336">
        <f>Q336*Q$3</f>
        <v>-220178.19271358827</v>
      </c>
      <c r="AQ336">
        <f>R336*R$3</f>
        <v>-55895.726112206808</v>
      </c>
      <c r="AR336" s="1">
        <f>S336*S$3</f>
        <v>-114555.57217275085</v>
      </c>
      <c r="AS336" s="1">
        <f t="shared" si="712"/>
        <v>-23077.943775685642</v>
      </c>
      <c r="AT336" s="1">
        <f t="shared" si="712"/>
        <v>-61248.695485777018</v>
      </c>
      <c r="AU336" s="1">
        <f t="shared" si="712"/>
        <v>0</v>
      </c>
      <c r="AV336" s="1">
        <f t="shared" si="712"/>
        <v>0</v>
      </c>
      <c r="AW336" s="1">
        <f t="shared" si="712"/>
        <v>0</v>
      </c>
      <c r="AX336" s="1">
        <f t="shared" si="715"/>
        <v>93933.546064578055</v>
      </c>
      <c r="AY336" s="1">
        <f t="shared" si="716"/>
        <v>-537799.9539354213</v>
      </c>
      <c r="AZ336" s="1">
        <f t="shared" si="717"/>
        <v>631733.4999999993</v>
      </c>
    </row>
    <row r="337" spans="1:52" x14ac:dyDescent="0.25">
      <c r="A337" s="4">
        <v>45603</v>
      </c>
      <c r="B337">
        <f t="shared" ref="B337:N337" si="739">(B887-B886)*100</f>
        <v>-1.0000000000000675</v>
      </c>
      <c r="C337">
        <f t="shared" si="739"/>
        <v>1.9999999999999574</v>
      </c>
      <c r="D337">
        <f t="shared" si="739"/>
        <v>0.99999999999997868</v>
      </c>
      <c r="E337">
        <f t="shared" si="739"/>
        <v>2.0000000000000462</v>
      </c>
      <c r="F337">
        <f t="shared" si="739"/>
        <v>0.99999999999997868</v>
      </c>
      <c r="G337">
        <f t="shared" si="739"/>
        <v>2.9999999999999361</v>
      </c>
      <c r="H337">
        <f t="shared" si="739"/>
        <v>5.9999999999999609</v>
      </c>
      <c r="I337">
        <f t="shared" si="739"/>
        <v>7.0000000000000284</v>
      </c>
      <c r="J337">
        <f t="shared" si="739"/>
        <v>9.9999999999999645</v>
      </c>
      <c r="K337">
        <f t="shared" si="739"/>
        <v>12.000000000000011</v>
      </c>
      <c r="L337">
        <f t="shared" si="739"/>
        <v>11.000000000000032</v>
      </c>
      <c r="M337">
        <f t="shared" si="739"/>
        <v>8.9999999999999858</v>
      </c>
      <c r="N337">
        <f t="shared" si="739"/>
        <v>8.0000000000000071</v>
      </c>
      <c r="O337" s="5">
        <f t="shared" si="735"/>
        <v>-1.7923571553454157E-2</v>
      </c>
      <c r="P337" s="5">
        <f t="shared" si="735"/>
        <v>-2.4981514510179728E-2</v>
      </c>
      <c r="Q337" s="5">
        <f t="shared" si="735"/>
        <v>1.4245107012971901E-2</v>
      </c>
      <c r="R337" s="5">
        <f t="shared" si="735"/>
        <v>-6.9094083009347057E-3</v>
      </c>
      <c r="S337" s="5">
        <f t="shared" si="735"/>
        <v>-1.4937954185097071E-2</v>
      </c>
      <c r="T337" s="5">
        <f t="shared" ref="T337:X337" si="740">LN(T886/T887)</f>
        <v>1.8589622934531869E-2</v>
      </c>
      <c r="U337" s="5">
        <f t="shared" si="740"/>
        <v>1.2366775254516993E-2</v>
      </c>
      <c r="V337" s="5">
        <f t="shared" si="740"/>
        <v>1.8871942200631379E-2</v>
      </c>
      <c r="W337" s="5">
        <f t="shared" si="740"/>
        <v>1.1280529334343566E-2</v>
      </c>
      <c r="X337" s="5">
        <f t="shared" si="740"/>
        <v>1.5292757080025711E-2</v>
      </c>
      <c r="Z337" s="4">
        <v>45603</v>
      </c>
      <c r="AA337">
        <f>B337*B$3</f>
        <v>983.00000000006639</v>
      </c>
      <c r="AB337">
        <f>C337*C$3</f>
        <v>-5167.99999999989</v>
      </c>
      <c r="AC337">
        <f>D337*D$3</f>
        <v>16142.999999999656</v>
      </c>
      <c r="AD337">
        <f>E337*E$3</f>
        <v>4856.0000000001119</v>
      </c>
      <c r="AE337">
        <f>F337*F$3</f>
        <v>-12427.999999999734</v>
      </c>
      <c r="AF337">
        <f>G337*G$3</f>
        <v>-46883.999999999003</v>
      </c>
      <c r="AG337">
        <f>H337*H$3</f>
        <v>-169295.99999999889</v>
      </c>
      <c r="AH337">
        <f>I337*I$3</f>
        <v>-129192.00000000052</v>
      </c>
      <c r="AI337">
        <f>J337*J$3</f>
        <v>-510514.9999999982</v>
      </c>
      <c r="AJ337">
        <f>K337*K$3</f>
        <v>-940740.00000000081</v>
      </c>
      <c r="AK337">
        <f>L337*L$3</f>
        <v>341044.00000000099</v>
      </c>
      <c r="AL337">
        <f>M337*M$3</f>
        <v>288656.99999999953</v>
      </c>
      <c r="AM337">
        <f>N337*N$3</f>
        <v>0</v>
      </c>
      <c r="AN337">
        <f>O337*O$3</f>
        <v>0</v>
      </c>
      <c r="AO337">
        <f>P337*P$3</f>
        <v>124907.57255089864</v>
      </c>
      <c r="AP337">
        <f>Q337*Q$3</f>
        <v>170941.28415566281</v>
      </c>
      <c r="AQ337">
        <f>R337*R$3</f>
        <v>103641.12451402059</v>
      </c>
      <c r="AR337" s="1">
        <f>S337*S$3</f>
        <v>104565.6792956795</v>
      </c>
      <c r="AS337" s="1">
        <f t="shared" si="712"/>
        <v>74358.491738127472</v>
      </c>
      <c r="AT337" s="1">
        <f t="shared" si="712"/>
        <v>98934.202036135946</v>
      </c>
      <c r="AU337" s="1">
        <f t="shared" si="712"/>
        <v>0</v>
      </c>
      <c r="AV337" s="1">
        <f t="shared" si="712"/>
        <v>0</v>
      </c>
      <c r="AW337" s="1">
        <f t="shared" si="712"/>
        <v>0</v>
      </c>
      <c r="AX337" s="1">
        <f t="shared" si="715"/>
        <v>-485191.64570947178</v>
      </c>
      <c r="AY337" s="1">
        <f t="shared" si="716"/>
        <v>677348.35429052496</v>
      </c>
      <c r="AZ337" s="1">
        <f t="shared" si="717"/>
        <v>-1162539.9999999967</v>
      </c>
    </row>
    <row r="338" spans="1:52" x14ac:dyDescent="0.25">
      <c r="A338" s="4">
        <v>45602</v>
      </c>
      <c r="B338">
        <f t="shared" ref="B338:N338" si="741">(B888-B887)*100</f>
        <v>4.0000000000000036</v>
      </c>
      <c r="C338">
        <f t="shared" si="741"/>
        <v>0.99999999999997868</v>
      </c>
      <c r="D338">
        <f t="shared" si="741"/>
        <v>0</v>
      </c>
      <c r="E338">
        <f t="shared" si="741"/>
        <v>-4.9999999999999822</v>
      </c>
      <c r="F338">
        <f t="shared" si="741"/>
        <v>-2.0000000000000462</v>
      </c>
      <c r="G338">
        <f t="shared" si="741"/>
        <v>-4.0000000000000036</v>
      </c>
      <c r="H338">
        <f t="shared" si="741"/>
        <v>-7.9999999999999183</v>
      </c>
      <c r="I338">
        <f t="shared" si="741"/>
        <v>-8.9999999999999858</v>
      </c>
      <c r="J338">
        <f t="shared" si="741"/>
        <v>-10.999999999999943</v>
      </c>
      <c r="K338">
        <f t="shared" si="741"/>
        <v>-15.000000000000036</v>
      </c>
      <c r="L338">
        <f t="shared" si="741"/>
        <v>-16.000000000000014</v>
      </c>
      <c r="M338">
        <f t="shared" si="741"/>
        <v>-16.000000000000014</v>
      </c>
      <c r="N338">
        <f t="shared" si="741"/>
        <v>-15.999999999999925</v>
      </c>
      <c r="O338" s="5">
        <f t="shared" si="735"/>
        <v>-3.4289310404515463E-3</v>
      </c>
      <c r="P338" s="5">
        <f t="shared" si="735"/>
        <v>1.9389409935397514E-3</v>
      </c>
      <c r="Q338" s="5">
        <f t="shared" si="735"/>
        <v>-1.7159841820081553E-3</v>
      </c>
      <c r="R338" s="5">
        <f t="shared" si="735"/>
        <v>1.0598835120432524E-3</v>
      </c>
      <c r="S338" s="5">
        <f t="shared" si="735"/>
        <v>4.3334858894274698E-3</v>
      </c>
      <c r="T338" s="5">
        <f t="shared" ref="T338:X338" si="742">LN(T887/T888)</f>
        <v>-5.5393324297104488E-3</v>
      </c>
      <c r="U338" s="5">
        <f t="shared" si="742"/>
        <v>-6.8504674561147864E-3</v>
      </c>
      <c r="V338" s="5">
        <f t="shared" si="742"/>
        <v>-5.5381963221759183E-3</v>
      </c>
      <c r="W338" s="5">
        <f t="shared" si="742"/>
        <v>-8.6798985145010808E-3</v>
      </c>
      <c r="X338" s="5">
        <f t="shared" si="742"/>
        <v>-2.0387199391925831E-3</v>
      </c>
      <c r="Z338" s="4">
        <v>45602</v>
      </c>
      <c r="AA338">
        <f>B338*B$3</f>
        <v>-3932.0000000000036</v>
      </c>
      <c r="AB338">
        <f>C338*C$3</f>
        <v>-2583.999999999945</v>
      </c>
      <c r="AC338">
        <f>D338*D$3</f>
        <v>0</v>
      </c>
      <c r="AD338">
        <f>E338*E$3</f>
        <v>-12139.999999999956</v>
      </c>
      <c r="AE338">
        <f>F338*F$3</f>
        <v>24856.000000000575</v>
      </c>
      <c r="AF338">
        <f>G338*G$3</f>
        <v>62512.000000000058</v>
      </c>
      <c r="AG338">
        <f>H338*H$3</f>
        <v>225727.9999999977</v>
      </c>
      <c r="AH338">
        <f>I338*I$3</f>
        <v>166103.99999999974</v>
      </c>
      <c r="AI338">
        <f>J338*J$3</f>
        <v>561566.49999999709</v>
      </c>
      <c r="AJ338">
        <f>K338*K$3</f>
        <v>1175925.0000000028</v>
      </c>
      <c r="AK338">
        <f>L338*L$3</f>
        <v>-496064.00000000047</v>
      </c>
      <c r="AL338">
        <f>M338*M$3</f>
        <v>-513168.00000000047</v>
      </c>
      <c r="AM338">
        <f>N338*N$3</f>
        <v>0</v>
      </c>
      <c r="AN338">
        <f>O338*O$3</f>
        <v>0</v>
      </c>
      <c r="AO338">
        <f>P338*P$3</f>
        <v>-9694.7049676987572</v>
      </c>
      <c r="AP338">
        <f>Q338*Q$3</f>
        <v>-20591.810184097863</v>
      </c>
      <c r="AQ338">
        <f>R338*R$3</f>
        <v>-15898.252680648786</v>
      </c>
      <c r="AR338" s="1">
        <f>S338*S$3</f>
        <v>-30334.401225992289</v>
      </c>
      <c r="AS338" s="1">
        <f t="shared" si="712"/>
        <v>-22157.329718841796</v>
      </c>
      <c r="AT338" s="1">
        <f t="shared" si="712"/>
        <v>-54803.739648918294</v>
      </c>
      <c r="AU338" s="1">
        <f t="shared" si="712"/>
        <v>0</v>
      </c>
      <c r="AV338" s="1">
        <f t="shared" si="712"/>
        <v>0</v>
      </c>
      <c r="AW338" s="1">
        <f t="shared" si="712"/>
        <v>0</v>
      </c>
      <c r="AX338" s="1">
        <f t="shared" si="715"/>
        <v>1035323.2615737995</v>
      </c>
      <c r="AY338" s="1">
        <f t="shared" si="716"/>
        <v>-153480.23842619779</v>
      </c>
      <c r="AZ338" s="1">
        <f t="shared" si="717"/>
        <v>1188803.4999999972</v>
      </c>
    </row>
    <row r="339" spans="1:52" x14ac:dyDescent="0.25">
      <c r="A339" s="4">
        <v>45601</v>
      </c>
      <c r="B339">
        <f t="shared" ref="B339:N339" si="743">(B889-B888)*100</f>
        <v>3.0000000000000249</v>
      </c>
      <c r="C339">
        <f t="shared" si="743"/>
        <v>2.0000000000000462</v>
      </c>
      <c r="D339">
        <f t="shared" si="743"/>
        <v>1.0000000000000675</v>
      </c>
      <c r="E339">
        <f t="shared" si="743"/>
        <v>1.9999999999999574</v>
      </c>
      <c r="F339">
        <f t="shared" si="743"/>
        <v>0</v>
      </c>
      <c r="G339">
        <f t="shared" si="743"/>
        <v>-1.9999999999999574</v>
      </c>
      <c r="H339">
        <f t="shared" si="743"/>
        <v>-2.0000000000000462</v>
      </c>
      <c r="I339">
        <f t="shared" si="743"/>
        <v>-1.0000000000000675</v>
      </c>
      <c r="J339">
        <f t="shared" si="743"/>
        <v>0.99999999999997868</v>
      </c>
      <c r="K339">
        <f t="shared" si="743"/>
        <v>2.0000000000000462</v>
      </c>
      <c r="L339">
        <f t="shared" si="743"/>
        <v>4.9999999999999822</v>
      </c>
      <c r="M339">
        <f t="shared" si="743"/>
        <v>4.9999999999999822</v>
      </c>
      <c r="N339">
        <f t="shared" si="743"/>
        <v>5.9999999999999609</v>
      </c>
      <c r="O339" s="5">
        <f t="shared" si="735"/>
        <v>-8.9858133886787698E-4</v>
      </c>
      <c r="P339" s="5">
        <f t="shared" si="735"/>
        <v>-6.3245163380054445E-3</v>
      </c>
      <c r="Q339" s="5">
        <f t="shared" si="735"/>
        <v>-4.9535252996584286E-3</v>
      </c>
      <c r="R339" s="5">
        <f t="shared" si="735"/>
        <v>0</v>
      </c>
      <c r="S339" s="5">
        <f t="shared" si="735"/>
        <v>-3.5993078877414849E-3</v>
      </c>
      <c r="T339" s="5">
        <f t="shared" ref="T339:X339" si="744">LN(T888/T889)</f>
        <v>4.3521069384166407E-5</v>
      </c>
      <c r="U339" s="5">
        <f t="shared" si="744"/>
        <v>-8.8068191156217589E-5</v>
      </c>
      <c r="V339" s="5">
        <f t="shared" si="744"/>
        <v>-7.2245064508282651E-5</v>
      </c>
      <c r="W339" s="5">
        <f t="shared" si="744"/>
        <v>1.1858488303030294E-3</v>
      </c>
      <c r="X339" s="5">
        <f t="shared" si="744"/>
        <v>-3.9612804206292313E-3</v>
      </c>
      <c r="Z339" s="4">
        <v>45601</v>
      </c>
      <c r="AA339">
        <f>B339*B$3</f>
        <v>-2949.0000000000246</v>
      </c>
      <c r="AB339">
        <f>C339*C$3</f>
        <v>-5168.0000000001191</v>
      </c>
      <c r="AC339">
        <f>D339*D$3</f>
        <v>16143.00000000109</v>
      </c>
      <c r="AD339">
        <f>E339*E$3</f>
        <v>4855.9999999998963</v>
      </c>
      <c r="AE339">
        <f>F339*F$3</f>
        <v>0</v>
      </c>
      <c r="AF339">
        <f>G339*G$3</f>
        <v>31255.999999999334</v>
      </c>
      <c r="AG339">
        <f>H339*H$3</f>
        <v>56432.000000001302</v>
      </c>
      <c r="AH339">
        <f>I339*I$3</f>
        <v>18456.000000001244</v>
      </c>
      <c r="AI339">
        <f>J339*J$3</f>
        <v>-51051.499999998909</v>
      </c>
      <c r="AJ339">
        <f>K339*K$3</f>
        <v>-156790.00000000361</v>
      </c>
      <c r="AK339">
        <f>L339*L$3</f>
        <v>155019.99999999945</v>
      </c>
      <c r="AL339">
        <f>M339*M$3</f>
        <v>160364.99999999942</v>
      </c>
      <c r="AM339">
        <f>N339*N$3</f>
        <v>0</v>
      </c>
      <c r="AN339">
        <f>O339*O$3</f>
        <v>0</v>
      </c>
      <c r="AO339">
        <f>P339*P$3</f>
        <v>31622.581690027222</v>
      </c>
      <c r="AP339">
        <f>Q339*Q$3</f>
        <v>-59442.303595901139</v>
      </c>
      <c r="AQ339">
        <f>R339*R$3</f>
        <v>0</v>
      </c>
      <c r="AR339" s="1">
        <f>S339*S$3</f>
        <v>25195.155214190396</v>
      </c>
      <c r="AS339" s="1">
        <f t="shared" si="712"/>
        <v>174.08427753666564</v>
      </c>
      <c r="AT339" s="1">
        <f t="shared" si="712"/>
        <v>-704.54552924974075</v>
      </c>
      <c r="AU339" s="1">
        <f t="shared" si="712"/>
        <v>0</v>
      </c>
      <c r="AV339" s="1">
        <f t="shared" si="712"/>
        <v>0</v>
      </c>
      <c r="AW339" s="1">
        <f t="shared" si="712"/>
        <v>0</v>
      </c>
      <c r="AX339" s="1">
        <f t="shared" si="715"/>
        <v>223414.47205660248</v>
      </c>
      <c r="AY339" s="1">
        <f t="shared" si="716"/>
        <v>-3155.027943396597</v>
      </c>
      <c r="AZ339" s="1">
        <f t="shared" si="717"/>
        <v>226569.49999999907</v>
      </c>
    </row>
    <row r="340" spans="1:52" x14ac:dyDescent="0.25">
      <c r="A340" s="4">
        <v>45600</v>
      </c>
      <c r="B340">
        <f t="shared" ref="B340:N340" si="745">(B890-B889)*100</f>
        <v>0</v>
      </c>
      <c r="C340">
        <f t="shared" si="745"/>
        <v>0</v>
      </c>
      <c r="D340">
        <f t="shared" si="745"/>
        <v>-4.0000000000000036</v>
      </c>
      <c r="E340">
        <f t="shared" si="745"/>
        <v>2.0000000000000462</v>
      </c>
      <c r="F340">
        <f t="shared" si="745"/>
        <v>3.0000000000000249</v>
      </c>
      <c r="G340">
        <f t="shared" si="745"/>
        <v>3.0000000000000249</v>
      </c>
      <c r="H340">
        <f t="shared" si="745"/>
        <v>4.0000000000000036</v>
      </c>
      <c r="I340">
        <f t="shared" si="745"/>
        <v>8.0000000000000071</v>
      </c>
      <c r="J340">
        <f t="shared" si="745"/>
        <v>4.9999999999999822</v>
      </c>
      <c r="K340">
        <f t="shared" si="745"/>
        <v>5.9999999999999609</v>
      </c>
      <c r="L340">
        <f t="shared" si="745"/>
        <v>6.0000000000000497</v>
      </c>
      <c r="M340">
        <f t="shared" si="745"/>
        <v>8.0000000000000071</v>
      </c>
      <c r="N340">
        <f t="shared" si="745"/>
        <v>7.0000000000000284</v>
      </c>
      <c r="O340" s="5">
        <f t="shared" si="735"/>
        <v>-3.0181543197221137E-3</v>
      </c>
      <c r="P340" s="5">
        <f t="shared" si="735"/>
        <v>0</v>
      </c>
      <c r="Q340" s="5">
        <f t="shared" si="735"/>
        <v>1.0877744300651009E-2</v>
      </c>
      <c r="R340" s="5">
        <f t="shared" si="735"/>
        <v>-2.6507621096244569E-4</v>
      </c>
      <c r="S340" s="5">
        <f t="shared" si="735"/>
        <v>-6.2135353763252323E-3</v>
      </c>
      <c r="T340" s="5">
        <f t="shared" ref="T340:X340" si="746">LN(T889/T890)</f>
        <v>1.0661677399959007E-3</v>
      </c>
      <c r="U340" s="5">
        <f t="shared" si="746"/>
        <v>-4.3068468395420266E-3</v>
      </c>
      <c r="V340" s="5">
        <f t="shared" si="746"/>
        <v>2.0180101151183235E-3</v>
      </c>
      <c r="W340" s="5">
        <f t="shared" si="746"/>
        <v>-2.2953431813138208E-3</v>
      </c>
      <c r="X340" s="5">
        <f t="shared" si="746"/>
        <v>4.690593928170169E-3</v>
      </c>
      <c r="Z340" s="4">
        <v>45600</v>
      </c>
      <c r="AA340">
        <f>B340*B$3</f>
        <v>0</v>
      </c>
      <c r="AB340">
        <f>C340*C$3</f>
        <v>0</v>
      </c>
      <c r="AC340">
        <f>D340*D$3</f>
        <v>-64572.000000000058</v>
      </c>
      <c r="AD340">
        <f>E340*E$3</f>
        <v>4856.0000000001119</v>
      </c>
      <c r="AE340">
        <f>F340*F$3</f>
        <v>-37284.000000000306</v>
      </c>
      <c r="AF340">
        <f>G340*G$3</f>
        <v>-46884.000000000386</v>
      </c>
      <c r="AG340">
        <f>H340*H$3</f>
        <v>-112864.0000000001</v>
      </c>
      <c r="AH340">
        <f>I340*I$3</f>
        <v>-147648.00000000015</v>
      </c>
      <c r="AI340">
        <f>J340*J$3</f>
        <v>-255257.4999999991</v>
      </c>
      <c r="AJ340">
        <f>K340*K$3</f>
        <v>-470369.99999999691</v>
      </c>
      <c r="AK340">
        <f>L340*L$3</f>
        <v>186024.00000000154</v>
      </c>
      <c r="AL340">
        <f>M340*M$3</f>
        <v>256584.00000000023</v>
      </c>
      <c r="AM340">
        <f>N340*N$3</f>
        <v>0</v>
      </c>
      <c r="AN340">
        <f>O340*O$3</f>
        <v>0</v>
      </c>
      <c r="AO340">
        <f>P340*P$3</f>
        <v>0</v>
      </c>
      <c r="AP340">
        <f>Q340*Q$3</f>
        <v>130532.9316078121</v>
      </c>
      <c r="AQ340">
        <f>R340*R$3</f>
        <v>3976.1431644366853</v>
      </c>
      <c r="AR340" s="1">
        <f>S340*S$3</f>
        <v>43494.747634276624</v>
      </c>
      <c r="AS340" s="1">
        <f t="shared" si="712"/>
        <v>4264.6709599836031</v>
      </c>
      <c r="AT340" s="1">
        <f t="shared" si="712"/>
        <v>-34454.774716336215</v>
      </c>
      <c r="AU340" s="1">
        <f t="shared" si="712"/>
        <v>0</v>
      </c>
      <c r="AV340" s="1">
        <f t="shared" si="712"/>
        <v>0</v>
      </c>
      <c r="AW340" s="1">
        <f t="shared" si="712"/>
        <v>0</v>
      </c>
      <c r="AX340" s="1">
        <f t="shared" si="715"/>
        <v>-539601.78134982241</v>
      </c>
      <c r="AY340" s="1">
        <f t="shared" si="716"/>
        <v>147813.71865017281</v>
      </c>
      <c r="AZ340" s="1">
        <f t="shared" si="717"/>
        <v>-687415.49999999523</v>
      </c>
    </row>
    <row r="341" spans="1:52" x14ac:dyDescent="0.25">
      <c r="A341" s="4">
        <v>45597</v>
      </c>
      <c r="B341">
        <f t="shared" ref="B341:N341" si="747">(B891-B890)*100</f>
        <v>0.99999999999997868</v>
      </c>
      <c r="C341">
        <f t="shared" si="747"/>
        <v>1.9999999999999574</v>
      </c>
      <c r="D341">
        <f t="shared" si="747"/>
        <v>2.9999999999999361</v>
      </c>
      <c r="E341">
        <f t="shared" si="747"/>
        <v>2.9999999999999361</v>
      </c>
      <c r="F341">
        <f t="shared" si="747"/>
        <v>0.99999999999997868</v>
      </c>
      <c r="G341">
        <f t="shared" si="747"/>
        <v>-1.0000000000000675</v>
      </c>
      <c r="H341">
        <f t="shared" si="747"/>
        <v>-4.9999999999999822</v>
      </c>
      <c r="I341">
        <f t="shared" si="747"/>
        <v>-5.9999999999999609</v>
      </c>
      <c r="J341">
        <f t="shared" si="747"/>
        <v>-6.9999999999999396</v>
      </c>
      <c r="K341">
        <f t="shared" si="747"/>
        <v>-8.9999999999999858</v>
      </c>
      <c r="L341">
        <f t="shared" si="747"/>
        <v>-8.9999999999999858</v>
      </c>
      <c r="M341">
        <f t="shared" si="747"/>
        <v>-9.9999999999999645</v>
      </c>
      <c r="N341">
        <f t="shared" si="747"/>
        <v>-10.000000000000053</v>
      </c>
      <c r="O341" s="5">
        <f t="shared" si="735"/>
        <v>5.0757148488566146E-3</v>
      </c>
      <c r="P341" s="5">
        <f t="shared" si="735"/>
        <v>2.2129897930361101E-3</v>
      </c>
      <c r="Q341" s="5">
        <f t="shared" si="735"/>
        <v>0</v>
      </c>
      <c r="R341" s="5">
        <f t="shared" si="735"/>
        <v>0</v>
      </c>
      <c r="S341" s="5">
        <f t="shared" si="735"/>
        <v>1.3200250250234323E-2</v>
      </c>
      <c r="T341" s="5">
        <f t="shared" ref="T341:X341" si="748">LN(T890/T891)</f>
        <v>-2.4788833789456243E-3</v>
      </c>
      <c r="U341" s="5">
        <f t="shared" si="748"/>
        <v>4.7836291513567346E-3</v>
      </c>
      <c r="V341" s="5">
        <f t="shared" si="748"/>
        <v>-8.0214272349057678E-3</v>
      </c>
      <c r="W341" s="5">
        <f t="shared" si="748"/>
        <v>-6.0875649341402243E-4</v>
      </c>
      <c r="X341" s="5">
        <f t="shared" si="748"/>
        <v>-3.1910413093679483E-3</v>
      </c>
      <c r="Z341" s="4">
        <v>45597</v>
      </c>
      <c r="AA341">
        <f>B341*B$3</f>
        <v>-982.99999999997908</v>
      </c>
      <c r="AB341">
        <f>C341*C$3</f>
        <v>-5167.99999999989</v>
      </c>
      <c r="AC341">
        <f>D341*D$3</f>
        <v>48428.999999998967</v>
      </c>
      <c r="AD341">
        <f>E341*E$3</f>
        <v>7283.9999999998445</v>
      </c>
      <c r="AE341">
        <f>F341*F$3</f>
        <v>-12427.999999999734</v>
      </c>
      <c r="AF341">
        <f>G341*G$3</f>
        <v>15628.000000001055</v>
      </c>
      <c r="AG341">
        <f>H341*H$3</f>
        <v>141079.99999999951</v>
      </c>
      <c r="AH341">
        <f>I341*I$3</f>
        <v>110735.99999999927</v>
      </c>
      <c r="AI341">
        <f>J341*J$3</f>
        <v>357360.49999999691</v>
      </c>
      <c r="AJ341">
        <f>K341*K$3</f>
        <v>705554.99999999884</v>
      </c>
      <c r="AK341">
        <f>L341*L$3</f>
        <v>-279035.99999999953</v>
      </c>
      <c r="AL341">
        <f>M341*M$3</f>
        <v>-320729.99999999884</v>
      </c>
      <c r="AM341">
        <f>N341*N$3</f>
        <v>0</v>
      </c>
      <c r="AN341">
        <f>O341*O$3</f>
        <v>0</v>
      </c>
      <c r="AO341">
        <f>P341*P$3</f>
        <v>-11064.948965180551</v>
      </c>
      <c r="AP341">
        <f>Q341*Q$3</f>
        <v>0</v>
      </c>
      <c r="AQ341">
        <f>R341*R$3</f>
        <v>0</v>
      </c>
      <c r="AR341" s="1">
        <f>S341*S$3</f>
        <v>-92401.751751640259</v>
      </c>
      <c r="AS341" s="1">
        <f t="shared" ref="AS341:AW356" si="749">T341*T$3</f>
        <v>-9915.5335157824975</v>
      </c>
      <c r="AT341" s="1">
        <f t="shared" si="749"/>
        <v>38269.033210853879</v>
      </c>
      <c r="AU341" s="1">
        <f t="shared" si="749"/>
        <v>0</v>
      </c>
      <c r="AV341" s="1">
        <f t="shared" si="749"/>
        <v>0</v>
      </c>
      <c r="AW341" s="1">
        <f t="shared" si="749"/>
        <v>0</v>
      </c>
      <c r="AX341" s="1">
        <f t="shared" si="715"/>
        <v>692614.29897824721</v>
      </c>
      <c r="AY341" s="1">
        <f t="shared" si="716"/>
        <v>-75113.201021749439</v>
      </c>
      <c r="AZ341" s="1">
        <f t="shared" si="717"/>
        <v>767727.49999999662</v>
      </c>
    </row>
    <row r="342" spans="1:52" x14ac:dyDescent="0.25">
      <c r="A342" s="4">
        <v>45596</v>
      </c>
      <c r="B342">
        <f t="shared" ref="B342:N342" si="750">(B892-B891)*100</f>
        <v>11.000000000000032</v>
      </c>
      <c r="C342">
        <f t="shared" si="750"/>
        <v>0.99999999999997868</v>
      </c>
      <c r="D342">
        <f t="shared" si="750"/>
        <v>3.0000000000000249</v>
      </c>
      <c r="E342">
        <f t="shared" si="750"/>
        <v>1.0000000000000675</v>
      </c>
      <c r="F342">
        <f t="shared" si="750"/>
        <v>1.0000000000000675</v>
      </c>
      <c r="G342">
        <f t="shared" si="750"/>
        <v>1.0000000000000675</v>
      </c>
      <c r="H342">
        <f t="shared" si="750"/>
        <v>-0.99999999999997868</v>
      </c>
      <c r="I342">
        <f t="shared" si="750"/>
        <v>1.9999999999999574</v>
      </c>
      <c r="J342">
        <f t="shared" si="750"/>
        <v>-1.0000000000000675</v>
      </c>
      <c r="K342">
        <f t="shared" si="750"/>
        <v>-0.99999999999997868</v>
      </c>
      <c r="L342">
        <f t="shared" si="750"/>
        <v>0.99999999999997868</v>
      </c>
      <c r="M342">
        <f t="shared" si="750"/>
        <v>1.9999999999999574</v>
      </c>
      <c r="N342">
        <f t="shared" si="750"/>
        <v>2.0000000000000462</v>
      </c>
      <c r="O342" s="5">
        <f t="shared" si="735"/>
        <v>-3.8070846843966765E-4</v>
      </c>
      <c r="P342" s="5">
        <f t="shared" si="735"/>
        <v>1.1422820868941099E-3</v>
      </c>
      <c r="Q342" s="5">
        <f t="shared" si="735"/>
        <v>0</v>
      </c>
      <c r="R342" s="5">
        <f t="shared" si="735"/>
        <v>2.1225797303164166E-3</v>
      </c>
      <c r="S342" s="5">
        <f t="shared" si="735"/>
        <v>-7.8944372724061157E-3</v>
      </c>
      <c r="T342" s="5">
        <f t="shared" ref="T342:X342" si="751">LN(T891/T892)</f>
        <v>-3.5555281178908512E-3</v>
      </c>
      <c r="U342" s="5">
        <f t="shared" si="751"/>
        <v>4.1947414450215562E-3</v>
      </c>
      <c r="V342" s="5">
        <f t="shared" si="751"/>
        <v>-4.5685058086785871E-4</v>
      </c>
      <c r="W342" s="5">
        <f t="shared" si="751"/>
        <v>-1.4915910659264633E-3</v>
      </c>
      <c r="X342" s="5">
        <f t="shared" si="751"/>
        <v>-1.0614216088370102E-3</v>
      </c>
      <c r="Z342" s="4">
        <v>45596</v>
      </c>
      <c r="AA342">
        <f>B342*B$3</f>
        <v>-10813.000000000031</v>
      </c>
      <c r="AB342">
        <f>C342*C$3</f>
        <v>-2583.999999999945</v>
      </c>
      <c r="AC342">
        <f>D342*D$3</f>
        <v>48429.0000000004</v>
      </c>
      <c r="AD342">
        <f>E342*E$3</f>
        <v>2428.0000000001637</v>
      </c>
      <c r="AE342">
        <f>F342*F$3</f>
        <v>-12428.000000000839</v>
      </c>
      <c r="AF342">
        <f>G342*G$3</f>
        <v>-15628.000000001055</v>
      </c>
      <c r="AG342">
        <f>H342*H$3</f>
        <v>28215.9999999994</v>
      </c>
      <c r="AH342">
        <f>I342*I$3</f>
        <v>-36911.999999999214</v>
      </c>
      <c r="AI342">
        <f>J342*J$3</f>
        <v>51051.500000003449</v>
      </c>
      <c r="AJ342">
        <f>K342*K$3</f>
        <v>78394.999999998327</v>
      </c>
      <c r="AK342">
        <f>L342*L$3</f>
        <v>31003.999999999338</v>
      </c>
      <c r="AL342">
        <f>M342*M$3</f>
        <v>64145.999999998632</v>
      </c>
      <c r="AM342">
        <f>N342*N$3</f>
        <v>0</v>
      </c>
      <c r="AN342">
        <f>O342*O$3</f>
        <v>0</v>
      </c>
      <c r="AO342">
        <f>P342*P$3</f>
        <v>-5711.4104344705493</v>
      </c>
      <c r="AP342">
        <f>Q342*Q$3</f>
        <v>0</v>
      </c>
      <c r="AQ342">
        <f>R342*R$3</f>
        <v>-31838.69595474625</v>
      </c>
      <c r="AR342" s="1">
        <f>S342*S$3</f>
        <v>55261.060906842809</v>
      </c>
      <c r="AS342" s="1">
        <f t="shared" si="749"/>
        <v>-14222.112471563405</v>
      </c>
      <c r="AT342" s="1">
        <f t="shared" si="749"/>
        <v>33557.931560172452</v>
      </c>
      <c r="AU342" s="1">
        <f t="shared" si="749"/>
        <v>0</v>
      </c>
      <c r="AV342" s="1">
        <f t="shared" si="749"/>
        <v>0</v>
      </c>
      <c r="AW342" s="1">
        <f t="shared" si="749"/>
        <v>0</v>
      </c>
      <c r="AX342" s="1">
        <f t="shared" si="715"/>
        <v>262351.27360623371</v>
      </c>
      <c r="AY342" s="1">
        <f t="shared" si="716"/>
        <v>37046.773606235052</v>
      </c>
      <c r="AZ342" s="1">
        <f t="shared" si="717"/>
        <v>225304.49999999866</v>
      </c>
    </row>
    <row r="343" spans="1:52" x14ac:dyDescent="0.25">
      <c r="A343" s="4">
        <v>45595</v>
      </c>
      <c r="B343">
        <f t="shared" ref="B343:N343" si="752">(B893-B892)*100</f>
        <v>0.99999999999997868</v>
      </c>
      <c r="C343">
        <f t="shared" si="752"/>
        <v>0</v>
      </c>
      <c r="D343">
        <f t="shared" si="752"/>
        <v>3.0000000000000249</v>
      </c>
      <c r="E343">
        <f t="shared" si="752"/>
        <v>6.9999999999999396</v>
      </c>
      <c r="F343">
        <f t="shared" si="752"/>
        <v>0.99999999999997868</v>
      </c>
      <c r="G343">
        <f t="shared" si="752"/>
        <v>0.99999999999997868</v>
      </c>
      <c r="H343">
        <f t="shared" si="752"/>
        <v>-4.0000000000000036</v>
      </c>
      <c r="I343">
        <f t="shared" si="752"/>
        <v>-5.9999999999999609</v>
      </c>
      <c r="J343">
        <f t="shared" si="752"/>
        <v>-2.9999999999999361</v>
      </c>
      <c r="K343">
        <f t="shared" si="752"/>
        <v>-2.0000000000000462</v>
      </c>
      <c r="L343">
        <f t="shared" si="752"/>
        <v>-0.99999999999997868</v>
      </c>
      <c r="M343">
        <f t="shared" si="752"/>
        <v>1.0000000000000675</v>
      </c>
      <c r="N343">
        <f t="shared" si="752"/>
        <v>2.9999999999999361</v>
      </c>
      <c r="O343" s="5">
        <f t="shared" si="735"/>
        <v>1.1502280204356842E-2</v>
      </c>
      <c r="P343" s="5">
        <f t="shared" si="735"/>
        <v>5.4351968318465498E-3</v>
      </c>
      <c r="Q343" s="5">
        <f t="shared" si="735"/>
        <v>5.2826770257143139E-3</v>
      </c>
      <c r="R343" s="5">
        <f t="shared" si="735"/>
        <v>-1.3271402080624634E-3</v>
      </c>
      <c r="S343" s="5">
        <f t="shared" si="735"/>
        <v>4.2231890661062043E-3</v>
      </c>
      <c r="T343" s="5">
        <f t="shared" ref="T343:X343" si="753">LN(T892/T893)</f>
        <v>-3.5700953330091231E-4</v>
      </c>
      <c r="U343" s="5">
        <f t="shared" si="753"/>
        <v>-3.0277591666561495E-3</v>
      </c>
      <c r="V343" s="5">
        <f t="shared" si="753"/>
        <v>6.2000517428807515E-4</v>
      </c>
      <c r="W343" s="5">
        <f t="shared" si="753"/>
        <v>2.9926413351834265E-3</v>
      </c>
      <c r="X343" s="5">
        <f t="shared" si="753"/>
        <v>2.7250332422636856E-3</v>
      </c>
      <c r="Z343" s="4">
        <v>45595</v>
      </c>
      <c r="AA343">
        <f>B343*B$3</f>
        <v>-982.99999999997908</v>
      </c>
      <c r="AB343">
        <f>C343*C$3</f>
        <v>0</v>
      </c>
      <c r="AC343">
        <f>D343*D$3</f>
        <v>48429.0000000004</v>
      </c>
      <c r="AD343">
        <f>E343*E$3</f>
        <v>16995.999999999854</v>
      </c>
      <c r="AE343">
        <f>F343*F$3</f>
        <v>-12427.999999999734</v>
      </c>
      <c r="AF343">
        <f>G343*G$3</f>
        <v>-15627.999999999667</v>
      </c>
      <c r="AG343">
        <f>H343*H$3</f>
        <v>112864.0000000001</v>
      </c>
      <c r="AH343">
        <f>I343*I$3</f>
        <v>110735.99999999927</v>
      </c>
      <c r="AI343">
        <f>J343*J$3</f>
        <v>153154.49999999674</v>
      </c>
      <c r="AJ343">
        <f>K343*K$3</f>
        <v>156790.00000000361</v>
      </c>
      <c r="AK343">
        <f>L343*L$3</f>
        <v>-31003.999999999338</v>
      </c>
      <c r="AL343">
        <f>M343*M$3</f>
        <v>32073.000000002165</v>
      </c>
      <c r="AM343">
        <f>N343*N$3</f>
        <v>0</v>
      </c>
      <c r="AN343">
        <f>O343*O$3</f>
        <v>0</v>
      </c>
      <c r="AO343">
        <f>P343*P$3</f>
        <v>-27175.98415923275</v>
      </c>
      <c r="AP343">
        <f>Q343*Q$3</f>
        <v>63392.124308571765</v>
      </c>
      <c r="AQ343">
        <f>R343*R$3</f>
        <v>19907.10312093695</v>
      </c>
      <c r="AR343" s="1">
        <f>S343*S$3</f>
        <v>-29562.323462743429</v>
      </c>
      <c r="AS343" s="1">
        <f t="shared" si="749"/>
        <v>-1428.0381332036493</v>
      </c>
      <c r="AT343" s="1">
        <f t="shared" si="749"/>
        <v>-24222.073333249195</v>
      </c>
      <c r="AU343" s="1">
        <f t="shared" si="749"/>
        <v>0</v>
      </c>
      <c r="AV343" s="1">
        <f t="shared" si="749"/>
        <v>0</v>
      </c>
      <c r="AW343" s="1">
        <f t="shared" si="749"/>
        <v>0</v>
      </c>
      <c r="AX343" s="1">
        <f t="shared" si="715"/>
        <v>571910.30834108323</v>
      </c>
      <c r="AY343" s="1">
        <f t="shared" si="716"/>
        <v>910.80834107969713</v>
      </c>
      <c r="AZ343" s="1">
        <f t="shared" si="717"/>
        <v>570999.50000000349</v>
      </c>
    </row>
    <row r="344" spans="1:52" x14ac:dyDescent="0.25">
      <c r="A344" s="4">
        <v>45594</v>
      </c>
      <c r="B344">
        <f t="shared" ref="B344:N344" si="754">(B894-B893)*100</f>
        <v>0</v>
      </c>
      <c r="C344">
        <f t="shared" si="754"/>
        <v>0</v>
      </c>
      <c r="D344">
        <f t="shared" si="754"/>
        <v>0</v>
      </c>
      <c r="E344">
        <f t="shared" si="754"/>
        <v>1.0000000000000675</v>
      </c>
      <c r="F344">
        <f t="shared" si="754"/>
        <v>0.99999999999997868</v>
      </c>
      <c r="G344">
        <f t="shared" si="754"/>
        <v>-0.99999999999997868</v>
      </c>
      <c r="H344">
        <f t="shared" si="754"/>
        <v>0.99999999999997868</v>
      </c>
      <c r="I344">
        <f t="shared" si="754"/>
        <v>0.99999999999997868</v>
      </c>
      <c r="J344">
        <f t="shared" si="754"/>
        <v>0</v>
      </c>
      <c r="K344">
        <f t="shared" si="754"/>
        <v>1.0000000000000675</v>
      </c>
      <c r="L344">
        <f t="shared" si="754"/>
        <v>0</v>
      </c>
      <c r="M344">
        <f t="shared" si="754"/>
        <v>0</v>
      </c>
      <c r="N344">
        <f t="shared" si="754"/>
        <v>1.0000000000000675</v>
      </c>
      <c r="O344" s="5">
        <f t="shared" si="735"/>
        <v>2.6638174914860912E-3</v>
      </c>
      <c r="P344" s="5">
        <f t="shared" si="735"/>
        <v>1.3170894169333557E-2</v>
      </c>
      <c r="Q344" s="5">
        <f t="shared" si="735"/>
        <v>-3.6512951995511184E-3</v>
      </c>
      <c r="R344" s="5">
        <f t="shared" si="735"/>
        <v>1.8584898486191852E-3</v>
      </c>
      <c r="S344" s="5">
        <f t="shared" si="735"/>
        <v>2.6323545345208303E-3</v>
      </c>
      <c r="T344" s="5">
        <f t="shared" ref="T344:X344" si="755">LN(T893/T894)</f>
        <v>-1.8695482944514927E-3</v>
      </c>
      <c r="U344" s="5">
        <f t="shared" si="755"/>
        <v>-1.2706552690080698E-3</v>
      </c>
      <c r="V344" s="5">
        <f t="shared" si="755"/>
        <v>1.483058226278299E-3</v>
      </c>
      <c r="W344" s="5">
        <f t="shared" si="755"/>
        <v>3.1448454509973899E-3</v>
      </c>
      <c r="X344" s="5">
        <f t="shared" si="755"/>
        <v>-4.1538856254696296E-3</v>
      </c>
      <c r="Z344" s="4">
        <v>45594</v>
      </c>
      <c r="AA344">
        <f>B344*B$3</f>
        <v>0</v>
      </c>
      <c r="AB344">
        <f>C344*C$3</f>
        <v>0</v>
      </c>
      <c r="AC344">
        <f>D344*D$3</f>
        <v>0</v>
      </c>
      <c r="AD344">
        <f>E344*E$3</f>
        <v>2428.0000000001637</v>
      </c>
      <c r="AE344">
        <f>F344*F$3</f>
        <v>-12427.999999999734</v>
      </c>
      <c r="AF344">
        <f>G344*G$3</f>
        <v>15627.999999999667</v>
      </c>
      <c r="AG344">
        <f>H344*H$3</f>
        <v>-28215.9999999994</v>
      </c>
      <c r="AH344">
        <f>I344*I$3</f>
        <v>-18455.999999999607</v>
      </c>
      <c r="AI344">
        <f>J344*J$3</f>
        <v>0</v>
      </c>
      <c r="AJ344">
        <f>K344*K$3</f>
        <v>-78395.000000005297</v>
      </c>
      <c r="AK344">
        <f>L344*L$3</f>
        <v>0</v>
      </c>
      <c r="AL344">
        <f>M344*M$3</f>
        <v>0</v>
      </c>
      <c r="AM344">
        <f>N344*N$3</f>
        <v>0</v>
      </c>
      <c r="AN344">
        <f>O344*O$3</f>
        <v>0</v>
      </c>
      <c r="AO344">
        <f>P344*P$3</f>
        <v>-65854.470846667784</v>
      </c>
      <c r="AP344">
        <f>Q344*Q$3</f>
        <v>-43815.542394613418</v>
      </c>
      <c r="AQ344">
        <f>R344*R$3</f>
        <v>-27877.347729287776</v>
      </c>
      <c r="AR344" s="1">
        <f>S344*S$3</f>
        <v>-18426.481741645814</v>
      </c>
      <c r="AS344" s="1">
        <f t="shared" si="749"/>
        <v>-7478.1931778059707</v>
      </c>
      <c r="AT344" s="1">
        <f t="shared" si="749"/>
        <v>-10165.242152064558</v>
      </c>
      <c r="AU344" s="1">
        <f t="shared" si="749"/>
        <v>0</v>
      </c>
      <c r="AV344" s="1">
        <f t="shared" si="749"/>
        <v>0</v>
      </c>
      <c r="AW344" s="1">
        <f t="shared" si="749"/>
        <v>0</v>
      </c>
      <c r="AX344" s="1">
        <f t="shared" si="715"/>
        <v>-293056.27804208954</v>
      </c>
      <c r="AY344" s="1">
        <f t="shared" si="716"/>
        <v>-173617.27804208535</v>
      </c>
      <c r="AZ344" s="1">
        <f t="shared" si="717"/>
        <v>-119439.00000000419</v>
      </c>
    </row>
    <row r="345" spans="1:52" x14ac:dyDescent="0.25">
      <c r="A345" s="4">
        <v>45593</v>
      </c>
      <c r="B345">
        <f t="shared" ref="B345:N345" si="756">(B895-B894)*100</f>
        <v>0.99999999999997868</v>
      </c>
      <c r="C345">
        <f t="shared" si="756"/>
        <v>2.0000000000000462</v>
      </c>
      <c r="D345">
        <f t="shared" si="756"/>
        <v>3.0000000000000249</v>
      </c>
      <c r="E345">
        <f t="shared" si="756"/>
        <v>2.9999999999999361</v>
      </c>
      <c r="F345">
        <f t="shared" si="756"/>
        <v>4.9999999999999822</v>
      </c>
      <c r="G345">
        <f t="shared" si="756"/>
        <v>0.99999999999997868</v>
      </c>
      <c r="H345">
        <f t="shared" si="756"/>
        <v>-0.99999999999997868</v>
      </c>
      <c r="I345">
        <f t="shared" si="756"/>
        <v>-4.0000000000000036</v>
      </c>
      <c r="J345">
        <f t="shared" si="756"/>
        <v>-4.0000000000000036</v>
      </c>
      <c r="K345">
        <f t="shared" si="756"/>
        <v>-4.0000000000000036</v>
      </c>
      <c r="L345">
        <f t="shared" si="756"/>
        <v>-3.0000000000000249</v>
      </c>
      <c r="M345">
        <f t="shared" si="756"/>
        <v>-3.0000000000000249</v>
      </c>
      <c r="N345">
        <f t="shared" si="756"/>
        <v>-2.0000000000000462</v>
      </c>
      <c r="O345" s="5">
        <f t="shared" ref="O345:S354" si="757">LN(O894/O895)</f>
        <v>3.3347667288706039E-4</v>
      </c>
      <c r="P345" s="5">
        <f t="shared" si="757"/>
        <v>1.1535357144850499E-3</v>
      </c>
      <c r="Q345" s="5">
        <f t="shared" si="757"/>
        <v>4.2752475879049489E-3</v>
      </c>
      <c r="R345" s="5">
        <f t="shared" si="757"/>
        <v>-1.3278451028163934E-3</v>
      </c>
      <c r="S345" s="5">
        <f t="shared" si="757"/>
        <v>3.1649947295470252E-3</v>
      </c>
      <c r="T345" s="5">
        <f t="shared" ref="T345:X345" si="758">LN(T894/T895)</f>
        <v>2.5512817216714855E-3</v>
      </c>
      <c r="U345" s="5">
        <f t="shared" si="758"/>
        <v>1.1669194231957356E-3</v>
      </c>
      <c r="V345" s="5">
        <f t="shared" si="758"/>
        <v>7.6722189489757259E-3</v>
      </c>
      <c r="W345" s="5">
        <f t="shared" si="758"/>
        <v>5.077676541226696E-3</v>
      </c>
      <c r="X345" s="5">
        <f t="shared" si="758"/>
        <v>2.9867471093170559E-3</v>
      </c>
      <c r="Z345" s="4">
        <v>45593</v>
      </c>
      <c r="AA345">
        <f>B345*B$3</f>
        <v>-982.99999999997908</v>
      </c>
      <c r="AB345">
        <f>C345*C$3</f>
        <v>-5168.0000000001191</v>
      </c>
      <c r="AC345">
        <f>D345*D$3</f>
        <v>48429.0000000004</v>
      </c>
      <c r="AD345">
        <f>E345*E$3</f>
        <v>7283.9999999998445</v>
      </c>
      <c r="AE345">
        <f>F345*F$3</f>
        <v>-62139.999999999782</v>
      </c>
      <c r="AF345">
        <f>G345*G$3</f>
        <v>-15627.999999999667</v>
      </c>
      <c r="AG345">
        <f>H345*H$3</f>
        <v>28215.9999999994</v>
      </c>
      <c r="AH345">
        <f>I345*I$3</f>
        <v>73824.000000000073</v>
      </c>
      <c r="AI345">
        <f>J345*J$3</f>
        <v>204206.00000000017</v>
      </c>
      <c r="AJ345">
        <f>K345*K$3</f>
        <v>313580.00000000029</v>
      </c>
      <c r="AK345">
        <f>L345*L$3</f>
        <v>-93012.000000000771</v>
      </c>
      <c r="AL345">
        <f>M345*M$3</f>
        <v>-96219.0000000008</v>
      </c>
      <c r="AM345">
        <f>N345*N$3</f>
        <v>0</v>
      </c>
      <c r="AN345">
        <f>O345*O$3</f>
        <v>0</v>
      </c>
      <c r="AO345">
        <f>P345*P$3</f>
        <v>-5767.6785724252495</v>
      </c>
      <c r="AP345">
        <f>Q345*Q$3</f>
        <v>51302.971054859387</v>
      </c>
      <c r="AQ345">
        <f>R345*R$3</f>
        <v>19917.676542245903</v>
      </c>
      <c r="AR345" s="1">
        <f>S345*S$3</f>
        <v>-22154.963106829175</v>
      </c>
      <c r="AS345" s="1">
        <f t="shared" si="749"/>
        <v>10205.126886685941</v>
      </c>
      <c r="AT345" s="1">
        <f t="shared" si="749"/>
        <v>9335.3553855658847</v>
      </c>
      <c r="AU345" s="1">
        <f t="shared" si="749"/>
        <v>0</v>
      </c>
      <c r="AV345" s="1">
        <f t="shared" si="749"/>
        <v>0</v>
      </c>
      <c r="AW345" s="1">
        <f t="shared" si="749"/>
        <v>0</v>
      </c>
      <c r="AX345" s="1">
        <f t="shared" si="715"/>
        <v>465227.48819010187</v>
      </c>
      <c r="AY345" s="1">
        <f t="shared" si="716"/>
        <v>62838.488190102689</v>
      </c>
      <c r="AZ345" s="1">
        <f t="shared" si="717"/>
        <v>402388.99999999919</v>
      </c>
    </row>
    <row r="346" spans="1:52" x14ac:dyDescent="0.25">
      <c r="A346" s="4">
        <v>45590</v>
      </c>
      <c r="B346">
        <f t="shared" ref="B346:N346" si="759">(B896-B895)*100</f>
        <v>-1.9999999999999574</v>
      </c>
      <c r="C346">
        <f t="shared" si="759"/>
        <v>-0.99999999999997868</v>
      </c>
      <c r="D346">
        <f t="shared" si="759"/>
        <v>-3.0000000000000249</v>
      </c>
      <c r="E346">
        <f t="shared" si="759"/>
        <v>-2.9999999999999361</v>
      </c>
      <c r="F346">
        <f t="shared" si="759"/>
        <v>-2.9999999999999361</v>
      </c>
      <c r="G346">
        <f t="shared" si="759"/>
        <v>-4.0000000000000036</v>
      </c>
      <c r="H346">
        <f t="shared" si="759"/>
        <v>-4.0000000000000036</v>
      </c>
      <c r="I346">
        <f t="shared" si="759"/>
        <v>-3.0000000000000249</v>
      </c>
      <c r="J346">
        <f t="shared" si="759"/>
        <v>-4.0000000000000036</v>
      </c>
      <c r="K346">
        <f t="shared" si="759"/>
        <v>-3.0000000000000249</v>
      </c>
      <c r="L346">
        <f t="shared" si="759"/>
        <v>-4.0000000000000036</v>
      </c>
      <c r="M346">
        <f t="shared" si="759"/>
        <v>-4.0000000000000036</v>
      </c>
      <c r="N346">
        <f t="shared" si="759"/>
        <v>-4.0000000000000036</v>
      </c>
      <c r="O346" s="5">
        <f t="shared" si="757"/>
        <v>-2.0692686033332371E-3</v>
      </c>
      <c r="P346" s="5">
        <f t="shared" si="757"/>
        <v>7.2980341293470861E-3</v>
      </c>
      <c r="Q346" s="5">
        <f t="shared" si="757"/>
        <v>-3.0736917449134915E-3</v>
      </c>
      <c r="R346" s="5">
        <f t="shared" si="757"/>
        <v>4.5218856143663996E-3</v>
      </c>
      <c r="S346" s="5">
        <f t="shared" si="757"/>
        <v>5.8966403396282941E-3</v>
      </c>
      <c r="T346" s="5">
        <f t="shared" ref="T346:X346" si="760">LN(T895/T896)</f>
        <v>-4.0401081212615075E-3</v>
      </c>
      <c r="U346" s="5">
        <f t="shared" si="760"/>
        <v>-4.607926198099411E-3</v>
      </c>
      <c r="V346" s="5">
        <f t="shared" si="760"/>
        <v>-6.4750575943549127E-3</v>
      </c>
      <c r="W346" s="5">
        <f t="shared" si="760"/>
        <v>-1.5393987770936831E-4</v>
      </c>
      <c r="X346" s="5">
        <f t="shared" si="760"/>
        <v>-1.0042530917595475E-3</v>
      </c>
      <c r="Z346" s="4">
        <v>45590</v>
      </c>
      <c r="AA346">
        <f>B346*B$3</f>
        <v>1965.9999999999582</v>
      </c>
      <c r="AB346">
        <f>C346*C$3</f>
        <v>2583.999999999945</v>
      </c>
      <c r="AC346">
        <f>D346*D$3</f>
        <v>-48429.0000000004</v>
      </c>
      <c r="AD346">
        <f>E346*E$3</f>
        <v>-7283.9999999998445</v>
      </c>
      <c r="AE346">
        <f>F346*F$3</f>
        <v>37283.999999999207</v>
      </c>
      <c r="AF346">
        <f>G346*G$3</f>
        <v>62512.000000000058</v>
      </c>
      <c r="AG346">
        <f>H346*H$3</f>
        <v>112864.0000000001</v>
      </c>
      <c r="AH346">
        <f>I346*I$3</f>
        <v>55368.000000000458</v>
      </c>
      <c r="AI346">
        <f>J346*J$3</f>
        <v>204206.00000000017</v>
      </c>
      <c r="AJ346">
        <f>K346*K$3</f>
        <v>235185.00000000195</v>
      </c>
      <c r="AK346">
        <f>L346*L$3</f>
        <v>-124016.00000000012</v>
      </c>
      <c r="AL346">
        <f>M346*M$3</f>
        <v>-128292.00000000012</v>
      </c>
      <c r="AM346">
        <f>N346*N$3</f>
        <v>0</v>
      </c>
      <c r="AN346">
        <f>O346*O$3</f>
        <v>0</v>
      </c>
      <c r="AO346">
        <f>P346*P$3</f>
        <v>-36490.170646735431</v>
      </c>
      <c r="AP346">
        <f>Q346*Q$3</f>
        <v>-36884.300938961896</v>
      </c>
      <c r="AQ346">
        <f>R346*R$3</f>
        <v>-67828.284215495994</v>
      </c>
      <c r="AR346" s="1">
        <f>S346*S$3</f>
        <v>-41276.482377398061</v>
      </c>
      <c r="AS346" s="1">
        <f t="shared" si="749"/>
        <v>-16160.432485046031</v>
      </c>
      <c r="AT346" s="1">
        <f t="shared" si="749"/>
        <v>-36863.409584795285</v>
      </c>
      <c r="AU346" s="1">
        <f t="shared" si="749"/>
        <v>0</v>
      </c>
      <c r="AV346" s="1">
        <f t="shared" si="749"/>
        <v>0</v>
      </c>
      <c r="AW346" s="1">
        <f t="shared" si="749"/>
        <v>0</v>
      </c>
      <c r="AX346" s="1">
        <f t="shared" si="715"/>
        <v>168444.9197515687</v>
      </c>
      <c r="AY346" s="1">
        <f t="shared" si="716"/>
        <v>-235503.0802484327</v>
      </c>
      <c r="AZ346" s="1">
        <f t="shared" si="717"/>
        <v>403948.0000000014</v>
      </c>
    </row>
    <row r="347" spans="1:52" x14ac:dyDescent="0.25">
      <c r="A347" s="4">
        <v>45589</v>
      </c>
      <c r="B347">
        <f t="shared" ref="B347:N347" si="761">(B897-B896)*100</f>
        <v>0.99999999999997868</v>
      </c>
      <c r="C347">
        <f t="shared" si="761"/>
        <v>1.9999999999999574</v>
      </c>
      <c r="D347">
        <f t="shared" si="761"/>
        <v>3.0000000000000249</v>
      </c>
      <c r="E347">
        <f t="shared" si="761"/>
        <v>0.99999999999997868</v>
      </c>
      <c r="F347">
        <f t="shared" si="761"/>
        <v>0</v>
      </c>
      <c r="G347">
        <f t="shared" si="761"/>
        <v>1.9999999999999574</v>
      </c>
      <c r="H347">
        <f t="shared" si="761"/>
        <v>0</v>
      </c>
      <c r="I347">
        <f t="shared" si="761"/>
        <v>1.0000000000000675</v>
      </c>
      <c r="J347">
        <f t="shared" si="761"/>
        <v>1.9999999999999574</v>
      </c>
      <c r="K347">
        <f t="shared" si="761"/>
        <v>1.9999999999999574</v>
      </c>
      <c r="L347">
        <f t="shared" si="761"/>
        <v>3.0000000000000249</v>
      </c>
      <c r="M347">
        <f t="shared" si="761"/>
        <v>4.0000000000000036</v>
      </c>
      <c r="N347">
        <f t="shared" si="761"/>
        <v>4.0000000000000036</v>
      </c>
      <c r="O347" s="5">
        <f t="shared" si="757"/>
        <v>-1.0855293020793344E-3</v>
      </c>
      <c r="P347" s="5">
        <f t="shared" si="757"/>
        <v>-5.5421074270820625E-3</v>
      </c>
      <c r="Q347" s="5">
        <f t="shared" si="757"/>
        <v>-8.4334814190985318E-4</v>
      </c>
      <c r="R347" s="5">
        <f t="shared" si="757"/>
        <v>-5.3304905313358039E-4</v>
      </c>
      <c r="S347" s="5">
        <f t="shared" si="757"/>
        <v>1.3913256131061018E-3</v>
      </c>
      <c r="T347" s="5">
        <f t="shared" ref="T347:X347" si="762">LN(T896/T897)</f>
        <v>1.5536373352376819E-3</v>
      </c>
      <c r="U347" s="5">
        <f t="shared" si="762"/>
        <v>5.3346776256284981E-3</v>
      </c>
      <c r="V347" s="5">
        <f t="shared" si="762"/>
        <v>1.0733628218838026E-2</v>
      </c>
      <c r="W347" s="5">
        <f t="shared" si="762"/>
        <v>7.5061414535778593E-3</v>
      </c>
      <c r="X347" s="5">
        <f t="shared" si="762"/>
        <v>1.3969813990506244E-3</v>
      </c>
      <c r="Z347" s="4">
        <v>45589</v>
      </c>
      <c r="AA347">
        <f>B347*B$3</f>
        <v>-982.99999999997908</v>
      </c>
      <c r="AB347">
        <f>C347*C$3</f>
        <v>-5167.99999999989</v>
      </c>
      <c r="AC347">
        <f>D347*D$3</f>
        <v>48429.0000000004</v>
      </c>
      <c r="AD347">
        <f>E347*E$3</f>
        <v>2427.9999999999482</v>
      </c>
      <c r="AE347">
        <f>F347*F$3</f>
        <v>0</v>
      </c>
      <c r="AF347">
        <f>G347*G$3</f>
        <v>-31255.999999999334</v>
      </c>
      <c r="AG347">
        <f>H347*H$3</f>
        <v>0</v>
      </c>
      <c r="AH347">
        <f>I347*I$3</f>
        <v>-18456.000000001244</v>
      </c>
      <c r="AI347">
        <f>J347*J$3</f>
        <v>-102102.99999999782</v>
      </c>
      <c r="AJ347">
        <f>K347*K$3</f>
        <v>-156789.99999999665</v>
      </c>
      <c r="AK347">
        <f>L347*L$3</f>
        <v>93012.000000000771</v>
      </c>
      <c r="AL347">
        <f>M347*M$3</f>
        <v>128292.00000000012</v>
      </c>
      <c r="AM347">
        <f>N347*N$3</f>
        <v>0</v>
      </c>
      <c r="AN347">
        <f>O347*O$3</f>
        <v>0</v>
      </c>
      <c r="AO347">
        <f>P347*P$3</f>
        <v>27710.537135410312</v>
      </c>
      <c r="AP347">
        <f>Q347*Q$3</f>
        <v>-10120.177702918238</v>
      </c>
      <c r="AQ347">
        <f>R347*R$3</f>
        <v>7995.7357970037056</v>
      </c>
      <c r="AR347" s="1">
        <f>S347*S$3</f>
        <v>-9739.2792917427123</v>
      </c>
      <c r="AS347" s="1">
        <f t="shared" si="749"/>
        <v>6214.5493409507271</v>
      </c>
      <c r="AT347" s="1">
        <f t="shared" si="749"/>
        <v>42677.421005027987</v>
      </c>
      <c r="AU347" s="1">
        <f t="shared" si="749"/>
        <v>0</v>
      </c>
      <c r="AV347" s="1">
        <f t="shared" si="749"/>
        <v>0</v>
      </c>
      <c r="AW347" s="1">
        <f t="shared" si="749"/>
        <v>0</v>
      </c>
      <c r="AX347" s="1">
        <f t="shared" si="715"/>
        <v>22143.786283738067</v>
      </c>
      <c r="AY347" s="1">
        <f t="shared" si="716"/>
        <v>64738.786283731781</v>
      </c>
      <c r="AZ347" s="1">
        <f t="shared" si="717"/>
        <v>-42594.999999993714</v>
      </c>
    </row>
    <row r="348" spans="1:52" x14ac:dyDescent="0.25">
      <c r="A348" s="4">
        <v>45588</v>
      </c>
      <c r="B348">
        <f t="shared" ref="B348:N348" si="763">(B898-B897)*100</f>
        <v>0.99999999999997868</v>
      </c>
      <c r="C348">
        <f t="shared" si="763"/>
        <v>0.99999999999997868</v>
      </c>
      <c r="D348">
        <f t="shared" si="763"/>
        <v>-1.0000000000000675</v>
      </c>
      <c r="E348">
        <f t="shared" si="763"/>
        <v>0</v>
      </c>
      <c r="F348">
        <f t="shared" si="763"/>
        <v>-1.0000000000000675</v>
      </c>
      <c r="G348">
        <f t="shared" si="763"/>
        <v>-2.9999999999999361</v>
      </c>
      <c r="H348">
        <f t="shared" si="763"/>
        <v>-4.0000000000000036</v>
      </c>
      <c r="I348">
        <f t="shared" si="763"/>
        <v>-5.0000000000000266</v>
      </c>
      <c r="J348">
        <f t="shared" si="763"/>
        <v>-4.9999999999999822</v>
      </c>
      <c r="K348">
        <f t="shared" si="763"/>
        <v>-4.0000000000000036</v>
      </c>
      <c r="L348">
        <f t="shared" si="763"/>
        <v>-4.0000000000000036</v>
      </c>
      <c r="M348">
        <f t="shared" si="763"/>
        <v>-3.0000000000000249</v>
      </c>
      <c r="N348">
        <f t="shared" si="763"/>
        <v>-1.9999999999999574</v>
      </c>
      <c r="O348" s="5">
        <f t="shared" si="757"/>
        <v>3.3479141883487645E-3</v>
      </c>
      <c r="P348" s="5">
        <f t="shared" si="757"/>
        <v>1.3130412017524077E-2</v>
      </c>
      <c r="Q348" s="5">
        <f t="shared" si="757"/>
        <v>-5.6635943317947064E-3</v>
      </c>
      <c r="R348" s="5">
        <f t="shared" si="757"/>
        <v>7.9968017056446597E-4</v>
      </c>
      <c r="S348" s="5">
        <f t="shared" si="757"/>
        <v>-6.2558034809126542E-3</v>
      </c>
      <c r="T348" s="5">
        <f t="shared" ref="T348:X348" si="764">LN(T897/T898)</f>
        <v>1.9021563077480594E-3</v>
      </c>
      <c r="U348" s="5">
        <f t="shared" si="764"/>
        <v>1.2946671055233365E-5</v>
      </c>
      <c r="V348" s="5">
        <f t="shared" si="764"/>
        <v>3.5328429941691533E-3</v>
      </c>
      <c r="W348" s="5">
        <f t="shared" si="764"/>
        <v>-4.9334120278475635E-3</v>
      </c>
      <c r="X348" s="5">
        <f t="shared" si="764"/>
        <v>1.3870354357374797E-4</v>
      </c>
      <c r="Z348" s="4">
        <v>45588</v>
      </c>
      <c r="AA348">
        <f>B348*B$3</f>
        <v>-982.99999999997908</v>
      </c>
      <c r="AB348">
        <f>C348*C$3</f>
        <v>-2583.999999999945</v>
      </c>
      <c r="AC348">
        <f>D348*D$3</f>
        <v>-16143.00000000109</v>
      </c>
      <c r="AD348">
        <f>E348*E$3</f>
        <v>0</v>
      </c>
      <c r="AE348">
        <f>F348*F$3</f>
        <v>12428.000000000839</v>
      </c>
      <c r="AF348">
        <f>G348*G$3</f>
        <v>46883.999999999003</v>
      </c>
      <c r="AG348">
        <f>H348*H$3</f>
        <v>112864.0000000001</v>
      </c>
      <c r="AH348">
        <f>I348*I$3</f>
        <v>92280.000000000495</v>
      </c>
      <c r="AI348">
        <f>J348*J$3</f>
        <v>255257.4999999991</v>
      </c>
      <c r="AJ348">
        <f>K348*K$3</f>
        <v>313580.00000000029</v>
      </c>
      <c r="AK348">
        <f>L348*L$3</f>
        <v>-124016.00000000012</v>
      </c>
      <c r="AL348">
        <f>M348*M$3</f>
        <v>-96219.0000000008</v>
      </c>
      <c r="AM348">
        <f>N348*N$3</f>
        <v>0</v>
      </c>
      <c r="AN348">
        <f>O348*O$3</f>
        <v>0</v>
      </c>
      <c r="AO348">
        <f>P348*P$3</f>
        <v>-65652.060087620383</v>
      </c>
      <c r="AP348">
        <f>Q348*Q$3</f>
        <v>-67963.13198153647</v>
      </c>
      <c r="AQ348">
        <f>R348*R$3</f>
        <v>-11995.20255846699</v>
      </c>
      <c r="AR348" s="1">
        <f>S348*S$3</f>
        <v>43790.624366388576</v>
      </c>
      <c r="AS348" s="1">
        <f t="shared" si="749"/>
        <v>7608.6252309922374</v>
      </c>
      <c r="AT348" s="1">
        <f t="shared" si="749"/>
        <v>103.57336844186692</v>
      </c>
      <c r="AU348" s="1">
        <f t="shared" si="749"/>
        <v>0</v>
      </c>
      <c r="AV348" s="1">
        <f t="shared" si="749"/>
        <v>0</v>
      </c>
      <c r="AW348" s="1">
        <f t="shared" si="749"/>
        <v>0</v>
      </c>
      <c r="AX348" s="1">
        <f t="shared" si="715"/>
        <v>499240.92833819677</v>
      </c>
      <c r="AY348" s="1">
        <f t="shared" si="716"/>
        <v>-94107.571661801165</v>
      </c>
      <c r="AZ348" s="1">
        <f t="shared" si="717"/>
        <v>593348.4999999979</v>
      </c>
    </row>
    <row r="349" spans="1:52" x14ac:dyDescent="0.25">
      <c r="A349" s="4">
        <v>45587</v>
      </c>
      <c r="B349">
        <f t="shared" ref="B349:N349" si="765">(B899-B898)*100</f>
        <v>3.0000000000000249</v>
      </c>
      <c r="C349">
        <f t="shared" si="765"/>
        <v>1.0000000000000675</v>
      </c>
      <c r="D349">
        <f t="shared" si="765"/>
        <v>1.0000000000000675</v>
      </c>
      <c r="E349">
        <f t="shared" si="765"/>
        <v>0</v>
      </c>
      <c r="F349">
        <f t="shared" si="765"/>
        <v>0</v>
      </c>
      <c r="G349">
        <f t="shared" si="765"/>
        <v>0</v>
      </c>
      <c r="H349">
        <f t="shared" si="765"/>
        <v>-1.0000000000000675</v>
      </c>
      <c r="I349">
        <f t="shared" si="765"/>
        <v>-2.9999999999999805</v>
      </c>
      <c r="J349">
        <f t="shared" si="765"/>
        <v>-2.0000000000000018</v>
      </c>
      <c r="K349">
        <f t="shared" si="765"/>
        <v>-2.9999999999999361</v>
      </c>
      <c r="L349">
        <f t="shared" si="765"/>
        <v>-0.99999999999997868</v>
      </c>
      <c r="M349">
        <f t="shared" si="765"/>
        <v>-0.99999999999997868</v>
      </c>
      <c r="N349">
        <f t="shared" si="765"/>
        <v>0</v>
      </c>
      <c r="O349" s="5">
        <f t="shared" si="757"/>
        <v>-1.9294866536879941E-3</v>
      </c>
      <c r="P349" s="5">
        <f t="shared" si="757"/>
        <v>-1.7580641949178377E-3</v>
      </c>
      <c r="Q349" s="5">
        <f t="shared" si="757"/>
        <v>7.7838594734888564E-3</v>
      </c>
      <c r="R349" s="5">
        <f t="shared" si="757"/>
        <v>-3.9920212695374498E-3</v>
      </c>
      <c r="S349" s="5">
        <f t="shared" si="757"/>
        <v>-1.4026793470956909E-3</v>
      </c>
      <c r="T349" s="5">
        <f t="shared" ref="T349:X349" si="766">LN(T898/T899)</f>
        <v>4.6841783587429726E-3</v>
      </c>
      <c r="U349" s="5">
        <f t="shared" si="766"/>
        <v>5.3504145384279814E-3</v>
      </c>
      <c r="V349" s="5">
        <f t="shared" si="766"/>
        <v>6.6953806379496661E-3</v>
      </c>
      <c r="W349" s="5">
        <f t="shared" si="766"/>
        <v>9.5325975412620251E-3</v>
      </c>
      <c r="X349" s="5">
        <f t="shared" si="766"/>
        <v>5.5479990304998638E-4</v>
      </c>
      <c r="Z349" s="4">
        <v>45587</v>
      </c>
      <c r="AA349">
        <f>B349*B$3</f>
        <v>-2949.0000000000246</v>
      </c>
      <c r="AB349">
        <f>C349*C$3</f>
        <v>-2584.0000000001746</v>
      </c>
      <c r="AC349">
        <f>D349*D$3</f>
        <v>16143.00000000109</v>
      </c>
      <c r="AD349">
        <f>E349*E$3</f>
        <v>0</v>
      </c>
      <c r="AE349">
        <f>F349*F$3</f>
        <v>0</v>
      </c>
      <c r="AF349">
        <f>G349*G$3</f>
        <v>0</v>
      </c>
      <c r="AG349">
        <f>H349*H$3</f>
        <v>28216.000000001906</v>
      </c>
      <c r="AH349">
        <f>I349*I$3</f>
        <v>55367.999999999636</v>
      </c>
      <c r="AI349">
        <f>J349*J$3</f>
        <v>102103.00000000009</v>
      </c>
      <c r="AJ349">
        <f>K349*K$3</f>
        <v>235184.99999999499</v>
      </c>
      <c r="AK349">
        <f>L349*L$3</f>
        <v>-31003.999999999338</v>
      </c>
      <c r="AL349">
        <f>M349*M$3</f>
        <v>-32072.999999999316</v>
      </c>
      <c r="AM349">
        <f>N349*N$3</f>
        <v>0</v>
      </c>
      <c r="AN349">
        <f>O349*O$3</f>
        <v>0</v>
      </c>
      <c r="AO349">
        <f>P349*P$3</f>
        <v>8790.3209745891891</v>
      </c>
      <c r="AP349">
        <f>Q349*Q$3</f>
        <v>93406.313681866275</v>
      </c>
      <c r="AQ349">
        <f>R349*R$3</f>
        <v>59880.319043061747</v>
      </c>
      <c r="AR349" s="1">
        <f>S349*S$3</f>
        <v>9818.7554296698363</v>
      </c>
      <c r="AS349" s="1">
        <f t="shared" si="749"/>
        <v>18736.713434971891</v>
      </c>
      <c r="AT349" s="1">
        <f t="shared" si="749"/>
        <v>42803.316307423855</v>
      </c>
      <c r="AU349" s="1">
        <f t="shared" si="749"/>
        <v>0</v>
      </c>
      <c r="AV349" s="1">
        <f t="shared" si="749"/>
        <v>0</v>
      </c>
      <c r="AW349" s="1">
        <f t="shared" si="749"/>
        <v>0</v>
      </c>
      <c r="AX349" s="1">
        <f t="shared" si="715"/>
        <v>601840.73887158162</v>
      </c>
      <c r="AY349" s="1">
        <f t="shared" si="716"/>
        <v>233435.73887158278</v>
      </c>
      <c r="AZ349" s="1">
        <f t="shared" si="717"/>
        <v>368404.99999999884</v>
      </c>
    </row>
    <row r="350" spans="1:52" x14ac:dyDescent="0.25">
      <c r="A350" s="4">
        <v>45586</v>
      </c>
      <c r="B350">
        <f t="shared" ref="B350:N350" si="767">(B900-B899)*100</f>
        <v>0</v>
      </c>
      <c r="C350">
        <f t="shared" si="767"/>
        <v>0</v>
      </c>
      <c r="D350">
        <f t="shared" si="767"/>
        <v>0</v>
      </c>
      <c r="E350">
        <f t="shared" si="767"/>
        <v>-0.99999999999997868</v>
      </c>
      <c r="F350">
        <f t="shared" si="767"/>
        <v>-1.9999999999999574</v>
      </c>
      <c r="G350">
        <f t="shared" si="767"/>
        <v>-4.9999999999999822</v>
      </c>
      <c r="H350">
        <f t="shared" si="767"/>
        <v>-6.9999999999999396</v>
      </c>
      <c r="I350">
        <f t="shared" si="767"/>
        <v>-9.0000000000000302</v>
      </c>
      <c r="J350">
        <f t="shared" si="767"/>
        <v>-10.000000000000009</v>
      </c>
      <c r="K350">
        <f t="shared" si="767"/>
        <v>-10.000000000000009</v>
      </c>
      <c r="L350">
        <f t="shared" si="767"/>
        <v>-11.000000000000032</v>
      </c>
      <c r="M350">
        <f t="shared" si="767"/>
        <v>-9.9999999999999645</v>
      </c>
      <c r="N350">
        <f t="shared" si="767"/>
        <v>-11.000000000000032</v>
      </c>
      <c r="O350" s="5">
        <f t="shared" si="757"/>
        <v>6.9636450005506377E-3</v>
      </c>
      <c r="P350" s="5">
        <f t="shared" si="757"/>
        <v>7.253243804696591E-4</v>
      </c>
      <c r="Q350" s="5">
        <f t="shared" si="757"/>
        <v>2.0930240198982486E-3</v>
      </c>
      <c r="R350" s="5">
        <f t="shared" si="757"/>
        <v>2.9259230875398052E-3</v>
      </c>
      <c r="S350" s="5">
        <f t="shared" si="757"/>
        <v>4.5055743550523235E-3</v>
      </c>
      <c r="T350" s="5">
        <f t="shared" ref="T350:X350" si="768">LN(T899/T900)</f>
        <v>-3.6018577389635878E-3</v>
      </c>
      <c r="U350" s="5">
        <f t="shared" si="768"/>
        <v>-2.8284619041696688E-3</v>
      </c>
      <c r="V350" s="5">
        <f t="shared" si="768"/>
        <v>-3.3366729631336732E-3</v>
      </c>
      <c r="W350" s="5">
        <f t="shared" si="768"/>
        <v>-2.5490907199403369E-3</v>
      </c>
      <c r="X350" s="5">
        <f t="shared" si="768"/>
        <v>-1.1555490845870614E-3</v>
      </c>
      <c r="Z350" s="4">
        <v>45586</v>
      </c>
      <c r="AA350">
        <f>B350*B$3</f>
        <v>0</v>
      </c>
      <c r="AB350">
        <f>C350*C$3</f>
        <v>0</v>
      </c>
      <c r="AC350">
        <f>D350*D$3</f>
        <v>0</v>
      </c>
      <c r="AD350">
        <f>E350*E$3</f>
        <v>-2427.9999999999482</v>
      </c>
      <c r="AE350">
        <f>F350*F$3</f>
        <v>24855.999999999469</v>
      </c>
      <c r="AF350">
        <f>G350*G$3</f>
        <v>78139.999999999724</v>
      </c>
      <c r="AG350">
        <f>H350*H$3</f>
        <v>197511.99999999828</v>
      </c>
      <c r="AH350">
        <f>I350*I$3</f>
        <v>166104.00000000055</v>
      </c>
      <c r="AI350">
        <f>J350*J$3</f>
        <v>510515.00000000047</v>
      </c>
      <c r="AJ350">
        <f>K350*K$3</f>
        <v>783950.0000000007</v>
      </c>
      <c r="AK350">
        <f>L350*L$3</f>
        <v>-341044.00000000099</v>
      </c>
      <c r="AL350">
        <f>M350*M$3</f>
        <v>-320729.99999999884</v>
      </c>
      <c r="AM350">
        <f>N350*N$3</f>
        <v>0</v>
      </c>
      <c r="AN350">
        <f>O350*O$3</f>
        <v>0</v>
      </c>
      <c r="AO350">
        <f>P350*P$3</f>
        <v>-3626.6219023482954</v>
      </c>
      <c r="AP350">
        <f>Q350*Q$3</f>
        <v>25116.288238778983</v>
      </c>
      <c r="AQ350">
        <f>R350*R$3</f>
        <v>-43888.846313097078</v>
      </c>
      <c r="AR350" s="1">
        <f>S350*S$3</f>
        <v>-31539.020485366265</v>
      </c>
      <c r="AS350" s="1">
        <f t="shared" si="749"/>
        <v>-14407.430955854352</v>
      </c>
      <c r="AT350" s="1">
        <f t="shared" si="749"/>
        <v>-22627.69523335735</v>
      </c>
      <c r="AU350" s="1">
        <f t="shared" si="749"/>
        <v>0</v>
      </c>
      <c r="AV350" s="1">
        <f t="shared" si="749"/>
        <v>0</v>
      </c>
      <c r="AW350" s="1">
        <f t="shared" si="749"/>
        <v>0</v>
      </c>
      <c r="AX350" s="1">
        <f t="shared" si="715"/>
        <v>1005901.6733487552</v>
      </c>
      <c r="AY350" s="1">
        <f t="shared" si="716"/>
        <v>-90973.326651244366</v>
      </c>
      <c r="AZ350" s="1">
        <f t="shared" si="717"/>
        <v>1096874.9999999995</v>
      </c>
    </row>
    <row r="351" spans="1:52" x14ac:dyDescent="0.25">
      <c r="A351" s="4">
        <v>45583</v>
      </c>
      <c r="B351">
        <f t="shared" ref="B351:N351" si="769">(B901-B900)*100</f>
        <v>0.99999999999997868</v>
      </c>
      <c r="C351">
        <f t="shared" si="769"/>
        <v>0.99999999999997868</v>
      </c>
      <c r="D351">
        <f t="shared" si="769"/>
        <v>0.99999999999997868</v>
      </c>
      <c r="E351">
        <f t="shared" si="769"/>
        <v>0</v>
      </c>
      <c r="F351">
        <f t="shared" si="769"/>
        <v>0</v>
      </c>
      <c r="G351">
        <f t="shared" si="769"/>
        <v>1.9999999999999574</v>
      </c>
      <c r="H351">
        <f t="shared" si="769"/>
        <v>0.99999999999997868</v>
      </c>
      <c r="I351">
        <f t="shared" si="769"/>
        <v>3.0000000000000249</v>
      </c>
      <c r="J351">
        <f t="shared" si="769"/>
        <v>2.0000000000000018</v>
      </c>
      <c r="K351">
        <f t="shared" si="769"/>
        <v>2.0000000000000018</v>
      </c>
      <c r="L351">
        <f t="shared" si="769"/>
        <v>0.99999999999997868</v>
      </c>
      <c r="M351">
        <f t="shared" si="769"/>
        <v>0</v>
      </c>
      <c r="N351">
        <f t="shared" si="769"/>
        <v>0.99999999999997868</v>
      </c>
      <c r="O351" s="5">
        <f t="shared" si="757"/>
        <v>-1.5164342022900919E-3</v>
      </c>
      <c r="P351" s="5">
        <f t="shared" si="757"/>
        <v>5.256747297077897E-3</v>
      </c>
      <c r="Q351" s="5">
        <f t="shared" si="757"/>
        <v>3.9336108951612157E-3</v>
      </c>
      <c r="R351" s="5">
        <f t="shared" si="757"/>
        <v>-5.3262318169931301E-4</v>
      </c>
      <c r="S351" s="5">
        <f t="shared" si="757"/>
        <v>2.6655468175035995E-4</v>
      </c>
      <c r="T351" s="5">
        <f t="shared" ref="T351:X351" si="770">LN(T900/T901)</f>
        <v>3.0369451370040228E-3</v>
      </c>
      <c r="U351" s="5">
        <f t="shared" si="770"/>
        <v>-1.9634771439662464E-3</v>
      </c>
      <c r="V351" s="5">
        <f t="shared" si="770"/>
        <v>3.4971275078408024E-3</v>
      </c>
      <c r="W351" s="5">
        <f t="shared" si="770"/>
        <v>-5.2121927150582149E-3</v>
      </c>
      <c r="X351" s="5">
        <f t="shared" si="770"/>
        <v>7.2783063558207899E-4</v>
      </c>
      <c r="Z351" s="4">
        <v>45583</v>
      </c>
      <c r="AA351">
        <f>B351*B$3</f>
        <v>-982.99999999997908</v>
      </c>
      <c r="AB351">
        <f>C351*C$3</f>
        <v>-2583.999999999945</v>
      </c>
      <c r="AC351">
        <f>D351*D$3</f>
        <v>16142.999999999656</v>
      </c>
      <c r="AD351">
        <f>E351*E$3</f>
        <v>0</v>
      </c>
      <c r="AE351">
        <f>F351*F$3</f>
        <v>0</v>
      </c>
      <c r="AF351">
        <f>G351*G$3</f>
        <v>-31255.999999999334</v>
      </c>
      <c r="AG351">
        <f>H351*H$3</f>
        <v>-28215.9999999994</v>
      </c>
      <c r="AH351">
        <f>I351*I$3</f>
        <v>-55368.000000000458</v>
      </c>
      <c r="AI351">
        <f>J351*J$3</f>
        <v>-102103.00000000009</v>
      </c>
      <c r="AJ351">
        <f>K351*K$3</f>
        <v>-156790.00000000015</v>
      </c>
      <c r="AK351">
        <f>L351*L$3</f>
        <v>31003.999999999338</v>
      </c>
      <c r="AL351">
        <f>M351*M$3</f>
        <v>0</v>
      </c>
      <c r="AM351">
        <f>N351*N$3</f>
        <v>0</v>
      </c>
      <c r="AN351">
        <f>O351*O$3</f>
        <v>0</v>
      </c>
      <c r="AO351">
        <f>P351*P$3</f>
        <v>-26283.736485389483</v>
      </c>
      <c r="AP351">
        <f>Q351*Q$3</f>
        <v>47203.330741934587</v>
      </c>
      <c r="AQ351">
        <f>R351*R$3</f>
        <v>7989.3477254896952</v>
      </c>
      <c r="AR351" s="1">
        <f>S351*S$3</f>
        <v>-1865.8827722525198</v>
      </c>
      <c r="AS351" s="1">
        <f t="shared" si="749"/>
        <v>12147.780548016091</v>
      </c>
      <c r="AT351" s="1">
        <f t="shared" si="749"/>
        <v>-15707.817151729971</v>
      </c>
      <c r="AU351" s="1">
        <f t="shared" si="749"/>
        <v>0</v>
      </c>
      <c r="AV351" s="1">
        <f t="shared" si="749"/>
        <v>0</v>
      </c>
      <c r="AW351" s="1">
        <f t="shared" si="749"/>
        <v>0</v>
      </c>
      <c r="AX351" s="1">
        <f t="shared" si="715"/>
        <v>-306669.97739393188</v>
      </c>
      <c r="AY351" s="1">
        <f t="shared" si="716"/>
        <v>23483.0226060684</v>
      </c>
      <c r="AZ351" s="1">
        <f t="shared" si="717"/>
        <v>-330153.00000000029</v>
      </c>
    </row>
    <row r="352" spans="1:52" x14ac:dyDescent="0.25">
      <c r="A352" s="4">
        <v>45582</v>
      </c>
      <c r="B352">
        <f t="shared" ref="B352:N352" si="771">(B902-B901)*100</f>
        <v>-1.9999999999999574</v>
      </c>
      <c r="C352">
        <f t="shared" si="771"/>
        <v>-3.0000000000000249</v>
      </c>
      <c r="D352">
        <f t="shared" si="771"/>
        <v>-2.0000000000000462</v>
      </c>
      <c r="E352">
        <f t="shared" si="771"/>
        <v>-2.0000000000000462</v>
      </c>
      <c r="F352">
        <f t="shared" si="771"/>
        <v>-3.0000000000000249</v>
      </c>
      <c r="G352">
        <f t="shared" si="771"/>
        <v>-4.0000000000000036</v>
      </c>
      <c r="H352">
        <f t="shared" si="771"/>
        <v>-2.9999999999999805</v>
      </c>
      <c r="I352">
        <f t="shared" si="771"/>
        <v>-5.0000000000000266</v>
      </c>
      <c r="J352">
        <f t="shared" si="771"/>
        <v>-6.0000000000000053</v>
      </c>
      <c r="K352">
        <f t="shared" si="771"/>
        <v>-7.0000000000000284</v>
      </c>
      <c r="L352">
        <f t="shared" si="771"/>
        <v>-7.0000000000000284</v>
      </c>
      <c r="M352">
        <f t="shared" si="771"/>
        <v>-8.0000000000000071</v>
      </c>
      <c r="N352">
        <f t="shared" si="771"/>
        <v>-8.9999999999999858</v>
      </c>
      <c r="O352" s="5">
        <f t="shared" si="757"/>
        <v>1.5858891144339524E-4</v>
      </c>
      <c r="P352" s="5">
        <f t="shared" si="757"/>
        <v>-3.5231980073170167E-3</v>
      </c>
      <c r="Q352" s="5">
        <f t="shared" si="757"/>
        <v>4.2691658003558303E-3</v>
      </c>
      <c r="R352" s="5">
        <f t="shared" si="757"/>
        <v>-2.6588688889442181E-3</v>
      </c>
      <c r="S352" s="5">
        <f t="shared" si="757"/>
        <v>-3.0084424756700043E-3</v>
      </c>
      <c r="T352" s="5">
        <f t="shared" ref="T352:X352" si="772">LN(T901/T902)</f>
        <v>1.9897641570462764E-3</v>
      </c>
      <c r="U352" s="5">
        <f t="shared" si="772"/>
        <v>5.810478134285626E-3</v>
      </c>
      <c r="V352" s="5">
        <f t="shared" si="772"/>
        <v>3.1941435042423293E-3</v>
      </c>
      <c r="W352" s="5">
        <f t="shared" si="772"/>
        <v>2.5759533090002544E-3</v>
      </c>
      <c r="X352" s="5">
        <f t="shared" si="772"/>
        <v>3.1947349449350307E-3</v>
      </c>
      <c r="Z352" s="4">
        <v>45582</v>
      </c>
      <c r="AA352">
        <f>B352*B$3</f>
        <v>1965.9999999999582</v>
      </c>
      <c r="AB352">
        <f>C352*C$3</f>
        <v>7752.0000000000646</v>
      </c>
      <c r="AC352">
        <f>D352*D$3</f>
        <v>-32286.000000000746</v>
      </c>
      <c r="AD352">
        <f>E352*E$3</f>
        <v>-4856.0000000001119</v>
      </c>
      <c r="AE352">
        <f>F352*F$3</f>
        <v>37284.000000000306</v>
      </c>
      <c r="AF352">
        <f>G352*G$3</f>
        <v>62512.000000000058</v>
      </c>
      <c r="AG352">
        <f>H352*H$3</f>
        <v>84647.999999999447</v>
      </c>
      <c r="AH352">
        <f>I352*I$3</f>
        <v>92280.000000000495</v>
      </c>
      <c r="AI352">
        <f>J352*J$3</f>
        <v>306309.00000000029</v>
      </c>
      <c r="AJ352">
        <f>K352*K$3</f>
        <v>548765.00000000221</v>
      </c>
      <c r="AK352">
        <f>L352*L$3</f>
        <v>-217028.00000000087</v>
      </c>
      <c r="AL352">
        <f>M352*M$3</f>
        <v>-256584.00000000023</v>
      </c>
      <c r="AM352">
        <f>N352*N$3</f>
        <v>0</v>
      </c>
      <c r="AN352">
        <f>O352*O$3</f>
        <v>0</v>
      </c>
      <c r="AO352">
        <f>P352*P$3</f>
        <v>17615.990036585084</v>
      </c>
      <c r="AP352">
        <f>Q352*Q$3</f>
        <v>51229.989604269962</v>
      </c>
      <c r="AQ352">
        <f>R352*R$3</f>
        <v>39883.033334163272</v>
      </c>
      <c r="AR352" s="1">
        <f>S352*S$3</f>
        <v>21059.09732969003</v>
      </c>
      <c r="AS352" s="1">
        <f t="shared" si="749"/>
        <v>7959.0566281851052</v>
      </c>
      <c r="AT352" s="1">
        <f t="shared" si="749"/>
        <v>46483.825074285007</v>
      </c>
      <c r="AU352" s="1">
        <f t="shared" si="749"/>
        <v>0</v>
      </c>
      <c r="AV352" s="1">
        <f t="shared" si="749"/>
        <v>0</v>
      </c>
      <c r="AW352" s="1">
        <f t="shared" si="749"/>
        <v>0</v>
      </c>
      <c r="AX352" s="1">
        <f t="shared" si="715"/>
        <v>814992.99200717919</v>
      </c>
      <c r="AY352" s="1">
        <f t="shared" si="716"/>
        <v>184230.99200717846</v>
      </c>
      <c r="AZ352" s="1">
        <f t="shared" si="717"/>
        <v>630762.0000000007</v>
      </c>
    </row>
    <row r="353" spans="1:52" x14ac:dyDescent="0.25">
      <c r="A353" s="4">
        <v>45581</v>
      </c>
      <c r="B353">
        <f t="shared" ref="B353:N353" si="773">(B903-B902)*100</f>
        <v>1.9999999999999574</v>
      </c>
      <c r="C353">
        <f t="shared" si="773"/>
        <v>2.0000000000000462</v>
      </c>
      <c r="D353">
        <f t="shared" si="773"/>
        <v>1.0000000000000675</v>
      </c>
      <c r="E353">
        <f t="shared" si="773"/>
        <v>2.0000000000000462</v>
      </c>
      <c r="F353">
        <f t="shared" si="773"/>
        <v>0</v>
      </c>
      <c r="G353">
        <f t="shared" si="773"/>
        <v>0.99999999999997868</v>
      </c>
      <c r="H353">
        <f t="shared" si="773"/>
        <v>2.0000000000000018</v>
      </c>
      <c r="I353">
        <f t="shared" si="773"/>
        <v>2.0000000000000018</v>
      </c>
      <c r="J353">
        <f t="shared" si="773"/>
        <v>2.0000000000000018</v>
      </c>
      <c r="K353">
        <f t="shared" si="773"/>
        <v>1.0000000000000231</v>
      </c>
      <c r="L353">
        <f t="shared" si="773"/>
        <v>1.0000000000000675</v>
      </c>
      <c r="M353">
        <f t="shared" si="773"/>
        <v>0.99999999999997868</v>
      </c>
      <c r="N353">
        <f t="shared" si="773"/>
        <v>2.0000000000000462</v>
      </c>
      <c r="O353" s="5">
        <f t="shared" si="757"/>
        <v>6.5593714730169603E-3</v>
      </c>
      <c r="P353" s="5">
        <f t="shared" si="757"/>
        <v>4.3352923725840601E-3</v>
      </c>
      <c r="Q353" s="5">
        <f t="shared" si="757"/>
        <v>9.5623725325403117E-3</v>
      </c>
      <c r="R353" s="5">
        <f t="shared" si="757"/>
        <v>5.3120851182743994E-4</v>
      </c>
      <c r="S353" s="5">
        <f t="shared" si="757"/>
        <v>1.2230593340778213E-2</v>
      </c>
      <c r="T353" s="5">
        <f t="shared" ref="T353:X353" si="774">LN(T902/T903)</f>
        <v>2.2991516201770787E-3</v>
      </c>
      <c r="U353" s="5">
        <f t="shared" si="774"/>
        <v>1.1759735927638183E-4</v>
      </c>
      <c r="V353" s="5">
        <f t="shared" si="774"/>
        <v>-3.8223500167839483E-3</v>
      </c>
      <c r="W353" s="5">
        <f t="shared" si="774"/>
        <v>6.5511611393593329E-3</v>
      </c>
      <c r="X353" s="5">
        <f t="shared" si="774"/>
        <v>5.1025314763812938E-4</v>
      </c>
      <c r="Z353" s="4">
        <v>45581</v>
      </c>
      <c r="AA353">
        <f>B353*B$3</f>
        <v>-1965.9999999999582</v>
      </c>
      <c r="AB353">
        <f>C353*C$3</f>
        <v>-5168.0000000001191</v>
      </c>
      <c r="AC353">
        <f>D353*D$3</f>
        <v>16143.00000000109</v>
      </c>
      <c r="AD353">
        <f>E353*E$3</f>
        <v>4856.0000000001119</v>
      </c>
      <c r="AE353">
        <f>F353*F$3</f>
        <v>0</v>
      </c>
      <c r="AF353">
        <f>G353*G$3</f>
        <v>-15627.999999999667</v>
      </c>
      <c r="AG353">
        <f>H353*H$3</f>
        <v>-56432.000000000051</v>
      </c>
      <c r="AH353">
        <f>I353*I$3</f>
        <v>-36912.000000000036</v>
      </c>
      <c r="AI353">
        <f>J353*J$3</f>
        <v>-102103.00000000009</v>
      </c>
      <c r="AJ353">
        <f>K353*K$3</f>
        <v>-78395.000000001804</v>
      </c>
      <c r="AK353">
        <f>L353*L$3</f>
        <v>31004.000000002092</v>
      </c>
      <c r="AL353">
        <f>M353*M$3</f>
        <v>32072.999999999316</v>
      </c>
      <c r="AM353">
        <f>N353*N$3</f>
        <v>0</v>
      </c>
      <c r="AN353">
        <f>O353*O$3</f>
        <v>0</v>
      </c>
      <c r="AO353">
        <f>P353*P$3</f>
        <v>-21676.4618629203</v>
      </c>
      <c r="AP353">
        <f>Q353*Q$3</f>
        <v>114748.47039048374</v>
      </c>
      <c r="AQ353">
        <f>R353*R$3</f>
        <v>-7968.1276774115995</v>
      </c>
      <c r="AR353" s="1">
        <f>S353*S$3</f>
        <v>-85614.153385447484</v>
      </c>
      <c r="AS353" s="1">
        <f t="shared" si="749"/>
        <v>9196.6064807083148</v>
      </c>
      <c r="AT353" s="1">
        <f t="shared" si="749"/>
        <v>940.7788742110547</v>
      </c>
      <c r="AU353" s="1">
        <f t="shared" si="749"/>
        <v>0</v>
      </c>
      <c r="AV353" s="1">
        <f t="shared" si="749"/>
        <v>0</v>
      </c>
      <c r="AW353" s="1">
        <f t="shared" si="749"/>
        <v>0</v>
      </c>
      <c r="AX353" s="1">
        <f t="shared" si="715"/>
        <v>-202900.8871803754</v>
      </c>
      <c r="AY353" s="1">
        <f t="shared" si="716"/>
        <v>9627.1128196237223</v>
      </c>
      <c r="AZ353" s="1">
        <f t="shared" si="717"/>
        <v>-212527.99999999913</v>
      </c>
    </row>
    <row r="354" spans="1:52" x14ac:dyDescent="0.25">
      <c r="A354" s="4">
        <v>45580</v>
      </c>
      <c r="B354">
        <f t="shared" ref="B354:N354" si="775">(B904-B903)*100</f>
        <v>4.0000000000000036</v>
      </c>
      <c r="C354">
        <f t="shared" si="775"/>
        <v>0</v>
      </c>
      <c r="D354">
        <f t="shared" si="775"/>
        <v>0</v>
      </c>
      <c r="E354">
        <f t="shared" si="775"/>
        <v>0</v>
      </c>
      <c r="F354">
        <f t="shared" si="775"/>
        <v>2.0000000000000462</v>
      </c>
      <c r="G354">
        <f t="shared" si="775"/>
        <v>0</v>
      </c>
      <c r="H354">
        <f t="shared" si="775"/>
        <v>0</v>
      </c>
      <c r="I354">
        <f t="shared" si="775"/>
        <v>-0.99999999999997868</v>
      </c>
      <c r="J354">
        <f t="shared" si="775"/>
        <v>2.0000000000000018</v>
      </c>
      <c r="K354">
        <f t="shared" si="775"/>
        <v>4.0000000000000036</v>
      </c>
      <c r="L354">
        <f t="shared" si="775"/>
        <v>4.9999999999999822</v>
      </c>
      <c r="M354">
        <f t="shared" si="775"/>
        <v>7.0000000000000284</v>
      </c>
      <c r="N354">
        <f t="shared" si="775"/>
        <v>6.9999999999999396</v>
      </c>
      <c r="O354" s="5">
        <f t="shared" si="757"/>
        <v>2.0419947611315377E-3</v>
      </c>
      <c r="P354" s="5">
        <f t="shared" si="757"/>
        <v>8.3046310922674591E-3</v>
      </c>
      <c r="Q354" s="5">
        <f t="shared" si="757"/>
        <v>-3.1081476708697195E-3</v>
      </c>
      <c r="R354" s="5">
        <f t="shared" si="757"/>
        <v>2.9267015702493797E-3</v>
      </c>
      <c r="S354" s="5">
        <f t="shared" si="757"/>
        <v>2.1095967183364105E-2</v>
      </c>
      <c r="T354" s="5">
        <f t="shared" ref="T354:X354" si="776">LN(T903/T904)</f>
        <v>2.2607337952643279E-3</v>
      </c>
      <c r="U354" s="5">
        <f t="shared" si="776"/>
        <v>-4.0494341747421292E-4</v>
      </c>
      <c r="V354" s="5">
        <f t="shared" si="776"/>
        <v>6.4751407030126532E-3</v>
      </c>
      <c r="W354" s="5">
        <f t="shared" si="776"/>
        <v>2.227419144216852E-3</v>
      </c>
      <c r="X354" s="5">
        <f t="shared" si="776"/>
        <v>6.4586113983081178E-3</v>
      </c>
      <c r="Z354" s="4">
        <v>45580</v>
      </c>
      <c r="AA354">
        <f>B354*B$3</f>
        <v>-3932.0000000000036</v>
      </c>
      <c r="AB354">
        <f>C354*C$3</f>
        <v>0</v>
      </c>
      <c r="AC354">
        <f>D354*D$3</f>
        <v>0</v>
      </c>
      <c r="AD354">
        <f>E354*E$3</f>
        <v>0</v>
      </c>
      <c r="AE354">
        <f>F354*F$3</f>
        <v>-24856.000000000575</v>
      </c>
      <c r="AF354">
        <f>G354*G$3</f>
        <v>0</v>
      </c>
      <c r="AG354">
        <f>H354*H$3</f>
        <v>0</v>
      </c>
      <c r="AH354">
        <f>I354*I$3</f>
        <v>18455.999999999607</v>
      </c>
      <c r="AI354">
        <f>J354*J$3</f>
        <v>-102103.00000000009</v>
      </c>
      <c r="AJ354">
        <f>K354*K$3</f>
        <v>-313580.00000000029</v>
      </c>
      <c r="AK354">
        <f>L354*L$3</f>
        <v>155019.99999999945</v>
      </c>
      <c r="AL354">
        <f>M354*M$3</f>
        <v>224511.0000000009</v>
      </c>
      <c r="AM354">
        <f>N354*N$3</f>
        <v>0</v>
      </c>
      <c r="AN354">
        <f>O354*O$3</f>
        <v>0</v>
      </c>
      <c r="AO354">
        <f>P354*P$3</f>
        <v>-41523.155461337294</v>
      </c>
      <c r="AP354">
        <f>Q354*Q$3</f>
        <v>-37297.772050436637</v>
      </c>
      <c r="AQ354">
        <f>R354*R$3</f>
        <v>-43900.523553740699</v>
      </c>
      <c r="AR354" s="1">
        <f>S354*S$3</f>
        <v>-147671.77028354874</v>
      </c>
      <c r="AS354" s="1">
        <f t="shared" si="749"/>
        <v>9042.9351810573116</v>
      </c>
      <c r="AT354" s="1">
        <f t="shared" si="749"/>
        <v>-3239.5473397937035</v>
      </c>
      <c r="AU354" s="1">
        <f t="shared" si="749"/>
        <v>0</v>
      </c>
      <c r="AV354" s="1">
        <f t="shared" si="749"/>
        <v>0</v>
      </c>
      <c r="AW354" s="1">
        <f t="shared" si="749"/>
        <v>0</v>
      </c>
      <c r="AX354" s="1">
        <f t="shared" si="715"/>
        <v>-311073.83350780077</v>
      </c>
      <c r="AY354" s="1">
        <f t="shared" si="716"/>
        <v>-264589.83350779978</v>
      </c>
      <c r="AZ354" s="1">
        <f t="shared" si="717"/>
        <v>-46484.00000000099</v>
      </c>
    </row>
    <row r="355" spans="1:52" x14ac:dyDescent="0.25">
      <c r="A355" s="4">
        <v>45576</v>
      </c>
      <c r="B355">
        <f t="shared" ref="B355:N355" si="777">(B905-B904)*100</f>
        <v>1.0000000000000675</v>
      </c>
      <c r="C355">
        <f t="shared" si="777"/>
        <v>1.9999999999999574</v>
      </c>
      <c r="D355">
        <f t="shared" si="777"/>
        <v>1.9999999999999574</v>
      </c>
      <c r="E355">
        <f t="shared" si="777"/>
        <v>0</v>
      </c>
      <c r="F355">
        <f t="shared" si="777"/>
        <v>0.99999999999997868</v>
      </c>
      <c r="G355">
        <f t="shared" si="777"/>
        <v>4.0000000000000036</v>
      </c>
      <c r="H355">
        <f t="shared" si="777"/>
        <v>2.9999999999999805</v>
      </c>
      <c r="I355">
        <f t="shared" si="777"/>
        <v>2.9999999999999805</v>
      </c>
      <c r="J355">
        <f t="shared" si="777"/>
        <v>3.0000000000000249</v>
      </c>
      <c r="K355">
        <f t="shared" si="777"/>
        <v>2.0000000000000018</v>
      </c>
      <c r="L355">
        <f t="shared" si="777"/>
        <v>0.99999999999997868</v>
      </c>
      <c r="M355">
        <f t="shared" si="777"/>
        <v>0</v>
      </c>
      <c r="N355">
        <f t="shared" si="777"/>
        <v>-0.99999999999997868</v>
      </c>
      <c r="O355" s="5">
        <f t="shared" ref="O355:S364" si="778">LN(O904/O905)</f>
        <v>7.9232364247754684E-3</v>
      </c>
      <c r="P355" s="5">
        <f t="shared" si="778"/>
        <v>2.2416550559821347E-3</v>
      </c>
      <c r="Q355" s="5">
        <f t="shared" si="778"/>
        <v>-3.8368837596763064E-3</v>
      </c>
      <c r="R355" s="5">
        <f t="shared" si="778"/>
        <v>-4.2541941321145513E-3</v>
      </c>
      <c r="S355" s="5">
        <f t="shared" si="778"/>
        <v>-1.0670302290678441E-2</v>
      </c>
      <c r="T355" s="5">
        <f t="shared" ref="T355:X355" si="779">LN(T904/T905)</f>
        <v>8.6421555971063666E-4</v>
      </c>
      <c r="U355" s="5">
        <f t="shared" si="779"/>
        <v>4.7035039324750348E-4</v>
      </c>
      <c r="V355" s="5">
        <f t="shared" si="779"/>
        <v>-3.0618622580733945E-3</v>
      </c>
      <c r="W355" s="5">
        <f t="shared" si="779"/>
        <v>-3.506555525256663E-3</v>
      </c>
      <c r="X355" s="5">
        <f t="shared" si="779"/>
        <v>-4.5660802324121305E-3</v>
      </c>
      <c r="Z355" s="4">
        <v>45576</v>
      </c>
      <c r="AA355">
        <f>B355*B$3</f>
        <v>-983.00000000006639</v>
      </c>
      <c r="AB355">
        <f>C355*C$3</f>
        <v>-5167.99999999989</v>
      </c>
      <c r="AC355">
        <f>D355*D$3</f>
        <v>32285.999999999312</v>
      </c>
      <c r="AD355">
        <f>E355*E$3</f>
        <v>0</v>
      </c>
      <c r="AE355">
        <f>F355*F$3</f>
        <v>-12427.999999999734</v>
      </c>
      <c r="AF355">
        <f>G355*G$3</f>
        <v>-62512.000000000058</v>
      </c>
      <c r="AG355">
        <f>H355*H$3</f>
        <v>-84647.999999999447</v>
      </c>
      <c r="AH355">
        <f>I355*I$3</f>
        <v>-55367.999999999636</v>
      </c>
      <c r="AI355">
        <f>J355*J$3</f>
        <v>-153154.50000000128</v>
      </c>
      <c r="AJ355">
        <f>K355*K$3</f>
        <v>-156790.00000000015</v>
      </c>
      <c r="AK355">
        <f>L355*L$3</f>
        <v>31003.999999999338</v>
      </c>
      <c r="AL355">
        <f>M355*M$3</f>
        <v>0</v>
      </c>
      <c r="AM355">
        <f>N355*N$3</f>
        <v>0</v>
      </c>
      <c r="AN355">
        <f>O355*O$3</f>
        <v>0</v>
      </c>
      <c r="AO355">
        <f>P355*P$3</f>
        <v>-11208.275279910673</v>
      </c>
      <c r="AP355">
        <f>Q355*Q$3</f>
        <v>-46042.605116115679</v>
      </c>
      <c r="AQ355">
        <f>R355*R$3</f>
        <v>63812.911981718273</v>
      </c>
      <c r="AR355" s="1">
        <f>S355*S$3</f>
        <v>74692.11603474908</v>
      </c>
      <c r="AS355" s="1">
        <f t="shared" si="749"/>
        <v>3456.8622388425465</v>
      </c>
      <c r="AT355" s="1">
        <f t="shared" si="749"/>
        <v>3762.8031459800277</v>
      </c>
      <c r="AU355" s="1">
        <f t="shared" si="749"/>
        <v>0</v>
      </c>
      <c r="AV355" s="1">
        <f t="shared" si="749"/>
        <v>0</v>
      </c>
      <c r="AW355" s="1">
        <f t="shared" si="749"/>
        <v>0</v>
      </c>
      <c r="AX355" s="1">
        <f t="shared" si="715"/>
        <v>-379287.686994738</v>
      </c>
      <c r="AY355" s="1">
        <f t="shared" si="716"/>
        <v>88473.813005263568</v>
      </c>
      <c r="AZ355" s="1">
        <f t="shared" si="717"/>
        <v>-467761.50000000157</v>
      </c>
    </row>
    <row r="356" spans="1:52" x14ac:dyDescent="0.25">
      <c r="A356" s="4">
        <v>45575</v>
      </c>
      <c r="B356">
        <f t="shared" ref="B356:N356" si="780">(B906-B905)*100</f>
        <v>-5.0000000000000711</v>
      </c>
      <c r="C356">
        <f t="shared" si="780"/>
        <v>0</v>
      </c>
      <c r="D356">
        <f t="shared" si="780"/>
        <v>0</v>
      </c>
      <c r="E356">
        <f t="shared" si="780"/>
        <v>0</v>
      </c>
      <c r="F356">
        <f t="shared" si="780"/>
        <v>0.99999999999997868</v>
      </c>
      <c r="G356">
        <f t="shared" si="780"/>
        <v>2.0000000000000462</v>
      </c>
      <c r="H356">
        <f t="shared" si="780"/>
        <v>1.0000000000000231</v>
      </c>
      <c r="I356">
        <f t="shared" si="780"/>
        <v>1.0000000000000231</v>
      </c>
      <c r="J356">
        <f t="shared" si="780"/>
        <v>0</v>
      </c>
      <c r="K356">
        <f t="shared" si="780"/>
        <v>-2.0000000000000018</v>
      </c>
      <c r="L356">
        <f t="shared" si="780"/>
        <v>-3.0000000000000249</v>
      </c>
      <c r="M356">
        <f t="shared" si="780"/>
        <v>-3.0000000000000249</v>
      </c>
      <c r="N356">
        <f t="shared" si="780"/>
        <v>-4.0000000000000036</v>
      </c>
      <c r="O356" s="5">
        <f t="shared" si="778"/>
        <v>1.4701930034966343E-3</v>
      </c>
      <c r="P356" s="5">
        <f t="shared" si="778"/>
        <v>-7.8227256812090449E-3</v>
      </c>
      <c r="Q356" s="5">
        <f t="shared" si="778"/>
        <v>1.3058884572072454E-3</v>
      </c>
      <c r="R356" s="5">
        <f t="shared" si="778"/>
        <v>1.3274925618652197E-3</v>
      </c>
      <c r="S356" s="5">
        <f t="shared" si="778"/>
        <v>1.8982097886621673E-4</v>
      </c>
      <c r="T356" s="5">
        <f t="shared" ref="T356:X356" si="781">LN(T905/T906)</f>
        <v>2.9590431965937978E-3</v>
      </c>
      <c r="U356" s="5">
        <f t="shared" si="781"/>
        <v>2.0275910506721336E-3</v>
      </c>
      <c r="V356" s="5">
        <f t="shared" si="781"/>
        <v>6.733581516721412E-3</v>
      </c>
      <c r="W356" s="5">
        <f t="shared" si="781"/>
        <v>3.298921214160715E-3</v>
      </c>
      <c r="X356" s="5">
        <f t="shared" si="781"/>
        <v>3.5741937484788221E-3</v>
      </c>
      <c r="Z356" s="4">
        <v>45575</v>
      </c>
      <c r="AA356">
        <f>B356*B$3</f>
        <v>4915.00000000007</v>
      </c>
      <c r="AB356">
        <f>C356*C$3</f>
        <v>0</v>
      </c>
      <c r="AC356">
        <f>D356*D$3</f>
        <v>0</v>
      </c>
      <c r="AD356">
        <f>E356*E$3</f>
        <v>0</v>
      </c>
      <c r="AE356">
        <f>F356*F$3</f>
        <v>-12427.999999999734</v>
      </c>
      <c r="AF356">
        <f>G356*G$3</f>
        <v>-31256.00000000072</v>
      </c>
      <c r="AG356">
        <f>H356*H$3</f>
        <v>-28216.000000000651</v>
      </c>
      <c r="AH356">
        <f>I356*I$3</f>
        <v>-18456.000000000426</v>
      </c>
      <c r="AI356">
        <f>J356*J$3</f>
        <v>0</v>
      </c>
      <c r="AJ356">
        <f>K356*K$3</f>
        <v>156790.00000000015</v>
      </c>
      <c r="AK356">
        <f>L356*L$3</f>
        <v>-93012.000000000771</v>
      </c>
      <c r="AL356">
        <f>M356*M$3</f>
        <v>-96219.0000000008</v>
      </c>
      <c r="AM356">
        <f>N356*N$3</f>
        <v>0</v>
      </c>
      <c r="AN356">
        <f>O356*O$3</f>
        <v>0</v>
      </c>
      <c r="AO356">
        <f>P356*P$3</f>
        <v>39113.628406045224</v>
      </c>
      <c r="AP356">
        <f>Q356*Q$3</f>
        <v>15670.661486486944</v>
      </c>
      <c r="AQ356">
        <f>R356*R$3</f>
        <v>-19912.388427978294</v>
      </c>
      <c r="AR356" s="1">
        <f>S356*S$3</f>
        <v>-1328.7468520635171</v>
      </c>
      <c r="AS356" s="1">
        <f t="shared" si="749"/>
        <v>11836.172786375191</v>
      </c>
      <c r="AT356" s="1">
        <f t="shared" si="749"/>
        <v>16220.728405377069</v>
      </c>
      <c r="AU356" s="1">
        <f t="shared" si="749"/>
        <v>0</v>
      </c>
      <c r="AV356" s="1">
        <f t="shared" si="749"/>
        <v>0</v>
      </c>
      <c r="AW356" s="1">
        <f t="shared" si="749"/>
        <v>0</v>
      </c>
      <c r="AX356" s="1">
        <f t="shared" si="715"/>
        <v>-56281.944195760254</v>
      </c>
      <c r="AY356" s="1">
        <f t="shared" si="716"/>
        <v>61600.055804242613</v>
      </c>
      <c r="AZ356" s="1">
        <f t="shared" si="717"/>
        <v>-117882.00000000287</v>
      </c>
    </row>
    <row r="357" spans="1:52" x14ac:dyDescent="0.25">
      <c r="A357" s="4">
        <v>45574</v>
      </c>
      <c r="B357">
        <f t="shared" ref="B357:N357" si="782">(B907-B906)*100</f>
        <v>3.0000000000000249</v>
      </c>
      <c r="C357">
        <f t="shared" si="782"/>
        <v>0.99999999999997868</v>
      </c>
      <c r="D357">
        <f t="shared" si="782"/>
        <v>0</v>
      </c>
      <c r="E357">
        <f t="shared" si="782"/>
        <v>0</v>
      </c>
      <c r="F357">
        <f t="shared" si="782"/>
        <v>-1.9999999999999574</v>
      </c>
      <c r="G357">
        <f t="shared" si="782"/>
        <v>-3.0000000000000249</v>
      </c>
      <c r="H357">
        <f t="shared" si="782"/>
        <v>-1.0000000000000231</v>
      </c>
      <c r="I357">
        <f t="shared" si="782"/>
        <v>-3.0000000000000249</v>
      </c>
      <c r="J357">
        <f t="shared" si="782"/>
        <v>-5.0000000000000266</v>
      </c>
      <c r="K357">
        <f t="shared" si="782"/>
        <v>-3.0000000000000249</v>
      </c>
      <c r="L357">
        <f t="shared" si="782"/>
        <v>-1.9999999999999574</v>
      </c>
      <c r="M357">
        <f t="shared" si="782"/>
        <v>-3.0000000000000249</v>
      </c>
      <c r="N357">
        <f t="shared" si="782"/>
        <v>-1.9999999999999574</v>
      </c>
      <c r="O357" s="5">
        <f t="shared" si="778"/>
        <v>9.7361219103636772E-3</v>
      </c>
      <c r="P357" s="5">
        <f t="shared" si="778"/>
        <v>2.0067346960745643E-3</v>
      </c>
      <c r="Q357" s="5">
        <f t="shared" si="778"/>
        <v>8.3464678824486885E-3</v>
      </c>
      <c r="R357" s="5">
        <f t="shared" si="778"/>
        <v>5.8619938712353003E-3</v>
      </c>
      <c r="S357" s="5">
        <f t="shared" si="778"/>
        <v>7.5553294092010883E-3</v>
      </c>
      <c r="T357" s="5">
        <f t="shared" ref="T357:X357" si="783">LN(T906/T907)</f>
        <v>0</v>
      </c>
      <c r="U357" s="5">
        <f t="shared" si="783"/>
        <v>-7.7227802712993528E-4</v>
      </c>
      <c r="V357" s="5">
        <f t="shared" si="783"/>
        <v>8.7750720444822105E-5</v>
      </c>
      <c r="W357" s="5">
        <f t="shared" si="783"/>
        <v>2.4306324325001024E-3</v>
      </c>
      <c r="X357" s="5">
        <f t="shared" si="783"/>
        <v>3.2944514871615029E-3</v>
      </c>
      <c r="Z357" s="4">
        <v>45574</v>
      </c>
      <c r="AA357">
        <f>B357*B$3</f>
        <v>-2949.0000000000246</v>
      </c>
      <c r="AB357">
        <f>C357*C$3</f>
        <v>-2583.999999999945</v>
      </c>
      <c r="AC357">
        <f>D357*D$3</f>
        <v>0</v>
      </c>
      <c r="AD357">
        <f>E357*E$3</f>
        <v>0</v>
      </c>
      <c r="AE357">
        <f>F357*F$3</f>
        <v>24855.999999999469</v>
      </c>
      <c r="AF357">
        <f>G357*G$3</f>
        <v>46884.000000000386</v>
      </c>
      <c r="AG357">
        <f>H357*H$3</f>
        <v>28216.000000000651</v>
      </c>
      <c r="AH357">
        <f>I357*I$3</f>
        <v>55368.000000000458</v>
      </c>
      <c r="AI357">
        <f>J357*J$3</f>
        <v>255257.50000000137</v>
      </c>
      <c r="AJ357">
        <f>K357*K$3</f>
        <v>235185.00000000195</v>
      </c>
      <c r="AK357">
        <f>L357*L$3</f>
        <v>-62007.999999998676</v>
      </c>
      <c r="AL357">
        <f>M357*M$3</f>
        <v>-96219.0000000008</v>
      </c>
      <c r="AM357">
        <f>N357*N$3</f>
        <v>0</v>
      </c>
      <c r="AN357">
        <f>O357*O$3</f>
        <v>0</v>
      </c>
      <c r="AO357">
        <f>P357*P$3</f>
        <v>-10033.673480372821</v>
      </c>
      <c r="AP357">
        <f>Q357*Q$3</f>
        <v>100157.61458938426</v>
      </c>
      <c r="AQ357">
        <f>R357*R$3</f>
        <v>-87929.908068529505</v>
      </c>
      <c r="AR357" s="1">
        <f>S357*S$3</f>
        <v>-52887.305864407615</v>
      </c>
      <c r="AS357" s="1">
        <f t="shared" ref="AS357:AW372" si="784">T357*T$3</f>
        <v>0</v>
      </c>
      <c r="AT357" s="1">
        <f t="shared" si="784"/>
        <v>-6178.224217039482</v>
      </c>
      <c r="AU357" s="1">
        <f t="shared" si="784"/>
        <v>0</v>
      </c>
      <c r="AV357" s="1">
        <f t="shared" si="784"/>
        <v>0</v>
      </c>
      <c r="AW357" s="1">
        <f t="shared" si="784"/>
        <v>0</v>
      </c>
      <c r="AX357" s="1">
        <f t="shared" si="715"/>
        <v>425135.00295903959</v>
      </c>
      <c r="AY357" s="1">
        <f t="shared" si="716"/>
        <v>-56871.497040965158</v>
      </c>
      <c r="AZ357" s="1">
        <f t="shared" si="717"/>
        <v>482006.50000000477</v>
      </c>
    </row>
    <row r="358" spans="1:52" x14ac:dyDescent="0.25">
      <c r="A358" s="4">
        <v>45573</v>
      </c>
      <c r="B358">
        <f t="shared" ref="B358:N358" si="785">(B908-B907)*100</f>
        <v>4.0000000000000036</v>
      </c>
      <c r="C358">
        <f t="shared" si="785"/>
        <v>2.0000000000000462</v>
      </c>
      <c r="D358">
        <f t="shared" si="785"/>
        <v>1.9999999999999574</v>
      </c>
      <c r="E358">
        <f t="shared" si="785"/>
        <v>1.9999999999999574</v>
      </c>
      <c r="F358">
        <f t="shared" si="785"/>
        <v>0.99999999999997868</v>
      </c>
      <c r="G358">
        <f t="shared" si="785"/>
        <v>3.0000000000000249</v>
      </c>
      <c r="H358">
        <f t="shared" si="785"/>
        <v>1.0000000000000231</v>
      </c>
      <c r="I358">
        <f t="shared" si="785"/>
        <v>3.0000000000000249</v>
      </c>
      <c r="J358">
        <f t="shared" si="785"/>
        <v>0</v>
      </c>
      <c r="K358">
        <f t="shared" si="785"/>
        <v>-2.0000000000000018</v>
      </c>
      <c r="L358">
        <f t="shared" si="785"/>
        <v>-0.99999999999997868</v>
      </c>
      <c r="M358">
        <f t="shared" si="785"/>
        <v>-0.99999999999997868</v>
      </c>
      <c r="N358">
        <f t="shared" si="785"/>
        <v>-2.0000000000000462</v>
      </c>
      <c r="O358" s="5">
        <f t="shared" si="778"/>
        <v>1.0399212249914412E-2</v>
      </c>
      <c r="P358" s="5">
        <f t="shared" si="778"/>
        <v>2.489782168881868E-3</v>
      </c>
      <c r="Q358" s="5">
        <f t="shared" si="778"/>
        <v>2.2923885471357601E-3</v>
      </c>
      <c r="R358" s="5">
        <f t="shared" si="778"/>
        <v>0</v>
      </c>
      <c r="S358" s="5">
        <f t="shared" si="778"/>
        <v>1.997496032667172E-3</v>
      </c>
      <c r="T358" s="5">
        <f t="shared" ref="T358:X358" si="786">LN(T907/T908)</f>
        <v>-1.0970371752312501E-4</v>
      </c>
      <c r="U358" s="5">
        <f t="shared" si="786"/>
        <v>3.092715214653445E-3</v>
      </c>
      <c r="V358" s="5">
        <f t="shared" si="786"/>
        <v>-4.5393235593918771E-3</v>
      </c>
      <c r="W358" s="5">
        <f t="shared" si="786"/>
        <v>6.5788475833634015E-3</v>
      </c>
      <c r="X358" s="5">
        <f t="shared" si="786"/>
        <v>-4.7978965887434579E-3</v>
      </c>
      <c r="Z358" s="4">
        <v>45573</v>
      </c>
      <c r="AA358">
        <f>B358*B$3</f>
        <v>-3932.0000000000036</v>
      </c>
      <c r="AB358">
        <f>C358*C$3</f>
        <v>-5168.0000000001191</v>
      </c>
      <c r="AC358">
        <f>D358*D$3</f>
        <v>32285.999999999312</v>
      </c>
      <c r="AD358">
        <f>E358*E$3</f>
        <v>4855.9999999998963</v>
      </c>
      <c r="AE358">
        <f>F358*F$3</f>
        <v>-12427.999999999734</v>
      </c>
      <c r="AF358">
        <f>G358*G$3</f>
        <v>-46884.000000000386</v>
      </c>
      <c r="AG358">
        <f>H358*H$3</f>
        <v>-28216.000000000651</v>
      </c>
      <c r="AH358">
        <f>I358*I$3</f>
        <v>-55368.000000000458</v>
      </c>
      <c r="AI358">
        <f>J358*J$3</f>
        <v>0</v>
      </c>
      <c r="AJ358">
        <f>K358*K$3</f>
        <v>156790.00000000015</v>
      </c>
      <c r="AK358">
        <f>L358*L$3</f>
        <v>-31003.999999999338</v>
      </c>
      <c r="AL358">
        <f>M358*M$3</f>
        <v>-32072.999999999316</v>
      </c>
      <c r="AM358">
        <f>N358*N$3</f>
        <v>0</v>
      </c>
      <c r="AN358">
        <f>O358*O$3</f>
        <v>0</v>
      </c>
      <c r="AO358">
        <f>P358*P$3</f>
        <v>-12448.91084440934</v>
      </c>
      <c r="AP358">
        <f>Q358*Q$3</f>
        <v>27508.662565629122</v>
      </c>
      <c r="AQ358">
        <f>R358*R$3</f>
        <v>0</v>
      </c>
      <c r="AR358" s="1">
        <f>S358*S$3</f>
        <v>-13982.472228670204</v>
      </c>
      <c r="AS358" s="1">
        <f t="shared" si="784"/>
        <v>-438.81487009250003</v>
      </c>
      <c r="AT358" s="1">
        <f t="shared" si="784"/>
        <v>24741.72171722756</v>
      </c>
      <c r="AU358" s="1">
        <f t="shared" si="784"/>
        <v>0</v>
      </c>
      <c r="AV358" s="1">
        <f t="shared" si="784"/>
        <v>0</v>
      </c>
      <c r="AW358" s="1">
        <f t="shared" si="784"/>
        <v>0</v>
      </c>
      <c r="AX358" s="1">
        <f t="shared" si="715"/>
        <v>4239.1863396839799</v>
      </c>
      <c r="AY358" s="1">
        <f t="shared" si="716"/>
        <v>25380.186339684638</v>
      </c>
      <c r="AZ358" s="1">
        <f t="shared" si="717"/>
        <v>-21141.000000000658</v>
      </c>
    </row>
    <row r="359" spans="1:52" x14ac:dyDescent="0.25">
      <c r="A359" s="4">
        <v>45572</v>
      </c>
      <c r="B359">
        <f t="shared" ref="B359:N359" si="787">(B909-B908)*100</f>
        <v>0.99999999999997868</v>
      </c>
      <c r="C359">
        <f t="shared" si="787"/>
        <v>0.99999999999997868</v>
      </c>
      <c r="D359">
        <f t="shared" si="787"/>
        <v>-3.9999999999999147</v>
      </c>
      <c r="E359">
        <f t="shared" si="787"/>
        <v>0.99999999999997868</v>
      </c>
      <c r="F359">
        <f t="shared" si="787"/>
        <v>0</v>
      </c>
      <c r="G359">
        <f t="shared" si="787"/>
        <v>-4.0000000000000036</v>
      </c>
      <c r="H359">
        <f t="shared" si="787"/>
        <v>-6.0000000000000053</v>
      </c>
      <c r="I359">
        <f t="shared" si="787"/>
        <v>-5.0000000000000266</v>
      </c>
      <c r="J359">
        <f t="shared" si="787"/>
        <v>-4.9999999999999822</v>
      </c>
      <c r="K359">
        <f t="shared" si="787"/>
        <v>-4.0000000000000036</v>
      </c>
      <c r="L359">
        <f t="shared" si="787"/>
        <v>-5.0000000000000266</v>
      </c>
      <c r="M359">
        <f t="shared" si="787"/>
        <v>-4.0000000000000036</v>
      </c>
      <c r="N359">
        <f t="shared" si="787"/>
        <v>-4.0000000000000036</v>
      </c>
      <c r="O359" s="5">
        <f t="shared" si="778"/>
        <v>-1.0978355447316087E-3</v>
      </c>
      <c r="P359" s="5">
        <f t="shared" si="778"/>
        <v>1.1114670672861761E-2</v>
      </c>
      <c r="Q359" s="5">
        <f t="shared" si="778"/>
        <v>4.6114782545971572E-3</v>
      </c>
      <c r="R359" s="5">
        <f t="shared" si="778"/>
        <v>2.9439336128770049E-3</v>
      </c>
      <c r="S359" s="5">
        <f t="shared" si="778"/>
        <v>2.3960430096220757E-3</v>
      </c>
      <c r="T359" s="5">
        <f t="shared" ref="T359:X359" si="788">LN(T908/T909)</f>
        <v>5.5464391100821346E-3</v>
      </c>
      <c r="U359" s="5">
        <f t="shared" si="788"/>
        <v>3.8075408019129183E-4</v>
      </c>
      <c r="V359" s="5">
        <f t="shared" si="788"/>
        <v>1.339403749521887E-2</v>
      </c>
      <c r="W359" s="5">
        <f t="shared" si="788"/>
        <v>7.2827630190092762E-3</v>
      </c>
      <c r="X359" s="5">
        <f t="shared" si="788"/>
        <v>8.0445273693060954E-3</v>
      </c>
      <c r="Z359" s="4">
        <v>45572</v>
      </c>
      <c r="AA359">
        <f>B359*B$3</f>
        <v>-982.99999999997908</v>
      </c>
      <c r="AB359">
        <f>C359*C$3</f>
        <v>-2583.999999999945</v>
      </c>
      <c r="AC359">
        <f>D359*D$3</f>
        <v>-64571.999999998625</v>
      </c>
      <c r="AD359">
        <f>E359*E$3</f>
        <v>2427.9999999999482</v>
      </c>
      <c r="AE359">
        <f>F359*F$3</f>
        <v>0</v>
      </c>
      <c r="AF359">
        <f>G359*G$3</f>
        <v>62512.000000000058</v>
      </c>
      <c r="AG359">
        <f>H359*H$3</f>
        <v>169296.00000000015</v>
      </c>
      <c r="AH359">
        <f>I359*I$3</f>
        <v>92280.000000000495</v>
      </c>
      <c r="AI359">
        <f>J359*J$3</f>
        <v>255257.4999999991</v>
      </c>
      <c r="AJ359">
        <f>K359*K$3</f>
        <v>313580.00000000029</v>
      </c>
      <c r="AK359">
        <f>L359*L$3</f>
        <v>-155020.00000000081</v>
      </c>
      <c r="AL359">
        <f>M359*M$3</f>
        <v>-128292.00000000012</v>
      </c>
      <c r="AM359">
        <f>N359*N$3</f>
        <v>0</v>
      </c>
      <c r="AN359">
        <f>O359*O$3</f>
        <v>0</v>
      </c>
      <c r="AO359">
        <f>P359*P$3</f>
        <v>-55573.353364308809</v>
      </c>
      <c r="AP359">
        <f>Q359*Q$3</f>
        <v>55337.739055165883</v>
      </c>
      <c r="AQ359">
        <f>R359*R$3</f>
        <v>-44159.004193155073</v>
      </c>
      <c r="AR359" s="1">
        <f>S359*S$3</f>
        <v>-16772.301067354529</v>
      </c>
      <c r="AS359" s="1">
        <f t="shared" si="784"/>
        <v>22185.75644032854</v>
      </c>
      <c r="AT359" s="1">
        <f t="shared" si="784"/>
        <v>3046.0326415303348</v>
      </c>
      <c r="AU359" s="1">
        <f t="shared" si="784"/>
        <v>0</v>
      </c>
      <c r="AV359" s="1">
        <f t="shared" si="784"/>
        <v>0</v>
      </c>
      <c r="AW359" s="1">
        <f t="shared" si="784"/>
        <v>0</v>
      </c>
      <c r="AX359" s="1">
        <f t="shared" si="715"/>
        <v>507967.36951220682</v>
      </c>
      <c r="AY359" s="1">
        <f t="shared" si="716"/>
        <v>-35935.130487793656</v>
      </c>
      <c r="AZ359" s="1">
        <f t="shared" si="717"/>
        <v>543902.50000000047</v>
      </c>
    </row>
    <row r="360" spans="1:52" x14ac:dyDescent="0.25">
      <c r="A360" s="4">
        <v>45569</v>
      </c>
      <c r="B360">
        <f t="shared" ref="B360:N360" si="789">(B910-B909)*100</f>
        <v>-1.9999999999999574</v>
      </c>
      <c r="C360">
        <f t="shared" si="789"/>
        <v>-3.0000000000000249</v>
      </c>
      <c r="D360">
        <f t="shared" si="789"/>
        <v>-5.0000000000000711</v>
      </c>
      <c r="E360">
        <f t="shared" si="789"/>
        <v>-6.9999999999999396</v>
      </c>
      <c r="F360">
        <f t="shared" si="789"/>
        <v>-8.0000000000000071</v>
      </c>
      <c r="G360">
        <f t="shared" si="789"/>
        <v>-18.00000000000006</v>
      </c>
      <c r="H360">
        <f t="shared" si="789"/>
        <v>-23</v>
      </c>
      <c r="I360">
        <f t="shared" si="789"/>
        <v>-21.999999999999975</v>
      </c>
      <c r="J360">
        <f t="shared" si="789"/>
        <v>-18.999999999999993</v>
      </c>
      <c r="K360">
        <f t="shared" si="789"/>
        <v>-16.999999999999993</v>
      </c>
      <c r="L360">
        <f t="shared" si="789"/>
        <v>-12.999999999999989</v>
      </c>
      <c r="M360">
        <f t="shared" si="789"/>
        <v>-8.9999999999999858</v>
      </c>
      <c r="N360">
        <f t="shared" si="789"/>
        <v>-8.0000000000000071</v>
      </c>
      <c r="O360" s="5">
        <f t="shared" si="778"/>
        <v>-2.9946155858459628E-3</v>
      </c>
      <c r="P360" s="5">
        <f t="shared" si="778"/>
        <v>-4.4511524420908768E-3</v>
      </c>
      <c r="Q360" s="5">
        <f t="shared" si="778"/>
        <v>1.2321518019417072E-2</v>
      </c>
      <c r="R360" s="5">
        <f t="shared" si="778"/>
        <v>1.0726737418993283E-3</v>
      </c>
      <c r="S360" s="5">
        <f t="shared" si="778"/>
        <v>-5.5663718259097855E-3</v>
      </c>
      <c r="T360" s="5">
        <f t="shared" ref="T360:X360" si="790">LN(T909/T910)</f>
        <v>1.1704967526169193E-3</v>
      </c>
      <c r="U360" s="5">
        <f t="shared" si="790"/>
        <v>1.0294415304146208E-2</v>
      </c>
      <c r="V360" s="5">
        <f t="shared" si="790"/>
        <v>1.7585298616398187E-3</v>
      </c>
      <c r="W360" s="5">
        <f t="shared" si="790"/>
        <v>5.3575493460561703E-3</v>
      </c>
      <c r="X360" s="5">
        <f t="shared" si="790"/>
        <v>2.2329859754775024E-3</v>
      </c>
      <c r="Z360" s="4">
        <v>45569</v>
      </c>
      <c r="AA360">
        <f>B360*B$3</f>
        <v>1965.9999999999582</v>
      </c>
      <c r="AB360">
        <f>C360*C$3</f>
        <v>7752.0000000000646</v>
      </c>
      <c r="AC360">
        <f>D360*D$3</f>
        <v>-80715.00000000115</v>
      </c>
      <c r="AD360">
        <f>E360*E$3</f>
        <v>-16995.999999999854</v>
      </c>
      <c r="AE360">
        <f>F360*F$3</f>
        <v>99424.000000000087</v>
      </c>
      <c r="AF360">
        <f>G360*G$3</f>
        <v>281304.00000000093</v>
      </c>
      <c r="AG360">
        <f>H360*H$3</f>
        <v>648968</v>
      </c>
      <c r="AH360">
        <f>I360*I$3</f>
        <v>406031.99999999953</v>
      </c>
      <c r="AI360">
        <f>J360*J$3</f>
        <v>969978.49999999965</v>
      </c>
      <c r="AJ360">
        <f>K360*K$3</f>
        <v>1332714.9999999995</v>
      </c>
      <c r="AK360">
        <f>L360*L$3</f>
        <v>-403051.99999999965</v>
      </c>
      <c r="AL360">
        <f>M360*M$3</f>
        <v>-288656.99999999953</v>
      </c>
      <c r="AM360">
        <f>N360*N$3</f>
        <v>0</v>
      </c>
      <c r="AN360">
        <f>O360*O$3</f>
        <v>0</v>
      </c>
      <c r="AO360">
        <f>P360*P$3</f>
        <v>22255.762210454384</v>
      </c>
      <c r="AP360">
        <f>Q360*Q$3</f>
        <v>147858.21623300487</v>
      </c>
      <c r="AQ360">
        <f>R360*R$3</f>
        <v>-16090.106128489924</v>
      </c>
      <c r="AR360" s="1">
        <f>S360*S$3</f>
        <v>38964.6027813685</v>
      </c>
      <c r="AS360" s="1">
        <f t="shared" si="784"/>
        <v>4681.9870104676775</v>
      </c>
      <c r="AT360" s="1">
        <f t="shared" si="784"/>
        <v>82355.322433169655</v>
      </c>
      <c r="AU360" s="1">
        <f t="shared" si="784"/>
        <v>0</v>
      </c>
      <c r="AV360" s="1">
        <f t="shared" si="784"/>
        <v>0</v>
      </c>
      <c r="AW360" s="1">
        <f t="shared" si="784"/>
        <v>0</v>
      </c>
      <c r="AX360" s="1">
        <f t="shared" si="715"/>
        <v>3238745.2845399743</v>
      </c>
      <c r="AY360" s="1">
        <f t="shared" si="716"/>
        <v>280025.78453997517</v>
      </c>
      <c r="AZ360" s="1">
        <f t="shared" si="717"/>
        <v>2958719.4999999991</v>
      </c>
    </row>
    <row r="361" spans="1:52" x14ac:dyDescent="0.25">
      <c r="A361" s="4">
        <v>45568</v>
      </c>
      <c r="B361">
        <f t="shared" ref="B361:N361" si="791">(B911-B910)*100</f>
        <v>-7.0000000000000284</v>
      </c>
      <c r="C361">
        <f t="shared" si="791"/>
        <v>-1.9999999999999574</v>
      </c>
      <c r="D361">
        <f t="shared" si="791"/>
        <v>1.0000000000000675</v>
      </c>
      <c r="E361">
        <f t="shared" si="791"/>
        <v>0</v>
      </c>
      <c r="F361">
        <f t="shared" si="791"/>
        <v>-0.99999999999997868</v>
      </c>
      <c r="G361">
        <f t="shared" si="791"/>
        <v>-4.9999999999999378</v>
      </c>
      <c r="H361">
        <f t="shared" si="791"/>
        <v>-7.0000000000000284</v>
      </c>
      <c r="I361">
        <f t="shared" si="791"/>
        <v>-8.0000000000000071</v>
      </c>
      <c r="J361">
        <f t="shared" si="791"/>
        <v>-7.0000000000000284</v>
      </c>
      <c r="K361">
        <f t="shared" si="791"/>
        <v>-6.0000000000000053</v>
      </c>
      <c r="L361">
        <f t="shared" si="791"/>
        <v>-6.0000000000000053</v>
      </c>
      <c r="M361">
        <f t="shared" si="791"/>
        <v>-4.9999999999999822</v>
      </c>
      <c r="N361">
        <f t="shared" si="791"/>
        <v>-4.0000000000000036</v>
      </c>
      <c r="O361" s="5">
        <f t="shared" si="778"/>
        <v>9.986431929622154E-3</v>
      </c>
      <c r="P361" s="5">
        <f t="shared" si="778"/>
        <v>7.7632800769802609E-4</v>
      </c>
      <c r="Q361" s="5">
        <f t="shared" si="778"/>
        <v>7.8481191608884074E-3</v>
      </c>
      <c r="R361" s="5">
        <f t="shared" si="778"/>
        <v>4.0328055731670299E-3</v>
      </c>
      <c r="S361" s="5">
        <f t="shared" si="778"/>
        <v>-2.5784906402160183E-3</v>
      </c>
      <c r="T361" s="5">
        <f t="shared" ref="T361:X361" si="792">LN(T910/T911)</f>
        <v>1.3930498135300716E-3</v>
      </c>
      <c r="U361" s="5">
        <f t="shared" si="792"/>
        <v>5.9712083894662357E-4</v>
      </c>
      <c r="V361" s="5">
        <f t="shared" si="792"/>
        <v>1.9606772851855046E-2</v>
      </c>
      <c r="W361" s="5">
        <f t="shared" si="792"/>
        <v>-1.0324995804082083E-3</v>
      </c>
      <c r="X361" s="5">
        <f t="shared" si="792"/>
        <v>4.2093151656814893E-3</v>
      </c>
      <c r="Z361" s="4">
        <v>45568</v>
      </c>
      <c r="AA361">
        <f>B361*B$3</f>
        <v>6881.0000000000282</v>
      </c>
      <c r="AB361">
        <f>C361*C$3</f>
        <v>5167.99999999989</v>
      </c>
      <c r="AC361">
        <f>D361*D$3</f>
        <v>16143.00000000109</v>
      </c>
      <c r="AD361">
        <f>E361*E$3</f>
        <v>0</v>
      </c>
      <c r="AE361">
        <f>F361*F$3</f>
        <v>12427.999999999734</v>
      </c>
      <c r="AF361">
        <f>G361*G$3</f>
        <v>78139.999999999025</v>
      </c>
      <c r="AG361">
        <f>H361*H$3</f>
        <v>197512.00000000081</v>
      </c>
      <c r="AH361">
        <f>I361*I$3</f>
        <v>147648.00000000015</v>
      </c>
      <c r="AI361">
        <f>J361*J$3</f>
        <v>357360.50000000146</v>
      </c>
      <c r="AJ361">
        <f>K361*K$3</f>
        <v>470370.00000000041</v>
      </c>
      <c r="AK361">
        <f>L361*L$3</f>
        <v>-186024.00000000017</v>
      </c>
      <c r="AL361">
        <f>M361*M$3</f>
        <v>-160364.99999999942</v>
      </c>
      <c r="AM361">
        <f>N361*N$3</f>
        <v>0</v>
      </c>
      <c r="AN361">
        <f>O361*O$3</f>
        <v>0</v>
      </c>
      <c r="AO361">
        <f>P361*P$3</f>
        <v>-3881.6400384901303</v>
      </c>
      <c r="AP361">
        <f>Q361*Q$3</f>
        <v>94177.429930660888</v>
      </c>
      <c r="AQ361">
        <f>R361*R$3</f>
        <v>-60492.083597505451</v>
      </c>
      <c r="AR361" s="1">
        <f>S361*S$3</f>
        <v>18049.434481512129</v>
      </c>
      <c r="AS361" s="1">
        <f t="shared" si="784"/>
        <v>5572.1992541202862</v>
      </c>
      <c r="AT361" s="1">
        <f t="shared" si="784"/>
        <v>4776.966711572989</v>
      </c>
      <c r="AU361" s="1">
        <f t="shared" si="784"/>
        <v>0</v>
      </c>
      <c r="AV361" s="1">
        <f t="shared" si="784"/>
        <v>0</v>
      </c>
      <c r="AW361" s="1">
        <f t="shared" si="784"/>
        <v>0</v>
      </c>
      <c r="AX361" s="1">
        <f t="shared" si="715"/>
        <v>1003463.8067418735</v>
      </c>
      <c r="AY361" s="1">
        <f t="shared" si="716"/>
        <v>58202.306741870707</v>
      </c>
      <c r="AZ361" s="1">
        <f t="shared" si="717"/>
        <v>945261.50000000279</v>
      </c>
    </row>
    <row r="362" spans="1:52" x14ac:dyDescent="0.25">
      <c r="A362" s="4">
        <v>45567</v>
      </c>
      <c r="B362">
        <f t="shared" ref="B362:N362" si="793">(B912-B911)*100</f>
        <v>4.0000000000000036</v>
      </c>
      <c r="C362">
        <f t="shared" si="793"/>
        <v>4.0000000000000036</v>
      </c>
      <c r="D362">
        <f t="shared" si="793"/>
        <v>1.9999999999999574</v>
      </c>
      <c r="E362">
        <f t="shared" si="793"/>
        <v>1.9999999999999574</v>
      </c>
      <c r="F362">
        <f t="shared" si="793"/>
        <v>0</v>
      </c>
      <c r="G362">
        <f t="shared" si="793"/>
        <v>-1.0000000000000231</v>
      </c>
      <c r="H362">
        <f t="shared" si="793"/>
        <v>-2.0000000000000018</v>
      </c>
      <c r="I362">
        <f t="shared" si="793"/>
        <v>-2.0000000000000018</v>
      </c>
      <c r="J362">
        <f t="shared" si="793"/>
        <v>-4.0000000000000036</v>
      </c>
      <c r="K362">
        <f t="shared" si="793"/>
        <v>-4.9999999999999822</v>
      </c>
      <c r="L362">
        <f t="shared" si="793"/>
        <v>-4.9999999999999822</v>
      </c>
      <c r="M362">
        <f t="shared" si="793"/>
        <v>-5.0000000000000711</v>
      </c>
      <c r="N362">
        <f t="shared" si="793"/>
        <v>-5.9999999999999609</v>
      </c>
      <c r="O362" s="5">
        <f t="shared" si="778"/>
        <v>-3.9698636955826242E-3</v>
      </c>
      <c r="P362" s="5">
        <f t="shared" si="778"/>
        <v>-9.0632905476988063E-3</v>
      </c>
      <c r="Q362" s="5">
        <f t="shared" si="778"/>
        <v>3.8358739725192674E-3</v>
      </c>
      <c r="R362" s="5">
        <f t="shared" si="778"/>
        <v>-1.6150743752981205E-3</v>
      </c>
      <c r="S362" s="5">
        <f t="shared" si="778"/>
        <v>-1.4647913036105948E-2</v>
      </c>
      <c r="T362" s="5">
        <f t="shared" ref="T362:X362" si="794">LN(T911/T912)</f>
        <v>6.5491892716026071E-3</v>
      </c>
      <c r="U362" s="5">
        <f t="shared" si="794"/>
        <v>7.6618553971410184E-3</v>
      </c>
      <c r="V362" s="5">
        <f t="shared" si="794"/>
        <v>1.8080417136475218E-4</v>
      </c>
      <c r="W362" s="5">
        <f t="shared" si="794"/>
        <v>5.1913442988086806E-3</v>
      </c>
      <c r="X362" s="5">
        <f t="shared" si="794"/>
        <v>1.2177791030746664E-3</v>
      </c>
      <c r="Z362" s="4">
        <v>45567</v>
      </c>
      <c r="AA362">
        <f>B362*B$3</f>
        <v>-3932.0000000000036</v>
      </c>
      <c r="AB362">
        <f>C362*C$3</f>
        <v>-10336.000000000009</v>
      </c>
      <c r="AC362">
        <f>D362*D$3</f>
        <v>32285.999999999312</v>
      </c>
      <c r="AD362">
        <f>E362*E$3</f>
        <v>4855.9999999998963</v>
      </c>
      <c r="AE362">
        <f>F362*F$3</f>
        <v>0</v>
      </c>
      <c r="AF362">
        <f>G362*G$3</f>
        <v>15628.00000000036</v>
      </c>
      <c r="AG362">
        <f>H362*H$3</f>
        <v>56432.000000000051</v>
      </c>
      <c r="AH362">
        <f>I362*I$3</f>
        <v>36912.000000000036</v>
      </c>
      <c r="AI362">
        <f>J362*J$3</f>
        <v>204206.00000000017</v>
      </c>
      <c r="AJ362">
        <f>K362*K$3</f>
        <v>391974.9999999986</v>
      </c>
      <c r="AK362">
        <f>L362*L$3</f>
        <v>-155019.99999999945</v>
      </c>
      <c r="AL362">
        <f>M362*M$3</f>
        <v>-160365.00000000227</v>
      </c>
      <c r="AM362">
        <f>N362*N$3</f>
        <v>0</v>
      </c>
      <c r="AN362">
        <f>O362*O$3</f>
        <v>0</v>
      </c>
      <c r="AO362">
        <f>P362*P$3</f>
        <v>45316.45273849403</v>
      </c>
      <c r="AP362">
        <f>Q362*Q$3</f>
        <v>46030.48767023121</v>
      </c>
      <c r="AQ362">
        <f>R362*R$3</f>
        <v>24226.115629471806</v>
      </c>
      <c r="AR362" s="1">
        <f>S362*S$3</f>
        <v>102535.39125274164</v>
      </c>
      <c r="AS362" s="1">
        <f t="shared" si="784"/>
        <v>26196.757086410427</v>
      </c>
      <c r="AT362" s="1">
        <f t="shared" si="784"/>
        <v>61294.843177128147</v>
      </c>
      <c r="AU362" s="1">
        <f t="shared" si="784"/>
        <v>0</v>
      </c>
      <c r="AV362" s="1">
        <f t="shared" si="784"/>
        <v>0</v>
      </c>
      <c r="AW362" s="1">
        <f t="shared" si="784"/>
        <v>0</v>
      </c>
      <c r="AX362" s="1">
        <f t="shared" si="715"/>
        <v>718242.04755447397</v>
      </c>
      <c r="AY362" s="1">
        <f t="shared" si="716"/>
        <v>305600.04755447723</v>
      </c>
      <c r="AZ362" s="1">
        <f t="shared" si="717"/>
        <v>412641.99999999674</v>
      </c>
    </row>
    <row r="363" spans="1:52" x14ac:dyDescent="0.25">
      <c r="A363" s="4">
        <v>45566</v>
      </c>
      <c r="B363">
        <f t="shared" ref="B363:N363" si="795">(B913-B912)*100</f>
        <v>-3.0000000000000249</v>
      </c>
      <c r="C363">
        <f t="shared" si="795"/>
        <v>0</v>
      </c>
      <c r="D363">
        <f t="shared" si="795"/>
        <v>2.0000000000000462</v>
      </c>
      <c r="E363">
        <f t="shared" si="795"/>
        <v>2.0000000000000462</v>
      </c>
      <c r="F363">
        <f t="shared" si="795"/>
        <v>1.9999999999999574</v>
      </c>
      <c r="G363">
        <f t="shared" si="795"/>
        <v>2.0000000000000018</v>
      </c>
      <c r="H363">
        <f t="shared" si="795"/>
        <v>5.0000000000000266</v>
      </c>
      <c r="I363">
        <f t="shared" si="795"/>
        <v>6.0000000000000053</v>
      </c>
      <c r="J363">
        <f t="shared" si="795"/>
        <v>7.0000000000000284</v>
      </c>
      <c r="K363">
        <f t="shared" si="795"/>
        <v>6.999999999999984</v>
      </c>
      <c r="L363">
        <f t="shared" si="795"/>
        <v>6.999999999999984</v>
      </c>
      <c r="M363">
        <f t="shared" si="795"/>
        <v>5.0000000000000711</v>
      </c>
      <c r="N363">
        <f t="shared" si="795"/>
        <v>5.9999999999999609</v>
      </c>
      <c r="O363" s="5">
        <f t="shared" si="778"/>
        <v>-3.6753418722857006E-2</v>
      </c>
      <c r="P363" s="5">
        <f t="shared" si="778"/>
        <v>1.0201401358985455E-2</v>
      </c>
      <c r="Q363" s="5">
        <f t="shared" si="778"/>
        <v>-2.170812382759604E-2</v>
      </c>
      <c r="R363" s="5">
        <f t="shared" si="778"/>
        <v>-8.3032484545227624E-3</v>
      </c>
      <c r="S363" s="5">
        <f t="shared" si="778"/>
        <v>0</v>
      </c>
      <c r="T363" s="5">
        <f t="shared" ref="T363:X363" si="796">LN(T912/T913)</f>
        <v>2.9778807029172032E-3</v>
      </c>
      <c r="U363" s="5">
        <f t="shared" si="796"/>
        <v>5.3520578522858698E-4</v>
      </c>
      <c r="V363" s="5">
        <f t="shared" si="796"/>
        <v>6.4713982621117539E-3</v>
      </c>
      <c r="W363" s="5">
        <f t="shared" si="796"/>
        <v>4.3161335352076005E-4</v>
      </c>
      <c r="X363" s="5">
        <f t="shared" si="796"/>
        <v>5.7064423184303679E-3</v>
      </c>
      <c r="Z363" s="4">
        <v>45566</v>
      </c>
      <c r="AA363">
        <f>B363*B$3</f>
        <v>2949.0000000000246</v>
      </c>
      <c r="AB363">
        <f>C363*C$3</f>
        <v>0</v>
      </c>
      <c r="AC363">
        <f>D363*D$3</f>
        <v>32286.000000000746</v>
      </c>
      <c r="AD363">
        <f>E363*E$3</f>
        <v>4856.0000000001119</v>
      </c>
      <c r="AE363">
        <f>F363*F$3</f>
        <v>-24855.999999999469</v>
      </c>
      <c r="AF363">
        <f>G363*G$3</f>
        <v>-31256.000000000029</v>
      </c>
      <c r="AG363">
        <f>H363*H$3</f>
        <v>-141080.00000000076</v>
      </c>
      <c r="AH363">
        <f>I363*I$3</f>
        <v>-110736.0000000001</v>
      </c>
      <c r="AI363">
        <f>J363*J$3</f>
        <v>-357360.50000000146</v>
      </c>
      <c r="AJ363">
        <f>K363*K$3</f>
        <v>-548764.99999999872</v>
      </c>
      <c r="AK363">
        <f>L363*L$3</f>
        <v>217027.99999999951</v>
      </c>
      <c r="AL363">
        <f>M363*M$3</f>
        <v>160365.00000000227</v>
      </c>
      <c r="AM363">
        <f>N363*N$3</f>
        <v>0</v>
      </c>
      <c r="AN363">
        <f>O363*O$3</f>
        <v>0</v>
      </c>
      <c r="AO363">
        <f>P363*P$3</f>
        <v>-51007.006794927271</v>
      </c>
      <c r="AP363">
        <f>Q363*Q$3</f>
        <v>-260497.48593115248</v>
      </c>
      <c r="AQ363">
        <f>R363*R$3</f>
        <v>124548.72681784144</v>
      </c>
      <c r="AR363" s="1">
        <f>S363*S$3</f>
        <v>0</v>
      </c>
      <c r="AS363" s="1">
        <f t="shared" si="784"/>
        <v>11911.522811668812</v>
      </c>
      <c r="AT363" s="1">
        <f t="shared" si="784"/>
        <v>4281.6462818286955</v>
      </c>
      <c r="AU363" s="1">
        <f t="shared" si="784"/>
        <v>0</v>
      </c>
      <c r="AV363" s="1">
        <f t="shared" si="784"/>
        <v>0</v>
      </c>
      <c r="AW363" s="1">
        <f t="shared" si="784"/>
        <v>0</v>
      </c>
      <c r="AX363" s="1">
        <f t="shared" si="715"/>
        <v>-967332.09681473847</v>
      </c>
      <c r="AY363" s="1">
        <f t="shared" si="716"/>
        <v>-170762.59681474083</v>
      </c>
      <c r="AZ363" s="1">
        <f t="shared" si="717"/>
        <v>-796569.49999999767</v>
      </c>
    </row>
    <row r="364" spans="1:52" x14ac:dyDescent="0.25">
      <c r="A364" s="4">
        <v>45565</v>
      </c>
      <c r="B364">
        <f t="shared" ref="B364:N364" si="797">(B914-B913)*100</f>
        <v>-2.9999999999999361</v>
      </c>
      <c r="C364">
        <f t="shared" si="797"/>
        <v>0</v>
      </c>
      <c r="D364">
        <f t="shared" si="797"/>
        <v>-5.0000000000000711</v>
      </c>
      <c r="E364">
        <f t="shared" si="797"/>
        <v>-1.0000000000000675</v>
      </c>
      <c r="F364">
        <f t="shared" si="797"/>
        <v>-3.0000000000000249</v>
      </c>
      <c r="G364">
        <f t="shared" si="797"/>
        <v>-8.0000000000000071</v>
      </c>
      <c r="H364">
        <f t="shared" si="797"/>
        <v>-11.000000000000032</v>
      </c>
      <c r="I364">
        <f t="shared" si="797"/>
        <v>-8.9999999999999858</v>
      </c>
      <c r="J364">
        <f t="shared" si="797"/>
        <v>-8.0000000000000071</v>
      </c>
      <c r="K364">
        <f t="shared" si="797"/>
        <v>-6.999999999999984</v>
      </c>
      <c r="L364">
        <f t="shared" si="797"/>
        <v>-6.0000000000000053</v>
      </c>
      <c r="M364">
        <f t="shared" si="797"/>
        <v>-4.0000000000000036</v>
      </c>
      <c r="N364">
        <f t="shared" si="797"/>
        <v>-4.0000000000000036</v>
      </c>
      <c r="O364" s="5">
        <f t="shared" si="778"/>
        <v>0</v>
      </c>
      <c r="P364" s="5">
        <f t="shared" si="778"/>
        <v>0</v>
      </c>
      <c r="Q364" s="5">
        <f t="shared" si="778"/>
        <v>0</v>
      </c>
      <c r="R364" s="5">
        <f t="shared" si="778"/>
        <v>0</v>
      </c>
      <c r="S364" s="5">
        <f t="shared" si="778"/>
        <v>0</v>
      </c>
      <c r="T364" s="5">
        <f t="shared" ref="T364:X364" si="798">LN(T913/T914)</f>
        <v>6.5912667145393543E-4</v>
      </c>
      <c r="U364" s="5">
        <f t="shared" si="798"/>
        <v>2.2776775126188676E-3</v>
      </c>
      <c r="V364" s="5">
        <f t="shared" si="798"/>
        <v>-1.593174226406071E-2</v>
      </c>
      <c r="W364" s="5">
        <f t="shared" si="798"/>
        <v>-3.7629942556569166E-3</v>
      </c>
      <c r="X364" s="5">
        <f t="shared" si="798"/>
        <v>-6.8060390077267175E-3</v>
      </c>
      <c r="Z364" s="4">
        <v>45565</v>
      </c>
      <c r="AA364">
        <f>B364*B$3</f>
        <v>2948.9999999999372</v>
      </c>
      <c r="AB364">
        <f>C364*C$3</f>
        <v>0</v>
      </c>
      <c r="AC364">
        <f>D364*D$3</f>
        <v>-80715.00000000115</v>
      </c>
      <c r="AD364">
        <f>E364*E$3</f>
        <v>-2428.0000000001637</v>
      </c>
      <c r="AE364">
        <f>F364*F$3</f>
        <v>37284.000000000306</v>
      </c>
      <c r="AF364">
        <f>G364*G$3</f>
        <v>125024.00000000012</v>
      </c>
      <c r="AG364">
        <f>H364*H$3</f>
        <v>310376.00000000087</v>
      </c>
      <c r="AH364">
        <f>I364*I$3</f>
        <v>166103.99999999974</v>
      </c>
      <c r="AI364">
        <f>J364*J$3</f>
        <v>408412.00000000035</v>
      </c>
      <c r="AJ364">
        <f>K364*K$3</f>
        <v>548764.99999999872</v>
      </c>
      <c r="AK364">
        <f>L364*L$3</f>
        <v>-186024.00000000017</v>
      </c>
      <c r="AL364">
        <f>M364*M$3</f>
        <v>-128292.00000000012</v>
      </c>
      <c r="AM364">
        <f>N364*N$3</f>
        <v>0</v>
      </c>
      <c r="AN364">
        <f>O364*O$3</f>
        <v>0</v>
      </c>
      <c r="AO364">
        <f>P364*P$3</f>
        <v>0</v>
      </c>
      <c r="AP364">
        <f>Q364*Q$3</f>
        <v>0</v>
      </c>
      <c r="AQ364">
        <f>R364*R$3</f>
        <v>0</v>
      </c>
      <c r="AR364" s="1">
        <f>S364*S$3</f>
        <v>0</v>
      </c>
      <c r="AS364" s="1">
        <f t="shared" si="784"/>
        <v>2636.5066858157415</v>
      </c>
      <c r="AT364" s="1">
        <f t="shared" si="784"/>
        <v>18221.420100950942</v>
      </c>
      <c r="AU364" s="1">
        <f t="shared" si="784"/>
        <v>0</v>
      </c>
      <c r="AV364" s="1">
        <f t="shared" si="784"/>
        <v>0</v>
      </c>
      <c r="AW364" s="1">
        <f t="shared" si="784"/>
        <v>0</v>
      </c>
      <c r="AX364" s="1">
        <f t="shared" si="715"/>
        <v>1222312.9267867648</v>
      </c>
      <c r="AY364" s="1">
        <f t="shared" si="716"/>
        <v>20857.926786766682</v>
      </c>
      <c r="AZ364" s="1">
        <f t="shared" si="717"/>
        <v>1201454.9999999981</v>
      </c>
    </row>
    <row r="365" spans="1:52" x14ac:dyDescent="0.25">
      <c r="A365" s="4">
        <v>45562</v>
      </c>
      <c r="B365">
        <f t="shared" ref="B365:N365" si="799">(B915-B914)*100</f>
        <v>0</v>
      </c>
      <c r="C365">
        <f t="shared" si="799"/>
        <v>0</v>
      </c>
      <c r="D365">
        <f t="shared" si="799"/>
        <v>0</v>
      </c>
      <c r="E365">
        <f t="shared" si="799"/>
        <v>1.0000000000000675</v>
      </c>
      <c r="F365">
        <f t="shared" si="799"/>
        <v>3.0000000000000249</v>
      </c>
      <c r="G365">
        <f t="shared" si="799"/>
        <v>6.0000000000000053</v>
      </c>
      <c r="H365">
        <f t="shared" si="799"/>
        <v>5.0000000000000266</v>
      </c>
      <c r="I365">
        <f t="shared" si="799"/>
        <v>4.9999999999999822</v>
      </c>
      <c r="J365">
        <f t="shared" si="799"/>
        <v>4.9999999999999822</v>
      </c>
      <c r="K365">
        <f t="shared" si="799"/>
        <v>4.9999999999999822</v>
      </c>
      <c r="L365">
        <f t="shared" si="799"/>
        <v>4.0000000000000036</v>
      </c>
      <c r="M365">
        <f t="shared" si="799"/>
        <v>1.9999999999999574</v>
      </c>
      <c r="N365">
        <f t="shared" si="799"/>
        <v>2.0000000000000462</v>
      </c>
      <c r="O365" s="5">
        <f t="shared" ref="O365:S374" si="800">LN(O914/O915)</f>
        <v>0</v>
      </c>
      <c r="P365" s="5">
        <f t="shared" si="800"/>
        <v>0</v>
      </c>
      <c r="Q365" s="5">
        <f t="shared" si="800"/>
        <v>0</v>
      </c>
      <c r="R365" s="5">
        <f t="shared" si="800"/>
        <v>0</v>
      </c>
      <c r="S365" s="5">
        <f t="shared" si="800"/>
        <v>0</v>
      </c>
      <c r="T365" s="5">
        <f t="shared" ref="T365:X365" si="801">LN(T914/T915)</f>
        <v>-4.1380931241592964E-3</v>
      </c>
      <c r="U365" s="5">
        <f t="shared" si="801"/>
        <v>-7.3344776003605996E-3</v>
      </c>
      <c r="V365" s="5">
        <f t="shared" si="801"/>
        <v>2.7126378020529964E-3</v>
      </c>
      <c r="W365" s="5">
        <f t="shared" si="801"/>
        <v>-1.0383620223784943E-2</v>
      </c>
      <c r="X365" s="5">
        <f t="shared" si="801"/>
        <v>-5.1037516344388002E-3</v>
      </c>
      <c r="Z365" s="4">
        <v>45562</v>
      </c>
      <c r="AA365">
        <f>B365*B$3</f>
        <v>0</v>
      </c>
      <c r="AB365">
        <f>C365*C$3</f>
        <v>0</v>
      </c>
      <c r="AC365">
        <f>D365*D$3</f>
        <v>0</v>
      </c>
      <c r="AD365">
        <f>E365*E$3</f>
        <v>2428.0000000001637</v>
      </c>
      <c r="AE365">
        <f>F365*F$3</f>
        <v>-37284.000000000306</v>
      </c>
      <c r="AF365">
        <f>G365*G$3</f>
        <v>-93768.000000000087</v>
      </c>
      <c r="AG365">
        <f>H365*H$3</f>
        <v>-141080.00000000076</v>
      </c>
      <c r="AH365">
        <f>I365*I$3</f>
        <v>-92279.999999999665</v>
      </c>
      <c r="AI365">
        <f>J365*J$3</f>
        <v>-255257.4999999991</v>
      </c>
      <c r="AJ365">
        <f>K365*K$3</f>
        <v>-391974.9999999986</v>
      </c>
      <c r="AK365">
        <f>L365*L$3</f>
        <v>124016.00000000012</v>
      </c>
      <c r="AL365">
        <f>M365*M$3</f>
        <v>64145.999999998632</v>
      </c>
      <c r="AM365">
        <f>N365*N$3</f>
        <v>0</v>
      </c>
      <c r="AN365">
        <f>O365*O$3</f>
        <v>0</v>
      </c>
      <c r="AO365">
        <f>P365*P$3</f>
        <v>0</v>
      </c>
      <c r="AP365">
        <f>Q365*Q$3</f>
        <v>0</v>
      </c>
      <c r="AQ365">
        <f>R365*R$3</f>
        <v>0</v>
      </c>
      <c r="AR365" s="1">
        <f>S365*S$3</f>
        <v>0</v>
      </c>
      <c r="AS365" s="1">
        <f t="shared" si="784"/>
        <v>-16552.372496637185</v>
      </c>
      <c r="AT365" s="1">
        <f t="shared" si="784"/>
        <v>-58675.820802884795</v>
      </c>
      <c r="AU365" s="1">
        <f t="shared" si="784"/>
        <v>0</v>
      </c>
      <c r="AV365" s="1">
        <f t="shared" si="784"/>
        <v>0</v>
      </c>
      <c r="AW365" s="1">
        <f t="shared" si="784"/>
        <v>0</v>
      </c>
      <c r="AX365" s="1">
        <f t="shared" si="715"/>
        <v>-896282.69329952158</v>
      </c>
      <c r="AY365" s="1">
        <f t="shared" si="716"/>
        <v>-75228.193299521983</v>
      </c>
      <c r="AZ365" s="1">
        <f t="shared" si="717"/>
        <v>-821054.49999999953</v>
      </c>
    </row>
    <row r="366" spans="1:52" x14ac:dyDescent="0.25">
      <c r="A366" s="4">
        <v>45561</v>
      </c>
      <c r="B366">
        <f t="shared" ref="B366:N366" si="802">(B916-B915)*100</f>
        <v>-11.000000000000032</v>
      </c>
      <c r="C366">
        <f t="shared" si="802"/>
        <v>-8.9999999999999858</v>
      </c>
      <c r="D366">
        <f t="shared" si="802"/>
        <v>1.0000000000000675</v>
      </c>
      <c r="E366">
        <f t="shared" si="802"/>
        <v>-1.0000000000000675</v>
      </c>
      <c r="F366">
        <f t="shared" si="802"/>
        <v>-1.9999999999999574</v>
      </c>
      <c r="G366">
        <f t="shared" si="802"/>
        <v>-6.999999999999984</v>
      </c>
      <c r="H366">
        <f t="shared" si="802"/>
        <v>-7.0000000000000284</v>
      </c>
      <c r="I366">
        <f t="shared" si="802"/>
        <v>-4.9999999999999822</v>
      </c>
      <c r="J366">
        <f t="shared" si="802"/>
        <v>-2.9999999999999805</v>
      </c>
      <c r="K366">
        <f t="shared" si="802"/>
        <v>0</v>
      </c>
      <c r="L366">
        <f t="shared" si="802"/>
        <v>0</v>
      </c>
      <c r="M366">
        <f t="shared" si="802"/>
        <v>0.99999999999997868</v>
      </c>
      <c r="N366">
        <f t="shared" si="802"/>
        <v>1.9999999999999574</v>
      </c>
      <c r="O366" s="5">
        <f t="shared" si="800"/>
        <v>0</v>
      </c>
      <c r="P366" s="5">
        <f t="shared" si="800"/>
        <v>0</v>
      </c>
      <c r="Q366" s="5">
        <f t="shared" si="800"/>
        <v>0</v>
      </c>
      <c r="R366" s="5">
        <f t="shared" si="800"/>
        <v>0</v>
      </c>
      <c r="S366" s="5">
        <f t="shared" si="800"/>
        <v>0</v>
      </c>
      <c r="T366" s="5">
        <f t="shared" ref="T366:X366" si="803">LN(T915/T916)</f>
        <v>5.3908146634269278E-3</v>
      </c>
      <c r="U366" s="5">
        <f t="shared" si="803"/>
        <v>8.3410516830151344E-3</v>
      </c>
      <c r="V366" s="5">
        <f t="shared" si="803"/>
        <v>1.1959295413392607E-2</v>
      </c>
      <c r="W366" s="5">
        <f t="shared" si="803"/>
        <v>1.2209834124770004E-2</v>
      </c>
      <c r="X366" s="5">
        <f t="shared" si="803"/>
        <v>1.0708845546568972E-2</v>
      </c>
      <c r="Z366" s="4">
        <v>45561</v>
      </c>
      <c r="AA366">
        <f>B366*B$3</f>
        <v>10813.000000000031</v>
      </c>
      <c r="AB366">
        <f>C366*C$3</f>
        <v>23255.999999999964</v>
      </c>
      <c r="AC366">
        <f>D366*D$3</f>
        <v>16143.00000000109</v>
      </c>
      <c r="AD366">
        <f>E366*E$3</f>
        <v>-2428.0000000001637</v>
      </c>
      <c r="AE366">
        <f>F366*F$3</f>
        <v>24855.999999999469</v>
      </c>
      <c r="AF366">
        <f>G366*G$3</f>
        <v>109395.99999999975</v>
      </c>
      <c r="AG366">
        <f>H366*H$3</f>
        <v>197512.00000000081</v>
      </c>
      <c r="AH366">
        <f>I366*I$3</f>
        <v>92279.999999999665</v>
      </c>
      <c r="AI366">
        <f>J366*J$3</f>
        <v>153154.49999999901</v>
      </c>
      <c r="AJ366">
        <f>K366*K$3</f>
        <v>0</v>
      </c>
      <c r="AK366">
        <f>L366*L$3</f>
        <v>0</v>
      </c>
      <c r="AL366">
        <f>M366*M$3</f>
        <v>32072.999999999316</v>
      </c>
      <c r="AM366">
        <f>N366*N$3</f>
        <v>0</v>
      </c>
      <c r="AN366">
        <f>O366*O$3</f>
        <v>0</v>
      </c>
      <c r="AO366">
        <f>P366*P$3</f>
        <v>0</v>
      </c>
      <c r="AP366">
        <f>Q366*Q$3</f>
        <v>0</v>
      </c>
      <c r="AQ366">
        <f>R366*R$3</f>
        <v>0</v>
      </c>
      <c r="AR366" s="1">
        <f>S366*S$3</f>
        <v>0</v>
      </c>
      <c r="AS366" s="1">
        <f t="shared" si="784"/>
        <v>21563.258653707711</v>
      </c>
      <c r="AT366" s="1">
        <f t="shared" si="784"/>
        <v>66728.413464121069</v>
      </c>
      <c r="AU366" s="1">
        <f t="shared" si="784"/>
        <v>0</v>
      </c>
      <c r="AV366" s="1">
        <f t="shared" si="784"/>
        <v>0</v>
      </c>
      <c r="AW366" s="1">
        <f t="shared" si="784"/>
        <v>0</v>
      </c>
      <c r="AX366" s="1">
        <f t="shared" si="715"/>
        <v>745347.17211782758</v>
      </c>
      <c r="AY366" s="1">
        <f t="shared" si="716"/>
        <v>88291.672117828784</v>
      </c>
      <c r="AZ366" s="1">
        <f t="shared" si="717"/>
        <v>657055.49999999884</v>
      </c>
    </row>
    <row r="367" spans="1:52" x14ac:dyDescent="0.25">
      <c r="A367" s="4">
        <v>45560</v>
      </c>
      <c r="B367">
        <f t="shared" ref="B367:N367" si="804">(B917-B916)*100</f>
        <v>-0.99999999999997868</v>
      </c>
      <c r="C367">
        <f t="shared" si="804"/>
        <v>0</v>
      </c>
      <c r="D367">
        <f t="shared" si="804"/>
        <v>0</v>
      </c>
      <c r="E367">
        <f t="shared" si="804"/>
        <v>-0.99999999999997868</v>
      </c>
      <c r="F367">
        <f t="shared" si="804"/>
        <v>0</v>
      </c>
      <c r="G367">
        <f t="shared" si="804"/>
        <v>-1.0000000000000231</v>
      </c>
      <c r="H367">
        <f t="shared" si="804"/>
        <v>-3.9999999999999591</v>
      </c>
      <c r="I367">
        <f t="shared" si="804"/>
        <v>-5.0000000000000266</v>
      </c>
      <c r="J367">
        <f t="shared" si="804"/>
        <v>-4.9999999999999822</v>
      </c>
      <c r="K367">
        <f t="shared" si="804"/>
        <v>-4.9999999999999822</v>
      </c>
      <c r="L367">
        <f t="shared" si="804"/>
        <v>-4.9999999999999822</v>
      </c>
      <c r="M367">
        <f t="shared" si="804"/>
        <v>-4.9999999999999822</v>
      </c>
      <c r="N367">
        <f t="shared" si="804"/>
        <v>-4.9999999999999822</v>
      </c>
      <c r="O367" s="5">
        <f t="shared" si="800"/>
        <v>0</v>
      </c>
      <c r="P367" s="5">
        <f t="shared" si="800"/>
        <v>0</v>
      </c>
      <c r="Q367" s="5">
        <f t="shared" si="800"/>
        <v>0</v>
      </c>
      <c r="R367" s="5">
        <f t="shared" si="800"/>
        <v>0</v>
      </c>
      <c r="S367" s="5">
        <f t="shared" si="800"/>
        <v>0</v>
      </c>
      <c r="T367" s="5">
        <f t="shared" ref="T367:X367" si="805">LN(T916/T917)</f>
        <v>-7.1257817402355329E-3</v>
      </c>
      <c r="U367" s="5">
        <f t="shared" si="805"/>
        <v>-5.7838269292165142E-3</v>
      </c>
      <c r="V367" s="5">
        <f t="shared" si="805"/>
        <v>-4.710411371378947E-3</v>
      </c>
      <c r="W367" s="5">
        <f t="shared" si="805"/>
        <v>-1.037861805281786E-2</v>
      </c>
      <c r="X367" s="5">
        <f t="shared" si="805"/>
        <v>-6.8805566144234456E-3</v>
      </c>
      <c r="Z367" s="4">
        <v>45560</v>
      </c>
      <c r="AA367">
        <f>B367*B$3</f>
        <v>982.99999999997908</v>
      </c>
      <c r="AB367">
        <f>C367*C$3</f>
        <v>0</v>
      </c>
      <c r="AC367">
        <f>D367*D$3</f>
        <v>0</v>
      </c>
      <c r="AD367">
        <f>E367*E$3</f>
        <v>-2427.9999999999482</v>
      </c>
      <c r="AE367">
        <f>F367*F$3</f>
        <v>0</v>
      </c>
      <c r="AF367">
        <f>G367*G$3</f>
        <v>15628.00000000036</v>
      </c>
      <c r="AG367">
        <f>H367*H$3</f>
        <v>112863.99999999885</v>
      </c>
      <c r="AH367">
        <f>I367*I$3</f>
        <v>92280.000000000495</v>
      </c>
      <c r="AI367">
        <f>J367*J$3</f>
        <v>255257.4999999991</v>
      </c>
      <c r="AJ367">
        <f>K367*K$3</f>
        <v>391974.9999999986</v>
      </c>
      <c r="AK367">
        <f>L367*L$3</f>
        <v>-155019.99999999945</v>
      </c>
      <c r="AL367">
        <f>M367*M$3</f>
        <v>-160364.99999999942</v>
      </c>
      <c r="AM367">
        <f>N367*N$3</f>
        <v>0</v>
      </c>
      <c r="AN367">
        <f>O367*O$3</f>
        <v>0</v>
      </c>
      <c r="AO367">
        <f>P367*P$3</f>
        <v>0</v>
      </c>
      <c r="AP367">
        <f>Q367*Q$3</f>
        <v>0</v>
      </c>
      <c r="AQ367">
        <f>R367*R$3</f>
        <v>0</v>
      </c>
      <c r="AR367" s="1">
        <f>S367*S$3</f>
        <v>0</v>
      </c>
      <c r="AS367" s="1">
        <f t="shared" si="784"/>
        <v>-28503.126960942132</v>
      </c>
      <c r="AT367" s="1">
        <f t="shared" si="784"/>
        <v>-46270.615433732113</v>
      </c>
      <c r="AU367" s="1">
        <f t="shared" si="784"/>
        <v>0</v>
      </c>
      <c r="AV367" s="1">
        <f t="shared" si="784"/>
        <v>0</v>
      </c>
      <c r="AW367" s="1">
        <f t="shared" si="784"/>
        <v>0</v>
      </c>
      <c r="AX367" s="1">
        <f t="shared" si="715"/>
        <v>476400.75760532438</v>
      </c>
      <c r="AY367" s="1">
        <f t="shared" si="716"/>
        <v>-74773.742394674249</v>
      </c>
      <c r="AZ367" s="1">
        <f t="shared" si="717"/>
        <v>551174.4999999986</v>
      </c>
    </row>
    <row r="368" spans="1:52" x14ac:dyDescent="0.25">
      <c r="A368" s="4">
        <v>45559</v>
      </c>
      <c r="B368">
        <f t="shared" ref="B368:N368" si="806">(B918-B917)*100</f>
        <v>6.9999999999999396</v>
      </c>
      <c r="C368">
        <f t="shared" si="806"/>
        <v>5.9999999999999609</v>
      </c>
      <c r="D368">
        <f t="shared" si="806"/>
        <v>2.9999999999999361</v>
      </c>
      <c r="E368">
        <f t="shared" si="806"/>
        <v>2.0000000000000462</v>
      </c>
      <c r="F368">
        <f t="shared" si="806"/>
        <v>4.0000000000000036</v>
      </c>
      <c r="G368">
        <f t="shared" si="806"/>
        <v>3.0000000000000249</v>
      </c>
      <c r="H368">
        <f t="shared" si="806"/>
        <v>7.9999999999999627</v>
      </c>
      <c r="I368">
        <f t="shared" si="806"/>
        <v>3.0000000000000249</v>
      </c>
      <c r="J368">
        <f t="shared" si="806"/>
        <v>3.9999999999999591</v>
      </c>
      <c r="K368">
        <f t="shared" si="806"/>
        <v>2.0000000000000018</v>
      </c>
      <c r="L368">
        <f t="shared" si="806"/>
        <v>0.99999999999997868</v>
      </c>
      <c r="M368">
        <f t="shared" si="806"/>
        <v>-0.99999999999997868</v>
      </c>
      <c r="N368">
        <f t="shared" si="806"/>
        <v>0</v>
      </c>
      <c r="O368" s="5">
        <f t="shared" si="800"/>
        <v>0</v>
      </c>
      <c r="P368" s="5">
        <f t="shared" si="800"/>
        <v>0</v>
      </c>
      <c r="Q368" s="5">
        <f t="shared" si="800"/>
        <v>0</v>
      </c>
      <c r="R368" s="5">
        <f t="shared" si="800"/>
        <v>0</v>
      </c>
      <c r="S368" s="5">
        <f t="shared" si="800"/>
        <v>0</v>
      </c>
      <c r="T368" s="5">
        <f t="shared" ref="T368:X368" si="807">LN(T917/T918)</f>
        <v>4.4099749781573811E-3</v>
      </c>
      <c r="U368" s="5">
        <f t="shared" si="807"/>
        <v>-2.6930430153868723E-3</v>
      </c>
      <c r="V368" s="5">
        <f t="shared" si="807"/>
        <v>-2.5448127474170259E-3</v>
      </c>
      <c r="W368" s="5">
        <f t="shared" si="807"/>
        <v>-3.5338823928739616E-3</v>
      </c>
      <c r="X368" s="5">
        <f t="shared" si="807"/>
        <v>-4.2161550881539703E-3</v>
      </c>
      <c r="Z368" s="4">
        <v>45559</v>
      </c>
      <c r="AA368">
        <f>B368*B$3</f>
        <v>-6880.9999999999409</v>
      </c>
      <c r="AB368">
        <f>C368*C$3</f>
        <v>-15503.999999999898</v>
      </c>
      <c r="AC368">
        <f>D368*D$3</f>
        <v>48428.999999998967</v>
      </c>
      <c r="AD368">
        <f>E368*E$3</f>
        <v>4856.0000000001119</v>
      </c>
      <c r="AE368">
        <f>F368*F$3</f>
        <v>-49712.000000000044</v>
      </c>
      <c r="AF368">
        <f>G368*G$3</f>
        <v>-46884.000000000386</v>
      </c>
      <c r="AG368">
        <f>H368*H$3</f>
        <v>-225727.99999999895</v>
      </c>
      <c r="AH368">
        <f>I368*I$3</f>
        <v>-55368.000000000458</v>
      </c>
      <c r="AI368">
        <f>J368*J$3</f>
        <v>-204205.9999999979</v>
      </c>
      <c r="AJ368">
        <f>K368*K$3</f>
        <v>-156790.00000000015</v>
      </c>
      <c r="AK368">
        <f>L368*L$3</f>
        <v>31003.999999999338</v>
      </c>
      <c r="AL368">
        <f>M368*M$3</f>
        <v>-32072.999999999316</v>
      </c>
      <c r="AM368">
        <f>N368*N$3</f>
        <v>0</v>
      </c>
      <c r="AN368">
        <f>O368*O$3</f>
        <v>0</v>
      </c>
      <c r="AO368">
        <f>P368*P$3</f>
        <v>0</v>
      </c>
      <c r="AP368">
        <f>Q368*Q$3</f>
        <v>0</v>
      </c>
      <c r="AQ368">
        <f>R368*R$3</f>
        <v>0</v>
      </c>
      <c r="AR368" s="1">
        <f>S368*S$3</f>
        <v>0</v>
      </c>
      <c r="AS368" s="1">
        <f t="shared" si="784"/>
        <v>17639.899912629524</v>
      </c>
      <c r="AT368" s="1">
        <f t="shared" si="784"/>
        <v>-21544.344123094979</v>
      </c>
      <c r="AU368" s="1">
        <f t="shared" si="784"/>
        <v>0</v>
      </c>
      <c r="AV368" s="1">
        <f t="shared" si="784"/>
        <v>0</v>
      </c>
      <c r="AW368" s="1">
        <f t="shared" si="784"/>
        <v>0</v>
      </c>
      <c r="AX368" s="1">
        <f t="shared" si="715"/>
        <v>-712761.44421046402</v>
      </c>
      <c r="AY368" s="1">
        <f t="shared" si="716"/>
        <v>-3904.4442104654554</v>
      </c>
      <c r="AZ368" s="1">
        <f t="shared" si="717"/>
        <v>-708856.9999999986</v>
      </c>
    </row>
    <row r="369" spans="1:52" x14ac:dyDescent="0.25">
      <c r="A369" s="4">
        <v>45558</v>
      </c>
      <c r="B369">
        <f t="shared" ref="B369:N369" si="808">(B919-B918)*100</f>
        <v>2.0000000000000462</v>
      </c>
      <c r="C369">
        <f t="shared" si="808"/>
        <v>4.0000000000000036</v>
      </c>
      <c r="D369">
        <f t="shared" si="808"/>
        <v>3.0000000000000249</v>
      </c>
      <c r="E369">
        <f t="shared" si="808"/>
        <v>4.9999999999999822</v>
      </c>
      <c r="F369">
        <f t="shared" si="808"/>
        <v>2.9999999999999361</v>
      </c>
      <c r="G369">
        <f t="shared" si="808"/>
        <v>0.99999999999997868</v>
      </c>
      <c r="H369">
        <f t="shared" si="808"/>
        <v>-2.0000000000000018</v>
      </c>
      <c r="I369">
        <f t="shared" si="808"/>
        <v>-1.0000000000000231</v>
      </c>
      <c r="J369">
        <f t="shared" si="808"/>
        <v>-2.9999999999999805</v>
      </c>
      <c r="K369">
        <f t="shared" si="808"/>
        <v>-3.0000000000000249</v>
      </c>
      <c r="L369">
        <f t="shared" si="808"/>
        <v>-2.0000000000000018</v>
      </c>
      <c r="M369">
        <f t="shared" si="808"/>
        <v>-2.0000000000000462</v>
      </c>
      <c r="N369">
        <f t="shared" si="808"/>
        <v>-1.9999999999999574</v>
      </c>
      <c r="O369" s="5">
        <f t="shared" si="800"/>
        <v>0</v>
      </c>
      <c r="P369" s="5">
        <f t="shared" si="800"/>
        <v>0</v>
      </c>
      <c r="Q369" s="5">
        <f t="shared" si="800"/>
        <v>0</v>
      </c>
      <c r="R369" s="5">
        <f t="shared" si="800"/>
        <v>0</v>
      </c>
      <c r="S369" s="5">
        <f t="shared" si="800"/>
        <v>0</v>
      </c>
      <c r="T369" s="5">
        <f t="shared" ref="T369:X369" si="809">LN(T918/T919)</f>
        <v>1.0050347335539771E-4</v>
      </c>
      <c r="U369" s="5">
        <f t="shared" si="809"/>
        <v>-2.4202437973160043E-3</v>
      </c>
      <c r="V369" s="5">
        <f t="shared" si="809"/>
        <v>7.9899198379751787E-3</v>
      </c>
      <c r="W369" s="5">
        <f t="shared" si="809"/>
        <v>-6.1269554193032461E-5</v>
      </c>
      <c r="X369" s="5">
        <f t="shared" si="809"/>
        <v>3.6734507610245845E-3</v>
      </c>
      <c r="Z369" s="4">
        <v>45558</v>
      </c>
      <c r="AA369">
        <f>B369*B$3</f>
        <v>-1966.0000000000455</v>
      </c>
      <c r="AB369">
        <f>C369*C$3</f>
        <v>-10336.000000000009</v>
      </c>
      <c r="AC369">
        <f>D369*D$3</f>
        <v>48429.0000000004</v>
      </c>
      <c r="AD369">
        <f>E369*E$3</f>
        <v>12139.999999999956</v>
      </c>
      <c r="AE369">
        <f>F369*F$3</f>
        <v>-37283.999999999207</v>
      </c>
      <c r="AF369">
        <f>G369*G$3</f>
        <v>-15627.999999999667</v>
      </c>
      <c r="AG369">
        <f>H369*H$3</f>
        <v>56432.000000000051</v>
      </c>
      <c r="AH369">
        <f>I369*I$3</f>
        <v>18456.000000000426</v>
      </c>
      <c r="AI369">
        <f>J369*J$3</f>
        <v>153154.49999999901</v>
      </c>
      <c r="AJ369">
        <f>K369*K$3</f>
        <v>235185.00000000195</v>
      </c>
      <c r="AK369">
        <f>L369*L$3</f>
        <v>-62008.000000000058</v>
      </c>
      <c r="AL369">
        <f>M369*M$3</f>
        <v>-64146.000000001484</v>
      </c>
      <c r="AM369">
        <f>N369*N$3</f>
        <v>0</v>
      </c>
      <c r="AN369">
        <f>O369*O$3</f>
        <v>0</v>
      </c>
      <c r="AO369">
        <f>P369*P$3</f>
        <v>0</v>
      </c>
      <c r="AP369">
        <f>Q369*Q$3</f>
        <v>0</v>
      </c>
      <c r="AQ369">
        <f>R369*R$3</f>
        <v>0</v>
      </c>
      <c r="AR369" s="1">
        <f>S369*S$3</f>
        <v>0</v>
      </c>
      <c r="AS369" s="1">
        <f t="shared" si="784"/>
        <v>402.01389342159081</v>
      </c>
      <c r="AT369" s="1">
        <f t="shared" si="784"/>
        <v>-19361.950378528036</v>
      </c>
      <c r="AU369" s="1">
        <f t="shared" si="784"/>
        <v>0</v>
      </c>
      <c r="AV369" s="1">
        <f t="shared" si="784"/>
        <v>0</v>
      </c>
      <c r="AW369" s="1">
        <f t="shared" si="784"/>
        <v>0</v>
      </c>
      <c r="AX369" s="1">
        <f t="shared" si="715"/>
        <v>313468.56351489492</v>
      </c>
      <c r="AY369" s="1">
        <f t="shared" si="716"/>
        <v>-18959.936485106446</v>
      </c>
      <c r="AZ369" s="1">
        <f t="shared" si="717"/>
        <v>332428.5000000014</v>
      </c>
    </row>
    <row r="370" spans="1:52" x14ac:dyDescent="0.25">
      <c r="A370" s="4">
        <v>45555</v>
      </c>
      <c r="B370">
        <f t="shared" ref="B370:N370" si="810">(B920-B919)*100</f>
        <v>1.9999999999999574</v>
      </c>
      <c r="C370">
        <f t="shared" si="810"/>
        <v>3.0000000000000249</v>
      </c>
      <c r="D370">
        <f t="shared" si="810"/>
        <v>4.9999999999999822</v>
      </c>
      <c r="E370">
        <f t="shared" si="810"/>
        <v>3.0000000000000249</v>
      </c>
      <c r="F370">
        <f t="shared" si="810"/>
        <v>3.0000000000000249</v>
      </c>
      <c r="G370">
        <f t="shared" si="810"/>
        <v>1.0000000000000231</v>
      </c>
      <c r="H370">
        <f t="shared" si="810"/>
        <v>4.0000000000000036</v>
      </c>
      <c r="I370">
        <f t="shared" si="810"/>
        <v>1.0000000000000231</v>
      </c>
      <c r="J370">
        <f t="shared" si="810"/>
        <v>1.0000000000000231</v>
      </c>
      <c r="K370">
        <f t="shared" si="810"/>
        <v>1.0000000000000231</v>
      </c>
      <c r="L370">
        <f t="shared" si="810"/>
        <v>0</v>
      </c>
      <c r="M370">
        <f t="shared" si="810"/>
        <v>1.0000000000000675</v>
      </c>
      <c r="N370">
        <f t="shared" si="810"/>
        <v>-1.0000000000000675</v>
      </c>
      <c r="O370" s="5">
        <f t="shared" si="800"/>
        <v>0</v>
      </c>
      <c r="P370" s="5">
        <f t="shared" si="800"/>
        <v>0</v>
      </c>
      <c r="Q370" s="5">
        <f t="shared" si="800"/>
        <v>0</v>
      </c>
      <c r="R370" s="5">
        <f t="shared" si="800"/>
        <v>0</v>
      </c>
      <c r="S370" s="5">
        <f t="shared" si="800"/>
        <v>0</v>
      </c>
      <c r="T370" s="5">
        <f t="shared" ref="T370:X370" si="811">LN(T919/T920)</f>
        <v>-4.232548367000156E-3</v>
      </c>
      <c r="U370" s="5">
        <f t="shared" si="811"/>
        <v>-6.0909899796264414E-3</v>
      </c>
      <c r="V370" s="5">
        <f t="shared" si="811"/>
        <v>1.0364957138156001E-3</v>
      </c>
      <c r="W370" s="5">
        <f t="shared" si="811"/>
        <v>-6.7601172365535835E-3</v>
      </c>
      <c r="X370" s="5">
        <f t="shared" si="811"/>
        <v>5.663404939273615E-4</v>
      </c>
      <c r="Z370" s="4">
        <v>45555</v>
      </c>
      <c r="AA370">
        <f>B370*B$3</f>
        <v>-1965.9999999999582</v>
      </c>
      <c r="AB370">
        <f>C370*C$3</f>
        <v>-7752.0000000000646</v>
      </c>
      <c r="AC370">
        <f>D370*D$3</f>
        <v>80714.999999999709</v>
      </c>
      <c r="AD370">
        <f>E370*E$3</f>
        <v>7284.00000000006</v>
      </c>
      <c r="AE370">
        <f>F370*F$3</f>
        <v>-37284.000000000306</v>
      </c>
      <c r="AF370">
        <f>G370*G$3</f>
        <v>-15628.00000000036</v>
      </c>
      <c r="AG370">
        <f>H370*H$3</f>
        <v>-112864.0000000001</v>
      </c>
      <c r="AH370">
        <f>I370*I$3</f>
        <v>-18456.000000000426</v>
      </c>
      <c r="AI370">
        <f>J370*J$3</f>
        <v>-51051.500000001179</v>
      </c>
      <c r="AJ370">
        <f>K370*K$3</f>
        <v>-78395.000000001804</v>
      </c>
      <c r="AK370">
        <f>L370*L$3</f>
        <v>0</v>
      </c>
      <c r="AL370">
        <f>M370*M$3</f>
        <v>32073.000000002165</v>
      </c>
      <c r="AM370">
        <f>N370*N$3</f>
        <v>0</v>
      </c>
      <c r="AN370">
        <f>O370*O$3</f>
        <v>0</v>
      </c>
      <c r="AO370">
        <f>P370*P$3</f>
        <v>0</v>
      </c>
      <c r="AP370">
        <f>Q370*Q$3</f>
        <v>0</v>
      </c>
      <c r="AQ370">
        <f>R370*R$3</f>
        <v>0</v>
      </c>
      <c r="AR370" s="1">
        <f>S370*S$3</f>
        <v>0</v>
      </c>
      <c r="AS370" s="1">
        <f t="shared" si="784"/>
        <v>-16930.193468000623</v>
      </c>
      <c r="AT370" s="1">
        <f t="shared" si="784"/>
        <v>-48727.919837011534</v>
      </c>
      <c r="AU370" s="1">
        <f t="shared" si="784"/>
        <v>0</v>
      </c>
      <c r="AV370" s="1">
        <f t="shared" si="784"/>
        <v>0</v>
      </c>
      <c r="AW370" s="1">
        <f t="shared" si="784"/>
        <v>0</v>
      </c>
      <c r="AX370" s="1">
        <f t="shared" si="715"/>
        <v>-268982.61330501444</v>
      </c>
      <c r="AY370" s="1">
        <f t="shared" si="716"/>
        <v>-65658.113305012157</v>
      </c>
      <c r="AZ370" s="1">
        <f t="shared" si="717"/>
        <v>-203324.50000000227</v>
      </c>
    </row>
    <row r="371" spans="1:52" x14ac:dyDescent="0.25">
      <c r="A371" s="4">
        <v>45554</v>
      </c>
      <c r="B371">
        <f t="shared" ref="B371:N371" si="812">(B921-B920)*100</f>
        <v>2.0000000000000462</v>
      </c>
      <c r="C371">
        <f t="shared" si="812"/>
        <v>0</v>
      </c>
      <c r="D371">
        <f t="shared" si="812"/>
        <v>4.0000000000000036</v>
      </c>
      <c r="E371">
        <f t="shared" si="812"/>
        <v>2.9999999999999361</v>
      </c>
      <c r="F371">
        <f t="shared" si="812"/>
        <v>4.0000000000000036</v>
      </c>
      <c r="G371">
        <f t="shared" si="812"/>
        <v>2.0000000000000018</v>
      </c>
      <c r="H371">
        <f t="shared" si="812"/>
        <v>2.0000000000000018</v>
      </c>
      <c r="I371">
        <f t="shared" si="812"/>
        <v>2.0000000000000018</v>
      </c>
      <c r="J371">
        <f t="shared" si="812"/>
        <v>-2.0000000000000018</v>
      </c>
      <c r="K371">
        <f t="shared" si="812"/>
        <v>-2.0000000000000018</v>
      </c>
      <c r="L371">
        <f t="shared" si="812"/>
        <v>-2.9999999999999805</v>
      </c>
      <c r="M371">
        <f t="shared" si="812"/>
        <v>-3.0000000000000249</v>
      </c>
      <c r="N371">
        <f t="shared" si="812"/>
        <v>-2.9999999999999361</v>
      </c>
      <c r="O371" s="5">
        <f t="shared" si="800"/>
        <v>0</v>
      </c>
      <c r="P371" s="5">
        <f t="shared" si="800"/>
        <v>0</v>
      </c>
      <c r="Q371" s="5">
        <f t="shared" si="800"/>
        <v>0</v>
      </c>
      <c r="R371" s="5">
        <f t="shared" si="800"/>
        <v>0</v>
      </c>
      <c r="S371" s="5">
        <f t="shared" si="800"/>
        <v>0</v>
      </c>
      <c r="T371" s="5">
        <f t="shared" ref="T371:X371" si="813">LN(T920/T921)</f>
        <v>7.4491349132641709E-4</v>
      </c>
      <c r="U371" s="5">
        <f t="shared" si="813"/>
        <v>-2.5578281577279204E-3</v>
      </c>
      <c r="V371" s="5">
        <f t="shared" si="813"/>
        <v>4.8819646304035739E-3</v>
      </c>
      <c r="W371" s="5">
        <f t="shared" si="813"/>
        <v>-1.4814798521510113E-4</v>
      </c>
      <c r="X371" s="5">
        <f t="shared" si="813"/>
        <v>1.1454758200350719E-3</v>
      </c>
      <c r="Z371" s="4">
        <v>45554</v>
      </c>
      <c r="AA371">
        <f>B371*B$3</f>
        <v>-1966.0000000000455</v>
      </c>
      <c r="AB371">
        <f>C371*C$3</f>
        <v>0</v>
      </c>
      <c r="AC371">
        <f>D371*D$3</f>
        <v>64572.000000000058</v>
      </c>
      <c r="AD371">
        <f>E371*E$3</f>
        <v>7283.9999999998445</v>
      </c>
      <c r="AE371">
        <f>F371*F$3</f>
        <v>-49712.000000000044</v>
      </c>
      <c r="AF371">
        <f>G371*G$3</f>
        <v>-31256.000000000029</v>
      </c>
      <c r="AG371">
        <f>H371*H$3</f>
        <v>-56432.000000000051</v>
      </c>
      <c r="AH371">
        <f>I371*I$3</f>
        <v>-36912.000000000036</v>
      </c>
      <c r="AI371">
        <f>J371*J$3</f>
        <v>102103.00000000009</v>
      </c>
      <c r="AJ371">
        <f>K371*K$3</f>
        <v>156790.00000000015</v>
      </c>
      <c r="AK371">
        <f>L371*L$3</f>
        <v>-93011.999999999389</v>
      </c>
      <c r="AL371">
        <f>M371*M$3</f>
        <v>-96219.0000000008</v>
      </c>
      <c r="AM371">
        <f>N371*N$3</f>
        <v>0</v>
      </c>
      <c r="AN371">
        <f>O371*O$3</f>
        <v>0</v>
      </c>
      <c r="AO371">
        <f>P371*P$3</f>
        <v>0</v>
      </c>
      <c r="AP371">
        <f>Q371*Q$3</f>
        <v>0</v>
      </c>
      <c r="AQ371">
        <f>R371*R$3</f>
        <v>0</v>
      </c>
      <c r="AR371" s="1">
        <f>S371*S$3</f>
        <v>0</v>
      </c>
      <c r="AS371" s="1">
        <f t="shared" si="784"/>
        <v>2979.6539653056684</v>
      </c>
      <c r="AT371" s="1">
        <f t="shared" si="784"/>
        <v>-20462.625261823363</v>
      </c>
      <c r="AU371" s="1">
        <f t="shared" si="784"/>
        <v>0</v>
      </c>
      <c r="AV371" s="1">
        <f t="shared" si="784"/>
        <v>0</v>
      </c>
      <c r="AW371" s="1">
        <f t="shared" si="784"/>
        <v>0</v>
      </c>
      <c r="AX371" s="1">
        <f t="shared" si="715"/>
        <v>-52242.971296517942</v>
      </c>
      <c r="AY371" s="1">
        <f t="shared" si="716"/>
        <v>-17482.971296517695</v>
      </c>
      <c r="AZ371" s="1">
        <f t="shared" si="717"/>
        <v>-34760.000000000247</v>
      </c>
    </row>
    <row r="372" spans="1:52" x14ac:dyDescent="0.25">
      <c r="A372" s="4">
        <v>45553</v>
      </c>
      <c r="B372">
        <f t="shared" ref="B372:N372" si="814">(B922-B921)*100</f>
        <v>13.999999999999968</v>
      </c>
      <c r="C372">
        <f t="shared" si="814"/>
        <v>13.999999999999968</v>
      </c>
      <c r="D372">
        <f t="shared" si="814"/>
        <v>11.000000000000032</v>
      </c>
      <c r="E372">
        <f t="shared" si="814"/>
        <v>11.000000000000032</v>
      </c>
      <c r="F372">
        <f t="shared" si="814"/>
        <v>4.9999999999999822</v>
      </c>
      <c r="G372">
        <f t="shared" si="814"/>
        <v>4.0000000000000036</v>
      </c>
      <c r="H372">
        <f t="shared" si="814"/>
        <v>-2.0000000000000018</v>
      </c>
      <c r="I372">
        <f t="shared" si="814"/>
        <v>-4.0000000000000036</v>
      </c>
      <c r="J372">
        <f t="shared" si="814"/>
        <v>-3.0000000000000249</v>
      </c>
      <c r="K372">
        <f t="shared" si="814"/>
        <v>-5.0000000000000266</v>
      </c>
      <c r="L372">
        <f t="shared" si="814"/>
        <v>-5.0000000000000266</v>
      </c>
      <c r="M372">
        <f t="shared" si="814"/>
        <v>-6.0000000000000497</v>
      </c>
      <c r="N372">
        <f t="shared" si="814"/>
        <v>-7.0000000000000284</v>
      </c>
      <c r="O372" s="5">
        <f t="shared" si="800"/>
        <v>0</v>
      </c>
      <c r="P372" s="5">
        <f t="shared" si="800"/>
        <v>0</v>
      </c>
      <c r="Q372" s="5">
        <f t="shared" si="800"/>
        <v>0</v>
      </c>
      <c r="R372" s="5">
        <f t="shared" si="800"/>
        <v>0</v>
      </c>
      <c r="S372" s="5">
        <f t="shared" si="800"/>
        <v>0</v>
      </c>
      <c r="T372" s="5">
        <f t="shared" ref="T372:X372" si="815">LN(T921/T922)</f>
        <v>5.7856532844821563E-4</v>
      </c>
      <c r="U372" s="5">
        <f t="shared" si="815"/>
        <v>3.2841360515739279E-3</v>
      </c>
      <c r="V372" s="5">
        <f t="shared" si="815"/>
        <v>8.6633107400946336E-3</v>
      </c>
      <c r="W372" s="5">
        <f t="shared" si="815"/>
        <v>-1.598061391106937E-3</v>
      </c>
      <c r="X372" s="5">
        <f t="shared" si="815"/>
        <v>2.0698830976500831E-3</v>
      </c>
      <c r="Z372" s="4">
        <v>45553</v>
      </c>
      <c r="AA372">
        <f>B372*B$3</f>
        <v>-13761.999999999969</v>
      </c>
      <c r="AB372">
        <f>C372*C$3</f>
        <v>-36175.99999999992</v>
      </c>
      <c r="AC372">
        <f>D372*D$3</f>
        <v>177573.00000000052</v>
      </c>
      <c r="AD372">
        <f>E372*E$3</f>
        <v>26708.000000000076</v>
      </c>
      <c r="AE372">
        <f>F372*F$3</f>
        <v>-62139.999999999782</v>
      </c>
      <c r="AF372">
        <f>G372*G$3</f>
        <v>-62512.000000000058</v>
      </c>
      <c r="AG372">
        <f>H372*H$3</f>
        <v>56432.000000000051</v>
      </c>
      <c r="AH372">
        <f>I372*I$3</f>
        <v>73824.000000000073</v>
      </c>
      <c r="AI372">
        <f>J372*J$3</f>
        <v>153154.50000000128</v>
      </c>
      <c r="AJ372">
        <f>K372*K$3</f>
        <v>391975.0000000021</v>
      </c>
      <c r="AK372">
        <f>L372*L$3</f>
        <v>-155020.00000000081</v>
      </c>
      <c r="AL372">
        <f>M372*M$3</f>
        <v>-192438.0000000016</v>
      </c>
      <c r="AM372">
        <f>N372*N$3</f>
        <v>0</v>
      </c>
      <c r="AN372">
        <f>O372*O$3</f>
        <v>0</v>
      </c>
      <c r="AO372">
        <f>P372*P$3</f>
        <v>0</v>
      </c>
      <c r="AP372">
        <f>Q372*Q$3</f>
        <v>0</v>
      </c>
      <c r="AQ372">
        <f>R372*R$3</f>
        <v>0</v>
      </c>
      <c r="AR372" s="1">
        <f>S372*S$3</f>
        <v>0</v>
      </c>
      <c r="AS372" s="1">
        <f t="shared" si="784"/>
        <v>2314.2613137928624</v>
      </c>
      <c r="AT372" s="1">
        <f t="shared" si="784"/>
        <v>26273.088412591424</v>
      </c>
      <c r="AU372" s="1">
        <f t="shared" si="784"/>
        <v>0</v>
      </c>
      <c r="AV372" s="1">
        <f t="shared" si="784"/>
        <v>0</v>
      </c>
      <c r="AW372" s="1">
        <f t="shared" si="784"/>
        <v>0</v>
      </c>
      <c r="AX372" s="1">
        <f t="shared" si="715"/>
        <v>386205.84972638625</v>
      </c>
      <c r="AY372" s="1">
        <f t="shared" si="716"/>
        <v>28587.349726384287</v>
      </c>
      <c r="AZ372" s="1">
        <f t="shared" si="717"/>
        <v>357618.50000000198</v>
      </c>
    </row>
    <row r="373" spans="1:52" x14ac:dyDescent="0.25">
      <c r="A373" s="4">
        <v>45552</v>
      </c>
      <c r="B373">
        <f t="shared" ref="B373:N373" si="816">(B923-B922)*100</f>
        <v>6.0000000000000497</v>
      </c>
      <c r="C373">
        <f t="shared" si="816"/>
        <v>4.9999999999999822</v>
      </c>
      <c r="D373">
        <f t="shared" si="816"/>
        <v>0.99999999999997868</v>
      </c>
      <c r="E373">
        <f t="shared" si="816"/>
        <v>0.99999999999997868</v>
      </c>
      <c r="F373">
        <f t="shared" si="816"/>
        <v>0</v>
      </c>
      <c r="G373">
        <f t="shared" si="816"/>
        <v>-3.0000000000000249</v>
      </c>
      <c r="H373">
        <f t="shared" si="816"/>
        <v>-2.9999999999999805</v>
      </c>
      <c r="I373">
        <f t="shared" si="816"/>
        <v>-3.0000000000000249</v>
      </c>
      <c r="J373">
        <f t="shared" si="816"/>
        <v>-2.9999999999999805</v>
      </c>
      <c r="K373">
        <f t="shared" si="816"/>
        <v>-2.0000000000000018</v>
      </c>
      <c r="L373">
        <f t="shared" si="816"/>
        <v>-2.0000000000000018</v>
      </c>
      <c r="M373">
        <f t="shared" si="816"/>
        <v>-0.99999999999997868</v>
      </c>
      <c r="N373">
        <f t="shared" si="816"/>
        <v>-2.0000000000000018</v>
      </c>
      <c r="O373" s="5">
        <f t="shared" si="800"/>
        <v>0</v>
      </c>
      <c r="P373" s="5">
        <f t="shared" si="800"/>
        <v>0</v>
      </c>
      <c r="Q373" s="5">
        <f t="shared" si="800"/>
        <v>0</v>
      </c>
      <c r="R373" s="5">
        <f t="shared" si="800"/>
        <v>0</v>
      </c>
      <c r="S373" s="5">
        <f t="shared" si="800"/>
        <v>0</v>
      </c>
      <c r="T373" s="5">
        <f t="shared" ref="T373:X373" si="817">LN(T922/T923)</f>
        <v>-3.6992623548843628E-3</v>
      </c>
      <c r="U373" s="5">
        <f t="shared" si="817"/>
        <v>-5.5213657069162429E-3</v>
      </c>
      <c r="V373" s="5">
        <f t="shared" si="817"/>
        <v>0</v>
      </c>
      <c r="W373" s="5">
        <f t="shared" si="817"/>
        <v>-5.6589105322742781E-3</v>
      </c>
      <c r="X373" s="5">
        <f t="shared" si="817"/>
        <v>-3.6873433191032578E-3</v>
      </c>
      <c r="Z373" s="4">
        <v>45552</v>
      </c>
      <c r="AA373">
        <f>B373*B$3</f>
        <v>-5898.0000000000491</v>
      </c>
      <c r="AB373">
        <f>C373*C$3</f>
        <v>-12919.999999999955</v>
      </c>
      <c r="AC373">
        <f>D373*D$3</f>
        <v>16142.999999999656</v>
      </c>
      <c r="AD373">
        <f>E373*E$3</f>
        <v>2427.9999999999482</v>
      </c>
      <c r="AE373">
        <f>F373*F$3</f>
        <v>0</v>
      </c>
      <c r="AF373">
        <f>G373*G$3</f>
        <v>46884.000000000386</v>
      </c>
      <c r="AG373">
        <f>H373*H$3</f>
        <v>84647.999999999447</v>
      </c>
      <c r="AH373">
        <f>I373*I$3</f>
        <v>55368.000000000458</v>
      </c>
      <c r="AI373">
        <f>J373*J$3</f>
        <v>153154.49999999901</v>
      </c>
      <c r="AJ373">
        <f>K373*K$3</f>
        <v>156790.00000000015</v>
      </c>
      <c r="AK373">
        <f>L373*L$3</f>
        <v>-62008.000000000058</v>
      </c>
      <c r="AL373">
        <f>M373*M$3</f>
        <v>-32072.999999999316</v>
      </c>
      <c r="AM373">
        <f>N373*N$3</f>
        <v>0</v>
      </c>
      <c r="AN373">
        <f>O373*O$3</f>
        <v>0</v>
      </c>
      <c r="AO373">
        <f>P373*P$3</f>
        <v>0</v>
      </c>
      <c r="AP373">
        <f>Q373*Q$3</f>
        <v>0</v>
      </c>
      <c r="AQ373">
        <f>R373*R$3</f>
        <v>0</v>
      </c>
      <c r="AR373" s="1">
        <f>S373*S$3</f>
        <v>0</v>
      </c>
      <c r="AS373" s="1">
        <f t="shared" ref="AS373:AW388" si="818">T373*T$3</f>
        <v>-14797.04941953745</v>
      </c>
      <c r="AT373" s="1">
        <f t="shared" si="818"/>
        <v>-44170.925655329942</v>
      </c>
      <c r="AU373" s="1">
        <f t="shared" si="818"/>
        <v>0</v>
      </c>
      <c r="AV373" s="1">
        <f t="shared" si="818"/>
        <v>0</v>
      </c>
      <c r="AW373" s="1">
        <f t="shared" si="818"/>
        <v>0</v>
      </c>
      <c r="AX373" s="1">
        <f t="shared" si="715"/>
        <v>343548.52492513228</v>
      </c>
      <c r="AY373" s="1">
        <f t="shared" si="716"/>
        <v>-58967.975074867391</v>
      </c>
      <c r="AZ373" s="1">
        <f t="shared" si="717"/>
        <v>402516.49999999965</v>
      </c>
    </row>
    <row r="374" spans="1:52" x14ac:dyDescent="0.25">
      <c r="A374" s="4">
        <v>45551</v>
      </c>
      <c r="B374">
        <f t="shared" ref="B374:N374" si="819">(B924-B923)*100</f>
        <v>4.0000000000000036</v>
      </c>
      <c r="C374">
        <f t="shared" si="819"/>
        <v>7.0000000000000284</v>
      </c>
      <c r="D374">
        <f t="shared" si="819"/>
        <v>0.99999999999997868</v>
      </c>
      <c r="E374">
        <f t="shared" si="819"/>
        <v>4.0000000000000036</v>
      </c>
      <c r="F374">
        <f t="shared" si="819"/>
        <v>4.9999999999999822</v>
      </c>
      <c r="G374">
        <f t="shared" si="819"/>
        <v>4.0000000000000036</v>
      </c>
      <c r="H374">
        <f t="shared" si="819"/>
        <v>0.99999999999997868</v>
      </c>
      <c r="I374">
        <f t="shared" si="819"/>
        <v>0</v>
      </c>
      <c r="J374">
        <f t="shared" si="819"/>
        <v>2.0000000000000018</v>
      </c>
      <c r="K374">
        <f t="shared" si="819"/>
        <v>2.0000000000000018</v>
      </c>
      <c r="L374">
        <f t="shared" si="819"/>
        <v>3.0000000000000249</v>
      </c>
      <c r="M374">
        <f t="shared" si="819"/>
        <v>4.0000000000000036</v>
      </c>
      <c r="N374">
        <f t="shared" si="819"/>
        <v>4.0000000000000036</v>
      </c>
      <c r="O374" s="5">
        <f t="shared" si="800"/>
        <v>0</v>
      </c>
      <c r="P374" s="5">
        <f t="shared" si="800"/>
        <v>0</v>
      </c>
      <c r="Q374" s="5">
        <f t="shared" si="800"/>
        <v>0</v>
      </c>
      <c r="R374" s="5">
        <f t="shared" si="800"/>
        <v>0</v>
      </c>
      <c r="S374" s="5">
        <f t="shared" si="800"/>
        <v>0</v>
      </c>
      <c r="T374" s="5">
        <f t="shared" ref="T374:X374" si="820">LN(T923/T924)</f>
        <v>-9.5318740929842456E-4</v>
      </c>
      <c r="U374" s="5">
        <f t="shared" si="820"/>
        <v>-4.3208872458331686E-4</v>
      </c>
      <c r="V374" s="5">
        <f t="shared" si="820"/>
        <v>-5.0232290969355661E-3</v>
      </c>
      <c r="W374" s="5">
        <f t="shared" si="820"/>
        <v>1.9495568586234933E-3</v>
      </c>
      <c r="X374" s="5">
        <f t="shared" si="820"/>
        <v>-2.5683402280436587E-3</v>
      </c>
      <c r="Z374" s="4">
        <v>45551</v>
      </c>
      <c r="AA374">
        <f>B374*B$3</f>
        <v>-3932.0000000000036</v>
      </c>
      <c r="AB374">
        <f>C374*C$3</f>
        <v>-18088.000000000073</v>
      </c>
      <c r="AC374">
        <f>D374*D$3</f>
        <v>16142.999999999656</v>
      </c>
      <c r="AD374">
        <f>E374*E$3</f>
        <v>9712.0000000000091</v>
      </c>
      <c r="AE374">
        <f>F374*F$3</f>
        <v>-62139.999999999782</v>
      </c>
      <c r="AF374">
        <f>G374*G$3</f>
        <v>-62512.000000000058</v>
      </c>
      <c r="AG374">
        <f>H374*H$3</f>
        <v>-28215.9999999994</v>
      </c>
      <c r="AH374">
        <f>I374*I$3</f>
        <v>0</v>
      </c>
      <c r="AI374">
        <f>J374*J$3</f>
        <v>-102103.00000000009</v>
      </c>
      <c r="AJ374">
        <f>K374*K$3</f>
        <v>-156790.00000000015</v>
      </c>
      <c r="AK374">
        <f>L374*L$3</f>
        <v>93012.000000000771</v>
      </c>
      <c r="AL374">
        <f>M374*M$3</f>
        <v>128292.00000000012</v>
      </c>
      <c r="AM374">
        <f>N374*N$3</f>
        <v>0</v>
      </c>
      <c r="AN374">
        <f>O374*O$3</f>
        <v>0</v>
      </c>
      <c r="AO374">
        <f>P374*P$3</f>
        <v>0</v>
      </c>
      <c r="AP374">
        <f>Q374*Q$3</f>
        <v>0</v>
      </c>
      <c r="AQ374">
        <f>R374*R$3</f>
        <v>0</v>
      </c>
      <c r="AR374" s="1">
        <f>S374*S$3</f>
        <v>0</v>
      </c>
      <c r="AS374" s="1">
        <f t="shared" si="818"/>
        <v>-3812.7496371936982</v>
      </c>
      <c r="AT374" s="1">
        <f t="shared" si="818"/>
        <v>-3456.7097966665351</v>
      </c>
      <c r="AU374" s="1">
        <f t="shared" si="818"/>
        <v>0</v>
      </c>
      <c r="AV374" s="1">
        <f t="shared" si="818"/>
        <v>0</v>
      </c>
      <c r="AW374" s="1">
        <f t="shared" si="818"/>
        <v>0</v>
      </c>
      <c r="AX374" s="1">
        <f t="shared" si="715"/>
        <v>-193891.45943385924</v>
      </c>
      <c r="AY374" s="1">
        <f t="shared" si="716"/>
        <v>-7269.4594338602328</v>
      </c>
      <c r="AZ374" s="1">
        <f t="shared" si="717"/>
        <v>-186621.99999999901</v>
      </c>
    </row>
    <row r="375" spans="1:52" x14ac:dyDescent="0.25">
      <c r="A375" s="4">
        <v>45548</v>
      </c>
      <c r="B375">
        <f t="shared" ref="B375:N375" si="821">(B925-B924)*100</f>
        <v>2.9999999999999361</v>
      </c>
      <c r="C375">
        <f t="shared" si="821"/>
        <v>4.9999999999999822</v>
      </c>
      <c r="D375">
        <f t="shared" si="821"/>
        <v>8.9999999999999858</v>
      </c>
      <c r="E375">
        <f t="shared" si="821"/>
        <v>4.9999999999999822</v>
      </c>
      <c r="F375">
        <f t="shared" si="821"/>
        <v>8.0000000000000071</v>
      </c>
      <c r="G375">
        <f t="shared" si="821"/>
        <v>8.9999999999999858</v>
      </c>
      <c r="H375">
        <f t="shared" si="821"/>
        <v>7.0000000000000284</v>
      </c>
      <c r="I375">
        <f t="shared" si="821"/>
        <v>5.0000000000000266</v>
      </c>
      <c r="J375">
        <f t="shared" si="821"/>
        <v>4.0000000000000036</v>
      </c>
      <c r="K375">
        <f t="shared" si="821"/>
        <v>4.0000000000000036</v>
      </c>
      <c r="L375">
        <f t="shared" si="821"/>
        <v>2.0000000000000018</v>
      </c>
      <c r="M375">
        <f t="shared" si="821"/>
        <v>2.0000000000000462</v>
      </c>
      <c r="N375">
        <f t="shared" si="821"/>
        <v>2.0000000000000018</v>
      </c>
      <c r="O375" s="5">
        <f t="shared" ref="O375:S384" si="822">LN(O924/O925)</f>
        <v>0</v>
      </c>
      <c r="P375" s="5">
        <f t="shared" si="822"/>
        <v>0</v>
      </c>
      <c r="Q375" s="5">
        <f t="shared" si="822"/>
        <v>0</v>
      </c>
      <c r="R375" s="5">
        <f t="shared" si="822"/>
        <v>0</v>
      </c>
      <c r="S375" s="5">
        <f t="shared" si="822"/>
        <v>0</v>
      </c>
      <c r="T375" s="5">
        <f t="shared" ref="T375:X375" si="823">LN(T924/T925)</f>
        <v>-6.0633495418657736E-3</v>
      </c>
      <c r="U375" s="5">
        <f t="shared" si="823"/>
        <v>-7.0925087120995755E-3</v>
      </c>
      <c r="V375" s="5">
        <f t="shared" si="823"/>
        <v>-7.6807537269686791E-3</v>
      </c>
      <c r="W375" s="5">
        <f t="shared" si="823"/>
        <v>-7.4457805941356365E-3</v>
      </c>
      <c r="X375" s="5">
        <f t="shared" si="823"/>
        <v>-3.1953394345160726E-3</v>
      </c>
      <c r="Z375" s="4">
        <v>45548</v>
      </c>
      <c r="AA375">
        <f>B375*B$3</f>
        <v>-2948.9999999999372</v>
      </c>
      <c r="AB375">
        <f>C375*C$3</f>
        <v>-12919.999999999955</v>
      </c>
      <c r="AC375">
        <f>D375*D$3</f>
        <v>145286.99999999977</v>
      </c>
      <c r="AD375">
        <f>E375*E$3</f>
        <v>12139.999999999956</v>
      </c>
      <c r="AE375">
        <f>F375*F$3</f>
        <v>-99424.000000000087</v>
      </c>
      <c r="AF375">
        <f>G375*G$3</f>
        <v>-140651.99999999977</v>
      </c>
      <c r="AG375">
        <f>H375*H$3</f>
        <v>-197512.00000000081</v>
      </c>
      <c r="AH375">
        <f>I375*I$3</f>
        <v>-92280.000000000495</v>
      </c>
      <c r="AI375">
        <f>J375*J$3</f>
        <v>-204206.00000000017</v>
      </c>
      <c r="AJ375">
        <f>K375*K$3</f>
        <v>-313580.00000000029</v>
      </c>
      <c r="AK375">
        <f>L375*L$3</f>
        <v>62008.000000000058</v>
      </c>
      <c r="AL375">
        <f>M375*M$3</f>
        <v>64146.000000001484</v>
      </c>
      <c r="AM375">
        <f>N375*N$3</f>
        <v>0</v>
      </c>
      <c r="AN375">
        <f>O375*O$3</f>
        <v>0</v>
      </c>
      <c r="AO375">
        <f>P375*P$3</f>
        <v>0</v>
      </c>
      <c r="AP375">
        <f>Q375*Q$3</f>
        <v>0</v>
      </c>
      <c r="AQ375">
        <f>R375*R$3</f>
        <v>0</v>
      </c>
      <c r="AR375" s="1">
        <f>S375*S$3</f>
        <v>0</v>
      </c>
      <c r="AS375" s="1">
        <f t="shared" si="818"/>
        <v>-24253.398167463096</v>
      </c>
      <c r="AT375" s="1">
        <f t="shared" si="818"/>
        <v>-56740.069696796607</v>
      </c>
      <c r="AU375" s="1">
        <f t="shared" si="818"/>
        <v>0</v>
      </c>
      <c r="AV375" s="1">
        <f t="shared" si="818"/>
        <v>0</v>
      </c>
      <c r="AW375" s="1">
        <f t="shared" si="818"/>
        <v>0</v>
      </c>
      <c r="AX375" s="1">
        <f t="shared" si="715"/>
        <v>-860935.46786425984</v>
      </c>
      <c r="AY375" s="1">
        <f t="shared" si="716"/>
        <v>-80993.467864259699</v>
      </c>
      <c r="AZ375" s="1">
        <f t="shared" si="717"/>
        <v>-779942.00000000012</v>
      </c>
    </row>
    <row r="376" spans="1:52" x14ac:dyDescent="0.25">
      <c r="A376" s="4">
        <v>45547</v>
      </c>
      <c r="B376">
        <f t="shared" ref="B376:N376" si="824">(B926-B925)*100</f>
        <v>3.0000000000000249</v>
      </c>
      <c r="C376">
        <f t="shared" si="824"/>
        <v>-2.9999999999999361</v>
      </c>
      <c r="D376">
        <f t="shared" si="824"/>
        <v>4.0000000000000036</v>
      </c>
      <c r="E376">
        <f t="shared" si="824"/>
        <v>2.0000000000000462</v>
      </c>
      <c r="F376">
        <f t="shared" si="824"/>
        <v>4.0000000000000036</v>
      </c>
      <c r="G376">
        <f t="shared" si="824"/>
        <v>3.0000000000000249</v>
      </c>
      <c r="H376">
        <f t="shared" si="824"/>
        <v>-2.0000000000000018</v>
      </c>
      <c r="I376">
        <f t="shared" si="824"/>
        <v>-2.0000000000000018</v>
      </c>
      <c r="J376">
        <f t="shared" si="824"/>
        <v>-2.0000000000000018</v>
      </c>
      <c r="K376">
        <f t="shared" si="824"/>
        <v>-2.9999999999999805</v>
      </c>
      <c r="L376">
        <f t="shared" si="824"/>
        <v>-3.0000000000000249</v>
      </c>
      <c r="M376">
        <f t="shared" si="824"/>
        <v>-4.0000000000000036</v>
      </c>
      <c r="N376">
        <f t="shared" si="824"/>
        <v>-4.0000000000000036</v>
      </c>
      <c r="O376" s="5">
        <f t="shared" si="822"/>
        <v>0</v>
      </c>
      <c r="P376" s="5">
        <f t="shared" si="822"/>
        <v>0</v>
      </c>
      <c r="Q376" s="5">
        <f t="shared" si="822"/>
        <v>0</v>
      </c>
      <c r="R376" s="5">
        <f t="shared" si="822"/>
        <v>0</v>
      </c>
      <c r="S376" s="5">
        <f t="shared" si="822"/>
        <v>0</v>
      </c>
      <c r="T376" s="5">
        <f t="shared" ref="T376:X376" si="825">LN(T925/T926)</f>
        <v>9.1431024079713266E-4</v>
      </c>
      <c r="U376" s="5">
        <f t="shared" si="825"/>
        <v>3.1212853425115726E-3</v>
      </c>
      <c r="V376" s="5">
        <f t="shared" si="825"/>
        <v>2.4998104490548769E-3</v>
      </c>
      <c r="W376" s="5">
        <f t="shared" si="825"/>
        <v>-3.5558135142471103E-3</v>
      </c>
      <c r="X376" s="5">
        <f t="shared" si="825"/>
        <v>7.0384998739120713E-3</v>
      </c>
      <c r="Z376" s="4">
        <v>45547</v>
      </c>
      <c r="AA376">
        <f>B376*B$3</f>
        <v>-2949.0000000000246</v>
      </c>
      <c r="AB376">
        <f>C376*C$3</f>
        <v>7751.9999999998345</v>
      </c>
      <c r="AC376">
        <f>D376*D$3</f>
        <v>64572.000000000058</v>
      </c>
      <c r="AD376">
        <f>E376*E$3</f>
        <v>4856.0000000001119</v>
      </c>
      <c r="AE376">
        <f>F376*F$3</f>
        <v>-49712.000000000044</v>
      </c>
      <c r="AF376">
        <f>G376*G$3</f>
        <v>-46884.000000000386</v>
      </c>
      <c r="AG376">
        <f>H376*H$3</f>
        <v>56432.000000000051</v>
      </c>
      <c r="AH376">
        <f>I376*I$3</f>
        <v>36912.000000000036</v>
      </c>
      <c r="AI376">
        <f>J376*J$3</f>
        <v>102103.00000000009</v>
      </c>
      <c r="AJ376">
        <f>K376*K$3</f>
        <v>235184.99999999846</v>
      </c>
      <c r="AK376">
        <f>L376*L$3</f>
        <v>-93012.000000000771</v>
      </c>
      <c r="AL376">
        <f>M376*M$3</f>
        <v>-128292.00000000012</v>
      </c>
      <c r="AM376">
        <f>N376*N$3</f>
        <v>0</v>
      </c>
      <c r="AN376">
        <f>O376*O$3</f>
        <v>0</v>
      </c>
      <c r="AO376">
        <f>P376*P$3</f>
        <v>0</v>
      </c>
      <c r="AP376">
        <f>Q376*Q$3</f>
        <v>0</v>
      </c>
      <c r="AQ376">
        <f>R376*R$3</f>
        <v>0</v>
      </c>
      <c r="AR376" s="1">
        <f>S376*S$3</f>
        <v>0</v>
      </c>
      <c r="AS376" s="1">
        <f t="shared" si="818"/>
        <v>3657.2409631885307</v>
      </c>
      <c r="AT376" s="1">
        <f t="shared" si="818"/>
        <v>24970.282740092582</v>
      </c>
      <c r="AU376" s="1">
        <f t="shared" si="818"/>
        <v>0</v>
      </c>
      <c r="AV376" s="1">
        <f t="shared" si="818"/>
        <v>0</v>
      </c>
      <c r="AW376" s="1">
        <f t="shared" si="818"/>
        <v>0</v>
      </c>
      <c r="AX376" s="1">
        <f t="shared" si="715"/>
        <v>215590.52370327842</v>
      </c>
      <c r="AY376" s="1">
        <f t="shared" si="716"/>
        <v>28627.523703281113</v>
      </c>
      <c r="AZ376" s="1">
        <f t="shared" si="717"/>
        <v>186962.99999999732</v>
      </c>
    </row>
    <row r="377" spans="1:52" x14ac:dyDescent="0.25">
      <c r="A377" s="4">
        <v>45546</v>
      </c>
      <c r="B377">
        <f t="shared" ref="B377:N377" si="826">(B927-B926)*100</f>
        <v>-3.0000000000000249</v>
      </c>
      <c r="C377">
        <f t="shared" si="826"/>
        <v>-1.0000000000000675</v>
      </c>
      <c r="D377">
        <f t="shared" si="826"/>
        <v>-4.0000000000000036</v>
      </c>
      <c r="E377">
        <f t="shared" si="826"/>
        <v>-7.0000000000000284</v>
      </c>
      <c r="F377">
        <f t="shared" si="826"/>
        <v>-6.9999999999999396</v>
      </c>
      <c r="G377">
        <f t="shared" si="826"/>
        <v>-4.9999999999999822</v>
      </c>
      <c r="H377">
        <f t="shared" si="826"/>
        <v>-3.0000000000000249</v>
      </c>
      <c r="I377">
        <f t="shared" si="826"/>
        <v>-3.0000000000000249</v>
      </c>
      <c r="J377">
        <f t="shared" si="826"/>
        <v>-2.0000000000000018</v>
      </c>
      <c r="K377">
        <f t="shared" si="826"/>
        <v>-1.0000000000000231</v>
      </c>
      <c r="L377">
        <f t="shared" si="826"/>
        <v>0</v>
      </c>
      <c r="M377">
        <f t="shared" si="826"/>
        <v>0.99999999999997868</v>
      </c>
      <c r="N377">
        <f t="shared" si="826"/>
        <v>1.0000000000000231</v>
      </c>
      <c r="O377" s="5">
        <f t="shared" si="822"/>
        <v>0</v>
      </c>
      <c r="P377" s="5">
        <f t="shared" si="822"/>
        <v>0</v>
      </c>
      <c r="Q377" s="5">
        <f t="shared" si="822"/>
        <v>0</v>
      </c>
      <c r="R377" s="5">
        <f t="shared" si="822"/>
        <v>0</v>
      </c>
      <c r="S377" s="5">
        <f t="shared" si="822"/>
        <v>0</v>
      </c>
      <c r="T377" s="5">
        <f t="shared" ref="T377:X377" si="827">LN(T926/T927)</f>
        <v>1.4999986599802532E-3</v>
      </c>
      <c r="U377" s="5">
        <f t="shared" si="827"/>
        <v>-6.8001974942049335E-4</v>
      </c>
      <c r="V377" s="5">
        <f t="shared" si="827"/>
        <v>-6.6080975806677555E-3</v>
      </c>
      <c r="W377" s="5">
        <f t="shared" si="827"/>
        <v>6.8823623448831174E-4</v>
      </c>
      <c r="X377" s="5">
        <f t="shared" si="827"/>
        <v>-3.3370928438092857E-3</v>
      </c>
      <c r="Z377" s="4">
        <v>45546</v>
      </c>
      <c r="AA377">
        <f>B377*B$3</f>
        <v>2949.0000000000246</v>
      </c>
      <c r="AB377">
        <f>C377*C$3</f>
        <v>2584.0000000001746</v>
      </c>
      <c r="AC377">
        <f>D377*D$3</f>
        <v>-64572.000000000058</v>
      </c>
      <c r="AD377">
        <f>E377*E$3</f>
        <v>-16996.000000000069</v>
      </c>
      <c r="AE377">
        <f>F377*F$3</f>
        <v>86995.999999999243</v>
      </c>
      <c r="AF377">
        <f>G377*G$3</f>
        <v>78139.999999999724</v>
      </c>
      <c r="AG377">
        <f>H377*H$3</f>
        <v>84648.000000000698</v>
      </c>
      <c r="AH377">
        <f>I377*I$3</f>
        <v>55368.000000000458</v>
      </c>
      <c r="AI377">
        <f>J377*J$3</f>
        <v>102103.00000000009</v>
      </c>
      <c r="AJ377">
        <f>K377*K$3</f>
        <v>78395.000000001804</v>
      </c>
      <c r="AK377">
        <f>L377*L$3</f>
        <v>0</v>
      </c>
      <c r="AL377">
        <f>M377*M$3</f>
        <v>32072.999999999316</v>
      </c>
      <c r="AM377">
        <f>N377*N$3</f>
        <v>0</v>
      </c>
      <c r="AN377">
        <f>O377*O$3</f>
        <v>0</v>
      </c>
      <c r="AO377">
        <f>P377*P$3</f>
        <v>0</v>
      </c>
      <c r="AP377">
        <f>Q377*Q$3</f>
        <v>0</v>
      </c>
      <c r="AQ377">
        <f>R377*R$3</f>
        <v>0</v>
      </c>
      <c r="AR377" s="1">
        <f>S377*S$3</f>
        <v>0</v>
      </c>
      <c r="AS377" s="1">
        <f t="shared" si="818"/>
        <v>5999.994639921013</v>
      </c>
      <c r="AT377" s="1">
        <f t="shared" si="818"/>
        <v>-5440.1579953639466</v>
      </c>
      <c r="AU377" s="1">
        <f t="shared" si="818"/>
        <v>0</v>
      </c>
      <c r="AV377" s="1">
        <f t="shared" si="818"/>
        <v>0</v>
      </c>
      <c r="AW377" s="1">
        <f t="shared" si="818"/>
        <v>0</v>
      </c>
      <c r="AX377" s="1">
        <f t="shared" si="715"/>
        <v>442247.83664455847</v>
      </c>
      <c r="AY377" s="1">
        <f t="shared" si="716"/>
        <v>559.83664455706639</v>
      </c>
      <c r="AZ377" s="1">
        <f t="shared" si="717"/>
        <v>441688.0000000014</v>
      </c>
    </row>
    <row r="378" spans="1:52" x14ac:dyDescent="0.25">
      <c r="A378" s="4">
        <v>45545</v>
      </c>
      <c r="B378">
        <f t="shared" ref="B378:N378" si="828">(B928-B927)*100</f>
        <v>7.0000000000000284</v>
      </c>
      <c r="C378">
        <f t="shared" si="828"/>
        <v>7.0000000000000284</v>
      </c>
      <c r="D378">
        <f t="shared" si="828"/>
        <v>5.0000000000000711</v>
      </c>
      <c r="E378">
        <f t="shared" si="828"/>
        <v>7.0000000000000284</v>
      </c>
      <c r="F378">
        <f t="shared" si="828"/>
        <v>2.9999999999999361</v>
      </c>
      <c r="G378">
        <f t="shared" si="828"/>
        <v>4.9999999999999822</v>
      </c>
      <c r="H378">
        <f t="shared" si="828"/>
        <v>9.0000000000000302</v>
      </c>
      <c r="I378">
        <f t="shared" si="828"/>
        <v>12.000000000000011</v>
      </c>
      <c r="J378">
        <f t="shared" si="828"/>
        <v>6.0000000000000053</v>
      </c>
      <c r="K378">
        <f t="shared" si="828"/>
        <v>5.0000000000000266</v>
      </c>
      <c r="L378">
        <f t="shared" si="828"/>
        <v>5.0000000000000266</v>
      </c>
      <c r="M378">
        <f t="shared" si="828"/>
        <v>4.0000000000000036</v>
      </c>
      <c r="N378">
        <f t="shared" si="828"/>
        <v>2.9999999999999805</v>
      </c>
      <c r="O378" s="5">
        <f t="shared" si="822"/>
        <v>0</v>
      </c>
      <c r="P378" s="5">
        <f t="shared" si="822"/>
        <v>0</v>
      </c>
      <c r="Q378" s="5">
        <f t="shared" si="822"/>
        <v>0</v>
      </c>
      <c r="R378" s="5">
        <f t="shared" si="822"/>
        <v>0</v>
      </c>
      <c r="S378" s="5">
        <f t="shared" si="822"/>
        <v>0</v>
      </c>
      <c r="T378" s="5">
        <f t="shared" ref="T378:X378" si="829">LN(T927/T928)</f>
        <v>4.4913814645812069E-3</v>
      </c>
      <c r="U378" s="5">
        <f t="shared" si="829"/>
        <v>4.7299423684149479E-3</v>
      </c>
      <c r="V378" s="5">
        <f t="shared" si="829"/>
        <v>4.8379445911079424E-3</v>
      </c>
      <c r="W378" s="5">
        <f t="shared" si="829"/>
        <v>1.9391991057068432E-3</v>
      </c>
      <c r="X378" s="5">
        <f t="shared" si="829"/>
        <v>6.5076467669286852E-3</v>
      </c>
      <c r="Z378" s="4">
        <v>45545</v>
      </c>
      <c r="AA378">
        <f>B378*B$3</f>
        <v>-6881.0000000000282</v>
      </c>
      <c r="AB378">
        <f>C378*C$3</f>
        <v>-18088.000000000073</v>
      </c>
      <c r="AC378">
        <f>D378*D$3</f>
        <v>80715.00000000115</v>
      </c>
      <c r="AD378">
        <f>E378*E$3</f>
        <v>16996.000000000069</v>
      </c>
      <c r="AE378">
        <f>F378*F$3</f>
        <v>-37283.999999999207</v>
      </c>
      <c r="AF378">
        <f>G378*G$3</f>
        <v>-78139.999999999724</v>
      </c>
      <c r="AG378">
        <f>H378*H$3</f>
        <v>-253944.00000000084</v>
      </c>
      <c r="AH378">
        <f>I378*I$3</f>
        <v>-221472.0000000002</v>
      </c>
      <c r="AI378">
        <f>J378*J$3</f>
        <v>-306309.00000000029</v>
      </c>
      <c r="AJ378">
        <f>K378*K$3</f>
        <v>-391975.0000000021</v>
      </c>
      <c r="AK378">
        <f>L378*L$3</f>
        <v>155020.00000000081</v>
      </c>
      <c r="AL378">
        <f>M378*M$3</f>
        <v>128292.00000000012</v>
      </c>
      <c r="AM378">
        <f>N378*N$3</f>
        <v>0</v>
      </c>
      <c r="AN378">
        <f>O378*O$3</f>
        <v>0</v>
      </c>
      <c r="AO378">
        <f>P378*P$3</f>
        <v>0</v>
      </c>
      <c r="AP378">
        <f>Q378*Q$3</f>
        <v>0</v>
      </c>
      <c r="AQ378">
        <f>R378*R$3</f>
        <v>0</v>
      </c>
      <c r="AR378" s="1">
        <f>S378*S$3</f>
        <v>0</v>
      </c>
      <c r="AS378" s="1">
        <f t="shared" si="818"/>
        <v>17965.525858324829</v>
      </c>
      <c r="AT378" s="1">
        <f t="shared" si="818"/>
        <v>37839.538947319583</v>
      </c>
      <c r="AU378" s="1">
        <f t="shared" si="818"/>
        <v>0</v>
      </c>
      <c r="AV378" s="1">
        <f t="shared" si="818"/>
        <v>0</v>
      </c>
      <c r="AW378" s="1">
        <f t="shared" si="818"/>
        <v>0</v>
      </c>
      <c r="AX378" s="1">
        <f t="shared" si="715"/>
        <v>-877264.9351943559</v>
      </c>
      <c r="AY378" s="1">
        <f t="shared" si="716"/>
        <v>55805.064805644412</v>
      </c>
      <c r="AZ378" s="1">
        <f t="shared" si="717"/>
        <v>-933070.00000000035</v>
      </c>
    </row>
    <row r="379" spans="1:52" x14ac:dyDescent="0.25">
      <c r="A379" s="4">
        <v>45544</v>
      </c>
      <c r="B379">
        <f t="shared" ref="B379:N379" si="830">(B929-B928)*100</f>
        <v>3.0000000000000249</v>
      </c>
      <c r="C379">
        <f t="shared" si="830"/>
        <v>3.0000000000000249</v>
      </c>
      <c r="D379">
        <f t="shared" si="830"/>
        <v>1.9999999999999574</v>
      </c>
      <c r="E379">
        <f t="shared" si="830"/>
        <v>2.9999999999999361</v>
      </c>
      <c r="F379">
        <f t="shared" si="830"/>
        <v>1.0000000000000675</v>
      </c>
      <c r="G379">
        <f t="shared" si="830"/>
        <v>-2.0000000000000462</v>
      </c>
      <c r="H379">
        <f t="shared" si="830"/>
        <v>-2.0000000000000018</v>
      </c>
      <c r="I379">
        <f t="shared" si="830"/>
        <v>0</v>
      </c>
      <c r="J379">
        <f t="shared" si="830"/>
        <v>0.99999999999997868</v>
      </c>
      <c r="K379">
        <f t="shared" si="830"/>
        <v>2.0000000000000018</v>
      </c>
      <c r="L379">
        <f t="shared" si="830"/>
        <v>2.0000000000000018</v>
      </c>
      <c r="M379">
        <f t="shared" si="830"/>
        <v>1.9999999999999574</v>
      </c>
      <c r="N379">
        <f t="shared" si="830"/>
        <v>3.0000000000000249</v>
      </c>
      <c r="O379" s="5">
        <f t="shared" si="822"/>
        <v>0</v>
      </c>
      <c r="P379" s="5">
        <f t="shared" si="822"/>
        <v>0</v>
      </c>
      <c r="Q379" s="5">
        <f t="shared" si="822"/>
        <v>0</v>
      </c>
      <c r="R379" s="5">
        <f t="shared" si="822"/>
        <v>0</v>
      </c>
      <c r="S379" s="5">
        <f t="shared" si="822"/>
        <v>0</v>
      </c>
      <c r="T379" s="5">
        <f t="shared" ref="T379:X379" si="831">LN(T928/T929)</f>
        <v>2.1532334949164724E-3</v>
      </c>
      <c r="U379" s="5">
        <f t="shared" si="831"/>
        <v>3.3547014885819352E-3</v>
      </c>
      <c r="V379" s="5">
        <f t="shared" si="831"/>
        <v>-6.3454537745848676E-3</v>
      </c>
      <c r="W379" s="5">
        <f t="shared" si="831"/>
        <v>1.0394292628901873E-2</v>
      </c>
      <c r="X379" s="5">
        <f t="shared" si="831"/>
        <v>1.5404855851591806E-4</v>
      </c>
      <c r="Z379" s="4">
        <v>45544</v>
      </c>
      <c r="AA379">
        <f>B379*B$3</f>
        <v>-2949.0000000000246</v>
      </c>
      <c r="AB379">
        <f>C379*C$3</f>
        <v>-7752.0000000000646</v>
      </c>
      <c r="AC379">
        <f>D379*D$3</f>
        <v>32285.999999999312</v>
      </c>
      <c r="AD379">
        <f>E379*E$3</f>
        <v>7283.9999999998445</v>
      </c>
      <c r="AE379">
        <f>F379*F$3</f>
        <v>-12428.000000000839</v>
      </c>
      <c r="AF379">
        <f>G379*G$3</f>
        <v>31256.00000000072</v>
      </c>
      <c r="AG379">
        <f>H379*H$3</f>
        <v>56432.000000000051</v>
      </c>
      <c r="AH379">
        <f>I379*I$3</f>
        <v>0</v>
      </c>
      <c r="AI379">
        <f>J379*J$3</f>
        <v>-51051.499999998909</v>
      </c>
      <c r="AJ379">
        <f>K379*K$3</f>
        <v>-156790.00000000015</v>
      </c>
      <c r="AK379">
        <f>L379*L$3</f>
        <v>62008.000000000058</v>
      </c>
      <c r="AL379">
        <f>M379*M$3</f>
        <v>64145.999999998632</v>
      </c>
      <c r="AM379">
        <f>N379*N$3</f>
        <v>0</v>
      </c>
      <c r="AN379">
        <f>O379*O$3</f>
        <v>0</v>
      </c>
      <c r="AO379">
        <f>P379*P$3</f>
        <v>0</v>
      </c>
      <c r="AP379">
        <f>Q379*Q$3</f>
        <v>0</v>
      </c>
      <c r="AQ379">
        <f>R379*R$3</f>
        <v>0</v>
      </c>
      <c r="AR379" s="1">
        <f>S379*S$3</f>
        <v>0</v>
      </c>
      <c r="AS379" s="1">
        <f t="shared" si="818"/>
        <v>8612.9339796658896</v>
      </c>
      <c r="AT379" s="1">
        <f t="shared" si="818"/>
        <v>26837.611908655483</v>
      </c>
      <c r="AU379" s="1">
        <f t="shared" si="818"/>
        <v>0</v>
      </c>
      <c r="AV379" s="1">
        <f t="shared" si="818"/>
        <v>0</v>
      </c>
      <c r="AW379" s="1">
        <f t="shared" si="818"/>
        <v>0</v>
      </c>
      <c r="AX379" s="1">
        <f t="shared" si="715"/>
        <v>57892.045888320004</v>
      </c>
      <c r="AY379" s="1">
        <f t="shared" si="716"/>
        <v>35450.545888321372</v>
      </c>
      <c r="AZ379" s="1">
        <f t="shared" si="717"/>
        <v>22441.499999998632</v>
      </c>
    </row>
    <row r="380" spans="1:52" x14ac:dyDescent="0.25">
      <c r="A380" s="4">
        <v>45541</v>
      </c>
      <c r="B380">
        <f t="shared" ref="B380:N380" si="832">(B930-B929)*100</f>
        <v>1.9999999999999574</v>
      </c>
      <c r="C380">
        <f t="shared" si="832"/>
        <v>0.99999999999997868</v>
      </c>
      <c r="D380">
        <f t="shared" si="832"/>
        <v>2.0000000000000462</v>
      </c>
      <c r="E380">
        <f t="shared" si="832"/>
        <v>2.0000000000000462</v>
      </c>
      <c r="F380">
        <f t="shared" si="832"/>
        <v>4.0000000000000036</v>
      </c>
      <c r="G380">
        <f t="shared" si="832"/>
        <v>11.000000000000032</v>
      </c>
      <c r="H380">
        <f t="shared" si="832"/>
        <v>8.9999999999999858</v>
      </c>
      <c r="I380">
        <f t="shared" si="832"/>
        <v>6.999999999999984</v>
      </c>
      <c r="J380">
        <f t="shared" si="832"/>
        <v>4.0000000000000036</v>
      </c>
      <c r="K380">
        <f t="shared" si="832"/>
        <v>2.9999999999999805</v>
      </c>
      <c r="L380">
        <f t="shared" si="832"/>
        <v>0.99999999999997868</v>
      </c>
      <c r="M380">
        <f t="shared" si="832"/>
        <v>1.0000000000000675</v>
      </c>
      <c r="N380">
        <f t="shared" si="832"/>
        <v>-1.0000000000000675</v>
      </c>
      <c r="O380" s="5">
        <f t="shared" si="822"/>
        <v>0</v>
      </c>
      <c r="P380" s="5">
        <f t="shared" si="822"/>
        <v>0</v>
      </c>
      <c r="Q380" s="5">
        <f t="shared" si="822"/>
        <v>0</v>
      </c>
      <c r="R380" s="5">
        <f t="shared" si="822"/>
        <v>0</v>
      </c>
      <c r="S380" s="5">
        <f t="shared" si="822"/>
        <v>0</v>
      </c>
      <c r="T380" s="5">
        <f t="shared" ref="T380:X380" si="833">LN(T929/T930)</f>
        <v>-2.7629480659716742E-3</v>
      </c>
      <c r="U380" s="5">
        <f t="shared" si="833"/>
        <v>-2.4875137896372434E-3</v>
      </c>
      <c r="V380" s="5">
        <f t="shared" si="833"/>
        <v>4.8131253428030518E-4</v>
      </c>
      <c r="W380" s="5">
        <f t="shared" si="833"/>
        <v>-3.6137489558217308E-3</v>
      </c>
      <c r="X380" s="5">
        <f t="shared" si="833"/>
        <v>-2.6392754703494698E-3</v>
      </c>
      <c r="Z380" s="4">
        <v>45541</v>
      </c>
      <c r="AA380">
        <f>B380*B$3</f>
        <v>-1965.9999999999582</v>
      </c>
      <c r="AB380">
        <f>C380*C$3</f>
        <v>-2583.999999999945</v>
      </c>
      <c r="AC380">
        <f>D380*D$3</f>
        <v>32286.000000000746</v>
      </c>
      <c r="AD380">
        <f>E380*E$3</f>
        <v>4856.0000000001119</v>
      </c>
      <c r="AE380">
        <f>F380*F$3</f>
        <v>-49712.000000000044</v>
      </c>
      <c r="AF380">
        <f>G380*G$3</f>
        <v>-171908.00000000049</v>
      </c>
      <c r="AG380">
        <f>H380*H$3</f>
        <v>-253943.99999999959</v>
      </c>
      <c r="AH380">
        <f>I380*I$3</f>
        <v>-129191.99999999971</v>
      </c>
      <c r="AI380">
        <f>J380*J$3</f>
        <v>-204206.00000000017</v>
      </c>
      <c r="AJ380">
        <f>K380*K$3</f>
        <v>-235184.99999999846</v>
      </c>
      <c r="AK380">
        <f>L380*L$3</f>
        <v>31003.999999999338</v>
      </c>
      <c r="AL380">
        <f>M380*M$3</f>
        <v>32073.000000002165</v>
      </c>
      <c r="AM380">
        <f>N380*N$3</f>
        <v>0</v>
      </c>
      <c r="AN380">
        <f>O380*O$3</f>
        <v>0</v>
      </c>
      <c r="AO380">
        <f>P380*P$3</f>
        <v>0</v>
      </c>
      <c r="AP380">
        <f>Q380*Q$3</f>
        <v>0</v>
      </c>
      <c r="AQ380">
        <f>R380*R$3</f>
        <v>0</v>
      </c>
      <c r="AR380" s="1">
        <f>S380*S$3</f>
        <v>0</v>
      </c>
      <c r="AS380" s="1">
        <f t="shared" si="818"/>
        <v>-11051.792263886697</v>
      </c>
      <c r="AT380" s="1">
        <f t="shared" si="818"/>
        <v>-19900.110317097948</v>
      </c>
      <c r="AU380" s="1">
        <f t="shared" si="818"/>
        <v>0</v>
      </c>
      <c r="AV380" s="1">
        <f t="shared" si="818"/>
        <v>0</v>
      </c>
      <c r="AW380" s="1">
        <f t="shared" si="818"/>
        <v>0</v>
      </c>
      <c r="AX380" s="1">
        <f t="shared" si="715"/>
        <v>-979429.90258098068</v>
      </c>
      <c r="AY380" s="1">
        <f t="shared" si="716"/>
        <v>-30951.902580984643</v>
      </c>
      <c r="AZ380" s="1">
        <f t="shared" si="717"/>
        <v>-948477.99999999604</v>
      </c>
    </row>
    <row r="381" spans="1:52" x14ac:dyDescent="0.25">
      <c r="A381" s="4">
        <v>45540</v>
      </c>
      <c r="B381">
        <f t="shared" ref="B381:N381" si="834">(B931-B930)*100</f>
        <v>3.0000000000000249</v>
      </c>
      <c r="C381">
        <f t="shared" si="834"/>
        <v>-0.99999999999997868</v>
      </c>
      <c r="D381">
        <f t="shared" si="834"/>
        <v>2.9999999999999361</v>
      </c>
      <c r="E381">
        <f t="shared" si="834"/>
        <v>0.99999999999997868</v>
      </c>
      <c r="F381">
        <f t="shared" si="834"/>
        <v>0.99999999999997868</v>
      </c>
      <c r="G381">
        <f t="shared" si="834"/>
        <v>2.0000000000000462</v>
      </c>
      <c r="H381">
        <f t="shared" si="834"/>
        <v>0.99999999999997868</v>
      </c>
      <c r="I381">
        <f t="shared" si="834"/>
        <v>2.0000000000000018</v>
      </c>
      <c r="J381">
        <f t="shared" si="834"/>
        <v>2.0000000000000018</v>
      </c>
      <c r="K381">
        <f t="shared" si="834"/>
        <v>2.0000000000000018</v>
      </c>
      <c r="L381">
        <f t="shared" si="834"/>
        <v>4.0000000000000036</v>
      </c>
      <c r="M381">
        <f t="shared" si="834"/>
        <v>2.9999999999999361</v>
      </c>
      <c r="N381">
        <f t="shared" si="834"/>
        <v>4.0000000000000036</v>
      </c>
      <c r="O381" s="5">
        <f t="shared" si="822"/>
        <v>0</v>
      </c>
      <c r="P381" s="5">
        <f t="shared" si="822"/>
        <v>0</v>
      </c>
      <c r="Q381" s="5">
        <f t="shared" si="822"/>
        <v>0</v>
      </c>
      <c r="R381" s="5">
        <f t="shared" si="822"/>
        <v>0</v>
      </c>
      <c r="S381" s="5">
        <f t="shared" si="822"/>
        <v>0</v>
      </c>
      <c r="T381" s="5">
        <f t="shared" ref="T381:X381" si="835">LN(T930/T931)</f>
        <v>-2.8546480269669022E-3</v>
      </c>
      <c r="U381" s="5">
        <f t="shared" si="835"/>
        <v>-2.3369898745621465E-3</v>
      </c>
      <c r="V381" s="5">
        <f t="shared" si="835"/>
        <v>-1.4057407399409326E-2</v>
      </c>
      <c r="W381" s="5">
        <f t="shared" si="835"/>
        <v>-3.2566846980292192E-4</v>
      </c>
      <c r="X381" s="5">
        <f t="shared" si="835"/>
        <v>-4.587327318558934E-3</v>
      </c>
      <c r="Z381" s="4">
        <v>45540</v>
      </c>
      <c r="AA381">
        <f>B381*B$3</f>
        <v>-2949.0000000000246</v>
      </c>
      <c r="AB381">
        <f>C381*C$3</f>
        <v>2583.999999999945</v>
      </c>
      <c r="AC381">
        <f>D381*D$3</f>
        <v>48428.999999998967</v>
      </c>
      <c r="AD381">
        <f>E381*E$3</f>
        <v>2427.9999999999482</v>
      </c>
      <c r="AE381">
        <f>F381*F$3</f>
        <v>-12427.999999999734</v>
      </c>
      <c r="AF381">
        <f>G381*G$3</f>
        <v>-31256.00000000072</v>
      </c>
      <c r="AG381">
        <f>H381*H$3</f>
        <v>-28215.9999999994</v>
      </c>
      <c r="AH381">
        <f>I381*I$3</f>
        <v>-36912.000000000036</v>
      </c>
      <c r="AI381">
        <f>J381*J$3</f>
        <v>-102103.00000000009</v>
      </c>
      <c r="AJ381">
        <f>K381*K$3</f>
        <v>-156790.00000000015</v>
      </c>
      <c r="AK381">
        <f>L381*L$3</f>
        <v>124016.00000000012</v>
      </c>
      <c r="AL381">
        <f>M381*M$3</f>
        <v>96218.999999997948</v>
      </c>
      <c r="AM381">
        <f>N381*N$3</f>
        <v>0</v>
      </c>
      <c r="AN381">
        <f>O381*O$3</f>
        <v>0</v>
      </c>
      <c r="AO381">
        <f>P381*P$3</f>
        <v>0</v>
      </c>
      <c r="AP381">
        <f>Q381*Q$3</f>
        <v>0</v>
      </c>
      <c r="AQ381">
        <f>R381*R$3</f>
        <v>0</v>
      </c>
      <c r="AR381" s="1">
        <f>S381*S$3</f>
        <v>0</v>
      </c>
      <c r="AS381" s="1">
        <f t="shared" si="818"/>
        <v>-11418.592107867609</v>
      </c>
      <c r="AT381" s="1">
        <f t="shared" si="818"/>
        <v>-18695.91899649717</v>
      </c>
      <c r="AU381" s="1">
        <f t="shared" si="818"/>
        <v>0</v>
      </c>
      <c r="AV381" s="1">
        <f t="shared" si="818"/>
        <v>0</v>
      </c>
      <c r="AW381" s="1">
        <f t="shared" si="818"/>
        <v>0</v>
      </c>
      <c r="AX381" s="1">
        <f t="shared" si="715"/>
        <v>-127092.51110436799</v>
      </c>
      <c r="AY381" s="1">
        <f t="shared" si="716"/>
        <v>-30114.511104364778</v>
      </c>
      <c r="AZ381" s="1">
        <f t="shared" si="717"/>
        <v>-96978.000000003216</v>
      </c>
    </row>
    <row r="382" spans="1:52" x14ac:dyDescent="0.25">
      <c r="A382" s="4">
        <v>45539</v>
      </c>
      <c r="B382">
        <f t="shared" ref="B382:N382" si="836">(B932-B931)*100</f>
        <v>4.9999999999999822</v>
      </c>
      <c r="C382">
        <f t="shared" si="836"/>
        <v>2.9999999999999361</v>
      </c>
      <c r="D382">
        <f t="shared" si="836"/>
        <v>1.0000000000000675</v>
      </c>
      <c r="E382">
        <f t="shared" si="836"/>
        <v>4.9999999999999822</v>
      </c>
      <c r="F382">
        <f t="shared" si="836"/>
        <v>5.9999999999999609</v>
      </c>
      <c r="G382">
        <f t="shared" si="836"/>
        <v>11.999999999999922</v>
      </c>
      <c r="H382">
        <f t="shared" si="836"/>
        <v>12.000000000000011</v>
      </c>
      <c r="I382">
        <f t="shared" si="836"/>
        <v>10.000000000000009</v>
      </c>
      <c r="J382">
        <f t="shared" si="836"/>
        <v>8.9999999999999858</v>
      </c>
      <c r="K382">
        <f t="shared" si="836"/>
        <v>8.0000000000000071</v>
      </c>
      <c r="L382">
        <f t="shared" si="836"/>
        <v>6.999999999999984</v>
      </c>
      <c r="M382">
        <f t="shared" si="836"/>
        <v>7.0000000000000284</v>
      </c>
      <c r="N382">
        <f t="shared" si="836"/>
        <v>7.0000000000000284</v>
      </c>
      <c r="O382" s="5">
        <f t="shared" si="822"/>
        <v>0</v>
      </c>
      <c r="P382" s="5">
        <f t="shared" si="822"/>
        <v>0</v>
      </c>
      <c r="Q382" s="5">
        <f t="shared" si="822"/>
        <v>0</v>
      </c>
      <c r="R382" s="5">
        <f t="shared" si="822"/>
        <v>0</v>
      </c>
      <c r="S382" s="5">
        <f t="shared" si="822"/>
        <v>0</v>
      </c>
      <c r="T382" s="5">
        <f t="shared" ref="T382:X382" si="837">LN(T931/T932)</f>
        <v>1.6808504021880546E-3</v>
      </c>
      <c r="U382" s="5">
        <f t="shared" si="837"/>
        <v>2.1267491363525779E-3</v>
      </c>
      <c r="V382" s="5">
        <f t="shared" si="837"/>
        <v>-9.3743958625413671E-3</v>
      </c>
      <c r="W382" s="5">
        <f t="shared" si="837"/>
        <v>1.0858144163375614E-2</v>
      </c>
      <c r="X382" s="5">
        <f t="shared" si="837"/>
        <v>-1.6928101878565408E-3</v>
      </c>
      <c r="Z382" s="4">
        <v>45539</v>
      </c>
      <c r="AA382">
        <f>B382*B$3</f>
        <v>-4914.9999999999827</v>
      </c>
      <c r="AB382">
        <f>C382*C$3</f>
        <v>-7751.9999999998345</v>
      </c>
      <c r="AC382">
        <f>D382*D$3</f>
        <v>16143.00000000109</v>
      </c>
      <c r="AD382">
        <f>E382*E$3</f>
        <v>12139.999999999956</v>
      </c>
      <c r="AE382">
        <f>F382*F$3</f>
        <v>-74567.99999999952</v>
      </c>
      <c r="AF382">
        <f>G382*G$3</f>
        <v>-187535.99999999878</v>
      </c>
      <c r="AG382">
        <f>H382*H$3</f>
        <v>-338592.00000000029</v>
      </c>
      <c r="AH382">
        <f>I382*I$3</f>
        <v>-184560.00000000017</v>
      </c>
      <c r="AI382">
        <f>J382*J$3</f>
        <v>-459463.4999999993</v>
      </c>
      <c r="AJ382">
        <f>K382*K$3</f>
        <v>-627160.00000000058</v>
      </c>
      <c r="AK382">
        <f>L382*L$3</f>
        <v>217027.99999999951</v>
      </c>
      <c r="AL382">
        <f>M382*M$3</f>
        <v>224511.0000000009</v>
      </c>
      <c r="AM382">
        <f>N382*N$3</f>
        <v>0</v>
      </c>
      <c r="AN382">
        <f>O382*O$3</f>
        <v>0</v>
      </c>
      <c r="AO382">
        <f>P382*P$3</f>
        <v>0</v>
      </c>
      <c r="AP382">
        <f>Q382*Q$3</f>
        <v>0</v>
      </c>
      <c r="AQ382">
        <f>R382*R$3</f>
        <v>0</v>
      </c>
      <c r="AR382" s="1">
        <f>S382*S$3</f>
        <v>0</v>
      </c>
      <c r="AS382" s="1">
        <f t="shared" si="818"/>
        <v>6723.4016087522186</v>
      </c>
      <c r="AT382" s="1">
        <f t="shared" si="818"/>
        <v>17013.993090820622</v>
      </c>
      <c r="AU382" s="1">
        <f t="shared" si="818"/>
        <v>0</v>
      </c>
      <c r="AV382" s="1">
        <f t="shared" si="818"/>
        <v>0</v>
      </c>
      <c r="AW382" s="1">
        <f t="shared" si="818"/>
        <v>0</v>
      </c>
      <c r="AX382" s="1">
        <f t="shared" si="715"/>
        <v>-1390987.1053004237</v>
      </c>
      <c r="AY382" s="1">
        <f t="shared" si="716"/>
        <v>23737.39469957284</v>
      </c>
      <c r="AZ382" s="1">
        <f t="shared" si="717"/>
        <v>-1414724.4999999965</v>
      </c>
    </row>
    <row r="383" spans="1:52" x14ac:dyDescent="0.25">
      <c r="A383" s="4">
        <v>45538</v>
      </c>
      <c r="B383">
        <f t="shared" ref="B383:N383" si="838">(B933-B932)*100</f>
        <v>3.0000000000000249</v>
      </c>
      <c r="C383">
        <f t="shared" si="838"/>
        <v>1.0000000000000675</v>
      </c>
      <c r="D383">
        <f t="shared" si="838"/>
        <v>1.9999999999999574</v>
      </c>
      <c r="E383">
        <f t="shared" si="838"/>
        <v>2.0000000000000462</v>
      </c>
      <c r="F383">
        <f t="shared" si="838"/>
        <v>8.9999999999999858</v>
      </c>
      <c r="G383">
        <f t="shared" si="838"/>
        <v>3.0000000000000249</v>
      </c>
      <c r="H383">
        <f t="shared" si="838"/>
        <v>3.0000000000000249</v>
      </c>
      <c r="I383">
        <f t="shared" si="838"/>
        <v>6.0000000000000053</v>
      </c>
      <c r="J383">
        <f t="shared" si="838"/>
        <v>6.0000000000000053</v>
      </c>
      <c r="K383">
        <f t="shared" si="838"/>
        <v>6.999999999999984</v>
      </c>
      <c r="L383">
        <f t="shared" si="838"/>
        <v>7.0000000000000284</v>
      </c>
      <c r="M383">
        <f t="shared" si="838"/>
        <v>7.0000000000000284</v>
      </c>
      <c r="N383">
        <f t="shared" si="838"/>
        <v>7.0000000000000284</v>
      </c>
      <c r="O383" s="5">
        <f t="shared" si="822"/>
        <v>0</v>
      </c>
      <c r="P383" s="5">
        <f t="shared" si="822"/>
        <v>0</v>
      </c>
      <c r="Q383" s="5">
        <f t="shared" si="822"/>
        <v>0</v>
      </c>
      <c r="R383" s="5">
        <f t="shared" si="822"/>
        <v>0</v>
      </c>
      <c r="S383" s="5">
        <f t="shared" si="822"/>
        <v>0</v>
      </c>
      <c r="T383" s="5">
        <f t="shared" ref="T383:X383" si="839">LN(T932/T933)</f>
        <v>1.1737976247790259E-3</v>
      </c>
      <c r="U383" s="5">
        <f t="shared" si="839"/>
        <v>1.8415953610027699E-3</v>
      </c>
      <c r="V383" s="5">
        <f t="shared" si="839"/>
        <v>1.2564811033879532E-2</v>
      </c>
      <c r="W383" s="5">
        <f t="shared" si="839"/>
        <v>1.2516753386963579E-3</v>
      </c>
      <c r="X383" s="5">
        <f t="shared" si="839"/>
        <v>5.2169582357921287E-3</v>
      </c>
      <c r="Z383" s="4">
        <v>45538</v>
      </c>
      <c r="AA383">
        <f>B383*B$3</f>
        <v>-2949.0000000000246</v>
      </c>
      <c r="AB383">
        <f>C383*C$3</f>
        <v>-2584.0000000001746</v>
      </c>
      <c r="AC383">
        <f>D383*D$3</f>
        <v>32285.999999999312</v>
      </c>
      <c r="AD383">
        <f>E383*E$3</f>
        <v>4856.0000000001119</v>
      </c>
      <c r="AE383">
        <f>F383*F$3</f>
        <v>-111851.99999999983</v>
      </c>
      <c r="AF383">
        <f>G383*G$3</f>
        <v>-46884.000000000386</v>
      </c>
      <c r="AG383">
        <f>H383*H$3</f>
        <v>-84648.000000000698</v>
      </c>
      <c r="AH383">
        <f>I383*I$3</f>
        <v>-110736.0000000001</v>
      </c>
      <c r="AI383">
        <f>J383*J$3</f>
        <v>-306309.00000000029</v>
      </c>
      <c r="AJ383">
        <f>K383*K$3</f>
        <v>-548764.99999999872</v>
      </c>
      <c r="AK383">
        <f>L383*L$3</f>
        <v>217028.00000000087</v>
      </c>
      <c r="AL383">
        <f>M383*M$3</f>
        <v>224511.0000000009</v>
      </c>
      <c r="AM383">
        <f>N383*N$3</f>
        <v>0</v>
      </c>
      <c r="AN383">
        <f>O383*O$3</f>
        <v>0</v>
      </c>
      <c r="AO383">
        <f>P383*P$3</f>
        <v>0</v>
      </c>
      <c r="AP383">
        <f>Q383*Q$3</f>
        <v>0</v>
      </c>
      <c r="AQ383">
        <f>R383*R$3</f>
        <v>0</v>
      </c>
      <c r="AR383" s="1">
        <f>S383*S$3</f>
        <v>0</v>
      </c>
      <c r="AS383" s="1">
        <f t="shared" si="818"/>
        <v>4695.1904991161036</v>
      </c>
      <c r="AT383" s="1">
        <f t="shared" si="818"/>
        <v>14732.76288802216</v>
      </c>
      <c r="AU383" s="1">
        <f t="shared" si="818"/>
        <v>0</v>
      </c>
      <c r="AV383" s="1">
        <f t="shared" si="818"/>
        <v>0</v>
      </c>
      <c r="AW383" s="1">
        <f t="shared" si="818"/>
        <v>0</v>
      </c>
      <c r="AX383" s="1">
        <f t="shared" si="715"/>
        <v>-716618.04661286087</v>
      </c>
      <c r="AY383" s="1">
        <f t="shared" si="716"/>
        <v>19427.953387138263</v>
      </c>
      <c r="AZ383" s="1">
        <f t="shared" si="717"/>
        <v>-736045.99999999919</v>
      </c>
    </row>
    <row r="384" spans="1:52" x14ac:dyDescent="0.25">
      <c r="A384" s="4">
        <v>45534</v>
      </c>
      <c r="B384">
        <f t="shared" ref="B384:N384" si="840">(B934-B933)*100</f>
        <v>-0.99999999999997868</v>
      </c>
      <c r="C384">
        <f t="shared" si="840"/>
        <v>0.99999999999997868</v>
      </c>
      <c r="D384">
        <f t="shared" si="840"/>
        <v>0.99999999999997868</v>
      </c>
      <c r="E384">
        <f t="shared" si="840"/>
        <v>0</v>
      </c>
      <c r="F384">
        <f t="shared" si="840"/>
        <v>0</v>
      </c>
      <c r="G384">
        <f t="shared" si="840"/>
        <v>0</v>
      </c>
      <c r="H384">
        <f t="shared" si="840"/>
        <v>-4.0000000000000036</v>
      </c>
      <c r="I384">
        <f t="shared" si="840"/>
        <v>-3.0000000000000249</v>
      </c>
      <c r="J384">
        <f t="shared" si="840"/>
        <v>-4.9999999999999822</v>
      </c>
      <c r="K384">
        <f t="shared" si="840"/>
        <v>-4.0000000000000036</v>
      </c>
      <c r="L384">
        <f t="shared" si="840"/>
        <v>-4.0000000000000036</v>
      </c>
      <c r="M384">
        <f t="shared" si="840"/>
        <v>-4.0000000000000036</v>
      </c>
      <c r="N384">
        <f t="shared" si="840"/>
        <v>-4.9999999999999822</v>
      </c>
      <c r="O384" s="5">
        <f t="shared" si="822"/>
        <v>3.6133733985138313E-3</v>
      </c>
      <c r="P384" s="5">
        <f t="shared" si="822"/>
        <v>1.4504235695473971E-2</v>
      </c>
      <c r="Q384" s="5">
        <f t="shared" si="822"/>
        <v>5.7940756587423151E-3</v>
      </c>
      <c r="R384" s="5">
        <f t="shared" si="822"/>
        <v>0</v>
      </c>
      <c r="S384" s="5">
        <f t="shared" si="822"/>
        <v>-6.6318708282138141E-3</v>
      </c>
      <c r="T384" s="5">
        <f t="shared" ref="T384:X384" si="841">LN(T933/T934)</f>
        <v>4.0081121994411904E-3</v>
      </c>
      <c r="U384" s="5">
        <f t="shared" si="841"/>
        <v>2.0823750589684504E-3</v>
      </c>
      <c r="V384" s="5">
        <f t="shared" si="841"/>
        <v>3.1591067117206959E-3</v>
      </c>
      <c r="W384" s="5">
        <f t="shared" si="841"/>
        <v>-1.8704560915894408E-3</v>
      </c>
      <c r="X384" s="5">
        <f t="shared" si="841"/>
        <v>6.0636148673821671E-3</v>
      </c>
      <c r="Z384" s="4">
        <v>45534</v>
      </c>
      <c r="AA384">
        <f>B384*B$3</f>
        <v>982.99999999997908</v>
      </c>
      <c r="AB384">
        <f>C384*C$3</f>
        <v>-2583.999999999945</v>
      </c>
      <c r="AC384">
        <f>D384*D$3</f>
        <v>16142.999999999656</v>
      </c>
      <c r="AD384">
        <f>E384*E$3</f>
        <v>0</v>
      </c>
      <c r="AE384">
        <f>F384*F$3</f>
        <v>0</v>
      </c>
      <c r="AF384">
        <f>G384*G$3</f>
        <v>0</v>
      </c>
      <c r="AG384">
        <f>H384*H$3</f>
        <v>112864.0000000001</v>
      </c>
      <c r="AH384">
        <f>I384*I$3</f>
        <v>55368.000000000458</v>
      </c>
      <c r="AI384">
        <f>J384*J$3</f>
        <v>255257.4999999991</v>
      </c>
      <c r="AJ384">
        <f>K384*K$3</f>
        <v>313580.00000000029</v>
      </c>
      <c r="AK384">
        <f>L384*L$3</f>
        <v>-124016.00000000012</v>
      </c>
      <c r="AL384">
        <f>M384*M$3</f>
        <v>-128292.00000000012</v>
      </c>
      <c r="AM384">
        <f>N384*N$3</f>
        <v>0</v>
      </c>
      <c r="AN384">
        <f>O384*O$3</f>
        <v>0</v>
      </c>
      <c r="AO384">
        <f>P384*P$3</f>
        <v>-72521.17847736986</v>
      </c>
      <c r="AP384">
        <f>Q384*Q$3</f>
        <v>69528.907904907785</v>
      </c>
      <c r="AQ384">
        <f>R384*R$3</f>
        <v>0</v>
      </c>
      <c r="AR384" s="1">
        <f>S384*S$3</f>
        <v>46423.095797496702</v>
      </c>
      <c r="AS384" s="1">
        <f t="shared" si="818"/>
        <v>16032.448797764762</v>
      </c>
      <c r="AT384" s="1">
        <f t="shared" si="818"/>
        <v>16659.000471747604</v>
      </c>
      <c r="AU384" s="1">
        <f t="shared" si="818"/>
        <v>0</v>
      </c>
      <c r="AV384" s="1">
        <f t="shared" si="818"/>
        <v>0</v>
      </c>
      <c r="AW384" s="1">
        <f t="shared" si="818"/>
        <v>0</v>
      </c>
      <c r="AX384" s="1">
        <f t="shared" si="715"/>
        <v>575425.77449454635</v>
      </c>
      <c r="AY384" s="1">
        <f t="shared" si="716"/>
        <v>76122.274494546989</v>
      </c>
      <c r="AZ384" s="1">
        <f t="shared" si="717"/>
        <v>499303.49999999936</v>
      </c>
    </row>
    <row r="385" spans="1:52" x14ac:dyDescent="0.25">
      <c r="A385" s="4">
        <v>45533</v>
      </c>
      <c r="B385">
        <f t="shared" ref="B385:N385" si="842">(B935-B934)*100</f>
        <v>6.9999999999999396</v>
      </c>
      <c r="C385">
        <f t="shared" si="842"/>
        <v>0</v>
      </c>
      <c r="D385">
        <f t="shared" si="842"/>
        <v>-0.99999999999997868</v>
      </c>
      <c r="E385">
        <f t="shared" si="842"/>
        <v>0</v>
      </c>
      <c r="F385">
        <f t="shared" si="842"/>
        <v>-1.9999999999999574</v>
      </c>
      <c r="G385">
        <f t="shared" si="842"/>
        <v>-1.9999999999999574</v>
      </c>
      <c r="H385">
        <f t="shared" si="842"/>
        <v>-4.0000000000000036</v>
      </c>
      <c r="I385">
        <f t="shared" si="842"/>
        <v>-3.9999999999999591</v>
      </c>
      <c r="J385">
        <f t="shared" si="842"/>
        <v>-3.0000000000000249</v>
      </c>
      <c r="K385">
        <f t="shared" si="842"/>
        <v>-1.9999999999999574</v>
      </c>
      <c r="L385">
        <f t="shared" si="842"/>
        <v>-3.0000000000000249</v>
      </c>
      <c r="M385">
        <f t="shared" si="842"/>
        <v>-2.0000000000000462</v>
      </c>
      <c r="N385">
        <f t="shared" si="842"/>
        <v>-2.0000000000000462</v>
      </c>
      <c r="O385" s="5">
        <f t="shared" ref="O385:S394" si="843">LN(O934/O935)</f>
        <v>1.8681084514773239E-2</v>
      </c>
      <c r="P385" s="5">
        <f t="shared" si="843"/>
        <v>5.3055686771237434E-3</v>
      </c>
      <c r="Q385" s="5">
        <f t="shared" si="843"/>
        <v>5.2325061672855704E-3</v>
      </c>
      <c r="R385" s="5">
        <f t="shared" si="843"/>
        <v>3.2059872504280485E-3</v>
      </c>
      <c r="S385" s="5">
        <f t="shared" si="843"/>
        <v>9.7326957932318929E-3</v>
      </c>
      <c r="T385" s="5">
        <f t="shared" ref="T385:X385" si="844">LN(T934/T935)</f>
        <v>4.7505524821513474E-3</v>
      </c>
      <c r="U385" s="5">
        <f t="shared" si="844"/>
        <v>4.8273912849916426E-3</v>
      </c>
      <c r="V385" s="5">
        <f t="shared" si="844"/>
        <v>3.1760071227743937E-3</v>
      </c>
      <c r="W385" s="5">
        <f t="shared" si="844"/>
        <v>7.070338565284129E-4</v>
      </c>
      <c r="X385" s="5">
        <f t="shared" si="844"/>
        <v>1.1881701040198575E-4</v>
      </c>
      <c r="Z385" s="4">
        <v>45533</v>
      </c>
      <c r="AA385">
        <f>B385*B$3</f>
        <v>-6880.9999999999409</v>
      </c>
      <c r="AB385">
        <f>C385*C$3</f>
        <v>0</v>
      </c>
      <c r="AC385">
        <f>D385*D$3</f>
        <v>-16142.999999999656</v>
      </c>
      <c r="AD385">
        <f>E385*E$3</f>
        <v>0</v>
      </c>
      <c r="AE385">
        <f>F385*F$3</f>
        <v>24855.999999999469</v>
      </c>
      <c r="AF385">
        <f>G385*G$3</f>
        <v>31255.999999999334</v>
      </c>
      <c r="AG385">
        <f>H385*H$3</f>
        <v>112864.0000000001</v>
      </c>
      <c r="AH385">
        <f>I385*I$3</f>
        <v>73823.999999999243</v>
      </c>
      <c r="AI385">
        <f>J385*J$3</f>
        <v>153154.50000000128</v>
      </c>
      <c r="AJ385">
        <f>K385*K$3</f>
        <v>156789.99999999665</v>
      </c>
      <c r="AK385">
        <f>L385*L$3</f>
        <v>-93012.000000000771</v>
      </c>
      <c r="AL385">
        <f>M385*M$3</f>
        <v>-64146.000000001484</v>
      </c>
      <c r="AM385">
        <f>N385*N$3</f>
        <v>0</v>
      </c>
      <c r="AN385">
        <f>O385*O$3</f>
        <v>0</v>
      </c>
      <c r="AO385">
        <f>P385*P$3</f>
        <v>-26527.843385618718</v>
      </c>
      <c r="AP385">
        <f>Q385*Q$3</f>
        <v>62790.074007426847</v>
      </c>
      <c r="AQ385">
        <f>R385*R$3</f>
        <v>-48089.808756420731</v>
      </c>
      <c r="AR385" s="1">
        <f>S385*S$3</f>
        <v>-68128.870552623252</v>
      </c>
      <c r="AS385" s="1">
        <f t="shared" si="818"/>
        <v>19002.209928605389</v>
      </c>
      <c r="AT385" s="1">
        <f t="shared" si="818"/>
        <v>38619.130279933139</v>
      </c>
      <c r="AU385" s="1">
        <f t="shared" si="818"/>
        <v>0</v>
      </c>
      <c r="AV385" s="1">
        <f t="shared" si="818"/>
        <v>0</v>
      </c>
      <c r="AW385" s="1">
        <f t="shared" si="818"/>
        <v>0</v>
      </c>
      <c r="AX385" s="1">
        <f t="shared" si="715"/>
        <v>350227.39152129705</v>
      </c>
      <c r="AY385" s="1">
        <f t="shared" si="716"/>
        <v>-22335.10847869733</v>
      </c>
      <c r="AZ385" s="1">
        <f t="shared" si="717"/>
        <v>372562.49999999435</v>
      </c>
    </row>
    <row r="386" spans="1:52" x14ac:dyDescent="0.25">
      <c r="A386" s="4">
        <v>45532</v>
      </c>
      <c r="B386">
        <f t="shared" ref="B386:N386" si="845">(B936-B935)*100</f>
        <v>2.0000000000000462</v>
      </c>
      <c r="C386">
        <f t="shared" si="845"/>
        <v>0</v>
      </c>
      <c r="D386">
        <f t="shared" si="845"/>
        <v>2.0000000000000462</v>
      </c>
      <c r="E386">
        <f t="shared" si="845"/>
        <v>0</v>
      </c>
      <c r="F386">
        <f t="shared" si="845"/>
        <v>1.9999999999999574</v>
      </c>
      <c r="G386">
        <f t="shared" si="845"/>
        <v>-2.0000000000000462</v>
      </c>
      <c r="H386">
        <f t="shared" si="845"/>
        <v>0</v>
      </c>
      <c r="I386">
        <f t="shared" si="845"/>
        <v>0</v>
      </c>
      <c r="J386">
        <f t="shared" si="845"/>
        <v>3.0000000000000249</v>
      </c>
      <c r="K386">
        <f t="shared" si="845"/>
        <v>-1.0000000000000231</v>
      </c>
      <c r="L386">
        <f t="shared" si="845"/>
        <v>-0.99999999999997868</v>
      </c>
      <c r="M386">
        <f t="shared" si="845"/>
        <v>-0.99999999999997868</v>
      </c>
      <c r="N386">
        <f t="shared" si="845"/>
        <v>0</v>
      </c>
      <c r="O386" s="5">
        <f t="shared" si="843"/>
        <v>6.2750709181420969E-3</v>
      </c>
      <c r="P386" s="5">
        <f t="shared" si="843"/>
        <v>1.4823826891065489E-2</v>
      </c>
      <c r="Q386" s="5">
        <f t="shared" si="843"/>
        <v>-3.306386285412576E-5</v>
      </c>
      <c r="R386" s="5">
        <f t="shared" si="843"/>
        <v>5.3533191856635417E-4</v>
      </c>
      <c r="S386" s="5">
        <f t="shared" si="843"/>
        <v>-3.6285321403815335E-3</v>
      </c>
      <c r="T386" s="5">
        <f t="shared" ref="T386:X386" si="846">LN(T935/T936)</f>
        <v>-1.1842694816810006E-3</v>
      </c>
      <c r="U386" s="5">
        <f t="shared" si="846"/>
        <v>-4.9725095204651492E-3</v>
      </c>
      <c r="V386" s="5">
        <f t="shared" si="846"/>
        <v>-3.750557048959503E-3</v>
      </c>
      <c r="W386" s="5">
        <f t="shared" si="846"/>
        <v>-2.2104276354423299E-3</v>
      </c>
      <c r="X386" s="5">
        <f t="shared" si="846"/>
        <v>-6.3713748444872422E-3</v>
      </c>
      <c r="Z386" s="4">
        <v>45532</v>
      </c>
      <c r="AA386">
        <f>B386*B$3</f>
        <v>-1966.0000000000455</v>
      </c>
      <c r="AB386">
        <f>C386*C$3</f>
        <v>0</v>
      </c>
      <c r="AC386">
        <f>D386*D$3</f>
        <v>32286.000000000746</v>
      </c>
      <c r="AD386">
        <f>E386*E$3</f>
        <v>0</v>
      </c>
      <c r="AE386">
        <f>F386*F$3</f>
        <v>-24855.999999999469</v>
      </c>
      <c r="AF386">
        <f>G386*G$3</f>
        <v>31256.00000000072</v>
      </c>
      <c r="AG386">
        <f>H386*H$3</f>
        <v>0</v>
      </c>
      <c r="AH386">
        <f>I386*I$3</f>
        <v>0</v>
      </c>
      <c r="AI386">
        <f>J386*J$3</f>
        <v>-153154.50000000128</v>
      </c>
      <c r="AJ386">
        <f>K386*K$3</f>
        <v>78395.000000001804</v>
      </c>
      <c r="AK386">
        <f>L386*L$3</f>
        <v>-31003.999999999338</v>
      </c>
      <c r="AL386">
        <f>M386*M$3</f>
        <v>-32072.999999999316</v>
      </c>
      <c r="AM386">
        <f>N386*N$3</f>
        <v>0</v>
      </c>
      <c r="AN386">
        <f>O386*O$3</f>
        <v>0</v>
      </c>
      <c r="AO386">
        <f>P386*P$3</f>
        <v>-74119.134455327439</v>
      </c>
      <c r="AP386">
        <f>Q386*Q$3</f>
        <v>-396.76635424950911</v>
      </c>
      <c r="AQ386">
        <f>R386*R$3</f>
        <v>-8029.9787784953123</v>
      </c>
      <c r="AR386" s="1">
        <f>S386*S$3</f>
        <v>25399.724982670734</v>
      </c>
      <c r="AS386" s="1">
        <f t="shared" si="818"/>
        <v>-4737.0779267240023</v>
      </c>
      <c r="AT386" s="1">
        <f t="shared" si="818"/>
        <v>-39780.076163721191</v>
      </c>
      <c r="AU386" s="1">
        <f t="shared" si="818"/>
        <v>0</v>
      </c>
      <c r="AV386" s="1">
        <f t="shared" si="818"/>
        <v>0</v>
      </c>
      <c r="AW386" s="1">
        <f t="shared" si="818"/>
        <v>0</v>
      </c>
      <c r="AX386" s="1">
        <f t="shared" si="715"/>
        <v>-202779.80869584289</v>
      </c>
      <c r="AY386" s="1">
        <f t="shared" si="716"/>
        <v>-101663.30869584672</v>
      </c>
      <c r="AZ386" s="1">
        <f t="shared" si="717"/>
        <v>-101116.49999999617</v>
      </c>
    </row>
    <row r="387" spans="1:52" x14ac:dyDescent="0.25">
      <c r="A387" s="4">
        <v>45531</v>
      </c>
      <c r="B387">
        <f t="shared" ref="B387:N387" si="847">(B937-B936)*100</f>
        <v>0</v>
      </c>
      <c r="C387">
        <f t="shared" si="847"/>
        <v>0.99999999999997868</v>
      </c>
      <c r="D387">
        <f t="shared" si="847"/>
        <v>0.99999999999997868</v>
      </c>
      <c r="E387">
        <f t="shared" si="847"/>
        <v>0.99999999999997868</v>
      </c>
      <c r="F387">
        <f t="shared" si="847"/>
        <v>2.0000000000000462</v>
      </c>
      <c r="G387">
        <f t="shared" si="847"/>
        <v>4.0000000000000036</v>
      </c>
      <c r="H387">
        <f t="shared" si="847"/>
        <v>8.0000000000000071</v>
      </c>
      <c r="I387">
        <f t="shared" si="847"/>
        <v>2.0000000000000018</v>
      </c>
      <c r="J387">
        <f t="shared" si="847"/>
        <v>0</v>
      </c>
      <c r="K387">
        <f t="shared" si="847"/>
        <v>-0.99999999999997868</v>
      </c>
      <c r="L387">
        <f t="shared" si="847"/>
        <v>-1.0000000000000231</v>
      </c>
      <c r="M387">
        <f t="shared" si="847"/>
        <v>-1.9999999999999574</v>
      </c>
      <c r="N387">
        <f t="shared" si="847"/>
        <v>-1.9999999999999574</v>
      </c>
      <c r="O387" s="5">
        <f t="shared" si="843"/>
        <v>8.7364863042927441E-4</v>
      </c>
      <c r="P387" s="5">
        <f t="shared" si="843"/>
        <v>2.5293868566501343E-3</v>
      </c>
      <c r="Q387" s="5">
        <f t="shared" si="843"/>
        <v>-4.0256109270874665E-3</v>
      </c>
      <c r="R387" s="5">
        <f t="shared" si="843"/>
        <v>-2.1396103375112513E-3</v>
      </c>
      <c r="S387" s="5">
        <f t="shared" si="843"/>
        <v>1.7986501454855409E-2</v>
      </c>
      <c r="T387" s="5">
        <f t="shared" ref="T387:X387" si="848">LN(T936/T937)</f>
        <v>2.0788509279929001E-3</v>
      </c>
      <c r="U387" s="5">
        <f t="shared" si="848"/>
        <v>1.5843167366989402E-3</v>
      </c>
      <c r="V387" s="5">
        <f t="shared" si="848"/>
        <v>3.5769732585747569E-3</v>
      </c>
      <c r="W387" s="5">
        <f t="shared" si="848"/>
        <v>2.1968169682253973E-3</v>
      </c>
      <c r="X387" s="5">
        <f t="shared" si="848"/>
        <v>-2.5967675069181261E-4</v>
      </c>
      <c r="Z387" s="4">
        <v>45531</v>
      </c>
      <c r="AA387">
        <f>B387*B$3</f>
        <v>0</v>
      </c>
      <c r="AB387">
        <f>C387*C$3</f>
        <v>-2583.999999999945</v>
      </c>
      <c r="AC387">
        <f>D387*D$3</f>
        <v>16142.999999999656</v>
      </c>
      <c r="AD387">
        <f>E387*E$3</f>
        <v>2427.9999999999482</v>
      </c>
      <c r="AE387">
        <f>F387*F$3</f>
        <v>-24856.000000000575</v>
      </c>
      <c r="AF387">
        <f>G387*G$3</f>
        <v>-62512.000000000058</v>
      </c>
      <c r="AG387">
        <f>H387*H$3</f>
        <v>-225728.0000000002</v>
      </c>
      <c r="AH387">
        <f>I387*I$3</f>
        <v>-36912.000000000036</v>
      </c>
      <c r="AI387">
        <f>J387*J$3</f>
        <v>0</v>
      </c>
      <c r="AJ387">
        <f>K387*K$3</f>
        <v>78394.999999998327</v>
      </c>
      <c r="AK387">
        <f>L387*L$3</f>
        <v>-31004.000000000717</v>
      </c>
      <c r="AL387">
        <f>M387*M$3</f>
        <v>-64145.999999998632</v>
      </c>
      <c r="AM387">
        <f>N387*N$3</f>
        <v>0</v>
      </c>
      <c r="AN387">
        <f>O387*O$3</f>
        <v>0</v>
      </c>
      <c r="AO387">
        <f>P387*P$3</f>
        <v>-12646.934283250672</v>
      </c>
      <c r="AP387">
        <f>Q387*Q$3</f>
        <v>-48307.331125049597</v>
      </c>
      <c r="AQ387">
        <f>R387*R$3</f>
        <v>32094.155062668768</v>
      </c>
      <c r="AR387" s="1">
        <f>S387*S$3</f>
        <v>-125905.51018398786</v>
      </c>
      <c r="AS387" s="1">
        <f t="shared" si="818"/>
        <v>8315.4037119716013</v>
      </c>
      <c r="AT387" s="1">
        <f t="shared" si="818"/>
        <v>12674.533893591522</v>
      </c>
      <c r="AU387" s="1">
        <f t="shared" si="818"/>
        <v>0</v>
      </c>
      <c r="AV387" s="1">
        <f t="shared" si="818"/>
        <v>0</v>
      </c>
      <c r="AW387" s="1">
        <f t="shared" si="818"/>
        <v>0</v>
      </c>
      <c r="AX387" s="1">
        <f t="shared" si="715"/>
        <v>-484551.6829240584</v>
      </c>
      <c r="AY387" s="1">
        <f t="shared" si="716"/>
        <v>-133775.68292405625</v>
      </c>
      <c r="AZ387" s="1">
        <f t="shared" si="717"/>
        <v>-350776.00000000215</v>
      </c>
    </row>
    <row r="388" spans="1:52" x14ac:dyDescent="0.25">
      <c r="A388" s="4">
        <v>45530</v>
      </c>
      <c r="B388">
        <f t="shared" ref="B388:N388" si="849">(B938-B937)*100</f>
        <v>1.9999999999999574</v>
      </c>
      <c r="C388">
        <f t="shared" si="849"/>
        <v>0.99999999999997868</v>
      </c>
      <c r="D388">
        <f t="shared" si="849"/>
        <v>0.99999999999997868</v>
      </c>
      <c r="E388">
        <f t="shared" si="849"/>
        <v>0</v>
      </c>
      <c r="F388">
        <f t="shared" si="849"/>
        <v>0.99999999999997868</v>
      </c>
      <c r="G388">
        <f t="shared" si="849"/>
        <v>-1.9999999999999574</v>
      </c>
      <c r="H388">
        <f t="shared" si="849"/>
        <v>-1.0000000000000231</v>
      </c>
      <c r="I388">
        <f t="shared" si="849"/>
        <v>-1.0000000000000231</v>
      </c>
      <c r="J388">
        <f t="shared" si="849"/>
        <v>-1.0000000000000231</v>
      </c>
      <c r="K388">
        <f t="shared" si="849"/>
        <v>-1.0000000000000231</v>
      </c>
      <c r="L388">
        <f t="shared" si="849"/>
        <v>-0.99999999999997868</v>
      </c>
      <c r="M388">
        <f t="shared" si="849"/>
        <v>-1.0000000000000675</v>
      </c>
      <c r="N388">
        <f t="shared" si="849"/>
        <v>-1.0000000000000675</v>
      </c>
      <c r="O388" s="5">
        <f t="shared" si="843"/>
        <v>-6.208155864573287E-3</v>
      </c>
      <c r="P388" s="5">
        <f t="shared" si="843"/>
        <v>-9.9312262663272819E-5</v>
      </c>
      <c r="Q388" s="5">
        <f t="shared" si="843"/>
        <v>-9.7545763769147954E-3</v>
      </c>
      <c r="R388" s="5">
        <f t="shared" si="843"/>
        <v>-5.3418804689089265E-4</v>
      </c>
      <c r="S388" s="5">
        <f t="shared" si="843"/>
        <v>1.5086083659947611E-2</v>
      </c>
      <c r="T388" s="5">
        <f t="shared" ref="T388:X388" si="850">LN(T937/T938)</f>
        <v>-6.345743377981587E-3</v>
      </c>
      <c r="U388" s="5">
        <f t="shared" si="850"/>
        <v>-8.7350483601652557E-3</v>
      </c>
      <c r="V388" s="5">
        <f t="shared" si="850"/>
        <v>-1.5175899148610129E-2</v>
      </c>
      <c r="W388" s="5">
        <f t="shared" si="850"/>
        <v>-1.1797223190079011E-2</v>
      </c>
      <c r="X388" s="5">
        <f t="shared" si="850"/>
        <v>-5.1559102860590416E-3</v>
      </c>
      <c r="Z388" s="4">
        <v>45530</v>
      </c>
      <c r="AA388">
        <f>B388*B$3</f>
        <v>-1965.9999999999582</v>
      </c>
      <c r="AB388">
        <f>C388*C$3</f>
        <v>-2583.999999999945</v>
      </c>
      <c r="AC388">
        <f>D388*D$3</f>
        <v>16142.999999999656</v>
      </c>
      <c r="AD388">
        <f>E388*E$3</f>
        <v>0</v>
      </c>
      <c r="AE388">
        <f>F388*F$3</f>
        <v>-12427.999999999734</v>
      </c>
      <c r="AF388">
        <f>G388*G$3</f>
        <v>31255.999999999334</v>
      </c>
      <c r="AG388">
        <f>H388*H$3</f>
        <v>28216.000000000651</v>
      </c>
      <c r="AH388">
        <f>I388*I$3</f>
        <v>18456.000000000426</v>
      </c>
      <c r="AI388">
        <f>J388*J$3</f>
        <v>51051.500000001179</v>
      </c>
      <c r="AJ388">
        <f>K388*K$3</f>
        <v>78395.000000001804</v>
      </c>
      <c r="AK388">
        <f>L388*L$3</f>
        <v>-31003.999999999338</v>
      </c>
      <c r="AL388">
        <f>M388*M$3</f>
        <v>-32073.000000002165</v>
      </c>
      <c r="AM388">
        <f>N388*N$3</f>
        <v>0</v>
      </c>
      <c r="AN388">
        <f>O388*O$3</f>
        <v>0</v>
      </c>
      <c r="AO388">
        <f>P388*P$3</f>
        <v>496.56131331636408</v>
      </c>
      <c r="AP388">
        <f>Q388*Q$3</f>
        <v>-117054.91652297754</v>
      </c>
      <c r="AQ388">
        <f>R388*R$3</f>
        <v>8012.8207033633898</v>
      </c>
      <c r="AR388" s="1">
        <f>S388*S$3</f>
        <v>-105602.58561963328</v>
      </c>
      <c r="AS388" s="1">
        <f t="shared" si="818"/>
        <v>-25382.97351192635</v>
      </c>
      <c r="AT388" s="1">
        <f t="shared" si="818"/>
        <v>-69880.386881322047</v>
      </c>
      <c r="AU388" s="1">
        <f t="shared" si="818"/>
        <v>0</v>
      </c>
      <c r="AV388" s="1">
        <f t="shared" si="818"/>
        <v>0</v>
      </c>
      <c r="AW388" s="1">
        <f t="shared" si="818"/>
        <v>0</v>
      </c>
      <c r="AX388" s="1">
        <f t="shared" si="715"/>
        <v>-165948.98051917751</v>
      </c>
      <c r="AY388" s="1">
        <f t="shared" si="716"/>
        <v>-309411.48051917949</v>
      </c>
      <c r="AZ388" s="1">
        <f t="shared" si="717"/>
        <v>143462.50000000198</v>
      </c>
    </row>
    <row r="389" spans="1:52" x14ac:dyDescent="0.25">
      <c r="A389" s="4">
        <v>45527</v>
      </c>
      <c r="B389">
        <f t="shared" ref="B389:N389" si="851">(B939-B938)*100</f>
        <v>0</v>
      </c>
      <c r="C389">
        <f t="shared" si="851"/>
        <v>0</v>
      </c>
      <c r="D389">
        <f t="shared" si="851"/>
        <v>3.0000000000000249</v>
      </c>
      <c r="E389">
        <f t="shared" si="851"/>
        <v>2.0000000000000462</v>
      </c>
      <c r="F389">
        <f t="shared" si="851"/>
        <v>4.0000000000000036</v>
      </c>
      <c r="G389">
        <f t="shared" si="851"/>
        <v>6.9999999999999396</v>
      </c>
      <c r="H389">
        <f t="shared" si="851"/>
        <v>9.0000000000000302</v>
      </c>
      <c r="I389">
        <f t="shared" si="851"/>
        <v>8.9999999999999858</v>
      </c>
      <c r="J389">
        <f t="shared" si="851"/>
        <v>7.0000000000000284</v>
      </c>
      <c r="K389">
        <f t="shared" si="851"/>
        <v>6.0000000000000053</v>
      </c>
      <c r="L389">
        <f t="shared" si="851"/>
        <v>4.9999999999999822</v>
      </c>
      <c r="M389">
        <f t="shared" si="851"/>
        <v>3.0000000000000249</v>
      </c>
      <c r="N389">
        <f t="shared" si="851"/>
        <v>3.0000000000000249</v>
      </c>
      <c r="O389" s="5">
        <f t="shared" si="843"/>
        <v>-4.7120080684505579E-3</v>
      </c>
      <c r="P389" s="5">
        <f t="shared" si="843"/>
        <v>-9.7342403185062334E-3</v>
      </c>
      <c r="Q389" s="5">
        <f t="shared" si="843"/>
        <v>1.0549728806356876E-3</v>
      </c>
      <c r="R389" s="5">
        <f t="shared" si="843"/>
        <v>-1.867414174795362E-3</v>
      </c>
      <c r="S389" s="5">
        <f t="shared" si="843"/>
        <v>-2.1131291664272793E-2</v>
      </c>
      <c r="T389" s="5">
        <f t="shared" ref="T389:X389" si="852">LN(T938/T939)</f>
        <v>3.4299728738606508E-3</v>
      </c>
      <c r="U389" s="5">
        <f t="shared" si="852"/>
        <v>-3.2734389579702565E-4</v>
      </c>
      <c r="V389" s="5">
        <f t="shared" si="852"/>
        <v>7.4420202272305197E-3</v>
      </c>
      <c r="W389" s="5">
        <f t="shared" si="852"/>
        <v>6.1677151644014896E-3</v>
      </c>
      <c r="X389" s="5">
        <f t="shared" si="852"/>
        <v>7.0469857486264698E-4</v>
      </c>
      <c r="Z389" s="4">
        <v>45527</v>
      </c>
      <c r="AA389">
        <f>B389*B$3</f>
        <v>0</v>
      </c>
      <c r="AB389">
        <f>C389*C$3</f>
        <v>0</v>
      </c>
      <c r="AC389">
        <f>D389*D$3</f>
        <v>48429.0000000004</v>
      </c>
      <c r="AD389">
        <f>E389*E$3</f>
        <v>4856.0000000001119</v>
      </c>
      <c r="AE389">
        <f>F389*F$3</f>
        <v>-49712.000000000044</v>
      </c>
      <c r="AF389">
        <f>G389*G$3</f>
        <v>-109395.99999999905</v>
      </c>
      <c r="AG389">
        <f>H389*H$3</f>
        <v>-253944.00000000084</v>
      </c>
      <c r="AH389">
        <f>I389*I$3</f>
        <v>-166103.99999999974</v>
      </c>
      <c r="AI389">
        <f>J389*J$3</f>
        <v>-357360.50000000146</v>
      </c>
      <c r="AJ389">
        <f>K389*K$3</f>
        <v>-470370.00000000041</v>
      </c>
      <c r="AK389">
        <f>L389*L$3</f>
        <v>155019.99999999945</v>
      </c>
      <c r="AL389">
        <f>M389*M$3</f>
        <v>96219.0000000008</v>
      </c>
      <c r="AM389">
        <f>N389*N$3</f>
        <v>0</v>
      </c>
      <c r="AN389">
        <f>O389*O$3</f>
        <v>0</v>
      </c>
      <c r="AO389">
        <f>P389*P$3</f>
        <v>48671.201592531164</v>
      </c>
      <c r="AP389">
        <f>Q389*Q$3</f>
        <v>12659.674567628252</v>
      </c>
      <c r="AQ389">
        <f>R389*R$3</f>
        <v>28011.21262193043</v>
      </c>
      <c r="AR389" s="1">
        <f>S389*S$3</f>
        <v>147919.04164990954</v>
      </c>
      <c r="AS389" s="1">
        <f t="shared" ref="AS389:AW404" si="853">T389*T$3</f>
        <v>13719.891495442604</v>
      </c>
      <c r="AT389" s="1">
        <f t="shared" si="853"/>
        <v>-2618.7511663762052</v>
      </c>
      <c r="AU389" s="1">
        <f t="shared" si="853"/>
        <v>0</v>
      </c>
      <c r="AV389" s="1">
        <f t="shared" si="853"/>
        <v>0</v>
      </c>
      <c r="AW389" s="1">
        <f t="shared" si="853"/>
        <v>0</v>
      </c>
      <c r="AX389" s="1">
        <f t="shared" si="715"/>
        <v>-854000.22923893516</v>
      </c>
      <c r="AY389" s="1">
        <f t="shared" si="716"/>
        <v>248362.2707610658</v>
      </c>
      <c r="AZ389" s="1">
        <f t="shared" si="717"/>
        <v>-1102362.5000000009</v>
      </c>
    </row>
    <row r="390" spans="1:52" x14ac:dyDescent="0.25">
      <c r="A390" s="4">
        <v>45526</v>
      </c>
      <c r="B390">
        <f t="shared" ref="B390:N390" si="854">(B940-B939)*100</f>
        <v>-5.9999999999999609</v>
      </c>
      <c r="C390">
        <f t="shared" si="854"/>
        <v>-1.9999999999999574</v>
      </c>
      <c r="D390">
        <f t="shared" si="854"/>
        <v>-2.0000000000000462</v>
      </c>
      <c r="E390">
        <f t="shared" si="854"/>
        <v>-2.0000000000000462</v>
      </c>
      <c r="F390">
        <f t="shared" si="854"/>
        <v>-4.0000000000000036</v>
      </c>
      <c r="G390">
        <f t="shared" si="854"/>
        <v>-6.9999999999999396</v>
      </c>
      <c r="H390">
        <f t="shared" si="854"/>
        <v>-7.0000000000000284</v>
      </c>
      <c r="I390">
        <f t="shared" si="854"/>
        <v>-7.9999999999999627</v>
      </c>
      <c r="J390">
        <f t="shared" si="854"/>
        <v>-8.0000000000000071</v>
      </c>
      <c r="K390">
        <f t="shared" si="854"/>
        <v>-8.0000000000000071</v>
      </c>
      <c r="L390">
        <f t="shared" si="854"/>
        <v>-6.999999999999984</v>
      </c>
      <c r="M390">
        <f t="shared" si="854"/>
        <v>-5.9999999999999609</v>
      </c>
      <c r="N390">
        <f t="shared" si="854"/>
        <v>-7.0000000000000284</v>
      </c>
      <c r="O390" s="5">
        <f t="shared" si="843"/>
        <v>1.4824494666775611E-2</v>
      </c>
      <c r="P390" s="5">
        <f t="shared" si="843"/>
        <v>8.136669080314499E-3</v>
      </c>
      <c r="Q390" s="5">
        <f t="shared" si="843"/>
        <v>-3.9206153774545447E-3</v>
      </c>
      <c r="R390" s="5">
        <f t="shared" si="843"/>
        <v>1.0666667678024464E-3</v>
      </c>
      <c r="S390" s="5">
        <f t="shared" si="843"/>
        <v>6.9959896287206105E-3</v>
      </c>
      <c r="T390" s="5">
        <f t="shared" ref="T390:X390" si="855">LN(T939/T940)</f>
        <v>-2.4622620655035945E-3</v>
      </c>
      <c r="U390" s="5">
        <f t="shared" si="855"/>
        <v>-4.4418252501641576E-3</v>
      </c>
      <c r="V390" s="5">
        <f t="shared" si="855"/>
        <v>-1.5768092994711714E-3</v>
      </c>
      <c r="W390" s="5">
        <f t="shared" si="855"/>
        <v>-3.5965110697400268E-4</v>
      </c>
      <c r="X390" s="5">
        <f t="shared" si="855"/>
        <v>-2.8861415230973472E-3</v>
      </c>
      <c r="Z390" s="4">
        <v>45526</v>
      </c>
      <c r="AA390">
        <f>B390*B$3</f>
        <v>5897.9999999999618</v>
      </c>
      <c r="AB390">
        <f>C390*C$3</f>
        <v>5167.99999999989</v>
      </c>
      <c r="AC390">
        <f>D390*D$3</f>
        <v>-32286.000000000746</v>
      </c>
      <c r="AD390">
        <f>E390*E$3</f>
        <v>-4856.0000000001119</v>
      </c>
      <c r="AE390">
        <f>F390*F$3</f>
        <v>49712.000000000044</v>
      </c>
      <c r="AF390">
        <f>G390*G$3</f>
        <v>109395.99999999905</v>
      </c>
      <c r="AG390">
        <f>H390*H$3</f>
        <v>197512.00000000081</v>
      </c>
      <c r="AH390">
        <f>I390*I$3</f>
        <v>147647.9999999993</v>
      </c>
      <c r="AI390">
        <f>J390*J$3</f>
        <v>408412.00000000035</v>
      </c>
      <c r="AJ390">
        <f>K390*K$3</f>
        <v>627160.00000000058</v>
      </c>
      <c r="AK390">
        <f>L390*L$3</f>
        <v>-217027.99999999951</v>
      </c>
      <c r="AL390">
        <f>M390*M$3</f>
        <v>-192437.99999999875</v>
      </c>
      <c r="AM390">
        <f>N390*N$3</f>
        <v>0</v>
      </c>
      <c r="AN390">
        <f>O390*O$3</f>
        <v>0</v>
      </c>
      <c r="AO390">
        <f>P390*P$3</f>
        <v>-40683.345401572493</v>
      </c>
      <c r="AP390">
        <f>Q390*Q$3</f>
        <v>-47047.384529454539</v>
      </c>
      <c r="AQ390">
        <f>R390*R$3</f>
        <v>-16000.001517036695</v>
      </c>
      <c r="AR390" s="1">
        <f>S390*S$3</f>
        <v>-48971.927401044275</v>
      </c>
      <c r="AS390" s="1">
        <f t="shared" si="853"/>
        <v>-9849.0482620143775</v>
      </c>
      <c r="AT390" s="1">
        <f t="shared" si="853"/>
        <v>-35534.602001313258</v>
      </c>
      <c r="AU390" s="1">
        <f t="shared" si="853"/>
        <v>0</v>
      </c>
      <c r="AV390" s="1">
        <f t="shared" si="853"/>
        <v>0</v>
      </c>
      <c r="AW390" s="1">
        <f t="shared" si="853"/>
        <v>0</v>
      </c>
      <c r="AX390" s="1">
        <f t="shared" ref="AX390:AX453" si="856">SUM(AA390:AW390)</f>
        <v>906211.69088756503</v>
      </c>
      <c r="AY390" s="1">
        <f t="shared" ref="AY390:AY453" si="857">SUM(AN390:AW390)</f>
        <v>-198086.30911243564</v>
      </c>
      <c r="AZ390" s="1">
        <f t="shared" ref="AZ390:AZ453" si="858">AX390-AY390</f>
        <v>1104298.0000000007</v>
      </c>
    </row>
    <row r="391" spans="1:52" x14ac:dyDescent="0.25">
      <c r="A391" s="4">
        <v>45525</v>
      </c>
      <c r="B391">
        <f t="shared" ref="B391:N391" si="859">(B941-B940)*100</f>
        <v>3.0000000000000249</v>
      </c>
      <c r="C391">
        <f t="shared" si="859"/>
        <v>3.0000000000000249</v>
      </c>
      <c r="D391">
        <f t="shared" si="859"/>
        <v>3.0000000000000249</v>
      </c>
      <c r="E391">
        <f t="shared" si="859"/>
        <v>4.0000000000000036</v>
      </c>
      <c r="F391">
        <f t="shared" si="859"/>
        <v>4.9999999999999822</v>
      </c>
      <c r="G391">
        <f t="shared" si="859"/>
        <v>6.9999999999999396</v>
      </c>
      <c r="H391">
        <f t="shared" si="859"/>
        <v>7.0000000000000284</v>
      </c>
      <c r="I391">
        <f t="shared" si="859"/>
        <v>5.9999999999999609</v>
      </c>
      <c r="J391">
        <f t="shared" si="859"/>
        <v>6.0000000000000053</v>
      </c>
      <c r="K391">
        <f t="shared" si="859"/>
        <v>4.0000000000000036</v>
      </c>
      <c r="L391">
        <f t="shared" si="859"/>
        <v>2.9999999999999805</v>
      </c>
      <c r="M391">
        <f t="shared" si="859"/>
        <v>4.0000000000000036</v>
      </c>
      <c r="N391">
        <f t="shared" si="859"/>
        <v>1.0000000000000675</v>
      </c>
      <c r="O391" s="5">
        <f t="shared" si="843"/>
        <v>2.9291175013982504E-3</v>
      </c>
      <c r="P391" s="5">
        <f t="shared" si="843"/>
        <v>5.5528494701581384E-3</v>
      </c>
      <c r="Q391" s="5">
        <f t="shared" si="843"/>
        <v>-7.3220841833653814E-3</v>
      </c>
      <c r="R391" s="5">
        <f t="shared" si="843"/>
        <v>5.3376035427911536E-4</v>
      </c>
      <c r="S391" s="5">
        <f t="shared" si="843"/>
        <v>1.8122939879467965E-2</v>
      </c>
      <c r="T391" s="5">
        <f t="shared" ref="T391:X391" si="860">LN(T940/T941)</f>
        <v>-3.7320558476403734E-3</v>
      </c>
      <c r="U391" s="5">
        <f t="shared" si="860"/>
        <v>-3.4615217992695073E-3</v>
      </c>
      <c r="V391" s="5">
        <f t="shared" si="860"/>
        <v>-9.2589156450602582E-3</v>
      </c>
      <c r="W391" s="5">
        <f t="shared" si="860"/>
        <v>-1.7730298084109892E-3</v>
      </c>
      <c r="X391" s="5">
        <f t="shared" si="860"/>
        <v>-1.0268624974137648E-2</v>
      </c>
      <c r="Z391" s="4">
        <v>45525</v>
      </c>
      <c r="AA391">
        <f>B391*B$3</f>
        <v>-2949.0000000000246</v>
      </c>
      <c r="AB391">
        <f>C391*C$3</f>
        <v>-7752.0000000000646</v>
      </c>
      <c r="AC391">
        <f>D391*D$3</f>
        <v>48429.0000000004</v>
      </c>
      <c r="AD391">
        <f>E391*E$3</f>
        <v>9712.0000000000091</v>
      </c>
      <c r="AE391">
        <f>F391*F$3</f>
        <v>-62139.999999999782</v>
      </c>
      <c r="AF391">
        <f>G391*G$3</f>
        <v>-109395.99999999905</v>
      </c>
      <c r="AG391">
        <f>H391*H$3</f>
        <v>-197512.00000000081</v>
      </c>
      <c r="AH391">
        <f>I391*I$3</f>
        <v>-110735.99999999927</v>
      </c>
      <c r="AI391">
        <f>J391*J$3</f>
        <v>-306309.00000000029</v>
      </c>
      <c r="AJ391">
        <f>K391*K$3</f>
        <v>-313580.00000000029</v>
      </c>
      <c r="AK391">
        <f>L391*L$3</f>
        <v>93011.999999999389</v>
      </c>
      <c r="AL391">
        <f>M391*M$3</f>
        <v>128292.00000000012</v>
      </c>
      <c r="AM391">
        <f>N391*N$3</f>
        <v>0</v>
      </c>
      <c r="AN391">
        <f>O391*O$3</f>
        <v>0</v>
      </c>
      <c r="AO391">
        <f>P391*P$3</f>
        <v>-27764.247350790691</v>
      </c>
      <c r="AP391">
        <f>Q391*Q$3</f>
        <v>-87865.010200384582</v>
      </c>
      <c r="AQ391">
        <f>R391*R$3</f>
        <v>-8006.4053141867307</v>
      </c>
      <c r="AR391" s="1">
        <f>S391*S$3</f>
        <v>-126860.57915627575</v>
      </c>
      <c r="AS391" s="1">
        <f t="shared" si="853"/>
        <v>-14928.223390561494</v>
      </c>
      <c r="AT391" s="1">
        <f t="shared" si="853"/>
        <v>-27692.17439415606</v>
      </c>
      <c r="AU391" s="1">
        <f t="shared" si="853"/>
        <v>0</v>
      </c>
      <c r="AV391" s="1">
        <f t="shared" si="853"/>
        <v>0</v>
      </c>
      <c r="AW391" s="1">
        <f t="shared" si="853"/>
        <v>0</v>
      </c>
      <c r="AX391" s="1">
        <f t="shared" si="856"/>
        <v>-1124045.6398063549</v>
      </c>
      <c r="AY391" s="1">
        <f t="shared" si="857"/>
        <v>-293116.63980635535</v>
      </c>
      <c r="AZ391" s="1">
        <f t="shared" si="858"/>
        <v>-830928.99999999953</v>
      </c>
    </row>
    <row r="392" spans="1:52" x14ac:dyDescent="0.25">
      <c r="A392" s="4">
        <v>45524</v>
      </c>
      <c r="B392">
        <f t="shared" ref="B392:N392" si="861">(B942-B941)*100</f>
        <v>2.9999999999999361</v>
      </c>
      <c r="C392">
        <f t="shared" si="861"/>
        <v>2.9999999999999361</v>
      </c>
      <c r="D392">
        <f t="shared" si="861"/>
        <v>1.9999999999999574</v>
      </c>
      <c r="E392">
        <f t="shared" si="861"/>
        <v>2.0000000000000462</v>
      </c>
      <c r="F392">
        <f t="shared" si="861"/>
        <v>3.0000000000000249</v>
      </c>
      <c r="G392">
        <f t="shared" si="861"/>
        <v>5.0000000000000711</v>
      </c>
      <c r="H392">
        <f t="shared" si="861"/>
        <v>6.9999999999999396</v>
      </c>
      <c r="I392">
        <f t="shared" si="861"/>
        <v>6.0000000000000053</v>
      </c>
      <c r="J392">
        <f t="shared" si="861"/>
        <v>4.9999999999999822</v>
      </c>
      <c r="K392">
        <f t="shared" si="861"/>
        <v>4.9999999999999822</v>
      </c>
      <c r="L392">
        <f t="shared" si="861"/>
        <v>4.0000000000000036</v>
      </c>
      <c r="M392">
        <f t="shared" si="861"/>
        <v>4.0000000000000036</v>
      </c>
      <c r="N392">
        <f t="shared" si="861"/>
        <v>4.0000000000000036</v>
      </c>
      <c r="O392" s="5">
        <f t="shared" si="843"/>
        <v>5.6996973512183201E-3</v>
      </c>
      <c r="P392" s="5">
        <f t="shared" si="843"/>
        <v>-4.7246140353396707E-3</v>
      </c>
      <c r="Q392" s="5">
        <f t="shared" si="843"/>
        <v>-4.8089401391884926E-3</v>
      </c>
      <c r="R392" s="5">
        <f t="shared" si="843"/>
        <v>2.1378949885255886E-3</v>
      </c>
      <c r="S392" s="5">
        <f t="shared" si="843"/>
        <v>1.5779859667367471E-2</v>
      </c>
      <c r="T392" s="5">
        <f t="shared" ref="T392:X392" si="862">LN(T941/T942)</f>
        <v>-5.561019879638026E-3</v>
      </c>
      <c r="U392" s="5">
        <f t="shared" si="862"/>
        <v>-3.3329391700058076E-3</v>
      </c>
      <c r="V392" s="5">
        <f t="shared" si="862"/>
        <v>-8.5319859209736747E-3</v>
      </c>
      <c r="W392" s="5">
        <f t="shared" si="862"/>
        <v>-9.2984996899221819E-3</v>
      </c>
      <c r="X392" s="5">
        <f t="shared" si="862"/>
        <v>-6.0232932908450233E-3</v>
      </c>
      <c r="Z392" s="4">
        <v>45524</v>
      </c>
      <c r="AA392">
        <f>B392*B$3</f>
        <v>-2948.9999999999372</v>
      </c>
      <c r="AB392">
        <f>C392*C$3</f>
        <v>-7751.9999999998345</v>
      </c>
      <c r="AC392">
        <f>D392*D$3</f>
        <v>32285.999999999312</v>
      </c>
      <c r="AD392">
        <f>E392*E$3</f>
        <v>4856.0000000001119</v>
      </c>
      <c r="AE392">
        <f>F392*F$3</f>
        <v>-37284.000000000306</v>
      </c>
      <c r="AF392">
        <f>G392*G$3</f>
        <v>-78140.000000001106</v>
      </c>
      <c r="AG392">
        <f>H392*H$3</f>
        <v>-197511.99999999828</v>
      </c>
      <c r="AH392">
        <f>I392*I$3</f>
        <v>-110736.0000000001</v>
      </c>
      <c r="AI392">
        <f>J392*J$3</f>
        <v>-255257.4999999991</v>
      </c>
      <c r="AJ392">
        <f>K392*K$3</f>
        <v>-391974.9999999986</v>
      </c>
      <c r="AK392">
        <f>L392*L$3</f>
        <v>124016.00000000012</v>
      </c>
      <c r="AL392">
        <f>M392*M$3</f>
        <v>128292.00000000012</v>
      </c>
      <c r="AM392">
        <f>N392*N$3</f>
        <v>0</v>
      </c>
      <c r="AN392">
        <f>O392*O$3</f>
        <v>0</v>
      </c>
      <c r="AO392">
        <f>P392*P$3</f>
        <v>23623.070176698355</v>
      </c>
      <c r="AP392">
        <f>Q392*Q$3</f>
        <v>-57707.281670261909</v>
      </c>
      <c r="AQ392">
        <f>R392*R$3</f>
        <v>-32068.424827883831</v>
      </c>
      <c r="AR392" s="1">
        <f>S392*S$3</f>
        <v>-110459.01767157229</v>
      </c>
      <c r="AS392" s="1">
        <f t="shared" si="853"/>
        <v>-22244.079518552106</v>
      </c>
      <c r="AT392" s="1">
        <f t="shared" si="853"/>
        <v>-26663.513360046461</v>
      </c>
      <c r="AU392" s="1">
        <f t="shared" si="853"/>
        <v>0</v>
      </c>
      <c r="AV392" s="1">
        <f t="shared" si="853"/>
        <v>0</v>
      </c>
      <c r="AW392" s="1">
        <f t="shared" si="853"/>
        <v>0</v>
      </c>
      <c r="AX392" s="1">
        <f t="shared" si="856"/>
        <v>-1017674.7468716158</v>
      </c>
      <c r="AY392" s="1">
        <f t="shared" si="857"/>
        <v>-225519.24687161823</v>
      </c>
      <c r="AZ392" s="1">
        <f t="shared" si="858"/>
        <v>-792155.49999999756</v>
      </c>
    </row>
    <row r="393" spans="1:52" x14ac:dyDescent="0.25">
      <c r="A393" s="4">
        <v>45523</v>
      </c>
      <c r="B393">
        <f t="shared" ref="B393:N393" si="863">(B943-B942)*100</f>
        <v>2.0000000000000462</v>
      </c>
      <c r="C393">
        <f t="shared" si="863"/>
        <v>1.0000000000000675</v>
      </c>
      <c r="D393">
        <f t="shared" si="863"/>
        <v>2.0000000000000462</v>
      </c>
      <c r="E393">
        <f t="shared" si="863"/>
        <v>1.9999999999999574</v>
      </c>
      <c r="F393">
        <f t="shared" si="863"/>
        <v>1.9999999999999574</v>
      </c>
      <c r="G393">
        <f t="shared" si="863"/>
        <v>0.99999999999997868</v>
      </c>
      <c r="H393">
        <f t="shared" si="863"/>
        <v>0</v>
      </c>
      <c r="I393">
        <f t="shared" si="863"/>
        <v>1.0000000000000231</v>
      </c>
      <c r="J393">
        <f t="shared" si="863"/>
        <v>2.0000000000000018</v>
      </c>
      <c r="K393">
        <f t="shared" si="863"/>
        <v>3.0000000000000249</v>
      </c>
      <c r="L393">
        <f t="shared" si="863"/>
        <v>3.0000000000000249</v>
      </c>
      <c r="M393">
        <f t="shared" si="863"/>
        <v>2.9999999999999361</v>
      </c>
      <c r="N393">
        <f t="shared" si="863"/>
        <v>4.0000000000000036</v>
      </c>
      <c r="O393" s="5">
        <f t="shared" si="843"/>
        <v>-7.2568592351153335E-3</v>
      </c>
      <c r="P393" s="5">
        <f t="shared" si="843"/>
        <v>0</v>
      </c>
      <c r="Q393" s="5">
        <f t="shared" si="843"/>
        <v>2.6270233794281595E-3</v>
      </c>
      <c r="R393" s="5">
        <f t="shared" si="843"/>
        <v>1.3385091009242706E-3</v>
      </c>
      <c r="S393" s="5">
        <f t="shared" si="843"/>
        <v>3.7023287637841891E-3</v>
      </c>
      <c r="T393" s="5">
        <f t="shared" ref="T393:X393" si="864">LN(T942/T943)</f>
        <v>-4.7515321311989338E-3</v>
      </c>
      <c r="U393" s="5">
        <f t="shared" si="864"/>
        <v>-6.7999665757644693E-3</v>
      </c>
      <c r="V393" s="5">
        <f t="shared" si="864"/>
        <v>-8.520241437790484E-3</v>
      </c>
      <c r="W393" s="5">
        <f t="shared" si="864"/>
        <v>-9.1070237458799105E-3</v>
      </c>
      <c r="X393" s="5">
        <f t="shared" si="864"/>
        <v>-5.6434572064399608E-3</v>
      </c>
      <c r="Z393" s="4">
        <v>45523</v>
      </c>
      <c r="AA393">
        <f>B393*B$3</f>
        <v>-1966.0000000000455</v>
      </c>
      <c r="AB393">
        <f>C393*C$3</f>
        <v>-2584.0000000001746</v>
      </c>
      <c r="AC393">
        <f>D393*D$3</f>
        <v>32286.000000000746</v>
      </c>
      <c r="AD393">
        <f>E393*E$3</f>
        <v>4855.9999999998963</v>
      </c>
      <c r="AE393">
        <f>F393*F$3</f>
        <v>-24855.999999999469</v>
      </c>
      <c r="AF393">
        <f>G393*G$3</f>
        <v>-15627.999999999667</v>
      </c>
      <c r="AG393">
        <f>H393*H$3</f>
        <v>0</v>
      </c>
      <c r="AH393">
        <f>I393*I$3</f>
        <v>-18456.000000000426</v>
      </c>
      <c r="AI393">
        <f>J393*J$3</f>
        <v>-102103.00000000009</v>
      </c>
      <c r="AJ393">
        <f>K393*K$3</f>
        <v>-235185.00000000195</v>
      </c>
      <c r="AK393">
        <f>L393*L$3</f>
        <v>93012.000000000771</v>
      </c>
      <c r="AL393">
        <f>M393*M$3</f>
        <v>96218.999999997948</v>
      </c>
      <c r="AM393">
        <f>N393*N$3</f>
        <v>0</v>
      </c>
      <c r="AN393">
        <f>O393*O$3</f>
        <v>0</v>
      </c>
      <c r="AO393">
        <f>P393*P$3</f>
        <v>0</v>
      </c>
      <c r="AP393">
        <f>Q393*Q$3</f>
        <v>31524.280553137913</v>
      </c>
      <c r="AQ393">
        <f>R393*R$3</f>
        <v>-20077.636513864058</v>
      </c>
      <c r="AR393" s="1">
        <f>S393*S$3</f>
        <v>-25916.301346489323</v>
      </c>
      <c r="AS393" s="1">
        <f t="shared" si="853"/>
        <v>-19006.128524795735</v>
      </c>
      <c r="AT393" s="1">
        <f t="shared" si="853"/>
        <v>-54399.732606115751</v>
      </c>
      <c r="AU393" s="1">
        <f t="shared" si="853"/>
        <v>0</v>
      </c>
      <c r="AV393" s="1">
        <f t="shared" si="853"/>
        <v>0</v>
      </c>
      <c r="AW393" s="1">
        <f t="shared" si="853"/>
        <v>0</v>
      </c>
      <c r="AX393" s="1">
        <f t="shared" si="856"/>
        <v>-262280.51843812939</v>
      </c>
      <c r="AY393" s="1">
        <f t="shared" si="857"/>
        <v>-87875.51843812695</v>
      </c>
      <c r="AZ393" s="1">
        <f t="shared" si="858"/>
        <v>-174405.00000000244</v>
      </c>
    </row>
    <row r="394" spans="1:52" x14ac:dyDescent="0.25">
      <c r="A394" s="4">
        <v>45520</v>
      </c>
      <c r="B394">
        <f t="shared" ref="B394:N394" si="865">(B944-B943)*100</f>
        <v>0</v>
      </c>
      <c r="C394">
        <f t="shared" si="865"/>
        <v>0</v>
      </c>
      <c r="D394">
        <f t="shared" si="865"/>
        <v>0.99999999999997868</v>
      </c>
      <c r="E394">
        <f t="shared" si="865"/>
        <v>0.99999999999997868</v>
      </c>
      <c r="F394">
        <f t="shared" si="865"/>
        <v>2.0000000000000462</v>
      </c>
      <c r="G394">
        <f t="shared" si="865"/>
        <v>2.9999999999999361</v>
      </c>
      <c r="H394">
        <f t="shared" si="865"/>
        <v>2.0000000000000462</v>
      </c>
      <c r="I394">
        <f t="shared" si="865"/>
        <v>2.9999999999999805</v>
      </c>
      <c r="J394">
        <f t="shared" si="865"/>
        <v>2.0000000000000018</v>
      </c>
      <c r="K394">
        <f t="shared" si="865"/>
        <v>2.0000000000000018</v>
      </c>
      <c r="L394">
        <f t="shared" si="865"/>
        <v>2.9999999999999805</v>
      </c>
      <c r="M394">
        <f t="shared" si="865"/>
        <v>2.0000000000000462</v>
      </c>
      <c r="N394">
        <f t="shared" si="865"/>
        <v>2.9999999999999361</v>
      </c>
      <c r="O394" s="5">
        <f t="shared" si="843"/>
        <v>-3.4774015010405085E-4</v>
      </c>
      <c r="P394" s="5">
        <f t="shared" si="843"/>
        <v>4.9738973471128364E-3</v>
      </c>
      <c r="Q394" s="5">
        <f t="shared" si="843"/>
        <v>-9.5510478535010669E-4</v>
      </c>
      <c r="R394" s="5">
        <f t="shared" si="843"/>
        <v>-1.8734114939938506E-3</v>
      </c>
      <c r="S394" s="5">
        <f t="shared" si="843"/>
        <v>-9.6574820794735497E-4</v>
      </c>
      <c r="T394" s="5">
        <f t="shared" ref="T394:X394" si="866">LN(T943/T944)</f>
        <v>3.6826722529138011E-3</v>
      </c>
      <c r="U394" s="5">
        <f t="shared" si="866"/>
        <v>-2.3889986056002538E-3</v>
      </c>
      <c r="V394" s="5">
        <f t="shared" si="866"/>
        <v>1.3282894341895599E-2</v>
      </c>
      <c r="W394" s="5">
        <f t="shared" si="866"/>
        <v>-1.8893951451320109E-3</v>
      </c>
      <c r="X394" s="5">
        <f t="shared" si="866"/>
        <v>8.8459796811417406E-3</v>
      </c>
      <c r="Z394" s="4">
        <v>45520</v>
      </c>
      <c r="AA394">
        <f>B394*B$3</f>
        <v>0</v>
      </c>
      <c r="AB394">
        <f>C394*C$3</f>
        <v>0</v>
      </c>
      <c r="AC394">
        <f>D394*D$3</f>
        <v>16142.999999999656</v>
      </c>
      <c r="AD394">
        <f>E394*E$3</f>
        <v>2427.9999999999482</v>
      </c>
      <c r="AE394">
        <f>F394*F$3</f>
        <v>-24856.000000000575</v>
      </c>
      <c r="AF394">
        <f>G394*G$3</f>
        <v>-46883.999999999003</v>
      </c>
      <c r="AG394">
        <f>H394*H$3</f>
        <v>-56432.000000001302</v>
      </c>
      <c r="AH394">
        <f>I394*I$3</f>
        <v>-55367.999999999636</v>
      </c>
      <c r="AI394">
        <f>J394*J$3</f>
        <v>-102103.00000000009</v>
      </c>
      <c r="AJ394">
        <f>K394*K$3</f>
        <v>-156790.00000000015</v>
      </c>
      <c r="AK394">
        <f>L394*L$3</f>
        <v>93011.999999999389</v>
      </c>
      <c r="AL394">
        <f>M394*M$3</f>
        <v>64146.000000001484</v>
      </c>
      <c r="AM394">
        <f>N394*N$3</f>
        <v>0</v>
      </c>
      <c r="AN394">
        <f>O394*O$3</f>
        <v>0</v>
      </c>
      <c r="AO394">
        <f>P394*P$3</f>
        <v>-24869.486735564184</v>
      </c>
      <c r="AP394">
        <f>Q394*Q$3</f>
        <v>-11461.25742420128</v>
      </c>
      <c r="AQ394">
        <f>R394*R$3</f>
        <v>28101.172409907758</v>
      </c>
      <c r="AR394" s="1">
        <f>S394*S$3</f>
        <v>6760.2374556314844</v>
      </c>
      <c r="AS394" s="1">
        <f t="shared" si="853"/>
        <v>14730.689011655204</v>
      </c>
      <c r="AT394" s="1">
        <f t="shared" si="853"/>
        <v>-19111.988844802032</v>
      </c>
      <c r="AU394" s="1">
        <f t="shared" si="853"/>
        <v>0</v>
      </c>
      <c r="AV394" s="1">
        <f t="shared" si="853"/>
        <v>0</v>
      </c>
      <c r="AW394" s="1">
        <f t="shared" si="853"/>
        <v>0</v>
      </c>
      <c r="AX394" s="1">
        <f t="shared" si="856"/>
        <v>-272554.63412737334</v>
      </c>
      <c r="AY394" s="1">
        <f t="shared" si="857"/>
        <v>-5850.6341273730468</v>
      </c>
      <c r="AZ394" s="1">
        <f t="shared" si="858"/>
        <v>-266704.00000000029</v>
      </c>
    </row>
    <row r="395" spans="1:52" x14ac:dyDescent="0.25">
      <c r="A395" s="4">
        <v>45519</v>
      </c>
      <c r="B395">
        <f t="shared" ref="B395:N395" si="867">(B945-B944)*100</f>
        <v>-4.0000000000000036</v>
      </c>
      <c r="C395">
        <f t="shared" si="867"/>
        <v>-1.0000000000000675</v>
      </c>
      <c r="D395">
        <f t="shared" si="867"/>
        <v>-1.9999999999999574</v>
      </c>
      <c r="E395">
        <f t="shared" si="867"/>
        <v>-0.99999999999997868</v>
      </c>
      <c r="F395">
        <f t="shared" si="867"/>
        <v>-4.0000000000000036</v>
      </c>
      <c r="G395">
        <f t="shared" si="867"/>
        <v>-9.9999999999999645</v>
      </c>
      <c r="H395">
        <f t="shared" si="867"/>
        <v>-14.000000000000012</v>
      </c>
      <c r="I395">
        <f t="shared" si="867"/>
        <v>-14.000000000000012</v>
      </c>
      <c r="J395">
        <f t="shared" si="867"/>
        <v>-12.000000000000011</v>
      </c>
      <c r="K395">
        <f t="shared" si="867"/>
        <v>-10.999999999999988</v>
      </c>
      <c r="L395">
        <f t="shared" si="867"/>
        <v>-8.9999999999999858</v>
      </c>
      <c r="M395">
        <f t="shared" si="867"/>
        <v>-6.0000000000000497</v>
      </c>
      <c r="N395">
        <f t="shared" si="867"/>
        <v>-5.9999999999999609</v>
      </c>
      <c r="O395" s="5">
        <f t="shared" ref="O395:S404" si="868">LN(O944/O945)</f>
        <v>2.7302645525410555E-3</v>
      </c>
      <c r="P395" s="5">
        <f t="shared" si="868"/>
        <v>-2.2413158430138703E-3</v>
      </c>
      <c r="Q395" s="5">
        <f t="shared" si="868"/>
        <v>0</v>
      </c>
      <c r="R395" s="5">
        <f t="shared" si="868"/>
        <v>1.070091059844386E-3</v>
      </c>
      <c r="S395" s="5">
        <f t="shared" si="868"/>
        <v>-9.7605483818611442E-3</v>
      </c>
      <c r="T395" s="5">
        <f t="shared" ref="T395:X395" si="869">LN(T944/T945)</f>
        <v>-1.4746939005722179E-3</v>
      </c>
      <c r="U395" s="5">
        <f t="shared" si="869"/>
        <v>2.954968991830426E-3</v>
      </c>
      <c r="V395" s="5">
        <f t="shared" si="869"/>
        <v>1.916995396381618E-3</v>
      </c>
      <c r="W395" s="5">
        <f t="shared" si="869"/>
        <v>5.8301810288669915E-3</v>
      </c>
      <c r="X395" s="5">
        <f t="shared" si="869"/>
        <v>-2.8212916603254789E-4</v>
      </c>
      <c r="Z395" s="4">
        <v>45519</v>
      </c>
      <c r="AA395">
        <f>B395*B$3</f>
        <v>3932.0000000000036</v>
      </c>
      <c r="AB395">
        <f>C395*C$3</f>
        <v>2584.0000000001746</v>
      </c>
      <c r="AC395">
        <f>D395*D$3</f>
        <v>-32285.999999999312</v>
      </c>
      <c r="AD395">
        <f>E395*E$3</f>
        <v>-2427.9999999999482</v>
      </c>
      <c r="AE395">
        <f>F395*F$3</f>
        <v>49712.000000000044</v>
      </c>
      <c r="AF395">
        <f>G395*G$3</f>
        <v>156279.99999999945</v>
      </c>
      <c r="AG395">
        <f>H395*H$3</f>
        <v>395024.00000000035</v>
      </c>
      <c r="AH395">
        <f>I395*I$3</f>
        <v>258384.00000000023</v>
      </c>
      <c r="AI395">
        <f>J395*J$3</f>
        <v>612618.00000000058</v>
      </c>
      <c r="AJ395">
        <f>K395*K$3</f>
        <v>862344.99999999907</v>
      </c>
      <c r="AK395">
        <f>L395*L$3</f>
        <v>-279035.99999999953</v>
      </c>
      <c r="AL395">
        <f>M395*M$3</f>
        <v>-192438.0000000016</v>
      </c>
      <c r="AM395">
        <f>N395*N$3</f>
        <v>0</v>
      </c>
      <c r="AN395">
        <f>O395*O$3</f>
        <v>0</v>
      </c>
      <c r="AO395">
        <f>P395*P$3</f>
        <v>11206.579215069352</v>
      </c>
      <c r="AP395">
        <f>Q395*Q$3</f>
        <v>0</v>
      </c>
      <c r="AQ395">
        <f>R395*R$3</f>
        <v>-16051.36589766579</v>
      </c>
      <c r="AR395" s="1">
        <f>S395*S$3</f>
        <v>68323.838673028004</v>
      </c>
      <c r="AS395" s="1">
        <f t="shared" si="853"/>
        <v>-5898.7756022888716</v>
      </c>
      <c r="AT395" s="1">
        <f t="shared" si="853"/>
        <v>23639.751934643409</v>
      </c>
      <c r="AU395" s="1">
        <f t="shared" si="853"/>
        <v>0</v>
      </c>
      <c r="AV395" s="1">
        <f t="shared" si="853"/>
        <v>0</v>
      </c>
      <c r="AW395" s="1">
        <f t="shared" si="853"/>
        <v>0</v>
      </c>
      <c r="AX395" s="1">
        <f t="shared" si="856"/>
        <v>1915911.0283227854</v>
      </c>
      <c r="AY395" s="1">
        <f t="shared" si="857"/>
        <v>81220.028322786107</v>
      </c>
      <c r="AZ395" s="1">
        <f t="shared" si="858"/>
        <v>1834690.9999999993</v>
      </c>
    </row>
    <row r="396" spans="1:52" x14ac:dyDescent="0.25">
      <c r="A396" s="4">
        <v>45518</v>
      </c>
      <c r="B396">
        <f t="shared" ref="B396:N396" si="870">(B946-B945)*100</f>
        <v>-0.99999999999997868</v>
      </c>
      <c r="C396">
        <f t="shared" si="870"/>
        <v>0</v>
      </c>
      <c r="D396">
        <f t="shared" si="870"/>
        <v>0</v>
      </c>
      <c r="E396">
        <f t="shared" si="870"/>
        <v>-3.0000000000000249</v>
      </c>
      <c r="F396">
        <f t="shared" si="870"/>
        <v>-3.0000000000000249</v>
      </c>
      <c r="G396">
        <f t="shared" si="870"/>
        <v>-1.9999999999999574</v>
      </c>
      <c r="H396">
        <f t="shared" si="870"/>
        <v>-0.99999999999997868</v>
      </c>
      <c r="I396">
        <f t="shared" si="870"/>
        <v>-0.99999999999997868</v>
      </c>
      <c r="J396">
        <f t="shared" si="870"/>
        <v>1.0000000000000231</v>
      </c>
      <c r="K396">
        <f t="shared" si="870"/>
        <v>2.0000000000000018</v>
      </c>
      <c r="L396">
        <f t="shared" si="870"/>
        <v>2.0000000000000018</v>
      </c>
      <c r="M396">
        <f t="shared" si="870"/>
        <v>3.0000000000000249</v>
      </c>
      <c r="N396">
        <f t="shared" si="870"/>
        <v>4.0000000000000036</v>
      </c>
      <c r="O396" s="5">
        <f t="shared" si="868"/>
        <v>-6.8208473200130088E-3</v>
      </c>
      <c r="P396" s="5">
        <f t="shared" si="868"/>
        <v>-3.6996156364154345E-3</v>
      </c>
      <c r="Q396" s="5">
        <f t="shared" si="868"/>
        <v>3.4330344069733685E-4</v>
      </c>
      <c r="R396" s="5">
        <f t="shared" si="868"/>
        <v>-1.6047074853016573E-3</v>
      </c>
      <c r="S396" s="5">
        <f t="shared" si="868"/>
        <v>-9.0611742826049394E-3</v>
      </c>
      <c r="T396" s="5">
        <f t="shared" ref="T396:X396" si="871">LN(T945/T946)</f>
        <v>-5.5381610934361189E-3</v>
      </c>
      <c r="U396" s="5">
        <f t="shared" si="871"/>
        <v>-7.4477759489886422E-3</v>
      </c>
      <c r="V396" s="5">
        <f t="shared" si="871"/>
        <v>-7.4852696727556136E-5</v>
      </c>
      <c r="W396" s="5">
        <f t="shared" si="871"/>
        <v>-8.058531901975358E-3</v>
      </c>
      <c r="X396" s="5">
        <f t="shared" si="871"/>
        <v>3.7000929373561653E-4</v>
      </c>
      <c r="Z396" s="4">
        <v>45518</v>
      </c>
      <c r="AA396">
        <f>B396*B$3</f>
        <v>982.99999999997908</v>
      </c>
      <c r="AB396">
        <f>C396*C$3</f>
        <v>0</v>
      </c>
      <c r="AC396">
        <f>D396*D$3</f>
        <v>0</v>
      </c>
      <c r="AD396">
        <f>E396*E$3</f>
        <v>-7284.00000000006</v>
      </c>
      <c r="AE396">
        <f>F396*F$3</f>
        <v>37284.000000000306</v>
      </c>
      <c r="AF396">
        <f>G396*G$3</f>
        <v>31255.999999999334</v>
      </c>
      <c r="AG396">
        <f>H396*H$3</f>
        <v>28215.9999999994</v>
      </c>
      <c r="AH396">
        <f>I396*I$3</f>
        <v>18455.999999999607</v>
      </c>
      <c r="AI396">
        <f>J396*J$3</f>
        <v>-51051.500000001179</v>
      </c>
      <c r="AJ396">
        <f>K396*K$3</f>
        <v>-156790.00000000015</v>
      </c>
      <c r="AK396">
        <f>L396*L$3</f>
        <v>62008.000000000058</v>
      </c>
      <c r="AL396">
        <f>M396*M$3</f>
        <v>96219.0000000008</v>
      </c>
      <c r="AM396">
        <f>N396*N$3</f>
        <v>0</v>
      </c>
      <c r="AN396">
        <f>O396*O$3</f>
        <v>0</v>
      </c>
      <c r="AO396">
        <f>P396*P$3</f>
        <v>18498.078182077174</v>
      </c>
      <c r="AP396">
        <f>Q396*Q$3</f>
        <v>4119.6412883680423</v>
      </c>
      <c r="AQ396">
        <f>R396*R$3</f>
        <v>24070.612279524859</v>
      </c>
      <c r="AR396" s="1">
        <f>S396*S$3</f>
        <v>63428.219978234578</v>
      </c>
      <c r="AS396" s="1">
        <f t="shared" si="853"/>
        <v>-22152.644373744475</v>
      </c>
      <c r="AT396" s="1">
        <f t="shared" si="853"/>
        <v>-59582.207591909137</v>
      </c>
      <c r="AU396" s="1">
        <f t="shared" si="853"/>
        <v>0</v>
      </c>
      <c r="AV396" s="1">
        <f t="shared" si="853"/>
        <v>0</v>
      </c>
      <c r="AW396" s="1">
        <f t="shared" si="853"/>
        <v>0</v>
      </c>
      <c r="AX396" s="1">
        <f t="shared" si="856"/>
        <v>87678.199762549193</v>
      </c>
      <c r="AY396" s="1">
        <f t="shared" si="857"/>
        <v>28381.699762551034</v>
      </c>
      <c r="AZ396" s="1">
        <f t="shared" si="858"/>
        <v>59296.499999998159</v>
      </c>
    </row>
    <row r="397" spans="1:52" x14ac:dyDescent="0.25">
      <c r="A397" s="4">
        <v>45517</v>
      </c>
      <c r="B397">
        <f t="shared" ref="B397:N397" si="872">(B947-B946)*100</f>
        <v>4.9999999999999822</v>
      </c>
      <c r="C397">
        <f t="shared" si="872"/>
        <v>1.0000000000000675</v>
      </c>
      <c r="D397">
        <f t="shared" si="872"/>
        <v>0.99999999999997868</v>
      </c>
      <c r="E397">
        <f t="shared" si="872"/>
        <v>2.0000000000000462</v>
      </c>
      <c r="F397">
        <f t="shared" si="872"/>
        <v>4.9999999999999822</v>
      </c>
      <c r="G397">
        <f t="shared" si="872"/>
        <v>6.9999999999999396</v>
      </c>
      <c r="H397">
        <f t="shared" si="872"/>
        <v>7.9999999999999627</v>
      </c>
      <c r="I397">
        <f t="shared" si="872"/>
        <v>6.999999999999984</v>
      </c>
      <c r="J397">
        <f t="shared" si="872"/>
        <v>6.999999999999984</v>
      </c>
      <c r="K397">
        <f t="shared" si="872"/>
        <v>5.9999999999999609</v>
      </c>
      <c r="L397">
        <f t="shared" si="872"/>
        <v>4.9999999999999822</v>
      </c>
      <c r="M397">
        <f t="shared" si="872"/>
        <v>4.9999999999999822</v>
      </c>
      <c r="N397">
        <f t="shared" si="872"/>
        <v>3.0000000000000249</v>
      </c>
      <c r="O397" s="5">
        <f t="shared" si="868"/>
        <v>-6.558571923929536E-4</v>
      </c>
      <c r="P397" s="5">
        <f t="shared" si="868"/>
        <v>-4.0069309114303458E-3</v>
      </c>
      <c r="Q397" s="5">
        <f t="shared" si="868"/>
        <v>-7.0793425604086821E-4</v>
      </c>
      <c r="R397" s="5">
        <f t="shared" si="868"/>
        <v>0</v>
      </c>
      <c r="S397" s="5">
        <f t="shared" si="868"/>
        <v>-4.3427985525479381E-3</v>
      </c>
      <c r="T397" s="5">
        <f t="shared" ref="T397:X397" si="873">LN(T946/T947)</f>
        <v>-2.0538861067447129E-3</v>
      </c>
      <c r="U397" s="5">
        <f t="shared" si="873"/>
        <v>-1.6333258835586472E-3</v>
      </c>
      <c r="V397" s="5">
        <f t="shared" si="873"/>
        <v>-4.0821713732773344E-4</v>
      </c>
      <c r="W397" s="5">
        <f t="shared" si="873"/>
        <v>-2.3613328890626731E-3</v>
      </c>
      <c r="X397" s="5">
        <f t="shared" si="873"/>
        <v>-3.5843350265622693E-4</v>
      </c>
      <c r="Z397" s="4">
        <v>45517</v>
      </c>
      <c r="AA397">
        <f>B397*B$3</f>
        <v>-4914.9999999999827</v>
      </c>
      <c r="AB397">
        <f>C397*C$3</f>
        <v>-2584.0000000001746</v>
      </c>
      <c r="AC397">
        <f>D397*D$3</f>
        <v>16142.999999999656</v>
      </c>
      <c r="AD397">
        <f>E397*E$3</f>
        <v>4856.0000000001119</v>
      </c>
      <c r="AE397">
        <f>F397*F$3</f>
        <v>-62139.999999999782</v>
      </c>
      <c r="AF397">
        <f>G397*G$3</f>
        <v>-109395.99999999905</v>
      </c>
      <c r="AG397">
        <f>H397*H$3</f>
        <v>-225727.99999999895</v>
      </c>
      <c r="AH397">
        <f>I397*I$3</f>
        <v>-129191.99999999971</v>
      </c>
      <c r="AI397">
        <f>J397*J$3</f>
        <v>-357360.49999999919</v>
      </c>
      <c r="AJ397">
        <f>K397*K$3</f>
        <v>-470369.99999999691</v>
      </c>
      <c r="AK397">
        <f>L397*L$3</f>
        <v>155019.99999999945</v>
      </c>
      <c r="AL397">
        <f>M397*M$3</f>
        <v>160364.99999999942</v>
      </c>
      <c r="AM397">
        <f>N397*N$3</f>
        <v>0</v>
      </c>
      <c r="AN397">
        <f>O397*O$3</f>
        <v>0</v>
      </c>
      <c r="AO397">
        <f>P397*P$3</f>
        <v>20034.654557151731</v>
      </c>
      <c r="AP397">
        <f>Q397*Q$3</f>
        <v>-8495.2110724904178</v>
      </c>
      <c r="AQ397">
        <f>R397*R$3</f>
        <v>0</v>
      </c>
      <c r="AR397" s="1">
        <f>S397*S$3</f>
        <v>30399.589867835566</v>
      </c>
      <c r="AS397" s="1">
        <f t="shared" si="853"/>
        <v>-8215.5444269788513</v>
      </c>
      <c r="AT397" s="1">
        <f t="shared" si="853"/>
        <v>-13066.607068469177</v>
      </c>
      <c r="AU397" s="1">
        <f t="shared" si="853"/>
        <v>0</v>
      </c>
      <c r="AV397" s="1">
        <f t="shared" si="853"/>
        <v>0</v>
      </c>
      <c r="AW397" s="1">
        <f t="shared" si="853"/>
        <v>0</v>
      </c>
      <c r="AX397" s="1">
        <f t="shared" si="856"/>
        <v>-1004644.6181429462</v>
      </c>
      <c r="AY397" s="1">
        <f t="shared" si="857"/>
        <v>20656.881857048855</v>
      </c>
      <c r="AZ397" s="1">
        <f t="shared" si="858"/>
        <v>-1025301.499999995</v>
      </c>
    </row>
    <row r="398" spans="1:52" x14ac:dyDescent="0.25">
      <c r="A398" s="4">
        <v>45516</v>
      </c>
      <c r="B398">
        <f t="shared" ref="B398:N398" si="874">(B948-B947)*100</f>
        <v>0.99999999999997868</v>
      </c>
      <c r="C398">
        <f t="shared" si="874"/>
        <v>0</v>
      </c>
      <c r="D398">
        <f t="shared" si="874"/>
        <v>0</v>
      </c>
      <c r="E398">
        <f t="shared" si="874"/>
        <v>1.9999999999999574</v>
      </c>
      <c r="F398">
        <f t="shared" si="874"/>
        <v>0</v>
      </c>
      <c r="G398">
        <f t="shared" si="874"/>
        <v>3.0000000000000249</v>
      </c>
      <c r="H398">
        <f t="shared" si="874"/>
        <v>4.0000000000000036</v>
      </c>
      <c r="I398">
        <f t="shared" si="874"/>
        <v>4.0000000000000036</v>
      </c>
      <c r="J398">
        <f t="shared" si="874"/>
        <v>4.9999999999999822</v>
      </c>
      <c r="K398">
        <f t="shared" si="874"/>
        <v>5.0000000000000266</v>
      </c>
      <c r="L398">
        <f t="shared" si="874"/>
        <v>4.0000000000000036</v>
      </c>
      <c r="M398">
        <f t="shared" si="874"/>
        <v>3.0000000000000249</v>
      </c>
      <c r="N398">
        <f t="shared" si="874"/>
        <v>4.0000000000000036</v>
      </c>
      <c r="O398" s="5">
        <f t="shared" si="868"/>
        <v>-3.7084209014814607E-3</v>
      </c>
      <c r="P398" s="5">
        <f t="shared" si="868"/>
        <v>-5.3152656162013751E-3</v>
      </c>
      <c r="Q398" s="5">
        <f t="shared" si="868"/>
        <v>-4.8775366780775369E-3</v>
      </c>
      <c r="R398" s="5">
        <f t="shared" si="868"/>
        <v>1.8724092671171789E-3</v>
      </c>
      <c r="S398" s="5">
        <f t="shared" si="868"/>
        <v>1.3478323856982534E-2</v>
      </c>
      <c r="T398" s="5">
        <f t="shared" ref="T398:X398" si="875">LN(T947/T948)</f>
        <v>1.74749371619393E-4</v>
      </c>
      <c r="U398" s="5">
        <f t="shared" si="875"/>
        <v>-2.2955571532544663E-4</v>
      </c>
      <c r="V398" s="5">
        <f t="shared" si="875"/>
        <v>-4.2550146958370135E-3</v>
      </c>
      <c r="W398" s="5">
        <f t="shared" si="875"/>
        <v>3.3759942709425694E-3</v>
      </c>
      <c r="X398" s="5">
        <f t="shared" si="875"/>
        <v>-2.0902192207487916E-3</v>
      </c>
      <c r="Z398" s="4">
        <v>45516</v>
      </c>
      <c r="AA398">
        <f>B398*B$3</f>
        <v>-982.99999999997908</v>
      </c>
      <c r="AB398">
        <f>C398*C$3</f>
        <v>0</v>
      </c>
      <c r="AC398">
        <f>D398*D$3</f>
        <v>0</v>
      </c>
      <c r="AD398">
        <f>E398*E$3</f>
        <v>4855.9999999998963</v>
      </c>
      <c r="AE398">
        <f>F398*F$3</f>
        <v>0</v>
      </c>
      <c r="AF398">
        <f>G398*G$3</f>
        <v>-46884.000000000386</v>
      </c>
      <c r="AG398">
        <f>H398*H$3</f>
        <v>-112864.0000000001</v>
      </c>
      <c r="AH398">
        <f>I398*I$3</f>
        <v>-73824.000000000073</v>
      </c>
      <c r="AI398">
        <f>J398*J$3</f>
        <v>-255257.4999999991</v>
      </c>
      <c r="AJ398">
        <f>K398*K$3</f>
        <v>-391975.0000000021</v>
      </c>
      <c r="AK398">
        <f>L398*L$3</f>
        <v>124016.00000000012</v>
      </c>
      <c r="AL398">
        <f>M398*M$3</f>
        <v>96219.0000000008</v>
      </c>
      <c r="AM398">
        <f>N398*N$3</f>
        <v>0</v>
      </c>
      <c r="AN398">
        <f>O398*O$3</f>
        <v>0</v>
      </c>
      <c r="AO398">
        <f>P398*P$3</f>
        <v>26576.328081006875</v>
      </c>
      <c r="AP398">
        <f>Q398*Q$3</f>
        <v>-58530.44013693044</v>
      </c>
      <c r="AQ398">
        <f>R398*R$3</f>
        <v>-28086.139006757683</v>
      </c>
      <c r="AR398" s="1">
        <f>S398*S$3</f>
        <v>-94348.266998877734</v>
      </c>
      <c r="AS398" s="1">
        <f t="shared" si="853"/>
        <v>698.99748647757201</v>
      </c>
      <c r="AT398" s="1">
        <f t="shared" si="853"/>
        <v>-1836.4457226035731</v>
      </c>
      <c r="AU398" s="1">
        <f t="shared" si="853"/>
        <v>0</v>
      </c>
      <c r="AV398" s="1">
        <f t="shared" si="853"/>
        <v>0</v>
      </c>
      <c r="AW398" s="1">
        <f t="shared" si="853"/>
        <v>0</v>
      </c>
      <c r="AX398" s="1">
        <f t="shared" si="856"/>
        <v>-812222.46629768587</v>
      </c>
      <c r="AY398" s="1">
        <f t="shared" si="857"/>
        <v>-155525.96629768496</v>
      </c>
      <c r="AZ398" s="1">
        <f t="shared" si="858"/>
        <v>-656696.50000000093</v>
      </c>
    </row>
    <row r="399" spans="1:52" x14ac:dyDescent="0.25">
      <c r="A399" s="4">
        <v>45513</v>
      </c>
      <c r="B399">
        <f t="shared" ref="B399:N399" si="876">(B949-B948)*100</f>
        <v>0.99999999999997868</v>
      </c>
      <c r="C399">
        <f t="shared" si="876"/>
        <v>1.9999999999999574</v>
      </c>
      <c r="D399">
        <f t="shared" si="876"/>
        <v>0.99999999999997868</v>
      </c>
      <c r="E399">
        <f t="shared" si="876"/>
        <v>-0.99999999999997868</v>
      </c>
      <c r="F399">
        <f t="shared" si="876"/>
        <v>-0.99999999999997868</v>
      </c>
      <c r="G399">
        <f t="shared" si="876"/>
        <v>-1.9999999999999574</v>
      </c>
      <c r="H399">
        <f t="shared" si="876"/>
        <v>-0.99999999999997868</v>
      </c>
      <c r="I399">
        <f t="shared" si="876"/>
        <v>0</v>
      </c>
      <c r="J399">
        <f t="shared" si="876"/>
        <v>3.0000000000000249</v>
      </c>
      <c r="K399">
        <f t="shared" si="876"/>
        <v>4.0000000000000036</v>
      </c>
      <c r="L399">
        <f t="shared" si="876"/>
        <v>5.0000000000000266</v>
      </c>
      <c r="M399">
        <f t="shared" si="876"/>
        <v>4.9999999999999822</v>
      </c>
      <c r="N399">
        <f t="shared" si="876"/>
        <v>4.9999999999999822</v>
      </c>
      <c r="O399" s="5">
        <f t="shared" si="868"/>
        <v>-1.8997524997230689E-2</v>
      </c>
      <c r="P399" s="5">
        <f t="shared" si="868"/>
        <v>3.1207411813355926E-3</v>
      </c>
      <c r="Q399" s="5">
        <f t="shared" si="868"/>
        <v>-7.208426122638052E-3</v>
      </c>
      <c r="R399" s="5">
        <f t="shared" si="868"/>
        <v>2.9494591699597999E-3</v>
      </c>
      <c r="S399" s="5">
        <f t="shared" si="868"/>
        <v>-7.3656972426373903E-3</v>
      </c>
      <c r="T399" s="5">
        <f t="shared" ref="T399:X399" si="877">LN(T948/T949)</f>
        <v>1.1357816835576686E-3</v>
      </c>
      <c r="U399" s="5">
        <f t="shared" si="877"/>
        <v>-5.2762337635248076E-3</v>
      </c>
      <c r="V399" s="5">
        <f t="shared" si="877"/>
        <v>1.0517797731961985E-2</v>
      </c>
      <c r="W399" s="5">
        <f t="shared" si="877"/>
        <v>-1.1600321848457875E-2</v>
      </c>
      <c r="X399" s="5">
        <f t="shared" si="877"/>
        <v>8.7828084169742828E-3</v>
      </c>
      <c r="Z399" s="4">
        <v>45513</v>
      </c>
      <c r="AA399">
        <f>B399*B$3</f>
        <v>-982.99999999997908</v>
      </c>
      <c r="AB399">
        <f>C399*C$3</f>
        <v>-5167.99999999989</v>
      </c>
      <c r="AC399">
        <f>D399*D$3</f>
        <v>16142.999999999656</v>
      </c>
      <c r="AD399">
        <f>E399*E$3</f>
        <v>-2427.9999999999482</v>
      </c>
      <c r="AE399">
        <f>F399*F$3</f>
        <v>12427.999999999734</v>
      </c>
      <c r="AF399">
        <f>G399*G$3</f>
        <v>31255.999999999334</v>
      </c>
      <c r="AG399">
        <f>H399*H$3</f>
        <v>28215.9999999994</v>
      </c>
      <c r="AH399">
        <f>I399*I$3</f>
        <v>0</v>
      </c>
      <c r="AI399">
        <f>J399*J$3</f>
        <v>-153154.50000000128</v>
      </c>
      <c r="AJ399">
        <f>K399*K$3</f>
        <v>-313580.00000000029</v>
      </c>
      <c r="AK399">
        <f>L399*L$3</f>
        <v>155020.00000000081</v>
      </c>
      <c r="AL399">
        <f>M399*M$3</f>
        <v>160364.99999999942</v>
      </c>
      <c r="AM399">
        <f>N399*N$3</f>
        <v>0</v>
      </c>
      <c r="AN399">
        <f>O399*O$3</f>
        <v>0</v>
      </c>
      <c r="AO399">
        <f>P399*P$3</f>
        <v>-15603.705906677964</v>
      </c>
      <c r="AP399">
        <f>Q399*Q$3</f>
        <v>-86501.11347165663</v>
      </c>
      <c r="AQ399">
        <f>R399*R$3</f>
        <v>-44241.887549396997</v>
      </c>
      <c r="AR399" s="1">
        <f>S399*S$3</f>
        <v>51559.880698461733</v>
      </c>
      <c r="AS399" s="1">
        <f t="shared" si="853"/>
        <v>4543.1267342306746</v>
      </c>
      <c r="AT399" s="1">
        <f t="shared" si="853"/>
        <v>-42209.870108198462</v>
      </c>
      <c r="AU399" s="1">
        <f t="shared" si="853"/>
        <v>0</v>
      </c>
      <c r="AV399" s="1">
        <f t="shared" si="853"/>
        <v>0</v>
      </c>
      <c r="AW399" s="1">
        <f t="shared" si="853"/>
        <v>0</v>
      </c>
      <c r="AX399" s="1">
        <f t="shared" si="856"/>
        <v>-204339.06960324067</v>
      </c>
      <c r="AY399" s="1">
        <f t="shared" si="857"/>
        <v>-132453.56960323764</v>
      </c>
      <c r="AZ399" s="1">
        <f t="shared" si="858"/>
        <v>-71885.500000003027</v>
      </c>
    </row>
    <row r="400" spans="1:52" x14ac:dyDescent="0.25">
      <c r="A400" s="4">
        <v>45512</v>
      </c>
      <c r="B400">
        <f t="shared" ref="B400:N400" si="878">(B950-B949)*100</f>
        <v>-4.9999999999999822</v>
      </c>
      <c r="C400">
        <f t="shared" si="878"/>
        <v>0.99999999999997868</v>
      </c>
      <c r="D400">
        <f t="shared" si="878"/>
        <v>0</v>
      </c>
      <c r="E400">
        <f t="shared" si="878"/>
        <v>0</v>
      </c>
      <c r="F400">
        <f t="shared" si="878"/>
        <v>-1.9999999999999574</v>
      </c>
      <c r="G400">
        <f t="shared" si="878"/>
        <v>-3.0000000000000249</v>
      </c>
      <c r="H400">
        <f t="shared" si="878"/>
        <v>-4.0000000000000036</v>
      </c>
      <c r="I400">
        <f t="shared" si="878"/>
        <v>-4.9999999999999822</v>
      </c>
      <c r="J400">
        <f t="shared" si="878"/>
        <v>-4.0000000000000036</v>
      </c>
      <c r="K400">
        <f t="shared" si="878"/>
        <v>-4.0000000000000036</v>
      </c>
      <c r="L400">
        <f t="shared" si="878"/>
        <v>-3.0000000000000249</v>
      </c>
      <c r="M400">
        <f t="shared" si="878"/>
        <v>-3.0000000000000249</v>
      </c>
      <c r="N400">
        <f t="shared" si="878"/>
        <v>-2.0000000000000462</v>
      </c>
      <c r="O400" s="5">
        <f t="shared" si="868"/>
        <v>1.4074597678797698E-3</v>
      </c>
      <c r="P400" s="5">
        <f t="shared" si="868"/>
        <v>-1.9464503877911838E-2</v>
      </c>
      <c r="Q400" s="5">
        <f t="shared" si="868"/>
        <v>-3.4053566755655384E-3</v>
      </c>
      <c r="R400" s="5">
        <f t="shared" si="868"/>
        <v>-3.2171609517755752E-3</v>
      </c>
      <c r="S400" s="5">
        <f t="shared" si="868"/>
        <v>-1.6641563520265572E-2</v>
      </c>
      <c r="T400" s="5">
        <f t="shared" ref="T400:X400" si="879">LN(T949/T950)</f>
        <v>-1.7476919764732371E-4</v>
      </c>
      <c r="U400" s="5">
        <f t="shared" si="879"/>
        <v>3.4251681007702999E-4</v>
      </c>
      <c r="V400" s="5">
        <f t="shared" si="879"/>
        <v>9.5718085818418622E-3</v>
      </c>
      <c r="W400" s="5">
        <f t="shared" si="879"/>
        <v>-1.4920629096172166E-4</v>
      </c>
      <c r="X400" s="5">
        <f t="shared" si="879"/>
        <v>7.8512709931250133E-3</v>
      </c>
      <c r="Z400" s="4">
        <v>45512</v>
      </c>
      <c r="AA400">
        <f>B400*B$3</f>
        <v>4914.9999999999827</v>
      </c>
      <c r="AB400">
        <f>C400*C$3</f>
        <v>-2583.999999999945</v>
      </c>
      <c r="AC400">
        <f>D400*D$3</f>
        <v>0</v>
      </c>
      <c r="AD400">
        <f>E400*E$3</f>
        <v>0</v>
      </c>
      <c r="AE400">
        <f>F400*F$3</f>
        <v>24855.999999999469</v>
      </c>
      <c r="AF400">
        <f>G400*G$3</f>
        <v>46884.000000000386</v>
      </c>
      <c r="AG400">
        <f>H400*H$3</f>
        <v>112864.0000000001</v>
      </c>
      <c r="AH400">
        <f>I400*I$3</f>
        <v>92279.999999999665</v>
      </c>
      <c r="AI400">
        <f>J400*J$3</f>
        <v>204206.00000000017</v>
      </c>
      <c r="AJ400">
        <f>K400*K$3</f>
        <v>313580.00000000029</v>
      </c>
      <c r="AK400">
        <f>L400*L$3</f>
        <v>-93012.000000000771</v>
      </c>
      <c r="AL400">
        <f>M400*M$3</f>
        <v>-96219.0000000008</v>
      </c>
      <c r="AM400">
        <f>N400*N$3</f>
        <v>0</v>
      </c>
      <c r="AN400">
        <f>O400*O$3</f>
        <v>0</v>
      </c>
      <c r="AO400">
        <f>P400*P$3</f>
        <v>97322.519389559195</v>
      </c>
      <c r="AP400">
        <f>Q400*Q$3</f>
        <v>-40864.280106786464</v>
      </c>
      <c r="AQ400">
        <f>R400*R$3</f>
        <v>48257.41427663363</v>
      </c>
      <c r="AR400" s="1">
        <f>S400*S$3</f>
        <v>116490.94464185901</v>
      </c>
      <c r="AS400" s="1">
        <f t="shared" si="853"/>
        <v>-699.07679058929489</v>
      </c>
      <c r="AT400" s="1">
        <f t="shared" si="853"/>
        <v>2740.1344806162401</v>
      </c>
      <c r="AU400" s="1">
        <f t="shared" si="853"/>
        <v>0</v>
      </c>
      <c r="AV400" s="1">
        <f t="shared" si="853"/>
        <v>0</v>
      </c>
      <c r="AW400" s="1">
        <f t="shared" si="853"/>
        <v>0</v>
      </c>
      <c r="AX400" s="1">
        <f t="shared" si="856"/>
        <v>831017.65589129087</v>
      </c>
      <c r="AY400" s="1">
        <f t="shared" si="857"/>
        <v>223247.65589129235</v>
      </c>
      <c r="AZ400" s="1">
        <f t="shared" si="858"/>
        <v>607769.99999999849</v>
      </c>
    </row>
    <row r="401" spans="1:52" x14ac:dyDescent="0.25">
      <c r="A401" s="4">
        <v>45511</v>
      </c>
      <c r="B401">
        <f t="shared" ref="B401:N401" si="880">(B951-B950)*100</f>
        <v>0</v>
      </c>
      <c r="C401">
        <f t="shared" si="880"/>
        <v>0</v>
      </c>
      <c r="D401">
        <f t="shared" si="880"/>
        <v>0</v>
      </c>
      <c r="E401">
        <f t="shared" si="880"/>
        <v>-3.0000000000000249</v>
      </c>
      <c r="F401">
        <f t="shared" si="880"/>
        <v>0.99999999999997868</v>
      </c>
      <c r="G401">
        <f t="shared" si="880"/>
        <v>0.99999999999997868</v>
      </c>
      <c r="H401">
        <f t="shared" si="880"/>
        <v>-0.99999999999997868</v>
      </c>
      <c r="I401">
        <f t="shared" si="880"/>
        <v>-5.0000000000000266</v>
      </c>
      <c r="J401">
        <f t="shared" si="880"/>
        <v>-6.0000000000000053</v>
      </c>
      <c r="K401">
        <f t="shared" si="880"/>
        <v>-6.0000000000000053</v>
      </c>
      <c r="L401">
        <f t="shared" si="880"/>
        <v>-6.0000000000000053</v>
      </c>
      <c r="M401">
        <f t="shared" si="880"/>
        <v>-6.9999999999999396</v>
      </c>
      <c r="N401">
        <f t="shared" si="880"/>
        <v>-8.0000000000000071</v>
      </c>
      <c r="O401" s="5">
        <f t="shared" si="868"/>
        <v>-7.7254746437879444E-3</v>
      </c>
      <c r="P401" s="5">
        <f t="shared" si="868"/>
        <v>0</v>
      </c>
      <c r="Q401" s="5">
        <f t="shared" si="868"/>
        <v>-1.0909676390264878E-2</v>
      </c>
      <c r="R401" s="5">
        <f t="shared" si="868"/>
        <v>4.0230710021107651E-3</v>
      </c>
      <c r="S401" s="5">
        <f t="shared" si="868"/>
        <v>-1.233136224898429E-2</v>
      </c>
      <c r="T401" s="5">
        <f t="shared" ref="T401:X401" si="881">LN(T950/T951)</f>
        <v>2.2641777369703008E-3</v>
      </c>
      <c r="U401" s="5">
        <f t="shared" si="881"/>
        <v>8.1641510981739149E-3</v>
      </c>
      <c r="V401" s="5">
        <f t="shared" si="881"/>
        <v>-7.283464786606228E-3</v>
      </c>
      <c r="W401" s="5">
        <f t="shared" si="881"/>
        <v>7.6298334205204235E-5</v>
      </c>
      <c r="X401" s="5">
        <f t="shared" si="881"/>
        <v>-2.6707565415015136E-3</v>
      </c>
      <c r="Z401" s="4">
        <v>45511</v>
      </c>
      <c r="AA401">
        <f>B401*B$3</f>
        <v>0</v>
      </c>
      <c r="AB401">
        <f>C401*C$3</f>
        <v>0</v>
      </c>
      <c r="AC401">
        <f>D401*D$3</f>
        <v>0</v>
      </c>
      <c r="AD401">
        <f>E401*E$3</f>
        <v>-7284.00000000006</v>
      </c>
      <c r="AE401">
        <f>F401*F$3</f>
        <v>-12427.999999999734</v>
      </c>
      <c r="AF401">
        <f>G401*G$3</f>
        <v>-15627.999999999667</v>
      </c>
      <c r="AG401">
        <f>H401*H$3</f>
        <v>28215.9999999994</v>
      </c>
      <c r="AH401">
        <f>I401*I$3</f>
        <v>92280.000000000495</v>
      </c>
      <c r="AI401">
        <f>J401*J$3</f>
        <v>306309.00000000029</v>
      </c>
      <c r="AJ401">
        <f>K401*K$3</f>
        <v>470370.00000000041</v>
      </c>
      <c r="AK401">
        <f>L401*L$3</f>
        <v>-186024.00000000017</v>
      </c>
      <c r="AL401">
        <f>M401*M$3</f>
        <v>-224510.99999999805</v>
      </c>
      <c r="AM401">
        <f>N401*N$3</f>
        <v>0</v>
      </c>
      <c r="AN401">
        <f>O401*O$3</f>
        <v>0</v>
      </c>
      <c r="AO401">
        <f>P401*P$3</f>
        <v>0</v>
      </c>
      <c r="AP401">
        <f>Q401*Q$3</f>
        <v>-130916.11668317854</v>
      </c>
      <c r="AQ401">
        <f>R401*R$3</f>
        <v>-60346.065031661477</v>
      </c>
      <c r="AR401" s="1">
        <f>S401*S$3</f>
        <v>86319.535742890032</v>
      </c>
      <c r="AS401" s="1">
        <f t="shared" si="853"/>
        <v>9056.7109478812035</v>
      </c>
      <c r="AT401" s="1">
        <f t="shared" si="853"/>
        <v>65313.208785391318</v>
      </c>
      <c r="AU401" s="1">
        <f t="shared" si="853"/>
        <v>0</v>
      </c>
      <c r="AV401" s="1">
        <f t="shared" si="853"/>
        <v>0</v>
      </c>
      <c r="AW401" s="1">
        <f t="shared" si="853"/>
        <v>0</v>
      </c>
      <c r="AX401" s="1">
        <f t="shared" si="856"/>
        <v>420727.27376132546</v>
      </c>
      <c r="AY401" s="1">
        <f t="shared" si="857"/>
        <v>-30572.726238677446</v>
      </c>
      <c r="AZ401" s="1">
        <f t="shared" si="858"/>
        <v>451300.00000000291</v>
      </c>
    </row>
    <row r="402" spans="1:52" x14ac:dyDescent="0.25">
      <c r="A402" s="4">
        <v>45510</v>
      </c>
      <c r="B402">
        <f t="shared" ref="B402:N402" si="882">(B952-B951)*100</f>
        <v>1.9999999999999574</v>
      </c>
      <c r="C402">
        <f t="shared" si="882"/>
        <v>0</v>
      </c>
      <c r="D402">
        <f t="shared" si="882"/>
        <v>0.99999999999997868</v>
      </c>
      <c r="E402">
        <f t="shared" si="882"/>
        <v>-4.0000000000000036</v>
      </c>
      <c r="F402">
        <f t="shared" si="882"/>
        <v>-8.9999999999999858</v>
      </c>
      <c r="G402">
        <f t="shared" si="882"/>
        <v>-12.000000000000011</v>
      </c>
      <c r="H402">
        <f t="shared" si="882"/>
        <v>-10.000000000000009</v>
      </c>
      <c r="I402">
        <f t="shared" si="882"/>
        <v>-4.9999999999999822</v>
      </c>
      <c r="J402">
        <f t="shared" si="882"/>
        <v>-10.999999999999988</v>
      </c>
      <c r="K402">
        <f t="shared" si="882"/>
        <v>-12.999999999999989</v>
      </c>
      <c r="L402">
        <f t="shared" si="882"/>
        <v>-12.000000000000011</v>
      </c>
      <c r="M402">
        <f t="shared" si="882"/>
        <v>-12.000000000000011</v>
      </c>
      <c r="N402">
        <f t="shared" si="882"/>
        <v>-12.000000000000011</v>
      </c>
      <c r="O402" s="5">
        <f t="shared" si="868"/>
        <v>-1.958579880233173E-2</v>
      </c>
      <c r="P402" s="5">
        <f t="shared" si="868"/>
        <v>-4.6031387387498101E-3</v>
      </c>
      <c r="Q402" s="5">
        <f t="shared" si="868"/>
        <v>6.7691018576323233E-3</v>
      </c>
      <c r="R402" s="5">
        <f t="shared" si="868"/>
        <v>0</v>
      </c>
      <c r="S402" s="5">
        <f t="shared" si="868"/>
        <v>6.6028207997588517E-3</v>
      </c>
      <c r="T402" s="5">
        <f t="shared" ref="T402:X402" si="883">LN(T951/T952)</f>
        <v>-3.6727188635251986E-3</v>
      </c>
      <c r="U402" s="5">
        <f t="shared" si="883"/>
        <v>-6.4040416142439034E-5</v>
      </c>
      <c r="V402" s="5">
        <f t="shared" si="883"/>
        <v>1.4139469662202597E-3</v>
      </c>
      <c r="W402" s="5">
        <f t="shared" si="883"/>
        <v>-2.8094921501335486E-3</v>
      </c>
      <c r="X402" s="5">
        <f t="shared" si="883"/>
        <v>-1.48456846603517E-3</v>
      </c>
      <c r="Z402" s="4">
        <v>45510</v>
      </c>
      <c r="AA402">
        <f>B402*B$3</f>
        <v>-1965.9999999999582</v>
      </c>
      <c r="AB402">
        <f>C402*C$3</f>
        <v>0</v>
      </c>
      <c r="AC402">
        <f>D402*D$3</f>
        <v>16142.999999999656</v>
      </c>
      <c r="AD402">
        <f>E402*E$3</f>
        <v>-9712.0000000000091</v>
      </c>
      <c r="AE402">
        <f>F402*F$3</f>
        <v>111851.99999999983</v>
      </c>
      <c r="AF402">
        <f>G402*G$3</f>
        <v>187536.00000000017</v>
      </c>
      <c r="AG402">
        <f>H402*H$3</f>
        <v>282160.00000000023</v>
      </c>
      <c r="AH402">
        <f>I402*I$3</f>
        <v>92279.999999999665</v>
      </c>
      <c r="AI402">
        <f>J402*J$3</f>
        <v>561566.49999999942</v>
      </c>
      <c r="AJ402">
        <f>K402*K$3</f>
        <v>1019134.9999999992</v>
      </c>
      <c r="AK402">
        <f>L402*L$3</f>
        <v>-372048.00000000035</v>
      </c>
      <c r="AL402">
        <f>M402*M$3</f>
        <v>-384876.00000000035</v>
      </c>
      <c r="AM402">
        <f>N402*N$3</f>
        <v>0</v>
      </c>
      <c r="AN402">
        <f>O402*O$3</f>
        <v>0</v>
      </c>
      <c r="AO402">
        <f>P402*P$3</f>
        <v>23015.69369374905</v>
      </c>
      <c r="AP402">
        <f>Q402*Q$3</f>
        <v>81229.222291587881</v>
      </c>
      <c r="AQ402">
        <f>R402*R$3</f>
        <v>0</v>
      </c>
      <c r="AR402" s="1">
        <f>S402*S$3</f>
        <v>-46219.745598311965</v>
      </c>
      <c r="AS402" s="1">
        <f t="shared" si="853"/>
        <v>-14690.875454100795</v>
      </c>
      <c r="AT402" s="1">
        <f t="shared" si="853"/>
        <v>-512.32332913951223</v>
      </c>
      <c r="AU402" s="1">
        <f t="shared" si="853"/>
        <v>0</v>
      </c>
      <c r="AV402" s="1">
        <f t="shared" si="853"/>
        <v>0</v>
      </c>
      <c r="AW402" s="1">
        <f t="shared" si="853"/>
        <v>0</v>
      </c>
      <c r="AX402" s="1">
        <f t="shared" si="856"/>
        <v>1544892.4716037819</v>
      </c>
      <c r="AY402" s="1">
        <f t="shared" si="857"/>
        <v>42821.971603784659</v>
      </c>
      <c r="AZ402" s="1">
        <f t="shared" si="858"/>
        <v>1502070.4999999972</v>
      </c>
    </row>
    <row r="403" spans="1:52" x14ac:dyDescent="0.25">
      <c r="A403" s="4">
        <v>45509</v>
      </c>
      <c r="B403">
        <f t="shared" ref="B403:N403" si="884">(B953-B952)*100</f>
        <v>2.0000000000000462</v>
      </c>
      <c r="C403">
        <f t="shared" si="884"/>
        <v>0</v>
      </c>
      <c r="D403">
        <f t="shared" si="884"/>
        <v>-5.9999999999999609</v>
      </c>
      <c r="E403">
        <f t="shared" si="884"/>
        <v>0</v>
      </c>
      <c r="F403">
        <f t="shared" si="884"/>
        <v>-3.0000000000000249</v>
      </c>
      <c r="G403">
        <f t="shared" si="884"/>
        <v>-0.99999999999997868</v>
      </c>
      <c r="H403">
        <f t="shared" si="884"/>
        <v>-1.0000000000000231</v>
      </c>
      <c r="I403">
        <f t="shared" si="884"/>
        <v>-0.99999999999997868</v>
      </c>
      <c r="J403">
        <f t="shared" si="884"/>
        <v>0</v>
      </c>
      <c r="K403">
        <f t="shared" si="884"/>
        <v>2.0000000000000018</v>
      </c>
      <c r="L403">
        <f t="shared" si="884"/>
        <v>2.0000000000000018</v>
      </c>
      <c r="M403">
        <f t="shared" si="884"/>
        <v>3.0000000000000249</v>
      </c>
      <c r="N403">
        <f t="shared" si="884"/>
        <v>5.0000000000000711</v>
      </c>
      <c r="O403" s="5">
        <f t="shared" si="868"/>
        <v>4.8693207874332027E-3</v>
      </c>
      <c r="P403" s="5">
        <f t="shared" si="868"/>
        <v>5.0138709350554768E-3</v>
      </c>
      <c r="Q403" s="5">
        <f t="shared" si="868"/>
        <v>1.2878144171451458E-2</v>
      </c>
      <c r="R403" s="5">
        <f t="shared" si="868"/>
        <v>-4.0230710021108285E-3</v>
      </c>
      <c r="S403" s="5">
        <f t="shared" si="868"/>
        <v>1.21787000972638E-2</v>
      </c>
      <c r="T403" s="5">
        <f t="shared" ref="T403:X403" si="885">LN(T952/T953)</f>
        <v>-1.1358892636365038E-2</v>
      </c>
      <c r="U403" s="5">
        <f t="shared" si="885"/>
        <v>-4.6185371536449646E-3</v>
      </c>
      <c r="V403" s="5">
        <f t="shared" si="885"/>
        <v>-2.4541180060477355E-2</v>
      </c>
      <c r="W403" s="5">
        <f t="shared" si="885"/>
        <v>-3.5729432238238514E-4</v>
      </c>
      <c r="X403" s="5">
        <f t="shared" si="885"/>
        <v>-1.9433793857194272E-2</v>
      </c>
      <c r="Z403" s="4">
        <v>45509</v>
      </c>
      <c r="AA403">
        <f>B403*B$3</f>
        <v>-1966.0000000000455</v>
      </c>
      <c r="AB403">
        <f>C403*C$3</f>
        <v>0</v>
      </c>
      <c r="AC403">
        <f>D403*D$3</f>
        <v>-96857.999999999374</v>
      </c>
      <c r="AD403">
        <f>E403*E$3</f>
        <v>0</v>
      </c>
      <c r="AE403">
        <f>F403*F$3</f>
        <v>37284.000000000306</v>
      </c>
      <c r="AF403">
        <f>G403*G$3</f>
        <v>15627.999999999667</v>
      </c>
      <c r="AG403">
        <f>H403*H$3</f>
        <v>28216.000000000651</v>
      </c>
      <c r="AH403">
        <f>I403*I$3</f>
        <v>18455.999999999607</v>
      </c>
      <c r="AI403">
        <f>J403*J$3</f>
        <v>0</v>
      </c>
      <c r="AJ403">
        <f>K403*K$3</f>
        <v>-156790.00000000015</v>
      </c>
      <c r="AK403">
        <f>L403*L$3</f>
        <v>62008.000000000058</v>
      </c>
      <c r="AL403">
        <f>M403*M$3</f>
        <v>96219.0000000008</v>
      </c>
      <c r="AM403">
        <f>N403*N$3</f>
        <v>0</v>
      </c>
      <c r="AN403">
        <f>O403*O$3</f>
        <v>0</v>
      </c>
      <c r="AO403">
        <f>P403*P$3</f>
        <v>-25069.354675277384</v>
      </c>
      <c r="AP403">
        <f>Q403*Q$3</f>
        <v>154537.7300574175</v>
      </c>
      <c r="AQ403">
        <f>R403*R$3</f>
        <v>60346.065031662431</v>
      </c>
      <c r="AR403" s="1">
        <f>S403*S$3</f>
        <v>-85250.900680846607</v>
      </c>
      <c r="AS403" s="1">
        <f t="shared" si="853"/>
        <v>-45435.570545460148</v>
      </c>
      <c r="AT403" s="1">
        <f t="shared" si="853"/>
        <v>-36948.297229159718</v>
      </c>
      <c r="AU403" s="1">
        <f t="shared" si="853"/>
        <v>0</v>
      </c>
      <c r="AV403" s="1">
        <f t="shared" si="853"/>
        <v>0</v>
      </c>
      <c r="AW403" s="1">
        <f t="shared" si="853"/>
        <v>0</v>
      </c>
      <c r="AX403" s="1">
        <f t="shared" si="856"/>
        <v>24376.671958337611</v>
      </c>
      <c r="AY403" s="1">
        <f t="shared" si="857"/>
        <v>22179.671958336068</v>
      </c>
      <c r="AZ403" s="1">
        <f t="shared" si="858"/>
        <v>2197.0000000015425</v>
      </c>
    </row>
    <row r="404" spans="1:52" x14ac:dyDescent="0.25">
      <c r="A404" s="4">
        <v>45506</v>
      </c>
      <c r="B404">
        <f t="shared" ref="B404:N404" si="886">(B954-B953)*100</f>
        <v>0.99999999999997868</v>
      </c>
      <c r="C404">
        <f t="shared" si="886"/>
        <v>3.0000000000000249</v>
      </c>
      <c r="D404">
        <f t="shared" si="886"/>
        <v>8.0000000000000071</v>
      </c>
      <c r="E404">
        <f t="shared" si="886"/>
        <v>14.000000000000057</v>
      </c>
      <c r="F404">
        <f t="shared" si="886"/>
        <v>20.000000000000018</v>
      </c>
      <c r="G404">
        <f t="shared" si="886"/>
        <v>29.000000000000004</v>
      </c>
      <c r="H404">
        <f t="shared" si="886"/>
        <v>28.000000000000025</v>
      </c>
      <c r="I404">
        <f t="shared" si="886"/>
        <v>25.999999999999979</v>
      </c>
      <c r="J404">
        <f t="shared" si="886"/>
        <v>21.999999999999975</v>
      </c>
      <c r="K404">
        <f t="shared" si="886"/>
        <v>20.999999999999996</v>
      </c>
      <c r="L404">
        <f t="shared" si="886"/>
        <v>19.000000000000039</v>
      </c>
      <c r="M404">
        <f t="shared" si="886"/>
        <v>15.999999999999925</v>
      </c>
      <c r="N404">
        <f t="shared" si="886"/>
        <v>15.999999999999925</v>
      </c>
      <c r="O404" s="5">
        <f t="shared" si="868"/>
        <v>1.201336779411389E-2</v>
      </c>
      <c r="P404" s="5">
        <f t="shared" si="868"/>
        <v>1.2425540713107287E-2</v>
      </c>
      <c r="Q404" s="5">
        <f t="shared" si="868"/>
        <v>-5.1415087343386545E-3</v>
      </c>
      <c r="R404" s="5">
        <f t="shared" si="868"/>
        <v>-1.3374349994129161E-3</v>
      </c>
      <c r="S404" s="5">
        <f t="shared" si="868"/>
        <v>2.057830065767792E-2</v>
      </c>
      <c r="T404" s="5">
        <f t="shared" ref="T404:X404" si="887">LN(T953/T954)</f>
        <v>3.3605752741298275E-3</v>
      </c>
      <c r="U404" s="5">
        <f t="shared" si="887"/>
        <v>9.7082648826335959E-3</v>
      </c>
      <c r="V404" s="5">
        <f t="shared" si="887"/>
        <v>-3.6327742657674016E-3</v>
      </c>
      <c r="W404" s="5">
        <f t="shared" si="887"/>
        <v>7.9901064350175795E-3</v>
      </c>
      <c r="X404" s="5">
        <f t="shared" si="887"/>
        <v>-5.9849908935993021E-3</v>
      </c>
      <c r="Z404" s="4">
        <v>45506</v>
      </c>
      <c r="AA404">
        <f>B404*B$3</f>
        <v>-982.99999999997908</v>
      </c>
      <c r="AB404">
        <f>C404*C$3</f>
        <v>-7752.0000000000646</v>
      </c>
      <c r="AC404">
        <f>D404*D$3</f>
        <v>129144.00000000012</v>
      </c>
      <c r="AD404">
        <f>E404*E$3</f>
        <v>33992.000000000138</v>
      </c>
      <c r="AE404">
        <f>F404*F$3</f>
        <v>-248560.00000000023</v>
      </c>
      <c r="AF404">
        <f>G404*G$3</f>
        <v>-453212.00000000006</v>
      </c>
      <c r="AG404">
        <f>H404*H$3</f>
        <v>-790048.0000000007</v>
      </c>
      <c r="AH404">
        <f>I404*I$3</f>
        <v>-479855.99999999959</v>
      </c>
      <c r="AI404">
        <f>J404*J$3</f>
        <v>-1123132.9999999988</v>
      </c>
      <c r="AJ404">
        <f>K404*K$3</f>
        <v>-1646294.9999999998</v>
      </c>
      <c r="AK404">
        <f>L404*L$3</f>
        <v>589076.00000000116</v>
      </c>
      <c r="AL404">
        <f>M404*M$3</f>
        <v>513167.99999999761</v>
      </c>
      <c r="AM404">
        <f>N404*N$3</f>
        <v>0</v>
      </c>
      <c r="AN404">
        <f>O404*O$3</f>
        <v>0</v>
      </c>
      <c r="AO404">
        <f>P404*P$3</f>
        <v>-62127.703565536438</v>
      </c>
      <c r="AP404">
        <f>Q404*Q$3</f>
        <v>-61698.104812063852</v>
      </c>
      <c r="AQ404">
        <f>R404*R$3</f>
        <v>20061.524991193743</v>
      </c>
      <c r="AR404" s="1">
        <f>S404*S$3</f>
        <v>-144048.10460374545</v>
      </c>
      <c r="AS404" s="1">
        <f t="shared" si="853"/>
        <v>13442.30109651931</v>
      </c>
      <c r="AT404" s="1">
        <f t="shared" si="853"/>
        <v>77666.119061068763</v>
      </c>
      <c r="AU404" s="1">
        <f t="shared" si="853"/>
        <v>0</v>
      </c>
      <c r="AV404" s="1">
        <f t="shared" si="853"/>
        <v>0</v>
      </c>
      <c r="AW404" s="1">
        <f t="shared" si="853"/>
        <v>0</v>
      </c>
      <c r="AX404" s="1">
        <f t="shared" si="856"/>
        <v>-3641162.9678325644</v>
      </c>
      <c r="AY404" s="1">
        <f t="shared" si="857"/>
        <v>-156703.96783256391</v>
      </c>
      <c r="AZ404" s="1">
        <f t="shared" si="858"/>
        <v>-3484459.0000000005</v>
      </c>
    </row>
    <row r="405" spans="1:52" x14ac:dyDescent="0.25">
      <c r="A405" s="4">
        <v>45505</v>
      </c>
      <c r="B405">
        <f t="shared" ref="B405:N405" si="888">(B955-B954)*100</f>
        <v>-5.9999999999999609</v>
      </c>
      <c r="C405">
        <f t="shared" si="888"/>
        <v>4.9999999999999822</v>
      </c>
      <c r="D405">
        <f t="shared" si="888"/>
        <v>4.0000000000000036</v>
      </c>
      <c r="E405">
        <f t="shared" si="888"/>
        <v>4.0000000000000036</v>
      </c>
      <c r="F405">
        <f t="shared" si="888"/>
        <v>5.9999999999999609</v>
      </c>
      <c r="G405">
        <f t="shared" si="888"/>
        <v>11.000000000000032</v>
      </c>
      <c r="H405">
        <f t="shared" si="888"/>
        <v>12.999999999999989</v>
      </c>
      <c r="I405">
        <f t="shared" si="888"/>
        <v>13.999999999999968</v>
      </c>
      <c r="J405">
        <f t="shared" si="888"/>
        <v>13.000000000000034</v>
      </c>
      <c r="K405">
        <f t="shared" si="888"/>
        <v>10.999999999999988</v>
      </c>
      <c r="L405">
        <f t="shared" si="888"/>
        <v>9.9999999999999645</v>
      </c>
      <c r="M405">
        <f t="shared" si="888"/>
        <v>9.0000000000000746</v>
      </c>
      <c r="N405">
        <f t="shared" si="888"/>
        <v>8.0000000000000071</v>
      </c>
      <c r="O405" s="5">
        <f t="shared" ref="O405:S414" si="889">LN(O954/O955)</f>
        <v>1.0591725322910419E-3</v>
      </c>
      <c r="P405" s="5">
        <f t="shared" si="889"/>
        <v>5.0457399258455214E-3</v>
      </c>
      <c r="Q405" s="5">
        <f t="shared" si="889"/>
        <v>-1.3471335509854611E-2</v>
      </c>
      <c r="R405" s="5">
        <f t="shared" si="889"/>
        <v>3.749334868887812E-3</v>
      </c>
      <c r="S405" s="5">
        <f t="shared" si="889"/>
        <v>7.4911924188316393E-3</v>
      </c>
      <c r="T405" s="5">
        <f t="shared" ref="T405:X405" si="890">LN(T954/T955)</f>
        <v>-7.2495155199442266E-4</v>
      </c>
      <c r="U405" s="5">
        <f t="shared" si="890"/>
        <v>-1.2587223251530461E-3</v>
      </c>
      <c r="V405" s="5">
        <f t="shared" si="890"/>
        <v>-1.9351525850184795E-2</v>
      </c>
      <c r="W405" s="5">
        <f t="shared" si="890"/>
        <v>-8.4029852753940339E-4</v>
      </c>
      <c r="X405" s="5">
        <f t="shared" si="890"/>
        <v>-4.4200775012879041E-3</v>
      </c>
      <c r="Z405" s="4">
        <v>45505</v>
      </c>
      <c r="AA405">
        <f>B405*B$3</f>
        <v>5897.9999999999618</v>
      </c>
      <c r="AB405">
        <f>C405*C$3</f>
        <v>-12919.999999999955</v>
      </c>
      <c r="AC405">
        <f>D405*D$3</f>
        <v>64572.000000000058</v>
      </c>
      <c r="AD405">
        <f>E405*E$3</f>
        <v>9712.0000000000091</v>
      </c>
      <c r="AE405">
        <f>F405*F$3</f>
        <v>-74567.99999999952</v>
      </c>
      <c r="AF405">
        <f>G405*G$3</f>
        <v>-171908.00000000049</v>
      </c>
      <c r="AG405">
        <f>H405*H$3</f>
        <v>-366807.99999999971</v>
      </c>
      <c r="AH405">
        <f>I405*I$3</f>
        <v>-258383.99999999942</v>
      </c>
      <c r="AI405">
        <f>J405*J$3</f>
        <v>-663669.50000000175</v>
      </c>
      <c r="AJ405">
        <f>K405*K$3</f>
        <v>-862344.99999999907</v>
      </c>
      <c r="AK405">
        <f>L405*L$3</f>
        <v>310039.99999999889</v>
      </c>
      <c r="AL405">
        <f>M405*M$3</f>
        <v>288657.00000000239</v>
      </c>
      <c r="AM405">
        <f>N405*N$3</f>
        <v>0</v>
      </c>
      <c r="AN405">
        <f>O405*O$3</f>
        <v>0</v>
      </c>
      <c r="AO405">
        <f>P405*P$3</f>
        <v>-25228.699629227605</v>
      </c>
      <c r="AP405">
        <f>Q405*Q$3</f>
        <v>-161656.02611825534</v>
      </c>
      <c r="AQ405">
        <f>R405*R$3</f>
        <v>-56240.023033317178</v>
      </c>
      <c r="AR405" s="1">
        <f>S405*S$3</f>
        <v>-52438.346931821477</v>
      </c>
      <c r="AS405" s="1">
        <f t="shared" ref="AS405:AW420" si="891">T405*T$3</f>
        <v>-2899.8062079776905</v>
      </c>
      <c r="AT405" s="1">
        <f t="shared" si="891"/>
        <v>-10069.778601224369</v>
      </c>
      <c r="AU405" s="1">
        <f t="shared" si="891"/>
        <v>0</v>
      </c>
      <c r="AV405" s="1">
        <f t="shared" si="891"/>
        <v>0</v>
      </c>
      <c r="AW405" s="1">
        <f t="shared" si="891"/>
        <v>0</v>
      </c>
      <c r="AX405" s="1">
        <f t="shared" si="856"/>
        <v>-2040256.1805218225</v>
      </c>
      <c r="AY405" s="1">
        <f t="shared" si="857"/>
        <v>-308532.68052182364</v>
      </c>
      <c r="AZ405" s="1">
        <f t="shared" si="858"/>
        <v>-1731723.4999999988</v>
      </c>
    </row>
    <row r="406" spans="1:52" x14ac:dyDescent="0.25">
      <c r="A406" s="4">
        <v>45504</v>
      </c>
      <c r="B406">
        <f t="shared" ref="B406:N406" si="892">(B956-B955)*100</f>
        <v>0.99999999999997868</v>
      </c>
      <c r="C406">
        <f t="shared" si="892"/>
        <v>-0.99999999999997868</v>
      </c>
      <c r="D406">
        <f t="shared" si="892"/>
        <v>-0.99999999999997868</v>
      </c>
      <c r="E406">
        <f t="shared" si="892"/>
        <v>2.9999999999999361</v>
      </c>
      <c r="F406">
        <f t="shared" si="892"/>
        <v>2.0000000000000462</v>
      </c>
      <c r="G406">
        <f t="shared" si="892"/>
        <v>4.9999999999999822</v>
      </c>
      <c r="H406">
        <f t="shared" si="892"/>
        <v>5.9999999999999609</v>
      </c>
      <c r="I406">
        <f t="shared" si="892"/>
        <v>6.0000000000000497</v>
      </c>
      <c r="J406">
        <f t="shared" si="892"/>
        <v>6.0000000000000053</v>
      </c>
      <c r="K406">
        <f t="shared" si="892"/>
        <v>5.9999999999999609</v>
      </c>
      <c r="L406">
        <f t="shared" si="892"/>
        <v>6.0000000000000497</v>
      </c>
      <c r="M406">
        <f t="shared" si="892"/>
        <v>5.9999999999999609</v>
      </c>
      <c r="N406">
        <f t="shared" si="892"/>
        <v>5.0000000000000711</v>
      </c>
      <c r="O406" s="5">
        <f t="shared" si="889"/>
        <v>1.5731750440640617E-3</v>
      </c>
      <c r="P406" s="5">
        <f t="shared" si="889"/>
        <v>-3.843647503982992E-3</v>
      </c>
      <c r="Q406" s="5">
        <f t="shared" si="889"/>
        <v>-5.2268177577355762E-5</v>
      </c>
      <c r="R406" s="5">
        <f t="shared" si="889"/>
        <v>0</v>
      </c>
      <c r="S406" s="5">
        <f t="shared" si="889"/>
        <v>-6.6065101539024354E-3</v>
      </c>
      <c r="T406" s="5">
        <f t="shared" ref="T406:X406" si="893">LN(T955/T956)</f>
        <v>3.1373275285097351E-4</v>
      </c>
      <c r="U406" s="5">
        <f t="shared" si="893"/>
        <v>1.8244130459475307E-3</v>
      </c>
      <c r="V406" s="5">
        <f t="shared" si="893"/>
        <v>-7.5888327448847019E-3</v>
      </c>
      <c r="W406" s="5">
        <f t="shared" si="893"/>
        <v>1.5128663420849468E-3</v>
      </c>
      <c r="X406" s="5">
        <f t="shared" si="893"/>
        <v>-4.6037238635351866E-3</v>
      </c>
      <c r="Z406" s="4">
        <v>45504</v>
      </c>
      <c r="AA406">
        <f>B406*B$3</f>
        <v>-982.99999999997908</v>
      </c>
      <c r="AB406">
        <f>C406*C$3</f>
        <v>2583.999999999945</v>
      </c>
      <c r="AC406">
        <f>D406*D$3</f>
        <v>-16142.999999999656</v>
      </c>
      <c r="AD406">
        <f>E406*E$3</f>
        <v>7283.9999999998445</v>
      </c>
      <c r="AE406">
        <f>F406*F$3</f>
        <v>-24856.000000000575</v>
      </c>
      <c r="AF406">
        <f>G406*G$3</f>
        <v>-78139.999999999724</v>
      </c>
      <c r="AG406">
        <f>H406*H$3</f>
        <v>-169295.99999999889</v>
      </c>
      <c r="AH406">
        <f>I406*I$3</f>
        <v>-110736.00000000092</v>
      </c>
      <c r="AI406">
        <f>J406*J$3</f>
        <v>-306309.00000000029</v>
      </c>
      <c r="AJ406">
        <f>K406*K$3</f>
        <v>-470369.99999999691</v>
      </c>
      <c r="AK406">
        <f>L406*L$3</f>
        <v>186024.00000000154</v>
      </c>
      <c r="AL406">
        <f>M406*M$3</f>
        <v>192437.99999999875</v>
      </c>
      <c r="AM406">
        <f>N406*N$3</f>
        <v>0</v>
      </c>
      <c r="AN406">
        <f>O406*O$3</f>
        <v>0</v>
      </c>
      <c r="AO406">
        <f>P406*P$3</f>
        <v>19218.237519914961</v>
      </c>
      <c r="AP406">
        <f>Q406*Q$3</f>
        <v>-627.21813092826915</v>
      </c>
      <c r="AQ406">
        <f>R406*R$3</f>
        <v>0</v>
      </c>
      <c r="AR406" s="1">
        <f>S406*S$3</f>
        <v>46245.57107731705</v>
      </c>
      <c r="AS406" s="1">
        <f t="shared" si="891"/>
        <v>1254.931011403894</v>
      </c>
      <c r="AT406" s="1">
        <f t="shared" si="891"/>
        <v>14595.304367580246</v>
      </c>
      <c r="AU406" s="1">
        <f t="shared" si="891"/>
        <v>0</v>
      </c>
      <c r="AV406" s="1">
        <f t="shared" si="891"/>
        <v>0</v>
      </c>
      <c r="AW406" s="1">
        <f t="shared" si="891"/>
        <v>0</v>
      </c>
      <c r="AX406" s="1">
        <f t="shared" si="856"/>
        <v>-707816.17415470909</v>
      </c>
      <c r="AY406" s="1">
        <f t="shared" si="857"/>
        <v>80686.82584528788</v>
      </c>
      <c r="AZ406" s="1">
        <f t="shared" si="858"/>
        <v>-788502.99999999697</v>
      </c>
    </row>
    <row r="407" spans="1:52" x14ac:dyDescent="0.25">
      <c r="A407" s="4">
        <v>45503</v>
      </c>
      <c r="B407">
        <f t="shared" ref="B407:N407" si="894">(B957-B956)*100</f>
        <v>0</v>
      </c>
      <c r="C407">
        <f t="shared" si="894"/>
        <v>0.99999999999997868</v>
      </c>
      <c r="D407">
        <f t="shared" si="894"/>
        <v>0.99999999999997868</v>
      </c>
      <c r="E407">
        <f t="shared" si="894"/>
        <v>1.0000000000000675</v>
      </c>
      <c r="F407">
        <f t="shared" si="894"/>
        <v>1.9999999999999574</v>
      </c>
      <c r="G407">
        <f t="shared" si="894"/>
        <v>0.99999999999997868</v>
      </c>
      <c r="H407">
        <f t="shared" si="894"/>
        <v>1.0000000000000675</v>
      </c>
      <c r="I407">
        <f t="shared" si="894"/>
        <v>3.0000000000000249</v>
      </c>
      <c r="J407">
        <f t="shared" si="894"/>
        <v>1.9999999999999574</v>
      </c>
      <c r="K407">
        <f t="shared" si="894"/>
        <v>2.0000000000000462</v>
      </c>
      <c r="L407">
        <f t="shared" si="894"/>
        <v>1.9999999999999574</v>
      </c>
      <c r="M407">
        <f t="shared" si="894"/>
        <v>0.99999999999997868</v>
      </c>
      <c r="N407">
        <f t="shared" si="894"/>
        <v>1.9999999999999574</v>
      </c>
      <c r="O407" s="5">
        <f t="shared" si="889"/>
        <v>9.3801166118443618E-4</v>
      </c>
      <c r="P407" s="5">
        <f t="shared" si="889"/>
        <v>3.2241312476807447E-3</v>
      </c>
      <c r="Q407" s="5">
        <f t="shared" si="889"/>
        <v>6.6494906557430624E-3</v>
      </c>
      <c r="R407" s="5">
        <f t="shared" si="889"/>
        <v>-3.4819909293192621E-3</v>
      </c>
      <c r="S407" s="5">
        <f t="shared" si="889"/>
        <v>7.2292888406408993E-3</v>
      </c>
      <c r="T407" s="5">
        <f t="shared" ref="T407:X407" si="895">LN(T956/T957)</f>
        <v>3.1643268838686322E-3</v>
      </c>
      <c r="U407" s="5">
        <f t="shared" si="895"/>
        <v>6.1752719026328753E-4</v>
      </c>
      <c r="V407" s="5">
        <f t="shared" si="895"/>
        <v>-1.9872918008164873E-3</v>
      </c>
      <c r="W407" s="5">
        <f t="shared" si="895"/>
        <v>5.4845855419551276E-4</v>
      </c>
      <c r="X407" s="5">
        <f t="shared" si="895"/>
        <v>2.0334402398465906E-3</v>
      </c>
      <c r="Z407" s="4">
        <v>45503</v>
      </c>
      <c r="AA407">
        <f>B407*B$3</f>
        <v>0</v>
      </c>
      <c r="AB407">
        <f>C407*C$3</f>
        <v>-2583.999999999945</v>
      </c>
      <c r="AC407">
        <f>D407*D$3</f>
        <v>16142.999999999656</v>
      </c>
      <c r="AD407">
        <f>E407*E$3</f>
        <v>2428.0000000001637</v>
      </c>
      <c r="AE407">
        <f>F407*F$3</f>
        <v>-24855.999999999469</v>
      </c>
      <c r="AF407">
        <f>G407*G$3</f>
        <v>-15627.999999999667</v>
      </c>
      <c r="AG407">
        <f>H407*H$3</f>
        <v>-28216.000000001906</v>
      </c>
      <c r="AH407">
        <f>I407*I$3</f>
        <v>-55368.000000000458</v>
      </c>
      <c r="AI407">
        <f>J407*J$3</f>
        <v>-102102.99999999782</v>
      </c>
      <c r="AJ407">
        <f>K407*K$3</f>
        <v>-156790.00000000361</v>
      </c>
      <c r="AK407">
        <f>L407*L$3</f>
        <v>62007.999999998676</v>
      </c>
      <c r="AL407">
        <f>M407*M$3</f>
        <v>32072.999999999316</v>
      </c>
      <c r="AM407">
        <f>N407*N$3</f>
        <v>0</v>
      </c>
      <c r="AN407">
        <f>O407*O$3</f>
        <v>0</v>
      </c>
      <c r="AO407">
        <f>P407*P$3</f>
        <v>-16120.656238403724</v>
      </c>
      <c r="AP407">
        <f>Q407*Q$3</f>
        <v>79793.887868916747</v>
      </c>
      <c r="AQ407">
        <f>R407*R$3</f>
        <v>52229.863939788935</v>
      </c>
      <c r="AR407" s="1">
        <f>S407*S$3</f>
        <v>-50605.021884486297</v>
      </c>
      <c r="AS407" s="1">
        <f t="shared" si="891"/>
        <v>12657.307535474529</v>
      </c>
      <c r="AT407" s="1">
        <f t="shared" si="891"/>
        <v>4940.2175221062998</v>
      </c>
      <c r="AU407" s="1">
        <f t="shared" si="891"/>
        <v>0</v>
      </c>
      <c r="AV407" s="1">
        <f t="shared" si="891"/>
        <v>0</v>
      </c>
      <c r="AW407" s="1">
        <f t="shared" si="891"/>
        <v>0</v>
      </c>
      <c r="AX407" s="1">
        <f t="shared" si="856"/>
        <v>-189997.40125660854</v>
      </c>
      <c r="AY407" s="1">
        <f t="shared" si="857"/>
        <v>82895.598743396476</v>
      </c>
      <c r="AZ407" s="1">
        <f t="shared" si="858"/>
        <v>-272893.00000000501</v>
      </c>
    </row>
    <row r="408" spans="1:52" x14ac:dyDescent="0.25">
      <c r="A408" s="4">
        <v>45502</v>
      </c>
      <c r="B408">
        <f t="shared" ref="B408:N408" si="896">(B958-B957)*100</f>
        <v>-0.99999999999997868</v>
      </c>
      <c r="C408">
        <f t="shared" si="896"/>
        <v>0</v>
      </c>
      <c r="D408">
        <f t="shared" si="896"/>
        <v>-3.0000000000000249</v>
      </c>
      <c r="E408">
        <f t="shared" si="896"/>
        <v>0</v>
      </c>
      <c r="F408">
        <f t="shared" si="896"/>
        <v>0</v>
      </c>
      <c r="G408">
        <f t="shared" si="896"/>
        <v>0</v>
      </c>
      <c r="H408">
        <f t="shared" si="896"/>
        <v>0</v>
      </c>
      <c r="I408">
        <f t="shared" si="896"/>
        <v>0.99999999999997868</v>
      </c>
      <c r="J408">
        <f t="shared" si="896"/>
        <v>0.99999999999997868</v>
      </c>
      <c r="K408">
        <f t="shared" si="896"/>
        <v>1.9999999999999574</v>
      </c>
      <c r="L408">
        <f t="shared" si="896"/>
        <v>3.0000000000000249</v>
      </c>
      <c r="M408">
        <f t="shared" si="896"/>
        <v>2.0000000000000462</v>
      </c>
      <c r="N408">
        <f t="shared" si="896"/>
        <v>3.0000000000000249</v>
      </c>
      <c r="O408" s="5">
        <f t="shared" si="889"/>
        <v>2.4792364078888158E-4</v>
      </c>
      <c r="P408" s="5">
        <f t="shared" si="889"/>
        <v>1.0884915071202381E-2</v>
      </c>
      <c r="Q408" s="5">
        <f t="shared" si="889"/>
        <v>3.056365938933909E-3</v>
      </c>
      <c r="R408" s="5">
        <f t="shared" si="889"/>
        <v>0</v>
      </c>
      <c r="S408" s="5">
        <f t="shared" si="889"/>
        <v>9.5891256610415171E-3</v>
      </c>
      <c r="T408" s="5">
        <f t="shared" ref="T408:X408" si="897">LN(T957/T958)</f>
        <v>-2.2792796498543387E-4</v>
      </c>
      <c r="U408" s="5">
        <f t="shared" si="897"/>
        <v>-9.0037891040408758E-4</v>
      </c>
      <c r="V408" s="5">
        <f t="shared" si="897"/>
        <v>2.8716695039867606E-3</v>
      </c>
      <c r="W408" s="5">
        <f t="shared" si="897"/>
        <v>-1.8323723885330984E-3</v>
      </c>
      <c r="X408" s="5">
        <f t="shared" si="897"/>
        <v>4.1474821058937418E-3</v>
      </c>
      <c r="Z408" s="4">
        <v>45502</v>
      </c>
      <c r="AA408">
        <f>B408*B$3</f>
        <v>982.99999999997908</v>
      </c>
      <c r="AB408">
        <f>C408*C$3</f>
        <v>0</v>
      </c>
      <c r="AC408">
        <f>D408*D$3</f>
        <v>-48429.0000000004</v>
      </c>
      <c r="AD408">
        <f>E408*E$3</f>
        <v>0</v>
      </c>
      <c r="AE408">
        <f>F408*F$3</f>
        <v>0</v>
      </c>
      <c r="AF408">
        <f>G408*G$3</f>
        <v>0</v>
      </c>
      <c r="AG408">
        <f>H408*H$3</f>
        <v>0</v>
      </c>
      <c r="AH408">
        <f>I408*I$3</f>
        <v>-18455.999999999607</v>
      </c>
      <c r="AI408">
        <f>J408*J$3</f>
        <v>-51051.499999998909</v>
      </c>
      <c r="AJ408">
        <f>K408*K$3</f>
        <v>-156789.99999999665</v>
      </c>
      <c r="AK408">
        <f>L408*L$3</f>
        <v>93012.000000000771</v>
      </c>
      <c r="AL408">
        <f>M408*M$3</f>
        <v>64146.000000001484</v>
      </c>
      <c r="AM408">
        <f>N408*N$3</f>
        <v>0</v>
      </c>
      <c r="AN408">
        <f>O408*O$3</f>
        <v>0</v>
      </c>
      <c r="AO408">
        <f>P408*P$3</f>
        <v>-54424.575356011905</v>
      </c>
      <c r="AP408">
        <f>Q408*Q$3</f>
        <v>36676.391267206905</v>
      </c>
      <c r="AQ408">
        <f>R408*R$3</f>
        <v>0</v>
      </c>
      <c r="AR408" s="1">
        <f>S408*S$3</f>
        <v>-67123.879627290618</v>
      </c>
      <c r="AS408" s="1">
        <f t="shared" si="891"/>
        <v>-911.7118599417355</v>
      </c>
      <c r="AT408" s="1">
        <f t="shared" si="891"/>
        <v>-7203.0312832327008</v>
      </c>
      <c r="AU408" s="1">
        <f t="shared" si="891"/>
        <v>0</v>
      </c>
      <c r="AV408" s="1">
        <f t="shared" si="891"/>
        <v>0</v>
      </c>
      <c r="AW408" s="1">
        <f t="shared" si="891"/>
        <v>0</v>
      </c>
      <c r="AX408" s="1">
        <f t="shared" si="856"/>
        <v>-209572.30685926339</v>
      </c>
      <c r="AY408" s="1">
        <f t="shared" si="857"/>
        <v>-92986.806859270044</v>
      </c>
      <c r="AZ408" s="1">
        <f t="shared" si="858"/>
        <v>-116585.49999999335</v>
      </c>
    </row>
    <row r="409" spans="1:52" x14ac:dyDescent="0.25">
      <c r="A409" s="4">
        <v>45499</v>
      </c>
      <c r="B409">
        <f t="shared" ref="B409:N409" si="898">(B959-B958)*100</f>
        <v>0</v>
      </c>
      <c r="C409">
        <f t="shared" si="898"/>
        <v>0.99999999999997868</v>
      </c>
      <c r="D409">
        <f t="shared" si="898"/>
        <v>0.99999999999997868</v>
      </c>
      <c r="E409">
        <f t="shared" si="898"/>
        <v>0.99999999999997868</v>
      </c>
      <c r="F409">
        <f t="shared" si="898"/>
        <v>1.0000000000000675</v>
      </c>
      <c r="G409">
        <f t="shared" si="898"/>
        <v>4.0000000000000036</v>
      </c>
      <c r="H409">
        <f t="shared" si="898"/>
        <v>4.9999999999999822</v>
      </c>
      <c r="I409">
        <f t="shared" si="898"/>
        <v>5.9999999999999609</v>
      </c>
      <c r="J409">
        <f t="shared" si="898"/>
        <v>7.0000000000000284</v>
      </c>
      <c r="K409">
        <f t="shared" si="898"/>
        <v>8.0000000000000071</v>
      </c>
      <c r="L409">
        <f t="shared" si="898"/>
        <v>6.9999999999999396</v>
      </c>
      <c r="M409">
        <f t="shared" si="898"/>
        <v>5.9999999999999609</v>
      </c>
      <c r="N409">
        <f t="shared" si="898"/>
        <v>4.9999999999999822</v>
      </c>
      <c r="O409" s="5">
        <f t="shared" si="889"/>
        <v>1.1164176561175288E-3</v>
      </c>
      <c r="P409" s="5">
        <f t="shared" si="889"/>
        <v>-1.3903719001239607E-3</v>
      </c>
      <c r="Q409" s="5">
        <f t="shared" si="889"/>
        <v>-1.4766533286841934E-3</v>
      </c>
      <c r="R409" s="5">
        <f t="shared" si="889"/>
        <v>0</v>
      </c>
      <c r="S409" s="5">
        <f t="shared" si="889"/>
        <v>-5.2581509325041965E-4</v>
      </c>
      <c r="T409" s="5">
        <f t="shared" ref="T409:X409" si="899">LN(T958/T959)</f>
        <v>-1.0845501051676958E-3</v>
      </c>
      <c r="U409" s="5">
        <f t="shared" si="899"/>
        <v>3.3483841048004195E-3</v>
      </c>
      <c r="V409" s="5">
        <f t="shared" si="899"/>
        <v>-1.2614293266211191E-3</v>
      </c>
      <c r="W409" s="5">
        <f t="shared" si="899"/>
        <v>4.8482434172673356E-3</v>
      </c>
      <c r="X409" s="5">
        <f t="shared" si="899"/>
        <v>-4.9613813938702905E-3</v>
      </c>
      <c r="Z409" s="4">
        <v>45499</v>
      </c>
      <c r="AA409">
        <f>B409*B$3</f>
        <v>0</v>
      </c>
      <c r="AB409">
        <f>C409*C$3</f>
        <v>-2583.999999999945</v>
      </c>
      <c r="AC409">
        <f>D409*D$3</f>
        <v>16142.999999999656</v>
      </c>
      <c r="AD409">
        <f>E409*E$3</f>
        <v>2427.9999999999482</v>
      </c>
      <c r="AE409">
        <f>F409*F$3</f>
        <v>-12428.000000000839</v>
      </c>
      <c r="AF409">
        <f>G409*G$3</f>
        <v>-62512.000000000058</v>
      </c>
      <c r="AG409">
        <f>H409*H$3</f>
        <v>-141079.99999999951</v>
      </c>
      <c r="AH409">
        <f>I409*I$3</f>
        <v>-110735.99999999927</v>
      </c>
      <c r="AI409">
        <f>J409*J$3</f>
        <v>-357360.50000000146</v>
      </c>
      <c r="AJ409">
        <f>K409*K$3</f>
        <v>-627160.00000000058</v>
      </c>
      <c r="AK409">
        <f>L409*L$3</f>
        <v>217027.99999999814</v>
      </c>
      <c r="AL409">
        <f>M409*M$3</f>
        <v>192437.99999999875</v>
      </c>
      <c r="AM409">
        <f>N409*N$3</f>
        <v>0</v>
      </c>
      <c r="AN409">
        <f>O409*O$3</f>
        <v>0</v>
      </c>
      <c r="AO409">
        <f>P409*P$3</f>
        <v>6951.8595006198029</v>
      </c>
      <c r="AP409">
        <f>Q409*Q$3</f>
        <v>-17719.839944210322</v>
      </c>
      <c r="AQ409">
        <f>R409*R$3</f>
        <v>0</v>
      </c>
      <c r="AR409" s="1">
        <f>S409*S$3</f>
        <v>3680.7056527529376</v>
      </c>
      <c r="AS409" s="1">
        <f t="shared" si="891"/>
        <v>-4338.2004206707834</v>
      </c>
      <c r="AT409" s="1">
        <f t="shared" si="891"/>
        <v>26787.072838403357</v>
      </c>
      <c r="AU409" s="1">
        <f t="shared" si="891"/>
        <v>0</v>
      </c>
      <c r="AV409" s="1">
        <f t="shared" si="891"/>
        <v>0</v>
      </c>
      <c r="AW409" s="1">
        <f t="shared" si="891"/>
        <v>0</v>
      </c>
      <c r="AX409" s="1">
        <f t="shared" si="856"/>
        <v>-870461.90237311006</v>
      </c>
      <c r="AY409" s="1">
        <f t="shared" si="857"/>
        <v>15361.597626894993</v>
      </c>
      <c r="AZ409" s="1">
        <f t="shared" si="858"/>
        <v>-885823.50000000501</v>
      </c>
    </row>
    <row r="410" spans="1:52" x14ac:dyDescent="0.25">
      <c r="A410" s="4">
        <v>45498</v>
      </c>
      <c r="B410">
        <f t="shared" ref="B410:N410" si="900">(B960-B959)*100</f>
        <v>0.99999999999997868</v>
      </c>
      <c r="C410">
        <f t="shared" si="900"/>
        <v>-1.9999999999999574</v>
      </c>
      <c r="D410">
        <f t="shared" si="900"/>
        <v>1.0000000000000675</v>
      </c>
      <c r="E410">
        <f t="shared" si="900"/>
        <v>0</v>
      </c>
      <c r="F410">
        <f t="shared" si="900"/>
        <v>0</v>
      </c>
      <c r="G410">
        <f t="shared" si="900"/>
        <v>-0.99999999999997868</v>
      </c>
      <c r="H410">
        <f t="shared" si="900"/>
        <v>-4.0000000000000036</v>
      </c>
      <c r="I410">
        <f t="shared" si="900"/>
        <v>-1.9999999999999574</v>
      </c>
      <c r="J410">
        <f t="shared" si="900"/>
        <v>-0.99999999999997868</v>
      </c>
      <c r="K410">
        <f t="shared" si="900"/>
        <v>2.0000000000000462</v>
      </c>
      <c r="L410">
        <f t="shared" si="900"/>
        <v>1.0000000000000675</v>
      </c>
      <c r="M410">
        <f t="shared" si="900"/>
        <v>3.0000000000000249</v>
      </c>
      <c r="N410">
        <f t="shared" si="900"/>
        <v>4.0000000000000036</v>
      </c>
      <c r="O410" s="5">
        <f t="shared" si="889"/>
        <v>9.9341868346212916E-4</v>
      </c>
      <c r="P410" s="5">
        <f t="shared" si="889"/>
        <v>-2.3542542315400927E-3</v>
      </c>
      <c r="Q410" s="5">
        <f t="shared" si="889"/>
        <v>2.2157984882017643E-3</v>
      </c>
      <c r="R410" s="5">
        <f t="shared" si="889"/>
        <v>-9.3147712745473739E-3</v>
      </c>
      <c r="S410" s="5">
        <f t="shared" si="889"/>
        <v>4.4483261801957861E-3</v>
      </c>
      <c r="T410" s="5">
        <f t="shared" ref="T410:X410" si="901">LN(T959/T960)</f>
        <v>1.0302791156025614E-3</v>
      </c>
      <c r="U410" s="5">
        <f t="shared" si="901"/>
        <v>1.2899749008647853E-4</v>
      </c>
      <c r="V410" s="5">
        <f t="shared" si="901"/>
        <v>-1.2123153651044279E-2</v>
      </c>
      <c r="W410" s="5">
        <f t="shared" si="901"/>
        <v>5.6565130940928084E-3</v>
      </c>
      <c r="X410" s="5">
        <f t="shared" si="901"/>
        <v>-7.3176338018660211E-3</v>
      </c>
      <c r="Z410" s="4">
        <v>45498</v>
      </c>
      <c r="AA410">
        <f>B410*B$3</f>
        <v>-982.99999999997908</v>
      </c>
      <c r="AB410">
        <f>C410*C$3</f>
        <v>5167.99999999989</v>
      </c>
      <c r="AC410">
        <f>D410*D$3</f>
        <v>16143.00000000109</v>
      </c>
      <c r="AD410">
        <f>E410*E$3</f>
        <v>0</v>
      </c>
      <c r="AE410">
        <f>F410*F$3</f>
        <v>0</v>
      </c>
      <c r="AF410">
        <f>G410*G$3</f>
        <v>15627.999999999667</v>
      </c>
      <c r="AG410">
        <f>H410*H$3</f>
        <v>112864.0000000001</v>
      </c>
      <c r="AH410">
        <f>I410*I$3</f>
        <v>36911.999999999214</v>
      </c>
      <c r="AI410">
        <f>J410*J$3</f>
        <v>51051.499999998909</v>
      </c>
      <c r="AJ410">
        <f>K410*K$3</f>
        <v>-156790.00000000361</v>
      </c>
      <c r="AK410">
        <f>L410*L$3</f>
        <v>31004.000000002092</v>
      </c>
      <c r="AL410">
        <f>M410*M$3</f>
        <v>96219.0000000008</v>
      </c>
      <c r="AM410">
        <f>N410*N$3</f>
        <v>0</v>
      </c>
      <c r="AN410">
        <f>O410*O$3</f>
        <v>0</v>
      </c>
      <c r="AO410">
        <f>P410*P$3</f>
        <v>11771.271157700463</v>
      </c>
      <c r="AP410">
        <f>Q410*Q$3</f>
        <v>26589.58185842117</v>
      </c>
      <c r="AQ410">
        <f>R410*R$3</f>
        <v>139721.56911821061</v>
      </c>
      <c r="AR410" s="1">
        <f>S410*S$3</f>
        <v>-31138.283261370503</v>
      </c>
      <c r="AS410" s="1">
        <f t="shared" si="891"/>
        <v>4121.1164624102457</v>
      </c>
      <c r="AT410" s="1">
        <f t="shared" si="891"/>
        <v>1031.9799206918283</v>
      </c>
      <c r="AU410" s="1">
        <f t="shared" si="891"/>
        <v>0</v>
      </c>
      <c r="AV410" s="1">
        <f t="shared" si="891"/>
        <v>0</v>
      </c>
      <c r="AW410" s="1">
        <f t="shared" si="891"/>
        <v>0</v>
      </c>
      <c r="AX410" s="1">
        <f t="shared" si="856"/>
        <v>359313.73525606201</v>
      </c>
      <c r="AY410" s="1">
        <f t="shared" si="857"/>
        <v>152097.23525606384</v>
      </c>
      <c r="AZ410" s="1">
        <f t="shared" si="858"/>
        <v>207216.49999999817</v>
      </c>
    </row>
    <row r="411" spans="1:52" x14ac:dyDescent="0.25">
      <c r="A411" s="4">
        <v>45497</v>
      </c>
      <c r="B411">
        <f t="shared" ref="B411:N411" si="902">(B961-B960)*100</f>
        <v>-0.99999999999997868</v>
      </c>
      <c r="C411">
        <f t="shared" si="902"/>
        <v>0.99999999999997868</v>
      </c>
      <c r="D411">
        <f t="shared" si="902"/>
        <v>0.99999999999997868</v>
      </c>
      <c r="E411">
        <f t="shared" si="902"/>
        <v>0.99999999999997868</v>
      </c>
      <c r="F411">
        <f t="shared" si="902"/>
        <v>2.9999999999999361</v>
      </c>
      <c r="G411">
        <f t="shared" si="902"/>
        <v>2.9999999999999361</v>
      </c>
      <c r="H411">
        <f t="shared" si="902"/>
        <v>3.0000000000000249</v>
      </c>
      <c r="I411">
        <f t="shared" si="902"/>
        <v>1.9999999999999574</v>
      </c>
      <c r="J411">
        <f t="shared" si="902"/>
        <v>3.0000000000000249</v>
      </c>
      <c r="K411">
        <f t="shared" si="902"/>
        <v>-2.0000000000000462</v>
      </c>
      <c r="L411">
        <f t="shared" si="902"/>
        <v>-3.0000000000000249</v>
      </c>
      <c r="M411">
        <f t="shared" si="902"/>
        <v>-6.0000000000000497</v>
      </c>
      <c r="N411">
        <f t="shared" si="902"/>
        <v>-5.9999999999999609</v>
      </c>
      <c r="O411" s="5">
        <f t="shared" si="889"/>
        <v>9.6124577610484565E-3</v>
      </c>
      <c r="P411" s="5">
        <f t="shared" si="889"/>
        <v>6.2073445743337308E-3</v>
      </c>
      <c r="Q411" s="5">
        <f t="shared" si="889"/>
        <v>-2.5424770657346643E-3</v>
      </c>
      <c r="R411" s="5">
        <f t="shared" si="889"/>
        <v>5.3120974848898843E-3</v>
      </c>
      <c r="S411" s="5">
        <f t="shared" si="889"/>
        <v>1.102927202701116E-2</v>
      </c>
      <c r="T411" s="5">
        <f t="shared" ref="T411:X411" si="903">LN(T960/T961)</f>
        <v>3.5980238246204914E-3</v>
      </c>
      <c r="U411" s="5">
        <f t="shared" si="903"/>
        <v>2.3896329425230427E-3</v>
      </c>
      <c r="V411" s="5">
        <f t="shared" si="903"/>
        <v>-7.1835826594790226E-3</v>
      </c>
      <c r="W411" s="5">
        <f t="shared" si="903"/>
        <v>4.2274103174232414E-3</v>
      </c>
      <c r="X411" s="5">
        <f t="shared" si="903"/>
        <v>2.268365572804746E-3</v>
      </c>
      <c r="Z411" s="4">
        <v>45497</v>
      </c>
      <c r="AA411">
        <f>B411*B$3</f>
        <v>982.99999999997908</v>
      </c>
      <c r="AB411">
        <f>C411*C$3</f>
        <v>-2583.999999999945</v>
      </c>
      <c r="AC411">
        <f>D411*D$3</f>
        <v>16142.999999999656</v>
      </c>
      <c r="AD411">
        <f>E411*E$3</f>
        <v>2427.9999999999482</v>
      </c>
      <c r="AE411">
        <f>F411*F$3</f>
        <v>-37283.999999999207</v>
      </c>
      <c r="AF411">
        <f>G411*G$3</f>
        <v>-46883.999999999003</v>
      </c>
      <c r="AG411">
        <f>H411*H$3</f>
        <v>-84648.000000000698</v>
      </c>
      <c r="AH411">
        <f>I411*I$3</f>
        <v>-36911.999999999214</v>
      </c>
      <c r="AI411">
        <f>J411*J$3</f>
        <v>-153154.50000000128</v>
      </c>
      <c r="AJ411">
        <f>K411*K$3</f>
        <v>156790.00000000361</v>
      </c>
      <c r="AK411">
        <f>L411*L$3</f>
        <v>-93012.000000000771</v>
      </c>
      <c r="AL411">
        <f>M411*M$3</f>
        <v>-192438.0000000016</v>
      </c>
      <c r="AM411">
        <f>N411*N$3</f>
        <v>0</v>
      </c>
      <c r="AN411">
        <f>O411*O$3</f>
        <v>0</v>
      </c>
      <c r="AO411">
        <f>P411*P$3</f>
        <v>-31036.722871668655</v>
      </c>
      <c r="AP411">
        <f>Q411*Q$3</f>
        <v>-30509.724788815973</v>
      </c>
      <c r="AQ411">
        <f>R411*R$3</f>
        <v>-79681.462273348268</v>
      </c>
      <c r="AR411" s="1">
        <f>S411*S$3</f>
        <v>-77204.904189078123</v>
      </c>
      <c r="AS411" s="1">
        <f t="shared" si="891"/>
        <v>14392.095298481965</v>
      </c>
      <c r="AT411" s="1">
        <f t="shared" si="891"/>
        <v>19117.063540184343</v>
      </c>
      <c r="AU411" s="1">
        <f t="shared" si="891"/>
        <v>0</v>
      </c>
      <c r="AV411" s="1">
        <f t="shared" si="891"/>
        <v>0</v>
      </c>
      <c r="AW411" s="1">
        <f t="shared" si="891"/>
        <v>0</v>
      </c>
      <c r="AX411" s="1">
        <f t="shared" si="856"/>
        <v>-655496.15528424317</v>
      </c>
      <c r="AY411" s="1">
        <f t="shared" si="857"/>
        <v>-184923.65528424471</v>
      </c>
      <c r="AZ411" s="1">
        <f t="shared" si="858"/>
        <v>-470572.49999999849</v>
      </c>
    </row>
    <row r="412" spans="1:52" x14ac:dyDescent="0.25">
      <c r="A412" s="4">
        <v>45496</v>
      </c>
      <c r="B412">
        <f t="shared" ref="B412:N412" si="904">(B962-B961)*100</f>
        <v>0</v>
      </c>
      <c r="C412">
        <f t="shared" si="904"/>
        <v>0</v>
      </c>
      <c r="D412">
        <f t="shared" si="904"/>
        <v>1.9999999999999574</v>
      </c>
      <c r="E412">
        <f t="shared" si="904"/>
        <v>0.99999999999997868</v>
      </c>
      <c r="F412">
        <f t="shared" si="904"/>
        <v>2.0000000000000462</v>
      </c>
      <c r="G412">
        <f t="shared" si="904"/>
        <v>3.0000000000000249</v>
      </c>
      <c r="H412">
        <f t="shared" si="904"/>
        <v>9.9999999999999645</v>
      </c>
      <c r="I412">
        <f t="shared" si="904"/>
        <v>3.0000000000000249</v>
      </c>
      <c r="J412">
        <f t="shared" si="904"/>
        <v>1.9999999999999574</v>
      </c>
      <c r="K412">
        <f t="shared" si="904"/>
        <v>2.0000000000000462</v>
      </c>
      <c r="L412">
        <f t="shared" si="904"/>
        <v>0.99999999999997868</v>
      </c>
      <c r="M412">
        <f t="shared" si="904"/>
        <v>1.0000000000000675</v>
      </c>
      <c r="N412">
        <f t="shared" si="904"/>
        <v>0</v>
      </c>
      <c r="O412" s="5">
        <f t="shared" si="889"/>
        <v>3.7522822506491E-3</v>
      </c>
      <c r="P412" s="5">
        <f t="shared" si="889"/>
        <v>4.8686195663446069E-3</v>
      </c>
      <c r="Q412" s="5">
        <f t="shared" si="889"/>
        <v>5.631674744780382E-3</v>
      </c>
      <c r="R412" s="5">
        <f t="shared" si="889"/>
        <v>0</v>
      </c>
      <c r="S412" s="5">
        <f t="shared" si="889"/>
        <v>1.2639396395824284E-2</v>
      </c>
      <c r="T412" s="5">
        <f t="shared" ref="T412:X412" si="905">LN(T961/T962)</f>
        <v>8.6071030432001417E-4</v>
      </c>
      <c r="U412" s="5">
        <f t="shared" si="905"/>
        <v>5.1710847882127448E-5</v>
      </c>
      <c r="V412" s="5">
        <f t="shared" si="905"/>
        <v>-3.3787409349894169E-3</v>
      </c>
      <c r="W412" s="5">
        <f t="shared" si="905"/>
        <v>8.4285532068564505E-3</v>
      </c>
      <c r="X412" s="5">
        <f t="shared" si="905"/>
        <v>1.6764993949065212E-3</v>
      </c>
      <c r="Z412" s="4">
        <v>45496</v>
      </c>
      <c r="AA412">
        <f>B412*B$3</f>
        <v>0</v>
      </c>
      <c r="AB412">
        <f>C412*C$3</f>
        <v>0</v>
      </c>
      <c r="AC412">
        <f>D412*D$3</f>
        <v>32285.999999999312</v>
      </c>
      <c r="AD412">
        <f>E412*E$3</f>
        <v>2427.9999999999482</v>
      </c>
      <c r="AE412">
        <f>F412*F$3</f>
        <v>-24856.000000000575</v>
      </c>
      <c r="AF412">
        <f>G412*G$3</f>
        <v>-46884.000000000386</v>
      </c>
      <c r="AG412">
        <f>H412*H$3</f>
        <v>-282159.99999999901</v>
      </c>
      <c r="AH412">
        <f>I412*I$3</f>
        <v>-55368.000000000458</v>
      </c>
      <c r="AI412">
        <f>J412*J$3</f>
        <v>-102102.99999999782</v>
      </c>
      <c r="AJ412">
        <f>K412*K$3</f>
        <v>-156790.00000000361</v>
      </c>
      <c r="AK412">
        <f>L412*L$3</f>
        <v>31003.999999999338</v>
      </c>
      <c r="AL412">
        <f>M412*M$3</f>
        <v>32073.000000002165</v>
      </c>
      <c r="AM412">
        <f>N412*N$3</f>
        <v>0</v>
      </c>
      <c r="AN412">
        <f>O412*O$3</f>
        <v>0</v>
      </c>
      <c r="AO412">
        <f>P412*P$3</f>
        <v>-24343.097831723033</v>
      </c>
      <c r="AP412">
        <f>Q412*Q$3</f>
        <v>67580.096937364578</v>
      </c>
      <c r="AQ412">
        <f>R412*R$3</f>
        <v>0</v>
      </c>
      <c r="AR412" s="1">
        <f>S412*S$3</f>
        <v>-88475.774770769989</v>
      </c>
      <c r="AS412" s="1">
        <f t="shared" si="891"/>
        <v>3442.8412172800568</v>
      </c>
      <c r="AT412" s="1">
        <f t="shared" si="891"/>
        <v>413.68678305701957</v>
      </c>
      <c r="AU412" s="1">
        <f t="shared" si="891"/>
        <v>0</v>
      </c>
      <c r="AV412" s="1">
        <f t="shared" si="891"/>
        <v>0</v>
      </c>
      <c r="AW412" s="1">
        <f t="shared" si="891"/>
        <v>0</v>
      </c>
      <c r="AX412" s="1">
        <f t="shared" si="856"/>
        <v>-611752.24766479246</v>
      </c>
      <c r="AY412" s="1">
        <f t="shared" si="857"/>
        <v>-41382.247664791365</v>
      </c>
      <c r="AZ412" s="1">
        <f t="shared" si="858"/>
        <v>-570370.00000000105</v>
      </c>
    </row>
    <row r="413" spans="1:52" x14ac:dyDescent="0.25">
      <c r="A413" s="4">
        <v>45495</v>
      </c>
      <c r="B413">
        <f t="shared" ref="B413:N413" si="906">(B963-B962)*100</f>
        <v>-0.99999999999997868</v>
      </c>
      <c r="C413">
        <f t="shared" si="906"/>
        <v>0.99999999999997868</v>
      </c>
      <c r="D413">
        <f t="shared" si="906"/>
        <v>0</v>
      </c>
      <c r="E413">
        <f t="shared" si="906"/>
        <v>0</v>
      </c>
      <c r="F413">
        <f t="shared" si="906"/>
        <v>0</v>
      </c>
      <c r="G413">
        <f t="shared" si="906"/>
        <v>-0.99999999999997868</v>
      </c>
      <c r="H413">
        <f t="shared" si="906"/>
        <v>-0.99999999999997868</v>
      </c>
      <c r="I413">
        <f t="shared" si="906"/>
        <v>-0.99999999999997868</v>
      </c>
      <c r="J413">
        <f t="shared" si="906"/>
        <v>-0.99999999999997868</v>
      </c>
      <c r="K413">
        <f t="shared" si="906"/>
        <v>-2.0000000000000462</v>
      </c>
      <c r="L413">
        <f t="shared" si="906"/>
        <v>-0.99999999999997868</v>
      </c>
      <c r="M413">
        <f t="shared" si="906"/>
        <v>-2.0000000000000462</v>
      </c>
      <c r="N413">
        <f t="shared" si="906"/>
        <v>-3.0000000000000249</v>
      </c>
      <c r="O413" s="5">
        <f t="shared" si="889"/>
        <v>9.8978727655886891E-4</v>
      </c>
      <c r="P413" s="5">
        <f t="shared" si="889"/>
        <v>-1.0556027016596945E-2</v>
      </c>
      <c r="Q413" s="5">
        <f t="shared" si="889"/>
        <v>3.8430553901826416E-3</v>
      </c>
      <c r="R413" s="5">
        <f t="shared" si="889"/>
        <v>7.9925407211977662E-4</v>
      </c>
      <c r="S413" s="5">
        <f t="shared" si="889"/>
        <v>-7.8671710168195449E-3</v>
      </c>
      <c r="T413" s="5">
        <f t="shared" ref="T413:X413" si="907">LN(T962/T963)</f>
        <v>2.1806902047416044E-4</v>
      </c>
      <c r="U413" s="5">
        <f t="shared" si="907"/>
        <v>1.4366946452390825E-3</v>
      </c>
      <c r="V413" s="5">
        <f t="shared" si="907"/>
        <v>1.7293544843662095E-3</v>
      </c>
      <c r="W413" s="5">
        <f t="shared" si="907"/>
        <v>1.3717004148355411E-3</v>
      </c>
      <c r="X413" s="5">
        <f t="shared" si="907"/>
        <v>7.998721920277898E-4</v>
      </c>
      <c r="Z413" s="4">
        <v>45495</v>
      </c>
      <c r="AA413">
        <f>B413*B$3</f>
        <v>982.99999999997908</v>
      </c>
      <c r="AB413">
        <f>C413*C$3</f>
        <v>-2583.999999999945</v>
      </c>
      <c r="AC413">
        <f>D413*D$3</f>
        <v>0</v>
      </c>
      <c r="AD413">
        <f>E413*E$3</f>
        <v>0</v>
      </c>
      <c r="AE413">
        <f>F413*F$3</f>
        <v>0</v>
      </c>
      <c r="AF413">
        <f>G413*G$3</f>
        <v>15627.999999999667</v>
      </c>
      <c r="AG413">
        <f>H413*H$3</f>
        <v>28215.9999999994</v>
      </c>
      <c r="AH413">
        <f>I413*I$3</f>
        <v>18455.999999999607</v>
      </c>
      <c r="AI413">
        <f>J413*J$3</f>
        <v>51051.499999998909</v>
      </c>
      <c r="AJ413">
        <f>K413*K$3</f>
        <v>156790.00000000361</v>
      </c>
      <c r="AK413">
        <f>L413*L$3</f>
        <v>-31003.999999999338</v>
      </c>
      <c r="AL413">
        <f>M413*M$3</f>
        <v>-64146.000000001484</v>
      </c>
      <c r="AM413">
        <f>N413*N$3</f>
        <v>0</v>
      </c>
      <c r="AN413">
        <f>O413*O$3</f>
        <v>0</v>
      </c>
      <c r="AO413">
        <f>P413*P$3</f>
        <v>52780.135082984729</v>
      </c>
      <c r="AP413">
        <f>Q413*Q$3</f>
        <v>46116.664682191702</v>
      </c>
      <c r="AQ413">
        <f>R413*R$3</f>
        <v>-11988.81108179665</v>
      </c>
      <c r="AR413" s="1">
        <f>S413*S$3</f>
        <v>55070.197117736818</v>
      </c>
      <c r="AS413" s="1">
        <f t="shared" si="891"/>
        <v>872.27608189664181</v>
      </c>
      <c r="AT413" s="1">
        <f t="shared" si="891"/>
        <v>11493.55716191266</v>
      </c>
      <c r="AU413" s="1">
        <f t="shared" si="891"/>
        <v>0</v>
      </c>
      <c r="AV413" s="1">
        <f t="shared" si="891"/>
        <v>0</v>
      </c>
      <c r="AW413" s="1">
        <f t="shared" si="891"/>
        <v>0</v>
      </c>
      <c r="AX413" s="1">
        <f t="shared" si="856"/>
        <v>327734.51904492627</v>
      </c>
      <c r="AY413" s="1">
        <f t="shared" si="857"/>
        <v>154344.01904492592</v>
      </c>
      <c r="AZ413" s="1">
        <f t="shared" si="858"/>
        <v>173390.50000000035</v>
      </c>
    </row>
    <row r="414" spans="1:52" x14ac:dyDescent="0.25">
      <c r="A414" s="4">
        <v>45492</v>
      </c>
      <c r="B414">
        <f t="shared" ref="B414:N414" si="908">(B964-B963)*100</f>
        <v>0</v>
      </c>
      <c r="C414">
        <f t="shared" si="908"/>
        <v>0</v>
      </c>
      <c r="D414">
        <f t="shared" si="908"/>
        <v>0</v>
      </c>
      <c r="E414">
        <f t="shared" si="908"/>
        <v>1.0000000000000675</v>
      </c>
      <c r="F414">
        <f t="shared" si="908"/>
        <v>-0.99999999999997868</v>
      </c>
      <c r="G414">
        <f t="shared" si="908"/>
        <v>-0.99999999999997868</v>
      </c>
      <c r="H414">
        <f t="shared" si="908"/>
        <v>-3.0000000000000249</v>
      </c>
      <c r="I414">
        <f t="shared" si="908"/>
        <v>-4.0000000000000036</v>
      </c>
      <c r="J414">
        <f t="shared" si="908"/>
        <v>-4.9999999999999822</v>
      </c>
      <c r="K414">
        <f t="shared" si="908"/>
        <v>-4.0000000000000036</v>
      </c>
      <c r="L414">
        <f t="shared" si="908"/>
        <v>-4.9999999999999822</v>
      </c>
      <c r="M414">
        <f t="shared" si="908"/>
        <v>-4.0000000000000036</v>
      </c>
      <c r="N414">
        <f t="shared" si="908"/>
        <v>-4.0000000000000036</v>
      </c>
      <c r="O414" s="5">
        <f t="shared" si="889"/>
        <v>2.1088118266286847E-3</v>
      </c>
      <c r="P414" s="5">
        <f t="shared" si="889"/>
        <v>-1.7567956614776684E-3</v>
      </c>
      <c r="Q414" s="5">
        <f t="shared" si="889"/>
        <v>1.9591832092298294E-2</v>
      </c>
      <c r="R414" s="5">
        <f t="shared" si="889"/>
        <v>3.2034197175376438E-3</v>
      </c>
      <c r="S414" s="5">
        <f t="shared" si="889"/>
        <v>5.7513337482291028E-3</v>
      </c>
      <c r="T414" s="5">
        <f t="shared" ref="T414:X414" si="909">LN(T963/T964)</f>
        <v>3.5383348207796549E-3</v>
      </c>
      <c r="U414" s="5">
        <f t="shared" si="909"/>
        <v>4.2961827521736853E-3</v>
      </c>
      <c r="V414" s="5">
        <f t="shared" si="909"/>
        <v>9.359536318623107E-3</v>
      </c>
      <c r="W414" s="5">
        <f t="shared" si="909"/>
        <v>3.7506587251683286E-3</v>
      </c>
      <c r="X414" s="5">
        <f t="shared" si="909"/>
        <v>5.5943262529668143E-3</v>
      </c>
      <c r="Z414" s="4">
        <v>45492</v>
      </c>
      <c r="AA414">
        <f>B414*B$3</f>
        <v>0</v>
      </c>
      <c r="AB414">
        <f>C414*C$3</f>
        <v>0</v>
      </c>
      <c r="AC414">
        <f>D414*D$3</f>
        <v>0</v>
      </c>
      <c r="AD414">
        <f>E414*E$3</f>
        <v>2428.0000000001637</v>
      </c>
      <c r="AE414">
        <f>F414*F$3</f>
        <v>12427.999999999734</v>
      </c>
      <c r="AF414">
        <f>G414*G$3</f>
        <v>15627.999999999667</v>
      </c>
      <c r="AG414">
        <f>H414*H$3</f>
        <v>84648.000000000698</v>
      </c>
      <c r="AH414">
        <f>I414*I$3</f>
        <v>73824.000000000073</v>
      </c>
      <c r="AI414">
        <f>J414*J$3</f>
        <v>255257.4999999991</v>
      </c>
      <c r="AJ414">
        <f>K414*K$3</f>
        <v>313580.00000000029</v>
      </c>
      <c r="AK414">
        <f>L414*L$3</f>
        <v>-155019.99999999945</v>
      </c>
      <c r="AL414">
        <f>M414*M$3</f>
        <v>-128292.00000000012</v>
      </c>
      <c r="AM414">
        <f>N414*N$3</f>
        <v>0</v>
      </c>
      <c r="AN414">
        <f>O414*O$3</f>
        <v>0</v>
      </c>
      <c r="AO414">
        <f>P414*P$3</f>
        <v>8783.9783073883427</v>
      </c>
      <c r="AP414">
        <f>Q414*Q$3</f>
        <v>235101.98510757953</v>
      </c>
      <c r="AQ414">
        <f>R414*R$3</f>
        <v>-48051.295763064656</v>
      </c>
      <c r="AR414" s="1">
        <f>S414*S$3</f>
        <v>-40259.336237603718</v>
      </c>
      <c r="AS414" s="1">
        <f t="shared" si="891"/>
        <v>14153.339283118619</v>
      </c>
      <c r="AT414" s="1">
        <f t="shared" si="891"/>
        <v>34369.46201738948</v>
      </c>
      <c r="AU414" s="1">
        <f t="shared" si="891"/>
        <v>0</v>
      </c>
      <c r="AV414" s="1">
        <f t="shared" si="891"/>
        <v>0</v>
      </c>
      <c r="AW414" s="1">
        <f t="shared" si="891"/>
        <v>0</v>
      </c>
      <c r="AX414" s="1">
        <f t="shared" si="856"/>
        <v>678579.63271480787</v>
      </c>
      <c r="AY414" s="1">
        <f t="shared" si="857"/>
        <v>204098.13271480761</v>
      </c>
      <c r="AZ414" s="1">
        <f t="shared" si="858"/>
        <v>474481.50000000023</v>
      </c>
    </row>
    <row r="415" spans="1:52" x14ac:dyDescent="0.25">
      <c r="A415" s="4">
        <v>45491</v>
      </c>
      <c r="B415">
        <f t="shared" ref="B415:N415" si="910">(B965-B964)*100</f>
        <v>-1.0000000000000675</v>
      </c>
      <c r="C415">
        <f t="shared" si="910"/>
        <v>-1.9999999999999574</v>
      </c>
      <c r="D415">
        <f t="shared" si="910"/>
        <v>0</v>
      </c>
      <c r="E415">
        <f t="shared" si="910"/>
        <v>0</v>
      </c>
      <c r="F415">
        <f t="shared" si="910"/>
        <v>0</v>
      </c>
      <c r="G415">
        <f t="shared" si="910"/>
        <v>-1.0000000000000675</v>
      </c>
      <c r="H415">
        <f t="shared" si="910"/>
        <v>-4.0000000000000036</v>
      </c>
      <c r="I415">
        <f t="shared" si="910"/>
        <v>-4.9999999999999822</v>
      </c>
      <c r="J415">
        <f t="shared" si="910"/>
        <v>-4.0000000000000036</v>
      </c>
      <c r="K415">
        <f t="shared" si="910"/>
        <v>-4.9999999999999822</v>
      </c>
      <c r="L415">
        <f t="shared" si="910"/>
        <v>-4.0000000000000036</v>
      </c>
      <c r="M415">
        <f t="shared" si="910"/>
        <v>-4.9999999999999822</v>
      </c>
      <c r="N415">
        <f t="shared" si="910"/>
        <v>-4.0000000000000036</v>
      </c>
      <c r="O415" s="5">
        <f t="shared" ref="O415:S424" si="911">LN(O964/O965)</f>
        <v>1.373443335355049E-2</v>
      </c>
      <c r="P415" s="5">
        <f t="shared" si="911"/>
        <v>1.2262767617497549E-2</v>
      </c>
      <c r="Q415" s="5">
        <f t="shared" si="911"/>
        <v>1.213525013867987E-2</v>
      </c>
      <c r="R415" s="5">
        <f t="shared" si="911"/>
        <v>4.8244532063816611E-3</v>
      </c>
      <c r="S415" s="5">
        <f t="shared" si="911"/>
        <v>1.4544488562141149E-2</v>
      </c>
      <c r="T415" s="5">
        <f t="shared" ref="T415:X415" si="912">LN(T964/T965)</f>
        <v>-3.451186130679392E-3</v>
      </c>
      <c r="U415" s="5">
        <f t="shared" si="912"/>
        <v>-2.2905864201908047E-3</v>
      </c>
      <c r="V415" s="5">
        <f t="shared" si="912"/>
        <v>-1.6966623442944671E-2</v>
      </c>
      <c r="W415" s="5">
        <f t="shared" si="912"/>
        <v>1.9321142596498482E-4</v>
      </c>
      <c r="X415" s="5">
        <f t="shared" si="912"/>
        <v>-1.2244085498223634E-2</v>
      </c>
      <c r="Z415" s="4">
        <v>45491</v>
      </c>
      <c r="AA415">
        <f>B415*B$3</f>
        <v>983.00000000006639</v>
      </c>
      <c r="AB415">
        <f>C415*C$3</f>
        <v>5167.99999999989</v>
      </c>
      <c r="AC415">
        <f>D415*D$3</f>
        <v>0</v>
      </c>
      <c r="AD415">
        <f>E415*E$3</f>
        <v>0</v>
      </c>
      <c r="AE415">
        <f>F415*F$3</f>
        <v>0</v>
      </c>
      <c r="AF415">
        <f>G415*G$3</f>
        <v>15628.000000001055</v>
      </c>
      <c r="AG415">
        <f>H415*H$3</f>
        <v>112864.0000000001</v>
      </c>
      <c r="AH415">
        <f>I415*I$3</f>
        <v>92279.999999999665</v>
      </c>
      <c r="AI415">
        <f>J415*J$3</f>
        <v>204206.00000000017</v>
      </c>
      <c r="AJ415">
        <f>K415*K$3</f>
        <v>391974.9999999986</v>
      </c>
      <c r="AK415">
        <f>L415*L$3</f>
        <v>-124016.00000000012</v>
      </c>
      <c r="AL415">
        <f>M415*M$3</f>
        <v>-160364.99999999942</v>
      </c>
      <c r="AM415">
        <f>N415*N$3</f>
        <v>0</v>
      </c>
      <c r="AN415">
        <f>O415*O$3</f>
        <v>0</v>
      </c>
      <c r="AO415">
        <f>P415*P$3</f>
        <v>-61313.83808748774</v>
      </c>
      <c r="AP415">
        <f>Q415*Q$3</f>
        <v>145623.00166415845</v>
      </c>
      <c r="AQ415">
        <f>R415*R$3</f>
        <v>-72366.798095724924</v>
      </c>
      <c r="AR415" s="1">
        <f>S415*S$3</f>
        <v>-101811.41993498805</v>
      </c>
      <c r="AS415" s="1">
        <f t="shared" si="891"/>
        <v>-13804.744522717569</v>
      </c>
      <c r="AT415" s="1">
        <f t="shared" si="891"/>
        <v>-18324.691361526438</v>
      </c>
      <c r="AU415" s="1">
        <f t="shared" si="891"/>
        <v>0</v>
      </c>
      <c r="AV415" s="1">
        <f t="shared" si="891"/>
        <v>0</v>
      </c>
      <c r="AW415" s="1">
        <f t="shared" si="891"/>
        <v>0</v>
      </c>
      <c r="AX415" s="1">
        <f t="shared" si="856"/>
        <v>416724.50966171379</v>
      </c>
      <c r="AY415" s="1">
        <f t="shared" si="857"/>
        <v>-121998.49033828625</v>
      </c>
      <c r="AZ415" s="1">
        <f t="shared" si="858"/>
        <v>538723</v>
      </c>
    </row>
    <row r="416" spans="1:52" x14ac:dyDescent="0.25">
      <c r="A416" s="4">
        <v>45490</v>
      </c>
      <c r="B416">
        <f t="shared" ref="B416:N416" si="913">(B966-B965)*100</f>
        <v>1.0000000000000675</v>
      </c>
      <c r="C416">
        <f t="shared" si="913"/>
        <v>0</v>
      </c>
      <c r="D416">
        <f t="shared" si="913"/>
        <v>0</v>
      </c>
      <c r="E416">
        <f t="shared" si="913"/>
        <v>0</v>
      </c>
      <c r="F416">
        <f t="shared" si="913"/>
        <v>0</v>
      </c>
      <c r="G416">
        <f t="shared" si="913"/>
        <v>0</v>
      </c>
      <c r="H416">
        <f t="shared" si="913"/>
        <v>0.99999999999997868</v>
      </c>
      <c r="I416">
        <f t="shared" si="913"/>
        <v>1.9999999999999574</v>
      </c>
      <c r="J416">
        <f t="shared" si="913"/>
        <v>1.9999999999999574</v>
      </c>
      <c r="K416">
        <f t="shared" si="913"/>
        <v>2.0000000000000462</v>
      </c>
      <c r="L416">
        <f t="shared" si="913"/>
        <v>0.99999999999997868</v>
      </c>
      <c r="M416">
        <f t="shared" si="913"/>
        <v>2.0000000000000462</v>
      </c>
      <c r="N416">
        <f t="shared" si="913"/>
        <v>0.99999999999997868</v>
      </c>
      <c r="O416" s="5">
        <f t="shared" si="911"/>
        <v>7.2702224063390048E-3</v>
      </c>
      <c r="P416" s="5">
        <f t="shared" si="911"/>
        <v>2.8194977419519268E-3</v>
      </c>
      <c r="Q416" s="5">
        <f t="shared" si="911"/>
        <v>7.1392093886947896E-4</v>
      </c>
      <c r="R416" s="5">
        <f t="shared" si="911"/>
        <v>2.9597761415984108E-3</v>
      </c>
      <c r="S416" s="5">
        <f t="shared" si="911"/>
        <v>4.2586828533555561E-3</v>
      </c>
      <c r="T416" s="5">
        <f t="shared" ref="T416:X416" si="914">LN(T965/T966)</f>
        <v>-8.7148690100294549E-5</v>
      </c>
      <c r="U416" s="5">
        <f t="shared" si="914"/>
        <v>-5.929294374067539E-4</v>
      </c>
      <c r="V416" s="5">
        <f t="shared" si="914"/>
        <v>1.320730484382816E-3</v>
      </c>
      <c r="W416" s="5">
        <f t="shared" si="914"/>
        <v>4.6390416283467158E-3</v>
      </c>
      <c r="X416" s="5">
        <f t="shared" si="914"/>
        <v>-2.5158265366643012E-3</v>
      </c>
      <c r="Z416" s="4">
        <v>45490</v>
      </c>
      <c r="AA416">
        <f>B416*B$3</f>
        <v>-983.00000000006639</v>
      </c>
      <c r="AB416">
        <f>C416*C$3</f>
        <v>0</v>
      </c>
      <c r="AC416">
        <f>D416*D$3</f>
        <v>0</v>
      </c>
      <c r="AD416">
        <f>E416*E$3</f>
        <v>0</v>
      </c>
      <c r="AE416">
        <f>F416*F$3</f>
        <v>0</v>
      </c>
      <c r="AF416">
        <f>G416*G$3</f>
        <v>0</v>
      </c>
      <c r="AG416">
        <f>H416*H$3</f>
        <v>-28215.9999999994</v>
      </c>
      <c r="AH416">
        <f>I416*I$3</f>
        <v>-36911.999999999214</v>
      </c>
      <c r="AI416">
        <f>J416*J$3</f>
        <v>-102102.99999999782</v>
      </c>
      <c r="AJ416">
        <f>K416*K$3</f>
        <v>-156790.00000000361</v>
      </c>
      <c r="AK416">
        <f>L416*L$3</f>
        <v>31003.999999999338</v>
      </c>
      <c r="AL416">
        <f>M416*M$3</f>
        <v>64146.000000001484</v>
      </c>
      <c r="AM416">
        <f>N416*N$3</f>
        <v>0</v>
      </c>
      <c r="AN416">
        <f>O416*O$3</f>
        <v>0</v>
      </c>
      <c r="AO416">
        <f>P416*P$3</f>
        <v>-14097.488709759635</v>
      </c>
      <c r="AP416">
        <f>Q416*Q$3</f>
        <v>8567.0512664337475</v>
      </c>
      <c r="AQ416">
        <f>R416*R$3</f>
        <v>-44396.642123976162</v>
      </c>
      <c r="AR416" s="1">
        <f>S416*S$3</f>
        <v>-29810.779973488894</v>
      </c>
      <c r="AS416" s="1">
        <f t="shared" si="891"/>
        <v>-348.59476040117818</v>
      </c>
      <c r="AT416" s="1">
        <f t="shared" si="891"/>
        <v>-4743.4354992540311</v>
      </c>
      <c r="AU416" s="1">
        <f t="shared" si="891"/>
        <v>0</v>
      </c>
      <c r="AV416" s="1">
        <f t="shared" si="891"/>
        <v>0</v>
      </c>
      <c r="AW416" s="1">
        <f t="shared" si="891"/>
        <v>0</v>
      </c>
      <c r="AX416" s="1">
        <f t="shared" si="856"/>
        <v>-314683.88980044541</v>
      </c>
      <c r="AY416" s="1">
        <f t="shared" si="857"/>
        <v>-84829.889800446152</v>
      </c>
      <c r="AZ416" s="1">
        <f t="shared" si="858"/>
        <v>-229853.99999999924</v>
      </c>
    </row>
    <row r="417" spans="1:52" x14ac:dyDescent="0.25">
      <c r="A417" s="4">
        <v>45489</v>
      </c>
      <c r="B417">
        <f t="shared" ref="B417:N417" si="915">(B967-B966)*100</f>
        <v>0</v>
      </c>
      <c r="C417">
        <f t="shared" si="915"/>
        <v>0.99999999999997868</v>
      </c>
      <c r="D417">
        <f t="shared" si="915"/>
        <v>0</v>
      </c>
      <c r="E417">
        <f t="shared" si="915"/>
        <v>0</v>
      </c>
      <c r="F417">
        <f t="shared" si="915"/>
        <v>0</v>
      </c>
      <c r="G417">
        <f t="shared" si="915"/>
        <v>0</v>
      </c>
      <c r="H417">
        <f t="shared" si="915"/>
        <v>1.0000000000000675</v>
      </c>
      <c r="I417">
        <f t="shared" si="915"/>
        <v>2.0000000000000462</v>
      </c>
      <c r="J417">
        <f t="shared" si="915"/>
        <v>4.0000000000000036</v>
      </c>
      <c r="K417">
        <f t="shared" si="915"/>
        <v>4.9999999999999822</v>
      </c>
      <c r="L417">
        <f t="shared" si="915"/>
        <v>6.0000000000000497</v>
      </c>
      <c r="M417">
        <f t="shared" si="915"/>
        <v>7.9999999999999183</v>
      </c>
      <c r="N417">
        <f t="shared" si="915"/>
        <v>8.0000000000000071</v>
      </c>
      <c r="O417" s="5">
        <f t="shared" si="911"/>
        <v>-5.3109992430714556E-3</v>
      </c>
      <c r="P417" s="5">
        <f t="shared" si="911"/>
        <v>9.0255368072863548E-3</v>
      </c>
      <c r="Q417" s="5">
        <f t="shared" si="911"/>
        <v>0</v>
      </c>
      <c r="R417" s="5">
        <f t="shared" si="911"/>
        <v>-1.8845072207917949E-3</v>
      </c>
      <c r="S417" s="5">
        <f t="shared" si="911"/>
        <v>-6.8344858336977319E-3</v>
      </c>
      <c r="T417" s="5">
        <f t="shared" ref="T417:X417" si="916">LN(T966/T967)</f>
        <v>-1.4706445837825816E-3</v>
      </c>
      <c r="U417" s="5">
        <f t="shared" si="916"/>
        <v>-2.4644524009959074E-4</v>
      </c>
      <c r="V417" s="5">
        <f t="shared" si="916"/>
        <v>-1.0870273834993505E-3</v>
      </c>
      <c r="W417" s="5">
        <f t="shared" si="916"/>
        <v>1.2851597543886591E-3</v>
      </c>
      <c r="X417" s="5">
        <f t="shared" si="916"/>
        <v>-1.5844604246953997E-3</v>
      </c>
      <c r="Z417" s="4">
        <v>45489</v>
      </c>
      <c r="AA417">
        <f>B417*B$3</f>
        <v>0</v>
      </c>
      <c r="AB417">
        <f>C417*C$3</f>
        <v>-2583.999999999945</v>
      </c>
      <c r="AC417">
        <f>D417*D$3</f>
        <v>0</v>
      </c>
      <c r="AD417">
        <f>E417*E$3</f>
        <v>0</v>
      </c>
      <c r="AE417">
        <f>F417*F$3</f>
        <v>0</v>
      </c>
      <c r="AF417">
        <f>G417*G$3</f>
        <v>0</v>
      </c>
      <c r="AG417">
        <f>H417*H$3</f>
        <v>-28216.000000001906</v>
      </c>
      <c r="AH417">
        <f>I417*I$3</f>
        <v>-36912.000000000851</v>
      </c>
      <c r="AI417">
        <f>J417*J$3</f>
        <v>-204206.00000000017</v>
      </c>
      <c r="AJ417">
        <f>K417*K$3</f>
        <v>-391974.9999999986</v>
      </c>
      <c r="AK417">
        <f>L417*L$3</f>
        <v>186024.00000000154</v>
      </c>
      <c r="AL417">
        <f>M417*M$3</f>
        <v>256583.99999999738</v>
      </c>
      <c r="AM417">
        <f>N417*N$3</f>
        <v>0</v>
      </c>
      <c r="AN417">
        <f>O417*O$3</f>
        <v>0</v>
      </c>
      <c r="AO417">
        <f>P417*P$3</f>
        <v>-45127.684036431776</v>
      </c>
      <c r="AP417">
        <f>Q417*Q$3</f>
        <v>0</v>
      </c>
      <c r="AQ417">
        <f>R417*R$3</f>
        <v>28267.608311876924</v>
      </c>
      <c r="AR417" s="1">
        <f>S417*S$3</f>
        <v>47841.400835884124</v>
      </c>
      <c r="AS417" s="1">
        <f t="shared" si="891"/>
        <v>-5882.5783351303262</v>
      </c>
      <c r="AT417" s="1">
        <f t="shared" si="891"/>
        <v>-1971.5619207967259</v>
      </c>
      <c r="AU417" s="1">
        <f t="shared" si="891"/>
        <v>0</v>
      </c>
      <c r="AV417" s="1">
        <f t="shared" si="891"/>
        <v>0</v>
      </c>
      <c r="AW417" s="1">
        <f t="shared" si="891"/>
        <v>0</v>
      </c>
      <c r="AX417" s="1">
        <f t="shared" si="856"/>
        <v>-198157.8151446004</v>
      </c>
      <c r="AY417" s="1">
        <f t="shared" si="857"/>
        <v>23127.184855402222</v>
      </c>
      <c r="AZ417" s="1">
        <f t="shared" si="858"/>
        <v>-221285.00000000262</v>
      </c>
    </row>
    <row r="418" spans="1:52" x14ac:dyDescent="0.25">
      <c r="A418" s="4">
        <v>45488</v>
      </c>
      <c r="B418">
        <f t="shared" ref="B418:N418" si="917">(B968-B967)*100</f>
        <v>-1.0000000000000675</v>
      </c>
      <c r="C418">
        <f t="shared" si="917"/>
        <v>0.99999999999997868</v>
      </c>
      <c r="D418">
        <f t="shared" si="917"/>
        <v>0</v>
      </c>
      <c r="E418">
        <f t="shared" si="917"/>
        <v>0.99999999999997868</v>
      </c>
      <c r="F418">
        <f t="shared" si="917"/>
        <v>0</v>
      </c>
      <c r="G418">
        <f t="shared" si="917"/>
        <v>2.0000000000000462</v>
      </c>
      <c r="H418">
        <f t="shared" si="917"/>
        <v>0.99999999999997868</v>
      </c>
      <c r="I418">
        <f t="shared" si="917"/>
        <v>-1.0000000000000675</v>
      </c>
      <c r="J418">
        <f t="shared" si="917"/>
        <v>-3.0000000000000249</v>
      </c>
      <c r="K418">
        <f t="shared" si="917"/>
        <v>-3.0000000000000249</v>
      </c>
      <c r="L418">
        <f t="shared" si="917"/>
        <v>-5.0000000000000711</v>
      </c>
      <c r="M418">
        <f t="shared" si="917"/>
        <v>-5.9999999999999609</v>
      </c>
      <c r="N418">
        <f t="shared" si="917"/>
        <v>-7.0000000000000284</v>
      </c>
      <c r="O418" s="5">
        <f t="shared" si="911"/>
        <v>6.2336140478114037E-4</v>
      </c>
      <c r="P418" s="5">
        <f t="shared" si="911"/>
        <v>6.5298265454744112E-3</v>
      </c>
      <c r="Q418" s="5">
        <f t="shared" si="911"/>
        <v>1.341352328038975E-3</v>
      </c>
      <c r="R418" s="5">
        <f t="shared" si="911"/>
        <v>-1.3439055913275063E-3</v>
      </c>
      <c r="S418" s="5">
        <f t="shared" si="911"/>
        <v>8.0594549373146779E-3</v>
      </c>
      <c r="T418" s="5">
        <f t="shared" ref="T418:X418" si="918">LN(T967/T968)</f>
        <v>-1.174983004350468E-3</v>
      </c>
      <c r="U418" s="5">
        <f t="shared" si="918"/>
        <v>-3.3268348967153321E-3</v>
      </c>
      <c r="V418" s="5">
        <f t="shared" si="918"/>
        <v>7.077065388290969E-4</v>
      </c>
      <c r="W418" s="5">
        <f t="shared" si="918"/>
        <v>-5.1661324725137527E-4</v>
      </c>
      <c r="X418" s="5">
        <f t="shared" si="918"/>
        <v>9.59302014517694E-4</v>
      </c>
      <c r="Z418" s="4">
        <v>45488</v>
      </c>
      <c r="AA418">
        <f>B418*B$3</f>
        <v>983.00000000006639</v>
      </c>
      <c r="AB418">
        <f>C418*C$3</f>
        <v>-2583.999999999945</v>
      </c>
      <c r="AC418">
        <f>D418*D$3</f>
        <v>0</v>
      </c>
      <c r="AD418">
        <f>E418*E$3</f>
        <v>2427.9999999999482</v>
      </c>
      <c r="AE418">
        <f>F418*F$3</f>
        <v>0</v>
      </c>
      <c r="AF418">
        <f>G418*G$3</f>
        <v>-31256.00000000072</v>
      </c>
      <c r="AG418">
        <f>H418*H$3</f>
        <v>-28215.9999999994</v>
      </c>
      <c r="AH418">
        <f>I418*I$3</f>
        <v>18456.000000001244</v>
      </c>
      <c r="AI418">
        <f>J418*J$3</f>
        <v>153154.50000000128</v>
      </c>
      <c r="AJ418">
        <f>K418*K$3</f>
        <v>235185.00000000195</v>
      </c>
      <c r="AK418">
        <f>L418*L$3</f>
        <v>-155020.00000000221</v>
      </c>
      <c r="AL418">
        <f>M418*M$3</f>
        <v>-192437.99999999875</v>
      </c>
      <c r="AM418">
        <f>N418*N$3</f>
        <v>0</v>
      </c>
      <c r="AN418">
        <f>O418*O$3</f>
        <v>0</v>
      </c>
      <c r="AO418">
        <f>P418*P$3</f>
        <v>-32649.132727372056</v>
      </c>
      <c r="AP418">
        <f>Q418*Q$3</f>
        <v>16096.2279364677</v>
      </c>
      <c r="AQ418">
        <f>R418*R$3</f>
        <v>20158.583869912596</v>
      </c>
      <c r="AR418" s="1">
        <f>S418*S$3</f>
        <v>-56416.184561202746</v>
      </c>
      <c r="AS418" s="1">
        <f t="shared" si="891"/>
        <v>-4699.9320174018721</v>
      </c>
      <c r="AT418" s="1">
        <f t="shared" si="891"/>
        <v>-26614.679173722656</v>
      </c>
      <c r="AU418" s="1">
        <f t="shared" si="891"/>
        <v>0</v>
      </c>
      <c r="AV418" s="1">
        <f t="shared" si="891"/>
        <v>0</v>
      </c>
      <c r="AW418" s="1">
        <f t="shared" si="891"/>
        <v>0</v>
      </c>
      <c r="AX418" s="1">
        <f t="shared" si="856"/>
        <v>-83432.61667331557</v>
      </c>
      <c r="AY418" s="1">
        <f t="shared" si="857"/>
        <v>-84125.116673319033</v>
      </c>
      <c r="AZ418" s="1">
        <f t="shared" si="858"/>
        <v>692.50000000346336</v>
      </c>
    </row>
    <row r="419" spans="1:52" x14ac:dyDescent="0.25">
      <c r="A419" s="4">
        <v>45485</v>
      </c>
      <c r="B419">
        <f t="shared" ref="B419:N419" si="919">(B969-B968)*100</f>
        <v>1.0000000000000675</v>
      </c>
      <c r="C419">
        <f t="shared" si="919"/>
        <v>1.0000000000000675</v>
      </c>
      <c r="D419">
        <f t="shared" si="919"/>
        <v>1.0000000000000675</v>
      </c>
      <c r="E419">
        <f t="shared" si="919"/>
        <v>0</v>
      </c>
      <c r="F419">
        <f t="shared" si="919"/>
        <v>1.9999999999999574</v>
      </c>
      <c r="G419">
        <f t="shared" si="919"/>
        <v>4.0000000000000036</v>
      </c>
      <c r="H419">
        <f t="shared" si="919"/>
        <v>4.9999999999999822</v>
      </c>
      <c r="I419">
        <f t="shared" si="919"/>
        <v>4.0000000000000036</v>
      </c>
      <c r="J419">
        <f t="shared" si="919"/>
        <v>3.0000000000000249</v>
      </c>
      <c r="K419">
        <f t="shared" si="919"/>
        <v>2.0000000000000462</v>
      </c>
      <c r="L419">
        <f t="shared" si="919"/>
        <v>2.0000000000000462</v>
      </c>
      <c r="M419">
        <f t="shared" si="919"/>
        <v>0.99999999999997868</v>
      </c>
      <c r="N419">
        <f t="shared" si="919"/>
        <v>2.0000000000000462</v>
      </c>
      <c r="O419" s="5">
        <f t="shared" si="911"/>
        <v>7.8989206806215524E-3</v>
      </c>
      <c r="P419" s="5">
        <f t="shared" si="911"/>
        <v>-1.4814710917117672E-2</v>
      </c>
      <c r="Q419" s="5">
        <f t="shared" si="911"/>
        <v>-1.0876689747794084E-2</v>
      </c>
      <c r="R419" s="5">
        <f t="shared" si="911"/>
        <v>-8.8247664554366567E-3</v>
      </c>
      <c r="S419" s="5">
        <f t="shared" si="911"/>
        <v>-9.3083299871247038E-3</v>
      </c>
      <c r="T419" s="5">
        <f t="shared" ref="T419:X419" si="920">LN(T968/T969)</f>
        <v>-3.6358070597760157E-3</v>
      </c>
      <c r="U419" s="5">
        <f t="shared" si="920"/>
        <v>-5.5161366236102238E-3</v>
      </c>
      <c r="V419" s="5">
        <f t="shared" si="920"/>
        <v>-2.1301026855608723E-2</v>
      </c>
      <c r="W419" s="5">
        <f t="shared" si="920"/>
        <v>-2.4708060963434257E-3</v>
      </c>
      <c r="X419" s="5">
        <f t="shared" si="920"/>
        <v>-3.531599480536596E-3</v>
      </c>
      <c r="Z419" s="4">
        <v>45485</v>
      </c>
      <c r="AA419">
        <f>B419*B$3</f>
        <v>-983.00000000006639</v>
      </c>
      <c r="AB419">
        <f>C419*C$3</f>
        <v>-2584.0000000001746</v>
      </c>
      <c r="AC419">
        <f>D419*D$3</f>
        <v>16143.00000000109</v>
      </c>
      <c r="AD419">
        <f>E419*E$3</f>
        <v>0</v>
      </c>
      <c r="AE419">
        <f>F419*F$3</f>
        <v>-24855.999999999469</v>
      </c>
      <c r="AF419">
        <f>G419*G$3</f>
        <v>-62512.000000000058</v>
      </c>
      <c r="AG419">
        <f>H419*H$3</f>
        <v>-141079.99999999951</v>
      </c>
      <c r="AH419">
        <f>I419*I$3</f>
        <v>-73824.000000000073</v>
      </c>
      <c r="AI419">
        <f>J419*J$3</f>
        <v>-153154.50000000128</v>
      </c>
      <c r="AJ419">
        <f>K419*K$3</f>
        <v>-156790.00000000361</v>
      </c>
      <c r="AK419">
        <f>L419*L$3</f>
        <v>62008.000000001433</v>
      </c>
      <c r="AL419">
        <f>M419*M$3</f>
        <v>32072.999999999316</v>
      </c>
      <c r="AM419">
        <f>N419*N$3</f>
        <v>0</v>
      </c>
      <c r="AN419">
        <f>O419*O$3</f>
        <v>0</v>
      </c>
      <c r="AO419">
        <f>P419*P$3</f>
        <v>74073.554585588354</v>
      </c>
      <c r="AP419">
        <f>Q419*Q$3</f>
        <v>-130520.27697352901</v>
      </c>
      <c r="AQ419">
        <f>R419*R$3</f>
        <v>132371.49683154986</v>
      </c>
      <c r="AR419" s="1">
        <f>S419*S$3</f>
        <v>65158.309909872929</v>
      </c>
      <c r="AS419" s="1">
        <f t="shared" si="891"/>
        <v>-14543.228239104063</v>
      </c>
      <c r="AT419" s="1">
        <f t="shared" si="891"/>
        <v>-44129.092988881792</v>
      </c>
      <c r="AU419" s="1">
        <f t="shared" si="891"/>
        <v>0</v>
      </c>
      <c r="AV419" s="1">
        <f t="shared" si="891"/>
        <v>0</v>
      </c>
      <c r="AW419" s="1">
        <f t="shared" si="891"/>
        <v>0</v>
      </c>
      <c r="AX419" s="1">
        <f t="shared" si="856"/>
        <v>-423148.73687450611</v>
      </c>
      <c r="AY419" s="1">
        <f t="shared" si="857"/>
        <v>82410.763125496262</v>
      </c>
      <c r="AZ419" s="1">
        <f t="shared" si="858"/>
        <v>-505559.50000000239</v>
      </c>
    </row>
    <row r="420" spans="1:52" x14ac:dyDescent="0.25">
      <c r="A420" s="4">
        <v>45484</v>
      </c>
      <c r="B420">
        <f t="shared" ref="B420:N420" si="921">(B970-B969)*100</f>
        <v>-2.0000000000000462</v>
      </c>
      <c r="C420">
        <f t="shared" si="921"/>
        <v>-3.0000000000000249</v>
      </c>
      <c r="D420">
        <f t="shared" si="921"/>
        <v>1.9999999999999574</v>
      </c>
      <c r="E420">
        <f t="shared" si="921"/>
        <v>4.9999999999999822</v>
      </c>
      <c r="F420">
        <f t="shared" si="921"/>
        <v>8.0000000000000071</v>
      </c>
      <c r="G420">
        <f t="shared" si="921"/>
        <v>9.9999999999999645</v>
      </c>
      <c r="H420">
        <f t="shared" si="921"/>
        <v>12.000000000000011</v>
      </c>
      <c r="I420">
        <f t="shared" si="921"/>
        <v>12.000000000000011</v>
      </c>
      <c r="J420">
        <f t="shared" si="921"/>
        <v>11.000000000000032</v>
      </c>
      <c r="K420">
        <f t="shared" si="921"/>
        <v>8.9999999999999858</v>
      </c>
      <c r="L420">
        <f t="shared" si="921"/>
        <v>8.0000000000000071</v>
      </c>
      <c r="M420">
        <f t="shared" si="921"/>
        <v>7.0000000000000284</v>
      </c>
      <c r="N420">
        <f t="shared" si="921"/>
        <v>5.9999999999999609</v>
      </c>
      <c r="O420" s="5">
        <f t="shared" si="911"/>
        <v>2.4615738732336329E-3</v>
      </c>
      <c r="P420" s="5">
        <f t="shared" si="911"/>
        <v>3.3964432927361425E-3</v>
      </c>
      <c r="Q420" s="5">
        <f t="shared" si="911"/>
        <v>-1.453160615483896E-2</v>
      </c>
      <c r="R420" s="5">
        <f t="shared" si="911"/>
        <v>-6.6339635627794633E-3</v>
      </c>
      <c r="S420" s="5">
        <f t="shared" si="911"/>
        <v>-1.1630881015840691E-3</v>
      </c>
      <c r="T420" s="5">
        <f t="shared" ref="T420:X420" si="922">LN(T969/T970)</f>
        <v>-1.7101581900870722E-3</v>
      </c>
      <c r="U420" s="5">
        <f t="shared" si="922"/>
        <v>-5.064008181041699E-3</v>
      </c>
      <c r="V420" s="5">
        <f t="shared" si="922"/>
        <v>1.7093129565366109E-3</v>
      </c>
      <c r="W420" s="5">
        <f t="shared" si="922"/>
        <v>-1.5268141588950467E-3</v>
      </c>
      <c r="X420" s="5">
        <f t="shared" si="922"/>
        <v>2.0037862918730774E-3</v>
      </c>
      <c r="Z420" s="4">
        <v>45484</v>
      </c>
      <c r="AA420">
        <f>B420*B$3</f>
        <v>1966.0000000000455</v>
      </c>
      <c r="AB420">
        <f>C420*C$3</f>
        <v>7752.0000000000646</v>
      </c>
      <c r="AC420">
        <f>D420*D$3</f>
        <v>32285.999999999312</v>
      </c>
      <c r="AD420">
        <f>E420*E$3</f>
        <v>12139.999999999956</v>
      </c>
      <c r="AE420">
        <f>F420*F$3</f>
        <v>-99424.000000000087</v>
      </c>
      <c r="AF420">
        <f>G420*G$3</f>
        <v>-156279.99999999945</v>
      </c>
      <c r="AG420">
        <f>H420*H$3</f>
        <v>-338592.00000000029</v>
      </c>
      <c r="AH420">
        <f>I420*I$3</f>
        <v>-221472.0000000002</v>
      </c>
      <c r="AI420">
        <f>J420*J$3</f>
        <v>-561566.50000000163</v>
      </c>
      <c r="AJ420">
        <f>K420*K$3</f>
        <v>-705554.99999999884</v>
      </c>
      <c r="AK420">
        <f>L420*L$3</f>
        <v>248032.00000000023</v>
      </c>
      <c r="AL420">
        <f>M420*M$3</f>
        <v>224511.0000000009</v>
      </c>
      <c r="AM420">
        <f>N420*N$3</f>
        <v>0</v>
      </c>
      <c r="AN420">
        <f>O420*O$3</f>
        <v>0</v>
      </c>
      <c r="AO420">
        <f>P420*P$3</f>
        <v>-16982.216463680714</v>
      </c>
      <c r="AP420">
        <f>Q420*Q$3</f>
        <v>-174379.27385806752</v>
      </c>
      <c r="AQ420">
        <f>R420*R$3</f>
        <v>99509.453441691949</v>
      </c>
      <c r="AR420" s="1">
        <f>S420*S$3</f>
        <v>8141.6167110884835</v>
      </c>
      <c r="AS420" s="1">
        <f t="shared" si="891"/>
        <v>-6840.6327603482887</v>
      </c>
      <c r="AT420" s="1">
        <f t="shared" si="891"/>
        <v>-40512.065448333589</v>
      </c>
      <c r="AU420" s="1">
        <f t="shared" si="891"/>
        <v>0</v>
      </c>
      <c r="AV420" s="1">
        <f t="shared" si="891"/>
        <v>0</v>
      </c>
      <c r="AW420" s="1">
        <f t="shared" si="891"/>
        <v>0</v>
      </c>
      <c r="AX420" s="1">
        <f t="shared" si="856"/>
        <v>-1687265.6183776495</v>
      </c>
      <c r="AY420" s="1">
        <f t="shared" si="857"/>
        <v>-131063.11837764969</v>
      </c>
      <c r="AZ420" s="1">
        <f t="shared" si="858"/>
        <v>-1556202.4999999998</v>
      </c>
    </row>
    <row r="421" spans="1:52" x14ac:dyDescent="0.25">
      <c r="A421" s="4">
        <v>45483</v>
      </c>
      <c r="B421">
        <f t="shared" ref="B421:N421" si="923">(B971-B970)*100</f>
        <v>-0.99999999999997868</v>
      </c>
      <c r="C421">
        <f t="shared" si="923"/>
        <v>0.99999999999997868</v>
      </c>
      <c r="D421">
        <f t="shared" si="923"/>
        <v>0</v>
      </c>
      <c r="E421">
        <f t="shared" si="923"/>
        <v>0</v>
      </c>
      <c r="F421">
        <f t="shared" si="923"/>
        <v>0.99999999999997868</v>
      </c>
      <c r="G421">
        <f t="shared" si="923"/>
        <v>0.99999999999997868</v>
      </c>
      <c r="H421">
        <f t="shared" si="923"/>
        <v>0</v>
      </c>
      <c r="I421">
        <f t="shared" si="923"/>
        <v>-0.99999999999997868</v>
      </c>
      <c r="J421">
        <f t="shared" si="923"/>
        <v>0</v>
      </c>
      <c r="K421">
        <f t="shared" si="923"/>
        <v>0.99999999999997868</v>
      </c>
      <c r="L421">
        <f t="shared" si="923"/>
        <v>1.9999999999999574</v>
      </c>
      <c r="M421">
        <f t="shared" si="923"/>
        <v>0.99999999999997868</v>
      </c>
      <c r="N421">
        <f t="shared" si="923"/>
        <v>2.0000000000000462</v>
      </c>
      <c r="O421" s="5">
        <f t="shared" si="911"/>
        <v>-7.7528353771894737E-3</v>
      </c>
      <c r="P421" s="5">
        <f t="shared" si="911"/>
        <v>-1.1635671286887949E-2</v>
      </c>
      <c r="Q421" s="5">
        <f t="shared" si="911"/>
        <v>-7.3311290790784092E-3</v>
      </c>
      <c r="R421" s="5">
        <f t="shared" si="911"/>
        <v>-5.2882074209628118E-4</v>
      </c>
      <c r="S421" s="5">
        <f t="shared" si="911"/>
        <v>-5.9627130286903684E-3</v>
      </c>
      <c r="T421" s="5">
        <f t="shared" ref="T421:X421" si="924">LN(T970/T971)</f>
        <v>1.4935765778124278E-3</v>
      </c>
      <c r="U421" s="5">
        <f t="shared" si="924"/>
        <v>2.1763136714243168E-3</v>
      </c>
      <c r="V421" s="5">
        <f t="shared" si="924"/>
        <v>2.9423776344954596E-3</v>
      </c>
      <c r="W421" s="5">
        <f t="shared" si="924"/>
        <v>2.5292205330770931E-4</v>
      </c>
      <c r="X421" s="5">
        <f t="shared" si="924"/>
        <v>-4.5672735001656823E-4</v>
      </c>
      <c r="Z421" s="4">
        <v>45483</v>
      </c>
      <c r="AA421">
        <f>B421*B$3</f>
        <v>982.99999999997908</v>
      </c>
      <c r="AB421">
        <f>C421*C$3</f>
        <v>-2583.999999999945</v>
      </c>
      <c r="AC421">
        <f>D421*D$3</f>
        <v>0</v>
      </c>
      <c r="AD421">
        <f>E421*E$3</f>
        <v>0</v>
      </c>
      <c r="AE421">
        <f>F421*F$3</f>
        <v>-12427.999999999734</v>
      </c>
      <c r="AF421">
        <f>G421*G$3</f>
        <v>-15627.999999999667</v>
      </c>
      <c r="AG421">
        <f>H421*H$3</f>
        <v>0</v>
      </c>
      <c r="AH421">
        <f>I421*I$3</f>
        <v>18455.999999999607</v>
      </c>
      <c r="AI421">
        <f>J421*J$3</f>
        <v>0</v>
      </c>
      <c r="AJ421">
        <f>K421*K$3</f>
        <v>-78394.999999998327</v>
      </c>
      <c r="AK421">
        <f>L421*L$3</f>
        <v>62007.999999998676</v>
      </c>
      <c r="AL421">
        <f>M421*M$3</f>
        <v>32072.999999999316</v>
      </c>
      <c r="AM421">
        <f>N421*N$3</f>
        <v>0</v>
      </c>
      <c r="AN421">
        <f>O421*O$3</f>
        <v>0</v>
      </c>
      <c r="AO421">
        <f>P421*P$3</f>
        <v>58178.356434439745</v>
      </c>
      <c r="AP421">
        <f>Q421*Q$3</f>
        <v>-87973.548948940908</v>
      </c>
      <c r="AQ421">
        <f>R421*R$3</f>
        <v>7932.3111314442176</v>
      </c>
      <c r="AR421" s="1">
        <f>S421*S$3</f>
        <v>41738.991200832577</v>
      </c>
      <c r="AS421" s="1">
        <f t="shared" ref="AS421:AW436" si="925">T421*T$3</f>
        <v>5974.3063112497111</v>
      </c>
      <c r="AT421" s="1">
        <f t="shared" si="925"/>
        <v>17410.509371394535</v>
      </c>
      <c r="AU421" s="1">
        <f t="shared" si="925"/>
        <v>0</v>
      </c>
      <c r="AV421" s="1">
        <f t="shared" si="925"/>
        <v>0</v>
      </c>
      <c r="AW421" s="1">
        <f t="shared" si="925"/>
        <v>0</v>
      </c>
      <c r="AX421" s="1">
        <f t="shared" si="856"/>
        <v>47745.925500419791</v>
      </c>
      <c r="AY421" s="1">
        <f t="shared" si="857"/>
        <v>43260.925500419879</v>
      </c>
      <c r="AZ421" s="1">
        <f t="shared" si="858"/>
        <v>4484.9999999999127</v>
      </c>
    </row>
    <row r="422" spans="1:52" x14ac:dyDescent="0.25">
      <c r="A422" s="4">
        <v>45482</v>
      </c>
      <c r="B422">
        <f t="shared" ref="B422:N422" si="926">(B972-B971)*100</f>
        <v>3.0000000000000249</v>
      </c>
      <c r="C422">
        <f t="shared" si="926"/>
        <v>2.0000000000000462</v>
      </c>
      <c r="D422">
        <f t="shared" si="926"/>
        <v>0</v>
      </c>
      <c r="E422">
        <f t="shared" si="926"/>
        <v>0</v>
      </c>
      <c r="F422">
        <f t="shared" si="926"/>
        <v>-0.99999999999997868</v>
      </c>
      <c r="G422">
        <f t="shared" si="926"/>
        <v>-2.9999999999999361</v>
      </c>
      <c r="H422">
        <f t="shared" si="926"/>
        <v>0</v>
      </c>
      <c r="I422">
        <f t="shared" si="926"/>
        <v>3.0000000000000249</v>
      </c>
      <c r="J422">
        <f t="shared" si="926"/>
        <v>-0.99999999999997868</v>
      </c>
      <c r="K422">
        <f t="shared" si="926"/>
        <v>-1.9999999999999574</v>
      </c>
      <c r="L422">
        <f t="shared" si="926"/>
        <v>-1.9999999999999574</v>
      </c>
      <c r="M422">
        <f t="shared" si="926"/>
        <v>-1.9999999999999574</v>
      </c>
      <c r="N422">
        <f t="shared" si="926"/>
        <v>-3.0000000000000249</v>
      </c>
      <c r="O422" s="5">
        <f t="shared" si="911"/>
        <v>-6.1044542962102469E-3</v>
      </c>
      <c r="P422" s="5">
        <f t="shared" si="911"/>
        <v>-8.8190204089334864E-3</v>
      </c>
      <c r="Q422" s="5">
        <f t="shared" si="911"/>
        <v>6.0448311881176201E-3</v>
      </c>
      <c r="R422" s="5">
        <f t="shared" si="911"/>
        <v>-1.0568032687656222E-3</v>
      </c>
      <c r="S422" s="5">
        <f t="shared" si="911"/>
        <v>-4.1834189527553984E-3</v>
      </c>
      <c r="T422" s="5">
        <f t="shared" ref="T422:X422" si="927">LN(T971/T972)</f>
        <v>-4.5477592281375367E-4</v>
      </c>
      <c r="U422" s="5">
        <f t="shared" si="927"/>
        <v>-7.0840456127349224E-4</v>
      </c>
      <c r="V422" s="5">
        <f t="shared" si="927"/>
        <v>1.3623488876781016E-3</v>
      </c>
      <c r="W422" s="5">
        <f t="shared" si="927"/>
        <v>5.0247176332716742E-4</v>
      </c>
      <c r="X422" s="5">
        <f t="shared" si="927"/>
        <v>2.8777817136774395E-3</v>
      </c>
      <c r="Z422" s="4">
        <v>45482</v>
      </c>
      <c r="AA422">
        <f>B422*B$3</f>
        <v>-2949.0000000000246</v>
      </c>
      <c r="AB422">
        <f>C422*C$3</f>
        <v>-5168.0000000001191</v>
      </c>
      <c r="AC422">
        <f>D422*D$3</f>
        <v>0</v>
      </c>
      <c r="AD422">
        <f>E422*E$3</f>
        <v>0</v>
      </c>
      <c r="AE422">
        <f>F422*F$3</f>
        <v>12427.999999999734</v>
      </c>
      <c r="AF422">
        <f>G422*G$3</f>
        <v>46883.999999999003</v>
      </c>
      <c r="AG422">
        <f>H422*H$3</f>
        <v>0</v>
      </c>
      <c r="AH422">
        <f>I422*I$3</f>
        <v>-55368.000000000458</v>
      </c>
      <c r="AI422">
        <f>J422*J$3</f>
        <v>51051.499999998909</v>
      </c>
      <c r="AJ422">
        <f>K422*K$3</f>
        <v>156789.99999999665</v>
      </c>
      <c r="AK422">
        <f>L422*L$3</f>
        <v>-62007.999999998676</v>
      </c>
      <c r="AL422">
        <f>M422*M$3</f>
        <v>-64145.999999998632</v>
      </c>
      <c r="AM422">
        <f>N422*N$3</f>
        <v>0</v>
      </c>
      <c r="AN422">
        <f>O422*O$3</f>
        <v>0</v>
      </c>
      <c r="AO422">
        <f>P422*P$3</f>
        <v>44095.10204466743</v>
      </c>
      <c r="AP422">
        <f>Q422*Q$3</f>
        <v>72537.974257411435</v>
      </c>
      <c r="AQ422">
        <f>R422*R$3</f>
        <v>15852.049031484334</v>
      </c>
      <c r="AR422" s="1">
        <f>S422*S$3</f>
        <v>29283.932669287788</v>
      </c>
      <c r="AS422" s="1">
        <f t="shared" si="925"/>
        <v>-1819.1036912550146</v>
      </c>
      <c r="AT422" s="1">
        <f t="shared" si="925"/>
        <v>-5667.2364901879382</v>
      </c>
      <c r="AU422" s="1">
        <f t="shared" si="925"/>
        <v>0</v>
      </c>
      <c r="AV422" s="1">
        <f t="shared" si="925"/>
        <v>0</v>
      </c>
      <c r="AW422" s="1">
        <f t="shared" si="925"/>
        <v>0</v>
      </c>
      <c r="AX422" s="1">
        <f t="shared" si="856"/>
        <v>231797.21782140448</v>
      </c>
      <c r="AY422" s="1">
        <f t="shared" si="857"/>
        <v>154282.71782140803</v>
      </c>
      <c r="AZ422" s="1">
        <f t="shared" si="858"/>
        <v>77514.499999996449</v>
      </c>
    </row>
    <row r="423" spans="1:52" x14ac:dyDescent="0.25">
      <c r="A423" s="4">
        <v>45481</v>
      </c>
      <c r="B423">
        <f t="shared" ref="B423:N423" si="928">(B973-B972)*100</f>
        <v>0</v>
      </c>
      <c r="C423">
        <f t="shared" si="928"/>
        <v>0</v>
      </c>
      <c r="D423">
        <f t="shared" si="928"/>
        <v>0</v>
      </c>
      <c r="E423">
        <f t="shared" si="928"/>
        <v>0</v>
      </c>
      <c r="F423">
        <f t="shared" si="928"/>
        <v>0.99999999999997868</v>
      </c>
      <c r="G423">
        <f t="shared" si="928"/>
        <v>-0.99999999999997868</v>
      </c>
      <c r="H423">
        <f t="shared" si="928"/>
        <v>-2.0000000000000462</v>
      </c>
      <c r="I423">
        <f t="shared" si="928"/>
        <v>-1.0000000000000675</v>
      </c>
      <c r="J423">
        <f t="shared" si="928"/>
        <v>-1.0000000000000675</v>
      </c>
      <c r="K423">
        <f t="shared" si="928"/>
        <v>0</v>
      </c>
      <c r="L423">
        <f t="shared" si="928"/>
        <v>0</v>
      </c>
      <c r="M423">
        <f t="shared" si="928"/>
        <v>0</v>
      </c>
      <c r="N423">
        <f t="shared" si="928"/>
        <v>0.99999999999997868</v>
      </c>
      <c r="O423" s="5">
        <f t="shared" si="911"/>
        <v>-4.5585579104680911E-3</v>
      </c>
      <c r="P423" s="5">
        <f t="shared" si="911"/>
        <v>-8.1200295660437492E-3</v>
      </c>
      <c r="Q423" s="5">
        <f t="shared" si="911"/>
        <v>-3.2512354447104021E-3</v>
      </c>
      <c r="R423" s="5">
        <f t="shared" si="911"/>
        <v>-7.9187017467718295E-4</v>
      </c>
      <c r="S423" s="5">
        <f t="shared" si="911"/>
        <v>-5.2338143269810176E-3</v>
      </c>
      <c r="T423" s="5">
        <f t="shared" ref="T423:X423" si="929">LN(T972/T973)</f>
        <v>-1.4172852076069779E-3</v>
      </c>
      <c r="U423" s="5">
        <f t="shared" si="929"/>
        <v>-3.971151474641727E-3</v>
      </c>
      <c r="V423" s="5">
        <f t="shared" si="929"/>
        <v>-4.4721202485932011E-3</v>
      </c>
      <c r="W423" s="5">
        <f t="shared" si="929"/>
        <v>-3.1927681487010934E-3</v>
      </c>
      <c r="X423" s="5">
        <f t="shared" si="929"/>
        <v>-5.5918589314190607E-3</v>
      </c>
      <c r="Z423" s="4">
        <v>45481</v>
      </c>
      <c r="AA423">
        <f>B423*B$3</f>
        <v>0</v>
      </c>
      <c r="AB423">
        <f>C423*C$3</f>
        <v>0</v>
      </c>
      <c r="AC423">
        <f>D423*D$3</f>
        <v>0</v>
      </c>
      <c r="AD423">
        <f>E423*E$3</f>
        <v>0</v>
      </c>
      <c r="AE423">
        <f>F423*F$3</f>
        <v>-12427.999999999734</v>
      </c>
      <c r="AF423">
        <f>G423*G$3</f>
        <v>15627.999999999667</v>
      </c>
      <c r="AG423">
        <f>H423*H$3</f>
        <v>56432.000000001302</v>
      </c>
      <c r="AH423">
        <f>I423*I$3</f>
        <v>18456.000000001244</v>
      </c>
      <c r="AI423">
        <f>J423*J$3</f>
        <v>51051.500000003449</v>
      </c>
      <c r="AJ423">
        <f>K423*K$3</f>
        <v>0</v>
      </c>
      <c r="AK423">
        <f>L423*L$3</f>
        <v>0</v>
      </c>
      <c r="AL423">
        <f>M423*M$3</f>
        <v>0</v>
      </c>
      <c r="AM423">
        <f>N423*N$3</f>
        <v>0</v>
      </c>
      <c r="AN423">
        <f>O423*O$3</f>
        <v>0</v>
      </c>
      <c r="AO423">
        <f>P423*P$3</f>
        <v>40600.147830218746</v>
      </c>
      <c r="AP423">
        <f>Q423*Q$3</f>
        <v>-39014.825336524824</v>
      </c>
      <c r="AQ423">
        <f>R423*R$3</f>
        <v>11878.052620157745</v>
      </c>
      <c r="AR423" s="1">
        <f>S423*S$3</f>
        <v>36636.700288867127</v>
      </c>
      <c r="AS423" s="1">
        <f t="shared" si="925"/>
        <v>-5669.1408304279121</v>
      </c>
      <c r="AT423" s="1">
        <f t="shared" si="925"/>
        <v>-31769.211797133816</v>
      </c>
      <c r="AU423" s="1">
        <f t="shared" si="925"/>
        <v>0</v>
      </c>
      <c r="AV423" s="1">
        <f t="shared" si="925"/>
        <v>0</v>
      </c>
      <c r="AW423" s="1">
        <f t="shared" si="925"/>
        <v>0</v>
      </c>
      <c r="AX423" s="1">
        <f t="shared" si="856"/>
        <v>141801.22277516295</v>
      </c>
      <c r="AY423" s="1">
        <f t="shared" si="857"/>
        <v>12661.722775157068</v>
      </c>
      <c r="AZ423" s="1">
        <f t="shared" si="858"/>
        <v>129139.50000000588</v>
      </c>
    </row>
    <row r="424" spans="1:52" x14ac:dyDescent="0.25">
      <c r="A424" s="4">
        <v>45478</v>
      </c>
      <c r="B424">
        <f t="shared" ref="B424:N424" si="930">(B974-B973)*100</f>
        <v>0.99999999999997868</v>
      </c>
      <c r="C424">
        <f t="shared" si="930"/>
        <v>0.99999999999997868</v>
      </c>
      <c r="D424">
        <f t="shared" si="930"/>
        <v>0.99999999999997868</v>
      </c>
      <c r="E424">
        <f t="shared" si="930"/>
        <v>0.99999999999997868</v>
      </c>
      <c r="F424">
        <f t="shared" si="930"/>
        <v>2.0000000000000462</v>
      </c>
      <c r="G424">
        <f t="shared" si="930"/>
        <v>5.9999999999999609</v>
      </c>
      <c r="H424">
        <f t="shared" si="930"/>
        <v>11.000000000000032</v>
      </c>
      <c r="I424">
        <f t="shared" si="930"/>
        <v>9.0000000000000746</v>
      </c>
      <c r="J424">
        <f t="shared" si="930"/>
        <v>11.000000000000032</v>
      </c>
      <c r="K424">
        <f t="shared" si="930"/>
        <v>9.9999999999999645</v>
      </c>
      <c r="L424">
        <f t="shared" si="930"/>
        <v>8.0000000000000071</v>
      </c>
      <c r="M424">
        <f t="shared" si="930"/>
        <v>6.9999999999999396</v>
      </c>
      <c r="N424">
        <f t="shared" si="930"/>
        <v>6.0000000000000497</v>
      </c>
      <c r="O424" s="5">
        <f t="shared" si="911"/>
        <v>-1.6115555356592318E-2</v>
      </c>
      <c r="P424" s="5">
        <f t="shared" si="911"/>
        <v>-5.2470221216922722E-3</v>
      </c>
      <c r="Q424" s="5">
        <f t="shared" si="911"/>
        <v>-1.1085622726332647E-2</v>
      </c>
      <c r="R424" s="5">
        <f t="shared" si="911"/>
        <v>-2.6350476380050023E-3</v>
      </c>
      <c r="S424" s="5">
        <f t="shared" si="911"/>
        <v>-5.6575521319080233E-3</v>
      </c>
      <c r="T424" s="5">
        <f t="shared" ref="T424:X424" si="931">LN(T973/T974)</f>
        <v>-5.7777039788093161E-3</v>
      </c>
      <c r="U424" s="5">
        <f t="shared" si="931"/>
        <v>-5.1400525886414828E-3</v>
      </c>
      <c r="V424" s="5">
        <f t="shared" si="931"/>
        <v>-9.0438703794092665E-4</v>
      </c>
      <c r="W424" s="5">
        <f t="shared" si="931"/>
        <v>-8.4799293608816186E-3</v>
      </c>
      <c r="X424" s="5">
        <f t="shared" si="931"/>
        <v>-3.8138375301549959E-3</v>
      </c>
      <c r="Z424" s="4">
        <v>45478</v>
      </c>
      <c r="AA424">
        <f>B424*B$3</f>
        <v>-982.99999999997908</v>
      </c>
      <c r="AB424">
        <f>C424*C$3</f>
        <v>-2583.999999999945</v>
      </c>
      <c r="AC424">
        <f>D424*D$3</f>
        <v>16142.999999999656</v>
      </c>
      <c r="AD424">
        <f>E424*E$3</f>
        <v>2427.9999999999482</v>
      </c>
      <c r="AE424">
        <f>F424*F$3</f>
        <v>-24856.000000000575</v>
      </c>
      <c r="AF424">
        <f>G424*G$3</f>
        <v>-93767.999999999389</v>
      </c>
      <c r="AG424">
        <f>H424*H$3</f>
        <v>-310376.00000000087</v>
      </c>
      <c r="AH424">
        <f>I424*I$3</f>
        <v>-166104.00000000137</v>
      </c>
      <c r="AI424">
        <f>J424*J$3</f>
        <v>-561566.50000000163</v>
      </c>
      <c r="AJ424">
        <f>K424*K$3</f>
        <v>-783949.99999999721</v>
      </c>
      <c r="AK424">
        <f>L424*L$3</f>
        <v>248032.00000000023</v>
      </c>
      <c r="AL424">
        <f>M424*M$3</f>
        <v>224510.99999999805</v>
      </c>
      <c r="AM424">
        <f>N424*N$3</f>
        <v>0</v>
      </c>
      <c r="AN424">
        <f>O424*O$3</f>
        <v>0</v>
      </c>
      <c r="AO424">
        <f>P424*P$3</f>
        <v>26235.11060846136</v>
      </c>
      <c r="AP424">
        <f>Q424*Q$3</f>
        <v>-133027.47271599175</v>
      </c>
      <c r="AQ424">
        <f>R424*R$3</f>
        <v>39525.714570075033</v>
      </c>
      <c r="AR424" s="1">
        <f>S424*S$3</f>
        <v>39602.864923356166</v>
      </c>
      <c r="AS424" s="1">
        <f t="shared" si="925"/>
        <v>-23110.815915237265</v>
      </c>
      <c r="AT424" s="1">
        <f t="shared" si="925"/>
        <v>-41120.42070913186</v>
      </c>
      <c r="AU424" s="1">
        <f t="shared" si="925"/>
        <v>0</v>
      </c>
      <c r="AV424" s="1">
        <f t="shared" si="925"/>
        <v>0</v>
      </c>
      <c r="AW424" s="1">
        <f t="shared" si="925"/>
        <v>0</v>
      </c>
      <c r="AX424" s="1">
        <f t="shared" si="856"/>
        <v>-1544968.5192384713</v>
      </c>
      <c r="AY424" s="1">
        <f t="shared" si="857"/>
        <v>-91895.019238468318</v>
      </c>
      <c r="AZ424" s="1">
        <f t="shared" si="858"/>
        <v>-1453073.500000003</v>
      </c>
    </row>
    <row r="425" spans="1:52" x14ac:dyDescent="0.25">
      <c r="A425" s="4">
        <v>45476</v>
      </c>
      <c r="B425">
        <f t="shared" ref="B425:N425" si="932">(B975-B974)*100</f>
        <v>-0.99999999999997868</v>
      </c>
      <c r="C425">
        <f t="shared" si="932"/>
        <v>-7.0000000000000284</v>
      </c>
      <c r="D425">
        <f t="shared" si="932"/>
        <v>0</v>
      </c>
      <c r="E425">
        <f t="shared" si="932"/>
        <v>-2.9999999999999361</v>
      </c>
      <c r="F425">
        <f t="shared" si="932"/>
        <v>0</v>
      </c>
      <c r="G425">
        <f t="shared" si="932"/>
        <v>3.0000000000000249</v>
      </c>
      <c r="H425">
        <f t="shared" si="932"/>
        <v>3.0000000000000249</v>
      </c>
      <c r="I425">
        <f t="shared" si="932"/>
        <v>5.9999999999999609</v>
      </c>
      <c r="J425">
        <f t="shared" si="932"/>
        <v>5.9999999999999609</v>
      </c>
      <c r="K425">
        <f t="shared" si="932"/>
        <v>7.0000000000000284</v>
      </c>
      <c r="L425">
        <f t="shared" si="932"/>
        <v>6.9999999999999396</v>
      </c>
      <c r="M425">
        <f t="shared" si="932"/>
        <v>7.0000000000000284</v>
      </c>
      <c r="N425">
        <f t="shared" si="932"/>
        <v>6.9999999999999396</v>
      </c>
      <c r="O425" s="5">
        <f t="shared" ref="O425:S434" si="933">LN(O974/O975)</f>
        <v>-1.446699125684715E-2</v>
      </c>
      <c r="P425" s="5">
        <f t="shared" si="933"/>
        <v>-6.1934741667576416E-3</v>
      </c>
      <c r="Q425" s="5">
        <f t="shared" si="933"/>
        <v>3.2788995360766085E-3</v>
      </c>
      <c r="R425" s="5">
        <f t="shared" si="933"/>
        <v>-3.4152141430867228E-3</v>
      </c>
      <c r="S425" s="5">
        <f t="shared" si="933"/>
        <v>-4.5698878908524412E-3</v>
      </c>
      <c r="T425" s="5">
        <f t="shared" ref="T425:X425" si="934">LN(T974/T975)</f>
        <v>-1.0528561802207123E-3</v>
      </c>
      <c r="U425" s="5">
        <f t="shared" si="934"/>
        <v>-3.521783318350158E-3</v>
      </c>
      <c r="V425" s="5">
        <f t="shared" si="934"/>
        <v>-4.9505942047368208E-5</v>
      </c>
      <c r="W425" s="5">
        <f t="shared" si="934"/>
        <v>-2.056361031307785E-3</v>
      </c>
      <c r="X425" s="5">
        <f t="shared" si="934"/>
        <v>5.8666134908840839E-4</v>
      </c>
      <c r="Z425" s="4">
        <v>45476</v>
      </c>
      <c r="AA425">
        <f>B425*B$3</f>
        <v>982.99999999997908</v>
      </c>
      <c r="AB425">
        <f>C425*C$3</f>
        <v>18088.000000000073</v>
      </c>
      <c r="AC425">
        <f>D425*D$3</f>
        <v>0</v>
      </c>
      <c r="AD425">
        <f>E425*E$3</f>
        <v>-7283.9999999998445</v>
      </c>
      <c r="AE425">
        <f>F425*F$3</f>
        <v>0</v>
      </c>
      <c r="AF425">
        <f>G425*G$3</f>
        <v>-46884.000000000386</v>
      </c>
      <c r="AG425">
        <f>H425*H$3</f>
        <v>-84648.000000000698</v>
      </c>
      <c r="AH425">
        <f>I425*I$3</f>
        <v>-110735.99999999927</v>
      </c>
      <c r="AI425">
        <f>J425*J$3</f>
        <v>-306308.99999999802</v>
      </c>
      <c r="AJ425">
        <f>K425*K$3</f>
        <v>-548765.00000000221</v>
      </c>
      <c r="AK425">
        <f>L425*L$3</f>
        <v>217027.99999999814</v>
      </c>
      <c r="AL425">
        <f>M425*M$3</f>
        <v>224511.0000000009</v>
      </c>
      <c r="AM425">
        <f>N425*N$3</f>
        <v>0</v>
      </c>
      <c r="AN425">
        <f>O425*O$3</f>
        <v>0</v>
      </c>
      <c r="AO425">
        <f>P425*P$3</f>
        <v>30967.370833788209</v>
      </c>
      <c r="AP425">
        <f>Q425*Q$3</f>
        <v>39346.794432919305</v>
      </c>
      <c r="AQ425">
        <f>R425*R$3</f>
        <v>51228.212146300844</v>
      </c>
      <c r="AR425" s="1">
        <f>S425*S$3</f>
        <v>31989.215235967087</v>
      </c>
      <c r="AS425" s="1">
        <f t="shared" si="925"/>
        <v>-4211.4247208828492</v>
      </c>
      <c r="AT425" s="1">
        <f t="shared" si="925"/>
        <v>-28174.266546801264</v>
      </c>
      <c r="AU425" s="1">
        <f t="shared" si="925"/>
        <v>0</v>
      </c>
      <c r="AV425" s="1">
        <f t="shared" si="925"/>
        <v>0</v>
      </c>
      <c r="AW425" s="1">
        <f t="shared" si="925"/>
        <v>0</v>
      </c>
      <c r="AX425" s="1">
        <f t="shared" si="856"/>
        <v>-522870.09861871006</v>
      </c>
      <c r="AY425" s="1">
        <f t="shared" si="857"/>
        <v>121145.90138129133</v>
      </c>
      <c r="AZ425" s="1">
        <f t="shared" si="858"/>
        <v>-644016.0000000014</v>
      </c>
    </row>
    <row r="426" spans="1:52" x14ac:dyDescent="0.25">
      <c r="A426" s="4">
        <v>45475</v>
      </c>
      <c r="B426">
        <f t="shared" ref="B426:N426" si="935">(B976-B975)*100</f>
        <v>0</v>
      </c>
      <c r="C426">
        <f t="shared" si="935"/>
        <v>1.0000000000000675</v>
      </c>
      <c r="D426">
        <f t="shared" si="935"/>
        <v>0</v>
      </c>
      <c r="E426">
        <f t="shared" si="935"/>
        <v>0.99999999999997868</v>
      </c>
      <c r="F426">
        <f t="shared" si="935"/>
        <v>0.99999999999997868</v>
      </c>
      <c r="G426">
        <f t="shared" si="935"/>
        <v>2.9999999999999361</v>
      </c>
      <c r="H426">
        <f t="shared" si="935"/>
        <v>2.9999999999999361</v>
      </c>
      <c r="I426">
        <f t="shared" si="935"/>
        <v>4.0000000000000036</v>
      </c>
      <c r="J426">
        <f t="shared" si="935"/>
        <v>5.0000000000000711</v>
      </c>
      <c r="K426">
        <f t="shared" si="935"/>
        <v>4.9999999999999822</v>
      </c>
      <c r="L426">
        <f t="shared" si="935"/>
        <v>5.0000000000000711</v>
      </c>
      <c r="M426">
        <f t="shared" si="935"/>
        <v>4.9999999999999822</v>
      </c>
      <c r="N426">
        <f t="shared" si="935"/>
        <v>4.0000000000000036</v>
      </c>
      <c r="O426" s="5">
        <f t="shared" si="933"/>
        <v>1.3930078492270978E-2</v>
      </c>
      <c r="P426" s="5">
        <f t="shared" si="933"/>
        <v>-1.5726126751591184E-3</v>
      </c>
      <c r="Q426" s="5">
        <f t="shared" si="933"/>
        <v>-4.7663685940733963E-4</v>
      </c>
      <c r="R426" s="5">
        <f t="shared" si="933"/>
        <v>-6.0138761457650628E-3</v>
      </c>
      <c r="S426" s="5">
        <f t="shared" si="933"/>
        <v>-5.148276493123825E-3</v>
      </c>
      <c r="T426" s="5">
        <f t="shared" ref="T426:X426" si="936">LN(T975/T976)</f>
        <v>-1.7177131184880603E-4</v>
      </c>
      <c r="U426" s="5">
        <f t="shared" si="936"/>
        <v>2.2772634291750674E-4</v>
      </c>
      <c r="V426" s="5">
        <f t="shared" si="936"/>
        <v>3.7528585742194935E-3</v>
      </c>
      <c r="W426" s="5">
        <f t="shared" si="936"/>
        <v>2.912214474319151E-3</v>
      </c>
      <c r="X426" s="5">
        <f t="shared" si="936"/>
        <v>3.2827270669330767E-3</v>
      </c>
      <c r="Z426" s="4">
        <v>45475</v>
      </c>
      <c r="AA426">
        <f>B426*B$3</f>
        <v>0</v>
      </c>
      <c r="AB426">
        <f>C426*C$3</f>
        <v>-2584.0000000001746</v>
      </c>
      <c r="AC426">
        <f>D426*D$3</f>
        <v>0</v>
      </c>
      <c r="AD426">
        <f>E426*E$3</f>
        <v>2427.9999999999482</v>
      </c>
      <c r="AE426">
        <f>F426*F$3</f>
        <v>-12427.999999999734</v>
      </c>
      <c r="AF426">
        <f>G426*G$3</f>
        <v>-46883.999999999003</v>
      </c>
      <c r="AG426">
        <f>H426*H$3</f>
        <v>-84647.999999998196</v>
      </c>
      <c r="AH426">
        <f>I426*I$3</f>
        <v>-73824.000000000073</v>
      </c>
      <c r="AI426">
        <f>J426*J$3</f>
        <v>-255257.50000000364</v>
      </c>
      <c r="AJ426">
        <f>K426*K$3</f>
        <v>-391974.9999999986</v>
      </c>
      <c r="AK426">
        <f>L426*L$3</f>
        <v>155020.00000000221</v>
      </c>
      <c r="AL426">
        <f>M426*M$3</f>
        <v>160364.99999999942</v>
      </c>
      <c r="AM426">
        <f>N426*N$3</f>
        <v>0</v>
      </c>
      <c r="AN426">
        <f>O426*O$3</f>
        <v>0</v>
      </c>
      <c r="AO426">
        <f>P426*P$3</f>
        <v>7863.063375795592</v>
      </c>
      <c r="AP426">
        <f>Q426*Q$3</f>
        <v>-5719.6423128880751</v>
      </c>
      <c r="AQ426">
        <f>R426*R$3</f>
        <v>90208.142186475947</v>
      </c>
      <c r="AR426" s="1">
        <f>S426*S$3</f>
        <v>36037.935451866775</v>
      </c>
      <c r="AS426" s="1">
        <f t="shared" si="925"/>
        <v>-687.08524739522409</v>
      </c>
      <c r="AT426" s="1">
        <f t="shared" si="925"/>
        <v>1821.8107433400539</v>
      </c>
      <c r="AU426" s="1">
        <f t="shared" si="925"/>
        <v>0</v>
      </c>
      <c r="AV426" s="1">
        <f t="shared" si="925"/>
        <v>0</v>
      </c>
      <c r="AW426" s="1">
        <f t="shared" si="925"/>
        <v>0</v>
      </c>
      <c r="AX426" s="1">
        <f t="shared" si="856"/>
        <v>-420263.2758028027</v>
      </c>
      <c r="AY426" s="1">
        <f t="shared" si="857"/>
        <v>129524.22419719507</v>
      </c>
      <c r="AZ426" s="1">
        <f t="shared" si="858"/>
        <v>-549787.49999999779</v>
      </c>
    </row>
    <row r="427" spans="1:52" x14ac:dyDescent="0.25">
      <c r="A427" s="4">
        <v>45474</v>
      </c>
      <c r="B427">
        <f t="shared" ref="B427:N427" si="937">(B977-B976)*100</f>
        <v>-1.0000000000000675</v>
      </c>
      <c r="C427">
        <f t="shared" si="937"/>
        <v>-1.0000000000000675</v>
      </c>
      <c r="D427">
        <f t="shared" si="937"/>
        <v>1.0000000000000675</v>
      </c>
      <c r="E427">
        <f t="shared" si="937"/>
        <v>0</v>
      </c>
      <c r="F427">
        <f t="shared" si="937"/>
        <v>-4.0000000000000036</v>
      </c>
      <c r="G427">
        <f t="shared" si="937"/>
        <v>-0.99999999999997868</v>
      </c>
      <c r="H427">
        <f t="shared" si="937"/>
        <v>-5.9999999999999609</v>
      </c>
      <c r="I427">
        <f t="shared" si="937"/>
        <v>-6.0000000000000497</v>
      </c>
      <c r="J427">
        <f t="shared" si="937"/>
        <v>-11.000000000000032</v>
      </c>
      <c r="K427">
        <f t="shared" si="937"/>
        <v>-12.000000000000011</v>
      </c>
      <c r="L427">
        <f t="shared" si="937"/>
        <v>-12.000000000000011</v>
      </c>
      <c r="M427">
        <f t="shared" si="937"/>
        <v>-14.999999999999947</v>
      </c>
      <c r="N427">
        <f t="shared" si="937"/>
        <v>-12.999999999999989</v>
      </c>
      <c r="O427" s="5">
        <f t="shared" si="933"/>
        <v>5.4541022928014989E-3</v>
      </c>
      <c r="P427" s="5">
        <f t="shared" si="933"/>
        <v>0</v>
      </c>
      <c r="Q427" s="5">
        <f t="shared" si="933"/>
        <v>-7.0488220269045339E-3</v>
      </c>
      <c r="R427" s="5">
        <f t="shared" si="933"/>
        <v>-1.0422095784437539E-3</v>
      </c>
      <c r="S427" s="5">
        <f t="shared" si="933"/>
        <v>4.2455493754488026E-3</v>
      </c>
      <c r="T427" s="5">
        <f t="shared" ref="T427:X427" si="938">LN(T976/T977)</f>
        <v>-2.4981799769983673E-3</v>
      </c>
      <c r="U427" s="5">
        <f t="shared" si="938"/>
        <v>-2.2772634291756954E-4</v>
      </c>
      <c r="V427" s="5">
        <f t="shared" si="938"/>
        <v>1.3681925597596469E-3</v>
      </c>
      <c r="W427" s="5">
        <f t="shared" si="938"/>
        <v>-3.5135829820620132E-3</v>
      </c>
      <c r="X427" s="5">
        <f t="shared" si="938"/>
        <v>1.8680139256131774E-3</v>
      </c>
      <c r="Z427" s="4">
        <v>45474</v>
      </c>
      <c r="AA427">
        <f>B427*B$3</f>
        <v>983.00000000006639</v>
      </c>
      <c r="AB427">
        <f>C427*C$3</f>
        <v>2584.0000000001746</v>
      </c>
      <c r="AC427">
        <f>D427*D$3</f>
        <v>16143.00000000109</v>
      </c>
      <c r="AD427">
        <f>E427*E$3</f>
        <v>0</v>
      </c>
      <c r="AE427">
        <f>F427*F$3</f>
        <v>49712.000000000044</v>
      </c>
      <c r="AF427">
        <f>G427*G$3</f>
        <v>15627.999999999667</v>
      </c>
      <c r="AG427">
        <f>H427*H$3</f>
        <v>169295.99999999889</v>
      </c>
      <c r="AH427">
        <f>I427*I$3</f>
        <v>110736.00000000092</v>
      </c>
      <c r="AI427">
        <f>J427*J$3</f>
        <v>561566.50000000163</v>
      </c>
      <c r="AJ427">
        <f>K427*K$3</f>
        <v>940740.00000000081</v>
      </c>
      <c r="AK427">
        <f>L427*L$3</f>
        <v>-372048.00000000035</v>
      </c>
      <c r="AL427">
        <f>M427*M$3</f>
        <v>-481094.99999999831</v>
      </c>
      <c r="AM427">
        <f>N427*N$3</f>
        <v>0</v>
      </c>
      <c r="AN427">
        <f>O427*O$3</f>
        <v>0</v>
      </c>
      <c r="AO427">
        <f>P427*P$3</f>
        <v>0</v>
      </c>
      <c r="AP427">
        <f>Q427*Q$3</f>
        <v>-84585.86432285441</v>
      </c>
      <c r="AQ427">
        <f>R427*R$3</f>
        <v>15633.143676656309</v>
      </c>
      <c r="AR427" s="1">
        <f>S427*S$3</f>
        <v>-29718.845628141618</v>
      </c>
      <c r="AS427" s="1">
        <f t="shared" si="925"/>
        <v>-9992.719907993469</v>
      </c>
      <c r="AT427" s="1">
        <f t="shared" si="925"/>
        <v>-1821.8107433405562</v>
      </c>
      <c r="AU427" s="1">
        <f t="shared" si="925"/>
        <v>0</v>
      </c>
      <c r="AV427" s="1">
        <f t="shared" si="925"/>
        <v>0</v>
      </c>
      <c r="AW427" s="1">
        <f t="shared" si="925"/>
        <v>0</v>
      </c>
      <c r="AX427" s="1">
        <f t="shared" si="856"/>
        <v>903759.40307433065</v>
      </c>
      <c r="AY427" s="1">
        <f t="shared" si="857"/>
        <v>-110486.09692567373</v>
      </c>
      <c r="AZ427" s="1">
        <f t="shared" si="858"/>
        <v>1014245.5000000044</v>
      </c>
    </row>
    <row r="428" spans="1:52" x14ac:dyDescent="0.25">
      <c r="A428" s="4">
        <v>45471</v>
      </c>
      <c r="B428">
        <f t="shared" ref="B428:N428" si="939">(B978-B977)*100</f>
        <v>1.0000000000000675</v>
      </c>
      <c r="C428">
        <f t="shared" si="939"/>
        <v>-0.99999999999997868</v>
      </c>
      <c r="D428">
        <f t="shared" si="939"/>
        <v>0.99999999999997868</v>
      </c>
      <c r="E428">
        <f t="shared" si="939"/>
        <v>0</v>
      </c>
      <c r="F428">
        <f t="shared" si="939"/>
        <v>1.9999999999999574</v>
      </c>
      <c r="G428">
        <f t="shared" si="939"/>
        <v>0.99999999999997868</v>
      </c>
      <c r="H428">
        <f t="shared" si="939"/>
        <v>-0.99999999999997868</v>
      </c>
      <c r="I428">
        <f t="shared" si="939"/>
        <v>-2.9999999999999361</v>
      </c>
      <c r="J428">
        <f t="shared" si="939"/>
        <v>-4.0000000000000036</v>
      </c>
      <c r="K428">
        <f t="shared" si="939"/>
        <v>-6.0000000000000497</v>
      </c>
      <c r="L428">
        <f t="shared" si="939"/>
        <v>-7.0000000000000284</v>
      </c>
      <c r="M428">
        <f t="shared" si="939"/>
        <v>-8.0000000000000071</v>
      </c>
      <c r="N428">
        <f t="shared" si="939"/>
        <v>-8.0000000000000071</v>
      </c>
      <c r="O428" s="5">
        <f t="shared" si="933"/>
        <v>6.4975141055084252E-3</v>
      </c>
      <c r="P428" s="5">
        <f t="shared" si="933"/>
        <v>-7.3463327922158725E-3</v>
      </c>
      <c r="Q428" s="5">
        <f t="shared" si="933"/>
        <v>3.4126850058273949E-3</v>
      </c>
      <c r="R428" s="5">
        <f t="shared" si="933"/>
        <v>2.6075634070807695E-3</v>
      </c>
      <c r="S428" s="5">
        <f t="shared" si="933"/>
        <v>-6.6821341427001756E-3</v>
      </c>
      <c r="T428" s="5">
        <f t="shared" ref="T428:X428" si="940">LN(T977/T978)</f>
        <v>-2.6522078836918746E-3</v>
      </c>
      <c r="U428" s="5">
        <f t="shared" si="940"/>
        <v>-1.8950795798902105E-3</v>
      </c>
      <c r="V428" s="5">
        <f t="shared" si="940"/>
        <v>4.107850654126931E-4</v>
      </c>
      <c r="W428" s="5">
        <f t="shared" si="940"/>
        <v>-8.7492356276775882E-4</v>
      </c>
      <c r="X428" s="5">
        <f t="shared" si="940"/>
        <v>2.0275719180896799E-3</v>
      </c>
      <c r="Z428" s="4">
        <v>45471</v>
      </c>
      <c r="AA428">
        <f>B428*B$3</f>
        <v>-983.00000000006639</v>
      </c>
      <c r="AB428">
        <f>C428*C$3</f>
        <v>2583.999999999945</v>
      </c>
      <c r="AC428">
        <f>D428*D$3</f>
        <v>16142.999999999656</v>
      </c>
      <c r="AD428">
        <f>E428*E$3</f>
        <v>0</v>
      </c>
      <c r="AE428">
        <f>F428*F$3</f>
        <v>-24855.999999999469</v>
      </c>
      <c r="AF428">
        <f>G428*G$3</f>
        <v>-15627.999999999667</v>
      </c>
      <c r="AG428">
        <f>H428*H$3</f>
        <v>28215.9999999994</v>
      </c>
      <c r="AH428">
        <f>I428*I$3</f>
        <v>55367.999999998821</v>
      </c>
      <c r="AI428">
        <f>J428*J$3</f>
        <v>204206.00000000017</v>
      </c>
      <c r="AJ428">
        <f>K428*K$3</f>
        <v>470370.0000000039</v>
      </c>
      <c r="AK428">
        <f>L428*L$3</f>
        <v>-217028.00000000087</v>
      </c>
      <c r="AL428">
        <f>M428*M$3</f>
        <v>-256584.00000000023</v>
      </c>
      <c r="AM428">
        <f>N428*N$3</f>
        <v>0</v>
      </c>
      <c r="AN428">
        <f>O428*O$3</f>
        <v>0</v>
      </c>
      <c r="AO428">
        <f>P428*P$3</f>
        <v>36731.663961079365</v>
      </c>
      <c r="AP428">
        <f>Q428*Q$3</f>
        <v>40952.220069928742</v>
      </c>
      <c r="AQ428">
        <f>R428*R$3</f>
        <v>-39113.451106211542</v>
      </c>
      <c r="AR428" s="1">
        <f>S428*S$3</f>
        <v>46774.938998901227</v>
      </c>
      <c r="AS428" s="1">
        <f t="shared" si="925"/>
        <v>-10608.831534767498</v>
      </c>
      <c r="AT428" s="1">
        <f t="shared" si="925"/>
        <v>-15160.636639121683</v>
      </c>
      <c r="AU428" s="1">
        <f t="shared" si="925"/>
        <v>0</v>
      </c>
      <c r="AV428" s="1">
        <f t="shared" si="925"/>
        <v>0</v>
      </c>
      <c r="AW428" s="1">
        <f t="shared" si="925"/>
        <v>0</v>
      </c>
      <c r="AX428" s="1">
        <f t="shared" si="856"/>
        <v>321383.90374981018</v>
      </c>
      <c r="AY428" s="1">
        <f t="shared" si="857"/>
        <v>59575.903749808611</v>
      </c>
      <c r="AZ428" s="1">
        <f t="shared" si="858"/>
        <v>261808.00000000157</v>
      </c>
    </row>
    <row r="429" spans="1:52" x14ac:dyDescent="0.25">
      <c r="A429" s="4">
        <v>45470</v>
      </c>
      <c r="B429">
        <f t="shared" ref="B429:N429" si="941">(B979-B978)*100</f>
        <v>-4.0000000000000036</v>
      </c>
      <c r="C429">
        <f t="shared" si="941"/>
        <v>0</v>
      </c>
      <c r="D429">
        <f t="shared" si="941"/>
        <v>0.99999999999997868</v>
      </c>
      <c r="E429">
        <f t="shared" si="941"/>
        <v>0.99999999999997868</v>
      </c>
      <c r="F429">
        <f t="shared" si="941"/>
        <v>1.0000000000000675</v>
      </c>
      <c r="G429">
        <f t="shared" si="941"/>
        <v>3.0000000000000249</v>
      </c>
      <c r="H429">
        <f t="shared" si="941"/>
        <v>0.99999999999997868</v>
      </c>
      <c r="I429">
        <f t="shared" si="941"/>
        <v>4.0000000000000036</v>
      </c>
      <c r="J429">
        <f t="shared" si="941"/>
        <v>3.0000000000000249</v>
      </c>
      <c r="K429">
        <f t="shared" si="941"/>
        <v>5.0000000000000711</v>
      </c>
      <c r="L429">
        <f t="shared" si="941"/>
        <v>3.0000000000000249</v>
      </c>
      <c r="M429">
        <f t="shared" si="941"/>
        <v>1.9999999999999574</v>
      </c>
      <c r="N429">
        <f t="shared" si="941"/>
        <v>2.0000000000000462</v>
      </c>
      <c r="O429" s="5">
        <f t="shared" si="933"/>
        <v>2.3930395756528904E-3</v>
      </c>
      <c r="P429" s="5">
        <f t="shared" si="933"/>
        <v>7.225464961041944E-3</v>
      </c>
      <c r="Q429" s="5">
        <f t="shared" si="933"/>
        <v>5.7881003247124731E-3</v>
      </c>
      <c r="R429" s="5">
        <f t="shared" si="933"/>
        <v>1.306335914055457E-3</v>
      </c>
      <c r="S429" s="5">
        <f t="shared" si="933"/>
        <v>2.3930222223208309E-3</v>
      </c>
      <c r="T429" s="5">
        <f t="shared" ref="T429:X429" si="942">LN(T978/T979)</f>
        <v>2.7592942995266177E-3</v>
      </c>
      <c r="U429" s="5">
        <f t="shared" si="942"/>
        <v>4.9156778114878858E-3</v>
      </c>
      <c r="V429" s="5">
        <f t="shared" si="942"/>
        <v>5.8381502392546233E-3</v>
      </c>
      <c r="W429" s="5">
        <f t="shared" si="942"/>
        <v>2.6910388662201912E-6</v>
      </c>
      <c r="X429" s="5">
        <f t="shared" si="942"/>
        <v>1.6742126328276462E-3</v>
      </c>
      <c r="Z429" s="4">
        <v>45470</v>
      </c>
      <c r="AA429">
        <f>B429*B$3</f>
        <v>3932.0000000000036</v>
      </c>
      <c r="AB429">
        <f>C429*C$3</f>
        <v>0</v>
      </c>
      <c r="AC429">
        <f>D429*D$3</f>
        <v>16142.999999999656</v>
      </c>
      <c r="AD429">
        <f>E429*E$3</f>
        <v>2427.9999999999482</v>
      </c>
      <c r="AE429">
        <f>F429*F$3</f>
        <v>-12428.000000000839</v>
      </c>
      <c r="AF429">
        <f>G429*G$3</f>
        <v>-46884.000000000386</v>
      </c>
      <c r="AG429">
        <f>H429*H$3</f>
        <v>-28215.9999999994</v>
      </c>
      <c r="AH429">
        <f>I429*I$3</f>
        <v>-73824.000000000073</v>
      </c>
      <c r="AI429">
        <f>J429*J$3</f>
        <v>-153154.50000000128</v>
      </c>
      <c r="AJ429">
        <f>K429*K$3</f>
        <v>-391975.00000000559</v>
      </c>
      <c r="AK429">
        <f>L429*L$3</f>
        <v>93012.000000000771</v>
      </c>
      <c r="AL429">
        <f>M429*M$3</f>
        <v>64145.999999998632</v>
      </c>
      <c r="AM429">
        <f>N429*N$3</f>
        <v>0</v>
      </c>
      <c r="AN429">
        <f>O429*O$3</f>
        <v>0</v>
      </c>
      <c r="AO429">
        <f>P429*P$3</f>
        <v>-36127.324805209719</v>
      </c>
      <c r="AP429">
        <f>Q429*Q$3</f>
        <v>69457.203896549676</v>
      </c>
      <c r="AQ429">
        <f>R429*R$3</f>
        <v>-19595.038710831854</v>
      </c>
      <c r="AR429" s="1">
        <f>S429*S$3</f>
        <v>-16751.155556245816</v>
      </c>
      <c r="AS429" s="1">
        <f t="shared" si="925"/>
        <v>11037.17719810647</v>
      </c>
      <c r="AT429" s="1">
        <f t="shared" si="925"/>
        <v>39325.422491903089</v>
      </c>
      <c r="AU429" s="1">
        <f t="shared" si="925"/>
        <v>0</v>
      </c>
      <c r="AV429" s="1">
        <f t="shared" si="925"/>
        <v>0</v>
      </c>
      <c r="AW429" s="1">
        <f t="shared" si="925"/>
        <v>0</v>
      </c>
      <c r="AX429" s="1">
        <f t="shared" si="856"/>
        <v>-479474.21548573667</v>
      </c>
      <c r="AY429" s="1">
        <f t="shared" si="857"/>
        <v>47346.284514271843</v>
      </c>
      <c r="AZ429" s="1">
        <f t="shared" si="858"/>
        <v>-526820.5000000085</v>
      </c>
    </row>
    <row r="430" spans="1:52" x14ac:dyDescent="0.25">
      <c r="A430" s="4">
        <v>45469</v>
      </c>
      <c r="B430">
        <f t="shared" ref="B430:N430" si="943">(B980-B979)*100</f>
        <v>-1.0000000000000675</v>
      </c>
      <c r="C430">
        <f t="shared" si="943"/>
        <v>0</v>
      </c>
      <c r="D430">
        <f t="shared" si="943"/>
        <v>-0.99999999999997868</v>
      </c>
      <c r="E430">
        <f t="shared" si="943"/>
        <v>-1.9999999999999574</v>
      </c>
      <c r="F430">
        <f t="shared" si="943"/>
        <v>0.99999999999997868</v>
      </c>
      <c r="G430">
        <f t="shared" si="943"/>
        <v>-3.0000000000000249</v>
      </c>
      <c r="H430">
        <f t="shared" si="943"/>
        <v>-5.9999999999999609</v>
      </c>
      <c r="I430">
        <f t="shared" si="943"/>
        <v>-8.0000000000000071</v>
      </c>
      <c r="J430">
        <f t="shared" si="943"/>
        <v>-7.0000000000000284</v>
      </c>
      <c r="K430">
        <f t="shared" si="943"/>
        <v>-8.9999999999999858</v>
      </c>
      <c r="L430">
        <f t="shared" si="943"/>
        <v>-8.9999999999999858</v>
      </c>
      <c r="M430">
        <f t="shared" si="943"/>
        <v>-8.9999999999999858</v>
      </c>
      <c r="N430">
        <f t="shared" si="943"/>
        <v>-8.9999999999999858</v>
      </c>
      <c r="O430" s="5">
        <f t="shared" si="933"/>
        <v>1.4765240063058079E-2</v>
      </c>
      <c r="P430" s="5">
        <f t="shared" si="933"/>
        <v>8.6181270186069803E-3</v>
      </c>
      <c r="Q430" s="5">
        <f t="shared" si="933"/>
        <v>6.2631701117984756E-4</v>
      </c>
      <c r="R430" s="5">
        <f t="shared" si="933"/>
        <v>3.4044814865434778E-3</v>
      </c>
      <c r="S430" s="5">
        <f t="shared" si="933"/>
        <v>1.2917406875538337E-2</v>
      </c>
      <c r="T430" s="5">
        <f t="shared" ref="T430:X430" si="944">LN(T979/T980)</f>
        <v>2.1549847749984955E-3</v>
      </c>
      <c r="U430" s="5">
        <f t="shared" si="944"/>
        <v>-4.4361435934034677E-5</v>
      </c>
      <c r="V430" s="5">
        <f t="shared" si="944"/>
        <v>0</v>
      </c>
      <c r="W430" s="5">
        <f t="shared" si="944"/>
        <v>1.4736010316445543E-3</v>
      </c>
      <c r="X430" s="5">
        <f t="shared" si="944"/>
        <v>2.2478191356830892E-3</v>
      </c>
      <c r="Z430" s="4">
        <v>45469</v>
      </c>
      <c r="AA430">
        <f>B430*B$3</f>
        <v>983.00000000006639</v>
      </c>
      <c r="AB430">
        <f>C430*C$3</f>
        <v>0</v>
      </c>
      <c r="AC430">
        <f>D430*D$3</f>
        <v>-16142.999999999656</v>
      </c>
      <c r="AD430">
        <f>E430*E$3</f>
        <v>-4855.9999999998963</v>
      </c>
      <c r="AE430">
        <f>F430*F$3</f>
        <v>-12427.999999999734</v>
      </c>
      <c r="AF430">
        <f>G430*G$3</f>
        <v>46884.000000000386</v>
      </c>
      <c r="AG430">
        <f>H430*H$3</f>
        <v>169295.99999999889</v>
      </c>
      <c r="AH430">
        <f>I430*I$3</f>
        <v>147648.00000000015</v>
      </c>
      <c r="AI430">
        <f>J430*J$3</f>
        <v>357360.50000000146</v>
      </c>
      <c r="AJ430">
        <f>K430*K$3</f>
        <v>705554.99999999884</v>
      </c>
      <c r="AK430">
        <f>L430*L$3</f>
        <v>-279035.99999999953</v>
      </c>
      <c r="AL430">
        <f>M430*M$3</f>
        <v>-288656.99999999953</v>
      </c>
      <c r="AM430">
        <f>N430*N$3</f>
        <v>0</v>
      </c>
      <c r="AN430">
        <f>O430*O$3</f>
        <v>0</v>
      </c>
      <c r="AO430">
        <f>P430*P$3</f>
        <v>-43090.6350930349</v>
      </c>
      <c r="AP430">
        <f>Q430*Q$3</f>
        <v>7515.8041341581711</v>
      </c>
      <c r="AQ430">
        <f>R430*R$3</f>
        <v>-51067.22229815217</v>
      </c>
      <c r="AR430" s="1">
        <f>S430*S$3</f>
        <v>-90421.848128768368</v>
      </c>
      <c r="AS430" s="1">
        <f t="shared" si="925"/>
        <v>8619.9390999939824</v>
      </c>
      <c r="AT430" s="1">
        <f t="shared" si="925"/>
        <v>-354.89148747227739</v>
      </c>
      <c r="AU430" s="1">
        <f t="shared" si="925"/>
        <v>0</v>
      </c>
      <c r="AV430" s="1">
        <f t="shared" si="925"/>
        <v>0</v>
      </c>
      <c r="AW430" s="1">
        <f t="shared" si="925"/>
        <v>0</v>
      </c>
      <c r="AX430" s="1">
        <f t="shared" si="856"/>
        <v>657807.64622672589</v>
      </c>
      <c r="AY430" s="1">
        <f t="shared" si="857"/>
        <v>-168798.85377327554</v>
      </c>
      <c r="AZ430" s="1">
        <f t="shared" si="858"/>
        <v>826606.5000000014</v>
      </c>
    </row>
    <row r="431" spans="1:52" x14ac:dyDescent="0.25">
      <c r="A431" s="4">
        <v>45468</v>
      </c>
      <c r="B431">
        <f t="shared" ref="B431:N431" si="945">(B981-B980)*100</f>
        <v>-0.99999999999997868</v>
      </c>
      <c r="C431">
        <f t="shared" si="945"/>
        <v>0</v>
      </c>
      <c r="D431">
        <f t="shared" si="945"/>
        <v>0.99999999999997868</v>
      </c>
      <c r="E431">
        <f t="shared" si="945"/>
        <v>0.99999999999997868</v>
      </c>
      <c r="F431">
        <f t="shared" si="945"/>
        <v>0</v>
      </c>
      <c r="G431">
        <f t="shared" si="945"/>
        <v>0</v>
      </c>
      <c r="H431">
        <f t="shared" si="945"/>
        <v>5.9999999999999609</v>
      </c>
      <c r="I431">
        <f t="shared" si="945"/>
        <v>0.99999999999997868</v>
      </c>
      <c r="J431">
        <f t="shared" si="945"/>
        <v>1.9999999999999574</v>
      </c>
      <c r="K431">
        <f t="shared" si="945"/>
        <v>1.9999999999999574</v>
      </c>
      <c r="L431">
        <f t="shared" si="945"/>
        <v>1.9999999999999574</v>
      </c>
      <c r="M431">
        <f t="shared" si="945"/>
        <v>2.0000000000000462</v>
      </c>
      <c r="N431">
        <f t="shared" si="945"/>
        <v>1.9999999999999574</v>
      </c>
      <c r="O431" s="5">
        <f t="shared" si="933"/>
        <v>5.347087779134032E-3</v>
      </c>
      <c r="P431" s="5">
        <f t="shared" si="933"/>
        <v>2.8077904059570866E-3</v>
      </c>
      <c r="Q431" s="5">
        <f t="shared" si="933"/>
        <v>4.6619138640628258E-3</v>
      </c>
      <c r="R431" s="5">
        <f t="shared" si="933"/>
        <v>1.3125083915954175E-3</v>
      </c>
      <c r="S431" s="5">
        <f t="shared" si="933"/>
        <v>8.7868574966213676E-3</v>
      </c>
      <c r="T431" s="5">
        <f t="shared" ref="T431:X431" si="946">LN(T980/T981)</f>
        <v>-4.1983940171392495E-3</v>
      </c>
      <c r="U431" s="5">
        <f t="shared" si="946"/>
        <v>-3.5072026742744319E-3</v>
      </c>
      <c r="V431" s="5">
        <f t="shared" si="946"/>
        <v>-1.0952242522387456E-3</v>
      </c>
      <c r="W431" s="5">
        <f t="shared" si="946"/>
        <v>-2.949646269316908E-3</v>
      </c>
      <c r="X431" s="5">
        <f t="shared" si="946"/>
        <v>-1.0182837387797895E-3</v>
      </c>
      <c r="Z431" s="4">
        <v>45468</v>
      </c>
      <c r="AA431">
        <f>B431*B$3</f>
        <v>982.99999999997908</v>
      </c>
      <c r="AB431">
        <f>C431*C$3</f>
        <v>0</v>
      </c>
      <c r="AC431">
        <f>D431*D$3</f>
        <v>16142.999999999656</v>
      </c>
      <c r="AD431">
        <f>E431*E$3</f>
        <v>2427.9999999999482</v>
      </c>
      <c r="AE431">
        <f>F431*F$3</f>
        <v>0</v>
      </c>
      <c r="AF431">
        <f>G431*G$3</f>
        <v>0</v>
      </c>
      <c r="AG431">
        <f>H431*H$3</f>
        <v>-169295.99999999889</v>
      </c>
      <c r="AH431">
        <f>I431*I$3</f>
        <v>-18455.999999999607</v>
      </c>
      <c r="AI431">
        <f>J431*J$3</f>
        <v>-102102.99999999782</v>
      </c>
      <c r="AJ431">
        <f>K431*K$3</f>
        <v>-156789.99999999665</v>
      </c>
      <c r="AK431">
        <f>L431*L$3</f>
        <v>62007.999999998676</v>
      </c>
      <c r="AL431">
        <f>M431*M$3</f>
        <v>64146.000000001484</v>
      </c>
      <c r="AM431">
        <f>N431*N$3</f>
        <v>0</v>
      </c>
      <c r="AN431">
        <f>O431*O$3</f>
        <v>0</v>
      </c>
      <c r="AO431">
        <f>P431*P$3</f>
        <v>-14038.952029785432</v>
      </c>
      <c r="AP431">
        <f>Q431*Q$3</f>
        <v>55942.966368753907</v>
      </c>
      <c r="AQ431">
        <f>R431*R$3</f>
        <v>-19687.625873931262</v>
      </c>
      <c r="AR431" s="1">
        <f>S431*S$3</f>
        <v>-61508.002476349575</v>
      </c>
      <c r="AS431" s="1">
        <f t="shared" si="925"/>
        <v>-16793.576068556999</v>
      </c>
      <c r="AT431" s="1">
        <f t="shared" si="925"/>
        <v>-28057.621394195456</v>
      </c>
      <c r="AU431" s="1">
        <f t="shared" si="925"/>
        <v>0</v>
      </c>
      <c r="AV431" s="1">
        <f t="shared" si="925"/>
        <v>0</v>
      </c>
      <c r="AW431" s="1">
        <f t="shared" si="925"/>
        <v>0</v>
      </c>
      <c r="AX431" s="1">
        <f t="shared" si="856"/>
        <v>-385079.81147405808</v>
      </c>
      <c r="AY431" s="1">
        <f t="shared" si="857"/>
        <v>-84142.811474064816</v>
      </c>
      <c r="AZ431" s="1">
        <f t="shared" si="858"/>
        <v>-300936.99999999325</v>
      </c>
    </row>
    <row r="432" spans="1:52" x14ac:dyDescent="0.25">
      <c r="A432" s="4">
        <v>45467</v>
      </c>
      <c r="B432">
        <f t="shared" ref="B432:N432" si="947">(B982-B981)*100</f>
        <v>0</v>
      </c>
      <c r="C432">
        <f t="shared" si="947"/>
        <v>0</v>
      </c>
      <c r="D432">
        <f t="shared" si="947"/>
        <v>-0.99999999999997868</v>
      </c>
      <c r="E432">
        <f t="shared" si="947"/>
        <v>0</v>
      </c>
      <c r="F432">
        <f t="shared" si="947"/>
        <v>-0.99999999999997868</v>
      </c>
      <c r="G432">
        <f t="shared" si="947"/>
        <v>0</v>
      </c>
      <c r="H432">
        <f t="shared" si="947"/>
        <v>-0.99999999999997868</v>
      </c>
      <c r="I432">
        <f t="shared" si="947"/>
        <v>-0.99999999999997868</v>
      </c>
      <c r="J432">
        <f t="shared" si="947"/>
        <v>-0.99999999999997868</v>
      </c>
      <c r="K432">
        <f t="shared" si="947"/>
        <v>0</v>
      </c>
      <c r="L432">
        <f t="shared" si="947"/>
        <v>0</v>
      </c>
      <c r="M432">
        <f t="shared" si="947"/>
        <v>0.99999999999997868</v>
      </c>
      <c r="N432">
        <f t="shared" si="947"/>
        <v>0.99999999999997868</v>
      </c>
      <c r="O432" s="5">
        <f t="shared" si="933"/>
        <v>-7.6746064357575E-3</v>
      </c>
      <c r="P432" s="5">
        <f t="shared" si="933"/>
        <v>-1.4560954546439053E-2</v>
      </c>
      <c r="Q432" s="5">
        <f t="shared" si="933"/>
        <v>1.0100554439065771E-2</v>
      </c>
      <c r="R432" s="5">
        <f t="shared" si="933"/>
        <v>2.1036031948717462E-3</v>
      </c>
      <c r="S432" s="5">
        <f t="shared" si="933"/>
        <v>-8.1247190965446723E-3</v>
      </c>
      <c r="T432" s="5">
        <f t="shared" ref="T432:X432" si="948">LN(T981/T982)</f>
        <v>1.7436051812742283E-3</v>
      </c>
      <c r="U432" s="5">
        <f t="shared" si="948"/>
        <v>1.6950674798470284E-3</v>
      </c>
      <c r="V432" s="5">
        <f t="shared" si="948"/>
        <v>5.8344960774041723E-3</v>
      </c>
      <c r="W432" s="5">
        <f t="shared" si="948"/>
        <v>3.865697479679795E-3</v>
      </c>
      <c r="X432" s="5">
        <f t="shared" si="948"/>
        <v>2.9234366894768365E-3</v>
      </c>
      <c r="Z432" s="4">
        <v>45467</v>
      </c>
      <c r="AA432">
        <f>B432*B$3</f>
        <v>0</v>
      </c>
      <c r="AB432">
        <f>C432*C$3</f>
        <v>0</v>
      </c>
      <c r="AC432">
        <f>D432*D$3</f>
        <v>-16142.999999999656</v>
      </c>
      <c r="AD432">
        <f>E432*E$3</f>
        <v>0</v>
      </c>
      <c r="AE432">
        <f>F432*F$3</f>
        <v>12427.999999999734</v>
      </c>
      <c r="AF432">
        <f>G432*G$3</f>
        <v>0</v>
      </c>
      <c r="AG432">
        <f>H432*H$3</f>
        <v>28215.9999999994</v>
      </c>
      <c r="AH432">
        <f>I432*I$3</f>
        <v>18455.999999999607</v>
      </c>
      <c r="AI432">
        <f>J432*J$3</f>
        <v>51051.499999998909</v>
      </c>
      <c r="AJ432">
        <f>K432*K$3</f>
        <v>0</v>
      </c>
      <c r="AK432">
        <f>L432*L$3</f>
        <v>0</v>
      </c>
      <c r="AL432">
        <f>M432*M$3</f>
        <v>32072.999999999316</v>
      </c>
      <c r="AM432">
        <f>N432*N$3</f>
        <v>0</v>
      </c>
      <c r="AN432">
        <f>O432*O$3</f>
        <v>0</v>
      </c>
      <c r="AO432">
        <f>P432*P$3</f>
        <v>72804.77273219527</v>
      </c>
      <c r="AP432">
        <f>Q432*Q$3</f>
        <v>121206.65326878925</v>
      </c>
      <c r="AQ432">
        <f>R432*R$3</f>
        <v>-31554.047923076192</v>
      </c>
      <c r="AR432" s="1">
        <f>S432*S$3</f>
        <v>56873.033675812709</v>
      </c>
      <c r="AS432" s="1">
        <f t="shared" si="925"/>
        <v>6974.420725096913</v>
      </c>
      <c r="AT432" s="1">
        <f t="shared" si="925"/>
        <v>13560.539838776227</v>
      </c>
      <c r="AU432" s="1">
        <f t="shared" si="925"/>
        <v>0</v>
      </c>
      <c r="AV432" s="1">
        <f t="shared" si="925"/>
        <v>0</v>
      </c>
      <c r="AW432" s="1">
        <f t="shared" si="925"/>
        <v>0</v>
      </c>
      <c r="AX432" s="1">
        <f t="shared" si="856"/>
        <v>365946.87231759145</v>
      </c>
      <c r="AY432" s="1">
        <f t="shared" si="857"/>
        <v>239865.37231759416</v>
      </c>
      <c r="AZ432" s="1">
        <f t="shared" si="858"/>
        <v>126081.49999999729</v>
      </c>
    </row>
    <row r="433" spans="1:52" x14ac:dyDescent="0.25">
      <c r="A433" s="4">
        <v>45464</v>
      </c>
      <c r="B433">
        <f t="shared" ref="B433:N433" si="949">(B983-B982)*100</f>
        <v>0</v>
      </c>
      <c r="C433">
        <f t="shared" si="949"/>
        <v>0</v>
      </c>
      <c r="D433">
        <f t="shared" si="949"/>
        <v>0.99999999999997868</v>
      </c>
      <c r="E433">
        <f t="shared" si="949"/>
        <v>0.99999999999997868</v>
      </c>
      <c r="F433">
        <f t="shared" si="949"/>
        <v>0.99999999999997868</v>
      </c>
      <c r="G433">
        <f t="shared" si="949"/>
        <v>0</v>
      </c>
      <c r="H433">
        <f t="shared" si="949"/>
        <v>0</v>
      </c>
      <c r="I433">
        <f t="shared" si="949"/>
        <v>0</v>
      </c>
      <c r="J433">
        <f t="shared" si="949"/>
        <v>0</v>
      </c>
      <c r="K433">
        <f t="shared" si="949"/>
        <v>0</v>
      </c>
      <c r="L433">
        <f t="shared" si="949"/>
        <v>0</v>
      </c>
      <c r="M433">
        <f t="shared" si="949"/>
        <v>0</v>
      </c>
      <c r="N433">
        <f t="shared" si="949"/>
        <v>0</v>
      </c>
      <c r="O433" s="5">
        <f t="shared" si="933"/>
        <v>2.9816704708060262E-3</v>
      </c>
      <c r="P433" s="5">
        <f t="shared" si="933"/>
        <v>-5.5292770082660857E-3</v>
      </c>
      <c r="Q433" s="5">
        <f t="shared" si="933"/>
        <v>-7.5047457976022951E-3</v>
      </c>
      <c r="R433" s="5">
        <f t="shared" si="933"/>
        <v>-1.0523547406340737E-3</v>
      </c>
      <c r="S433" s="5">
        <f t="shared" si="933"/>
        <v>-1.389531698618271E-2</v>
      </c>
      <c r="T433" s="5">
        <f t="shared" ref="T433:X433" si="950">LN(T982/T983)</f>
        <v>4.205731171862132E-3</v>
      </c>
      <c r="U433" s="5">
        <f t="shared" si="950"/>
        <v>4.8480397207678839E-3</v>
      </c>
      <c r="V433" s="5">
        <f t="shared" si="950"/>
        <v>6.1410164669942653E-3</v>
      </c>
      <c r="W433" s="5">
        <f t="shared" si="950"/>
        <v>2.1897656176502731E-3</v>
      </c>
      <c r="X433" s="5">
        <f t="shared" si="950"/>
        <v>8.0978364298467855E-3</v>
      </c>
      <c r="Z433" s="4">
        <v>45464</v>
      </c>
      <c r="AA433">
        <f>B433*B$3</f>
        <v>0</v>
      </c>
      <c r="AB433">
        <f>C433*C$3</f>
        <v>0</v>
      </c>
      <c r="AC433">
        <f>D433*D$3</f>
        <v>16142.999999999656</v>
      </c>
      <c r="AD433">
        <f>E433*E$3</f>
        <v>2427.9999999999482</v>
      </c>
      <c r="AE433">
        <f>F433*F$3</f>
        <v>-12427.999999999734</v>
      </c>
      <c r="AF433">
        <f>G433*G$3</f>
        <v>0</v>
      </c>
      <c r="AG433">
        <f>H433*H$3</f>
        <v>0</v>
      </c>
      <c r="AH433">
        <f>I433*I$3</f>
        <v>0</v>
      </c>
      <c r="AI433">
        <f>J433*J$3</f>
        <v>0</v>
      </c>
      <c r="AJ433">
        <f>K433*K$3</f>
        <v>0</v>
      </c>
      <c r="AK433">
        <f>L433*L$3</f>
        <v>0</v>
      </c>
      <c r="AL433">
        <f>M433*M$3</f>
        <v>0</v>
      </c>
      <c r="AM433">
        <f>N433*N$3</f>
        <v>0</v>
      </c>
      <c r="AN433">
        <f>O433*O$3</f>
        <v>0</v>
      </c>
      <c r="AO433">
        <f>P433*P$3</f>
        <v>27646.385041330428</v>
      </c>
      <c r="AP433">
        <f>Q433*Q$3</f>
        <v>-90056.949571227538</v>
      </c>
      <c r="AQ433">
        <f>R433*R$3</f>
        <v>15785.321109511106</v>
      </c>
      <c r="AR433" s="1">
        <f>S433*S$3</f>
        <v>97267.218903278961</v>
      </c>
      <c r="AS433" s="1">
        <f t="shared" si="925"/>
        <v>16822.924687448529</v>
      </c>
      <c r="AT433" s="1">
        <f t="shared" si="925"/>
        <v>38784.317766143075</v>
      </c>
      <c r="AU433" s="1">
        <f t="shared" si="925"/>
        <v>0</v>
      </c>
      <c r="AV433" s="1">
        <f t="shared" si="925"/>
        <v>0</v>
      </c>
      <c r="AW433" s="1">
        <f t="shared" si="925"/>
        <v>0</v>
      </c>
      <c r="AX433" s="1">
        <f t="shared" si="856"/>
        <v>112392.21793648443</v>
      </c>
      <c r="AY433" s="1">
        <f t="shared" si="857"/>
        <v>106249.21793648455</v>
      </c>
      <c r="AZ433" s="1">
        <f t="shared" si="858"/>
        <v>6142.9999999998836</v>
      </c>
    </row>
    <row r="434" spans="1:52" x14ac:dyDescent="0.25">
      <c r="A434" s="4">
        <v>45463</v>
      </c>
      <c r="B434">
        <f t="shared" ref="B434:N434" si="951">(B984-B983)*100</f>
        <v>-1.9999999999999574</v>
      </c>
      <c r="C434">
        <f t="shared" si="951"/>
        <v>0</v>
      </c>
      <c r="D434">
        <f t="shared" si="951"/>
        <v>0</v>
      </c>
      <c r="E434">
        <f t="shared" si="951"/>
        <v>-0.99999999999997868</v>
      </c>
      <c r="F434">
        <f t="shared" si="951"/>
        <v>0</v>
      </c>
      <c r="G434">
        <f t="shared" si="951"/>
        <v>-0.99999999999997868</v>
      </c>
      <c r="H434">
        <f t="shared" si="951"/>
        <v>-0.99999999999997868</v>
      </c>
      <c r="I434">
        <f t="shared" si="951"/>
        <v>-2.0000000000000462</v>
      </c>
      <c r="J434">
        <f t="shared" si="951"/>
        <v>-1.9999999999999574</v>
      </c>
      <c r="K434">
        <f t="shared" si="951"/>
        <v>-3.0000000000000249</v>
      </c>
      <c r="L434">
        <f t="shared" si="951"/>
        <v>-3.0000000000000249</v>
      </c>
      <c r="M434">
        <f t="shared" si="951"/>
        <v>-2.0000000000000462</v>
      </c>
      <c r="N434">
        <f t="shared" si="951"/>
        <v>-2.9999999999999361</v>
      </c>
      <c r="O434" s="5">
        <f t="shared" si="933"/>
        <v>3.3234276634023724E-3</v>
      </c>
      <c r="P434" s="5">
        <f t="shared" si="933"/>
        <v>5.7678602586846714E-3</v>
      </c>
      <c r="Q434" s="5">
        <f t="shared" si="933"/>
        <v>-4.024365083171182E-3</v>
      </c>
      <c r="R434" s="5">
        <f t="shared" si="933"/>
        <v>-1.5764585503444939E-3</v>
      </c>
      <c r="S434" s="5">
        <f t="shared" si="933"/>
        <v>-2.1804566933517145E-3</v>
      </c>
      <c r="T434" s="5">
        <f t="shared" ref="T434:X434" si="952">LN(T983/T984)</f>
        <v>-1.0101519681012386E-3</v>
      </c>
      <c r="U434" s="5">
        <f t="shared" si="952"/>
        <v>-4.7181355448779836E-4</v>
      </c>
      <c r="V434" s="5">
        <f t="shared" si="952"/>
        <v>1.6346531467430995E-3</v>
      </c>
      <c r="W434" s="5">
        <f t="shared" si="952"/>
        <v>-8.0049562127612606E-3</v>
      </c>
      <c r="X434" s="5">
        <f t="shared" si="952"/>
        <v>-4.5131613525450972E-3</v>
      </c>
      <c r="Z434" s="4">
        <v>45463</v>
      </c>
      <c r="AA434">
        <f>B434*B$3</f>
        <v>1965.9999999999582</v>
      </c>
      <c r="AB434">
        <f>C434*C$3</f>
        <v>0</v>
      </c>
      <c r="AC434">
        <f>D434*D$3</f>
        <v>0</v>
      </c>
      <c r="AD434">
        <f>E434*E$3</f>
        <v>-2427.9999999999482</v>
      </c>
      <c r="AE434">
        <f>F434*F$3</f>
        <v>0</v>
      </c>
      <c r="AF434">
        <f>G434*G$3</f>
        <v>15627.999999999667</v>
      </c>
      <c r="AG434">
        <f>H434*H$3</f>
        <v>28215.9999999994</v>
      </c>
      <c r="AH434">
        <f>I434*I$3</f>
        <v>36912.000000000851</v>
      </c>
      <c r="AI434">
        <f>J434*J$3</f>
        <v>102102.99999999782</v>
      </c>
      <c r="AJ434">
        <f>K434*K$3</f>
        <v>235185.00000000195</v>
      </c>
      <c r="AK434">
        <f>L434*L$3</f>
        <v>-93012.000000000771</v>
      </c>
      <c r="AL434">
        <f>M434*M$3</f>
        <v>-64146.000000001484</v>
      </c>
      <c r="AM434">
        <f>N434*N$3</f>
        <v>0</v>
      </c>
      <c r="AN434">
        <f>O434*O$3</f>
        <v>0</v>
      </c>
      <c r="AO434">
        <f>P434*P$3</f>
        <v>-28839.301293423356</v>
      </c>
      <c r="AP434">
        <f>Q434*Q$3</f>
        <v>-48292.380998054185</v>
      </c>
      <c r="AQ434">
        <f>R434*R$3</f>
        <v>23646.878255167408</v>
      </c>
      <c r="AR434" s="1">
        <f>S434*S$3</f>
        <v>15263.196853462001</v>
      </c>
      <c r="AS434" s="1">
        <f t="shared" si="925"/>
        <v>-4040.6078724049544</v>
      </c>
      <c r="AT434" s="1">
        <f t="shared" si="925"/>
        <v>-3774.5084359023867</v>
      </c>
      <c r="AU434" s="1">
        <f t="shared" si="925"/>
        <v>0</v>
      </c>
      <c r="AV434" s="1">
        <f t="shared" si="925"/>
        <v>0</v>
      </c>
      <c r="AW434" s="1">
        <f t="shared" si="925"/>
        <v>0</v>
      </c>
      <c r="AX434" s="1">
        <f t="shared" si="856"/>
        <v>214387.27650884193</v>
      </c>
      <c r="AY434" s="1">
        <f t="shared" si="857"/>
        <v>-46036.72349115547</v>
      </c>
      <c r="AZ434" s="1">
        <f t="shared" si="858"/>
        <v>260423.99999999738</v>
      </c>
    </row>
    <row r="435" spans="1:52" x14ac:dyDescent="0.25">
      <c r="A435" s="4">
        <v>45461</v>
      </c>
      <c r="B435">
        <f t="shared" ref="B435:N435" si="953">(B985-B984)*100</f>
        <v>4.9999999999999822</v>
      </c>
      <c r="C435">
        <f t="shared" si="953"/>
        <v>0.99999999999997868</v>
      </c>
      <c r="D435">
        <f t="shared" si="953"/>
        <v>1.9999999999999574</v>
      </c>
      <c r="E435">
        <f t="shared" si="953"/>
        <v>0.99999999999997868</v>
      </c>
      <c r="F435">
        <f t="shared" si="953"/>
        <v>1.9999999999999574</v>
      </c>
      <c r="G435">
        <f t="shared" si="953"/>
        <v>2.0000000000000462</v>
      </c>
      <c r="H435">
        <f t="shared" si="953"/>
        <v>5.9999999999999609</v>
      </c>
      <c r="I435">
        <f t="shared" si="953"/>
        <v>7.0000000000000284</v>
      </c>
      <c r="J435">
        <f t="shared" si="953"/>
        <v>5.9999999999999609</v>
      </c>
      <c r="K435">
        <f t="shared" si="953"/>
        <v>6.0000000000000497</v>
      </c>
      <c r="L435">
        <f t="shared" si="953"/>
        <v>6.0000000000000497</v>
      </c>
      <c r="M435">
        <f t="shared" si="953"/>
        <v>4.9999999999999822</v>
      </c>
      <c r="N435">
        <f t="shared" si="953"/>
        <v>4.0000000000000036</v>
      </c>
      <c r="O435" s="5">
        <f t="shared" ref="O435:S444" si="954">LN(O984/O985)</f>
        <v>-1.0351393741178014E-3</v>
      </c>
      <c r="P435" s="5">
        <f t="shared" si="954"/>
        <v>4.5899343777895309E-3</v>
      </c>
      <c r="Q435" s="5">
        <f t="shared" si="954"/>
        <v>1.0936562961324657E-2</v>
      </c>
      <c r="R435" s="5">
        <f t="shared" si="954"/>
        <v>4.2094247897050321E-3</v>
      </c>
      <c r="S435" s="5">
        <f t="shared" si="954"/>
        <v>-7.2520166078012599E-3</v>
      </c>
      <c r="T435" s="5">
        <f t="shared" ref="T435:X435" si="955">LN(T984/T985)</f>
        <v>-3.5917077512605273E-3</v>
      </c>
      <c r="U435" s="5">
        <f t="shared" si="955"/>
        <v>-2.5894681018522082E-3</v>
      </c>
      <c r="V435" s="5">
        <f t="shared" si="955"/>
        <v>9.7696218441363806E-4</v>
      </c>
      <c r="W435" s="5">
        <f t="shared" si="955"/>
        <v>-1.3896235706617492E-3</v>
      </c>
      <c r="X435" s="5">
        <f t="shared" si="955"/>
        <v>-2.731851896782384E-3</v>
      </c>
      <c r="Z435" s="4">
        <v>45461</v>
      </c>
      <c r="AA435">
        <f>B435*B$3</f>
        <v>-4914.9999999999827</v>
      </c>
      <c r="AB435">
        <f>C435*C$3</f>
        <v>-2583.999999999945</v>
      </c>
      <c r="AC435">
        <f>D435*D$3</f>
        <v>32285.999999999312</v>
      </c>
      <c r="AD435">
        <f>E435*E$3</f>
        <v>2427.9999999999482</v>
      </c>
      <c r="AE435">
        <f>F435*F$3</f>
        <v>-24855.999999999469</v>
      </c>
      <c r="AF435">
        <f>G435*G$3</f>
        <v>-31256.00000000072</v>
      </c>
      <c r="AG435">
        <f>H435*H$3</f>
        <v>-169295.99999999889</v>
      </c>
      <c r="AH435">
        <f>I435*I$3</f>
        <v>-129192.00000000052</v>
      </c>
      <c r="AI435">
        <f>J435*J$3</f>
        <v>-306308.99999999802</v>
      </c>
      <c r="AJ435">
        <f>K435*K$3</f>
        <v>-470370.0000000039</v>
      </c>
      <c r="AK435">
        <f>L435*L$3</f>
        <v>186024.00000000154</v>
      </c>
      <c r="AL435">
        <f>M435*M$3</f>
        <v>160364.99999999942</v>
      </c>
      <c r="AM435">
        <f>N435*N$3</f>
        <v>0</v>
      </c>
      <c r="AN435">
        <f>O435*O$3</f>
        <v>0</v>
      </c>
      <c r="AO435">
        <f>P435*P$3</f>
        <v>-22949.671888947654</v>
      </c>
      <c r="AP435">
        <f>Q435*Q$3</f>
        <v>131238.75553589588</v>
      </c>
      <c r="AQ435">
        <f>R435*R$3</f>
        <v>-63141.371845575479</v>
      </c>
      <c r="AR435" s="1">
        <f>S435*S$3</f>
        <v>50764.116254608816</v>
      </c>
      <c r="AS435" s="1">
        <f t="shared" si="925"/>
        <v>-14366.83100504211</v>
      </c>
      <c r="AT435" s="1">
        <f t="shared" si="925"/>
        <v>-20715.744814817666</v>
      </c>
      <c r="AU435" s="1">
        <f t="shared" si="925"/>
        <v>0</v>
      </c>
      <c r="AV435" s="1">
        <f t="shared" si="925"/>
        <v>0</v>
      </c>
      <c r="AW435" s="1">
        <f t="shared" si="925"/>
        <v>0</v>
      </c>
      <c r="AX435" s="1">
        <f t="shared" si="856"/>
        <v>-696845.74776387936</v>
      </c>
      <c r="AY435" s="1">
        <f t="shared" si="857"/>
        <v>60829.252236121771</v>
      </c>
      <c r="AZ435" s="1">
        <f t="shared" si="858"/>
        <v>-757675.00000000116</v>
      </c>
    </row>
    <row r="436" spans="1:52" x14ac:dyDescent="0.25">
      <c r="A436" s="4">
        <v>45460</v>
      </c>
      <c r="B436">
        <f t="shared" ref="B436:N436" si="956">(B986-B985)*100</f>
        <v>1.9999999999999574</v>
      </c>
      <c r="C436">
        <f t="shared" si="956"/>
        <v>0</v>
      </c>
      <c r="D436">
        <f t="shared" si="956"/>
        <v>-0.99999999999997868</v>
      </c>
      <c r="E436">
        <f t="shared" si="956"/>
        <v>-0.99999999999997868</v>
      </c>
      <c r="F436">
        <f t="shared" si="956"/>
        <v>-2.9999999999999361</v>
      </c>
      <c r="G436">
        <f t="shared" si="956"/>
        <v>-4.0000000000000036</v>
      </c>
      <c r="H436">
        <f t="shared" si="956"/>
        <v>-8.0000000000000071</v>
      </c>
      <c r="I436">
        <f t="shared" si="956"/>
        <v>-8.9999999999999858</v>
      </c>
      <c r="J436">
        <f t="shared" si="956"/>
        <v>-8.0000000000000071</v>
      </c>
      <c r="K436">
        <f t="shared" si="956"/>
        <v>-8.0000000000000071</v>
      </c>
      <c r="L436">
        <f t="shared" si="956"/>
        <v>-8.0000000000000071</v>
      </c>
      <c r="M436">
        <f t="shared" si="956"/>
        <v>-5.9999999999999609</v>
      </c>
      <c r="N436">
        <f t="shared" si="956"/>
        <v>-6.0000000000000497</v>
      </c>
      <c r="O436" s="5">
        <f t="shared" si="954"/>
        <v>9.280464551121529E-3</v>
      </c>
      <c r="P436" s="5">
        <f t="shared" si="954"/>
        <v>-1.2105804748156774E-4</v>
      </c>
      <c r="Q436" s="5">
        <f t="shared" si="954"/>
        <v>9.7189015836341725E-3</v>
      </c>
      <c r="R436" s="5">
        <f t="shared" si="954"/>
        <v>3.4332530752656997E-3</v>
      </c>
      <c r="S436" s="5">
        <f t="shared" si="954"/>
        <v>4.4044721129293885E-3</v>
      </c>
      <c r="T436" s="5">
        <f t="shared" ref="T436:X436" si="957">LN(T985/T986)</f>
        <v>3.4198826115550097E-3</v>
      </c>
      <c r="U436" s="5">
        <f t="shared" si="957"/>
        <v>5.6599483374650027E-3</v>
      </c>
      <c r="V436" s="5">
        <f t="shared" si="957"/>
        <v>2.656714558671783E-3</v>
      </c>
      <c r="W436" s="5">
        <f t="shared" si="957"/>
        <v>3.0531352077115227E-3</v>
      </c>
      <c r="X436" s="5">
        <f t="shared" si="957"/>
        <v>-3.5861149118939653E-3</v>
      </c>
      <c r="Z436" s="4">
        <v>45460</v>
      </c>
      <c r="AA436">
        <f>B436*B$3</f>
        <v>-1965.9999999999582</v>
      </c>
      <c r="AB436">
        <f>C436*C$3</f>
        <v>0</v>
      </c>
      <c r="AC436">
        <f>D436*D$3</f>
        <v>-16142.999999999656</v>
      </c>
      <c r="AD436">
        <f>E436*E$3</f>
        <v>-2427.9999999999482</v>
      </c>
      <c r="AE436">
        <f>F436*F$3</f>
        <v>37283.999999999207</v>
      </c>
      <c r="AF436">
        <f>G436*G$3</f>
        <v>62512.000000000058</v>
      </c>
      <c r="AG436">
        <f>H436*H$3</f>
        <v>225728.0000000002</v>
      </c>
      <c r="AH436">
        <f>I436*I$3</f>
        <v>166103.99999999974</v>
      </c>
      <c r="AI436">
        <f>J436*J$3</f>
        <v>408412.00000000035</v>
      </c>
      <c r="AJ436">
        <f>K436*K$3</f>
        <v>627160.00000000058</v>
      </c>
      <c r="AK436">
        <f>L436*L$3</f>
        <v>-248032.00000000023</v>
      </c>
      <c r="AL436">
        <f>M436*M$3</f>
        <v>-192437.99999999875</v>
      </c>
      <c r="AM436">
        <f>N436*N$3</f>
        <v>0</v>
      </c>
      <c r="AN436">
        <f>O436*O$3</f>
        <v>0</v>
      </c>
      <c r="AO436">
        <f>P436*P$3</f>
        <v>605.29023740783873</v>
      </c>
      <c r="AP436">
        <f>Q436*Q$3</f>
        <v>116626.81900361007</v>
      </c>
      <c r="AQ436">
        <f>R436*R$3</f>
        <v>-51498.796128985494</v>
      </c>
      <c r="AR436" s="1">
        <f>S436*S$3</f>
        <v>-30831.304790505721</v>
      </c>
      <c r="AS436" s="1">
        <f t="shared" si="925"/>
        <v>13679.530446220038</v>
      </c>
      <c r="AT436" s="1">
        <f t="shared" si="925"/>
        <v>45279.586699720021</v>
      </c>
      <c r="AU436" s="1">
        <f t="shared" si="925"/>
        <v>0</v>
      </c>
      <c r="AV436" s="1">
        <f t="shared" si="925"/>
        <v>0</v>
      </c>
      <c r="AW436" s="1">
        <f t="shared" si="925"/>
        <v>0</v>
      </c>
      <c r="AX436" s="1">
        <f t="shared" si="856"/>
        <v>1160054.1254674683</v>
      </c>
      <c r="AY436" s="1">
        <f t="shared" si="857"/>
        <v>93861.125467466773</v>
      </c>
      <c r="AZ436" s="1">
        <f t="shared" si="858"/>
        <v>1066193.0000000014</v>
      </c>
    </row>
    <row r="437" spans="1:52" x14ac:dyDescent="0.25">
      <c r="A437" s="4">
        <v>45457</v>
      </c>
      <c r="B437">
        <f t="shared" ref="B437:N437" si="958">(B987-B986)*100</f>
        <v>0</v>
      </c>
      <c r="C437">
        <f t="shared" si="958"/>
        <v>0</v>
      </c>
      <c r="D437">
        <f t="shared" si="958"/>
        <v>0</v>
      </c>
      <c r="E437">
        <f t="shared" si="958"/>
        <v>0</v>
      </c>
      <c r="F437">
        <f t="shared" si="958"/>
        <v>0</v>
      </c>
      <c r="G437">
        <f t="shared" si="958"/>
        <v>0</v>
      </c>
      <c r="H437">
        <f t="shared" si="958"/>
        <v>0.99999999999997868</v>
      </c>
      <c r="I437">
        <f t="shared" si="958"/>
        <v>0.99999999999997868</v>
      </c>
      <c r="J437">
        <f t="shared" si="958"/>
        <v>2.0000000000000462</v>
      </c>
      <c r="K437">
        <f t="shared" si="958"/>
        <v>3.0000000000000249</v>
      </c>
      <c r="L437">
        <f t="shared" si="958"/>
        <v>4.0000000000000036</v>
      </c>
      <c r="M437">
        <f t="shared" si="958"/>
        <v>4.0000000000000036</v>
      </c>
      <c r="N437">
        <f t="shared" si="958"/>
        <v>6.0000000000000497</v>
      </c>
      <c r="O437" s="5">
        <f t="shared" si="954"/>
        <v>-6.3941926812009836E-3</v>
      </c>
      <c r="P437" s="5">
        <f t="shared" si="954"/>
        <v>-4.2278253468579228E-3</v>
      </c>
      <c r="Q437" s="5">
        <f t="shared" si="954"/>
        <v>5.0481204049250793E-3</v>
      </c>
      <c r="R437" s="5">
        <f t="shared" si="954"/>
        <v>2.118644860285155E-3</v>
      </c>
      <c r="S437" s="5">
        <f t="shared" si="954"/>
        <v>-5.414712990071944E-4</v>
      </c>
      <c r="T437" s="5">
        <f t="shared" ref="T437:X437" si="959">LN(T986/T987)</f>
        <v>6.8966049990006719E-3</v>
      </c>
      <c r="U437" s="5">
        <f t="shared" si="959"/>
        <v>3.219465230504065E-3</v>
      </c>
      <c r="V437" s="5">
        <f t="shared" si="959"/>
        <v>2.0896704951960531E-3</v>
      </c>
      <c r="W437" s="5">
        <f t="shared" si="959"/>
        <v>4.4821001353290355E-3</v>
      </c>
      <c r="X437" s="5">
        <f t="shared" si="959"/>
        <v>-3.6905621426342827E-4</v>
      </c>
      <c r="Z437" s="4">
        <v>45457</v>
      </c>
      <c r="AA437">
        <f>B437*B$3</f>
        <v>0</v>
      </c>
      <c r="AB437">
        <f>C437*C$3</f>
        <v>0</v>
      </c>
      <c r="AC437">
        <f>D437*D$3</f>
        <v>0</v>
      </c>
      <c r="AD437">
        <f>E437*E$3</f>
        <v>0</v>
      </c>
      <c r="AE437">
        <f>F437*F$3</f>
        <v>0</v>
      </c>
      <c r="AF437">
        <f>G437*G$3</f>
        <v>0</v>
      </c>
      <c r="AG437">
        <f>H437*H$3</f>
        <v>-28215.9999999994</v>
      </c>
      <c r="AH437">
        <f>I437*I$3</f>
        <v>-18455.999999999607</v>
      </c>
      <c r="AI437">
        <f>J437*J$3</f>
        <v>-102103.00000000236</v>
      </c>
      <c r="AJ437">
        <f>K437*K$3</f>
        <v>-235185.00000000195</v>
      </c>
      <c r="AK437">
        <f>L437*L$3</f>
        <v>124016.00000000012</v>
      </c>
      <c r="AL437">
        <f>M437*M$3</f>
        <v>128292.00000000012</v>
      </c>
      <c r="AM437">
        <f>N437*N$3</f>
        <v>0</v>
      </c>
      <c r="AN437">
        <f>O437*O$3</f>
        <v>0</v>
      </c>
      <c r="AO437">
        <f>P437*P$3</f>
        <v>21139.126734289614</v>
      </c>
      <c r="AP437">
        <f>Q437*Q$3</f>
        <v>60577.44485910095</v>
      </c>
      <c r="AQ437">
        <f>R437*R$3</f>
        <v>-31779.672904277326</v>
      </c>
      <c r="AR437" s="1">
        <f>S437*S$3</f>
        <v>3790.2990930503606</v>
      </c>
      <c r="AS437" s="1">
        <f t="shared" ref="AS437:AW452" si="960">T437*T$3</f>
        <v>27586.419996002689</v>
      </c>
      <c r="AT437" s="1">
        <f t="shared" si="960"/>
        <v>25755.72184403252</v>
      </c>
      <c r="AU437" s="1">
        <f t="shared" si="960"/>
        <v>0</v>
      </c>
      <c r="AV437" s="1">
        <f t="shared" si="960"/>
        <v>0</v>
      </c>
      <c r="AW437" s="1">
        <f t="shared" si="960"/>
        <v>0</v>
      </c>
      <c r="AX437" s="1">
        <f t="shared" si="856"/>
        <v>-24582.660377804281</v>
      </c>
      <c r="AY437" s="1">
        <f t="shared" si="857"/>
        <v>107069.33962219881</v>
      </c>
      <c r="AZ437" s="1">
        <f t="shared" si="858"/>
        <v>-131652.00000000309</v>
      </c>
    </row>
    <row r="438" spans="1:52" x14ac:dyDescent="0.25">
      <c r="A438" s="4">
        <v>45456</v>
      </c>
      <c r="B438">
        <f t="shared" ref="B438:N438" si="961">(B988-B987)*100</f>
        <v>0</v>
      </c>
      <c r="C438">
        <f t="shared" si="961"/>
        <v>0</v>
      </c>
      <c r="D438">
        <f t="shared" si="961"/>
        <v>0</v>
      </c>
      <c r="E438">
        <f t="shared" si="961"/>
        <v>1.9999999999999574</v>
      </c>
      <c r="F438">
        <f t="shared" si="961"/>
        <v>1.9999999999999574</v>
      </c>
      <c r="G438">
        <f t="shared" si="961"/>
        <v>5.9999999999999609</v>
      </c>
      <c r="H438">
        <f t="shared" si="961"/>
        <v>7.0000000000000284</v>
      </c>
      <c r="I438">
        <f t="shared" si="961"/>
        <v>6.0000000000000497</v>
      </c>
      <c r="J438">
        <f t="shared" si="961"/>
        <v>8.0000000000000071</v>
      </c>
      <c r="K438">
        <f t="shared" si="961"/>
        <v>7.9999999999999183</v>
      </c>
      <c r="L438">
        <f t="shared" si="961"/>
        <v>6.9999999999999396</v>
      </c>
      <c r="M438">
        <f t="shared" si="961"/>
        <v>5.9999999999999609</v>
      </c>
      <c r="N438">
        <f t="shared" si="961"/>
        <v>6.9999999999999396</v>
      </c>
      <c r="O438" s="5">
        <f t="shared" si="954"/>
        <v>1.5390466513367771E-3</v>
      </c>
      <c r="P438" s="5">
        <f t="shared" si="954"/>
        <v>3.1001163062589467E-2</v>
      </c>
      <c r="Q438" s="5">
        <f t="shared" si="954"/>
        <v>-1.0135809759910986E-2</v>
      </c>
      <c r="R438" s="5">
        <f t="shared" si="954"/>
        <v>-2.6507621096244569E-4</v>
      </c>
      <c r="S438" s="5">
        <f t="shared" si="954"/>
        <v>-1.5389918849293535E-2</v>
      </c>
      <c r="T438" s="5">
        <f t="shared" ref="T438:X438" si="962">LN(T987/T988)</f>
        <v>-6.7570780683293896E-3</v>
      </c>
      <c r="U438" s="5">
        <f t="shared" si="962"/>
        <v>-4.3667849194582919E-3</v>
      </c>
      <c r="V438" s="5">
        <f t="shared" si="962"/>
        <v>-1.943217042999905E-3</v>
      </c>
      <c r="W438" s="5">
        <f t="shared" si="962"/>
        <v>-8.3192589751411947E-3</v>
      </c>
      <c r="X438" s="5">
        <f t="shared" si="962"/>
        <v>-3.9285020956315525E-3</v>
      </c>
      <c r="Z438" s="4">
        <v>45456</v>
      </c>
      <c r="AA438">
        <f>B438*B$3</f>
        <v>0</v>
      </c>
      <c r="AB438">
        <f>C438*C$3</f>
        <v>0</v>
      </c>
      <c r="AC438">
        <f>D438*D$3</f>
        <v>0</v>
      </c>
      <c r="AD438">
        <f>E438*E$3</f>
        <v>4855.9999999998963</v>
      </c>
      <c r="AE438">
        <f>F438*F$3</f>
        <v>-24855.999999999469</v>
      </c>
      <c r="AF438">
        <f>G438*G$3</f>
        <v>-93767.999999999389</v>
      </c>
      <c r="AG438">
        <f>H438*H$3</f>
        <v>-197512.00000000081</v>
      </c>
      <c r="AH438">
        <f>I438*I$3</f>
        <v>-110736.00000000092</v>
      </c>
      <c r="AI438">
        <f>J438*J$3</f>
        <v>-408412.00000000035</v>
      </c>
      <c r="AJ438">
        <f>K438*K$3</f>
        <v>-627159.9999999936</v>
      </c>
      <c r="AK438">
        <f>L438*L$3</f>
        <v>217027.99999999814</v>
      </c>
      <c r="AL438">
        <f>M438*M$3</f>
        <v>192437.99999999875</v>
      </c>
      <c r="AM438">
        <f>N438*N$3</f>
        <v>0</v>
      </c>
      <c r="AN438">
        <f>O438*O$3</f>
        <v>0</v>
      </c>
      <c r="AO438">
        <f>P438*P$3</f>
        <v>-155005.81531294732</v>
      </c>
      <c r="AP438">
        <f>Q438*Q$3</f>
        <v>-121629.71711893183</v>
      </c>
      <c r="AQ438">
        <f>R438*R$3</f>
        <v>3976.1431644366853</v>
      </c>
      <c r="AR438" s="1">
        <f>S438*S$3</f>
        <v>107729.43194505475</v>
      </c>
      <c r="AS438" s="1">
        <f t="shared" si="960"/>
        <v>-27028.312273317559</v>
      </c>
      <c r="AT438" s="1">
        <f t="shared" si="960"/>
        <v>-34934.279355666338</v>
      </c>
      <c r="AU438" s="1">
        <f t="shared" si="960"/>
        <v>0</v>
      </c>
      <c r="AV438" s="1">
        <f t="shared" si="960"/>
        <v>0</v>
      </c>
      <c r="AW438" s="1">
        <f t="shared" si="960"/>
        <v>0</v>
      </c>
      <c r="AX438" s="1">
        <f t="shared" si="856"/>
        <v>-1275014.5489513692</v>
      </c>
      <c r="AY438" s="1">
        <f t="shared" si="857"/>
        <v>-226892.54895137163</v>
      </c>
      <c r="AZ438" s="1">
        <f t="shared" si="858"/>
        <v>-1048121.9999999977</v>
      </c>
    </row>
    <row r="439" spans="1:52" x14ac:dyDescent="0.25">
      <c r="A439" s="4">
        <v>45455</v>
      </c>
      <c r="B439">
        <f t="shared" ref="B439:N439" si="963">(B989-B988)*100</f>
        <v>-0.99999999999997868</v>
      </c>
      <c r="C439">
        <f t="shared" si="963"/>
        <v>0</v>
      </c>
      <c r="D439">
        <f t="shared" si="963"/>
        <v>0.99999999999997868</v>
      </c>
      <c r="E439">
        <f t="shared" si="963"/>
        <v>-0.99999999999997868</v>
      </c>
      <c r="F439">
        <f t="shared" si="963"/>
        <v>0.99999999999997868</v>
      </c>
      <c r="G439">
        <f t="shared" si="963"/>
        <v>4.0000000000000036</v>
      </c>
      <c r="H439">
        <f t="shared" si="963"/>
        <v>5.9999999999999609</v>
      </c>
      <c r="I439">
        <f t="shared" si="963"/>
        <v>8.9999999999999858</v>
      </c>
      <c r="J439">
        <f t="shared" si="963"/>
        <v>8.9999999999999858</v>
      </c>
      <c r="K439">
        <f t="shared" si="963"/>
        <v>9.0000000000000746</v>
      </c>
      <c r="L439">
        <f t="shared" si="963"/>
        <v>8.0000000000000071</v>
      </c>
      <c r="M439">
        <f t="shared" si="963"/>
        <v>6.0000000000000497</v>
      </c>
      <c r="N439">
        <f t="shared" si="963"/>
        <v>6.0000000000000497</v>
      </c>
      <c r="O439" s="5">
        <f t="shared" si="954"/>
        <v>6.8243762868053816E-3</v>
      </c>
      <c r="P439" s="5">
        <f t="shared" si="954"/>
        <v>6.6391217087389352E-3</v>
      </c>
      <c r="Q439" s="5">
        <f t="shared" si="954"/>
        <v>1.0176354928717684E-3</v>
      </c>
      <c r="R439" s="5">
        <f t="shared" si="954"/>
        <v>7.9543952225397108E-4</v>
      </c>
      <c r="S439" s="5">
        <f t="shared" si="954"/>
        <v>1.4594487935436886E-2</v>
      </c>
      <c r="T439" s="5">
        <f t="shared" ref="T439:X439" si="964">LN(T988/T989)</f>
        <v>2.225800503827321E-3</v>
      </c>
      <c r="U439" s="5">
        <f t="shared" si="964"/>
        <v>-1.1077961164913555E-3</v>
      </c>
      <c r="V439" s="5">
        <f t="shared" si="964"/>
        <v>4.1383720643656046E-4</v>
      </c>
      <c r="W439" s="5">
        <f t="shared" si="964"/>
        <v>1.8896127950917483E-4</v>
      </c>
      <c r="X439" s="5">
        <f t="shared" si="964"/>
        <v>1.3375470966785837E-3</v>
      </c>
      <c r="Z439" s="4">
        <v>45455</v>
      </c>
      <c r="AA439">
        <f>B439*B$3</f>
        <v>982.99999999997908</v>
      </c>
      <c r="AB439">
        <f>C439*C$3</f>
        <v>0</v>
      </c>
      <c r="AC439">
        <f>D439*D$3</f>
        <v>16142.999999999656</v>
      </c>
      <c r="AD439">
        <f>E439*E$3</f>
        <v>-2427.9999999999482</v>
      </c>
      <c r="AE439">
        <f>F439*F$3</f>
        <v>-12427.999999999734</v>
      </c>
      <c r="AF439">
        <f>G439*G$3</f>
        <v>-62512.000000000058</v>
      </c>
      <c r="AG439">
        <f>H439*H$3</f>
        <v>-169295.99999999889</v>
      </c>
      <c r="AH439">
        <f>I439*I$3</f>
        <v>-166103.99999999974</v>
      </c>
      <c r="AI439">
        <f>J439*J$3</f>
        <v>-459463.4999999993</v>
      </c>
      <c r="AJ439">
        <f>K439*K$3</f>
        <v>-705555.00000000582</v>
      </c>
      <c r="AK439">
        <f>L439*L$3</f>
        <v>248032.00000000023</v>
      </c>
      <c r="AL439">
        <f>M439*M$3</f>
        <v>192438.0000000016</v>
      </c>
      <c r="AM439">
        <f>N439*N$3</f>
        <v>0</v>
      </c>
      <c r="AN439">
        <f>O439*O$3</f>
        <v>0</v>
      </c>
      <c r="AO439">
        <f>P439*P$3</f>
        <v>-33195.608543694674</v>
      </c>
      <c r="AP439">
        <f>Q439*Q$3</f>
        <v>12211.625914461221</v>
      </c>
      <c r="AQ439">
        <f>R439*R$3</f>
        <v>-11931.592833809565</v>
      </c>
      <c r="AR439" s="1">
        <f>S439*S$3</f>
        <v>-102161.4155480582</v>
      </c>
      <c r="AS439" s="1">
        <f t="shared" si="960"/>
        <v>8903.2020153092835</v>
      </c>
      <c r="AT439" s="1">
        <f t="shared" si="960"/>
        <v>-8862.3689319308432</v>
      </c>
      <c r="AU439" s="1">
        <f t="shared" si="960"/>
        <v>0</v>
      </c>
      <c r="AV439" s="1">
        <f t="shared" si="960"/>
        <v>0</v>
      </c>
      <c r="AW439" s="1">
        <f t="shared" si="960"/>
        <v>0</v>
      </c>
      <c r="AX439" s="1">
        <f t="shared" si="856"/>
        <v>-1255226.6579277245</v>
      </c>
      <c r="AY439" s="1">
        <f t="shared" si="857"/>
        <v>-135036.15792772279</v>
      </c>
      <c r="AZ439" s="1">
        <f t="shared" si="858"/>
        <v>-1120190.5000000019</v>
      </c>
    </row>
    <row r="440" spans="1:52" x14ac:dyDescent="0.25">
      <c r="A440" s="4">
        <v>45454</v>
      </c>
      <c r="B440">
        <f t="shared" ref="B440:N440" si="965">(B990-B989)*100</f>
        <v>0.99999999999997868</v>
      </c>
      <c r="C440">
        <f t="shared" si="965"/>
        <v>1.0000000000000675</v>
      </c>
      <c r="D440">
        <f t="shared" si="965"/>
        <v>0</v>
      </c>
      <c r="E440">
        <f t="shared" si="965"/>
        <v>0</v>
      </c>
      <c r="F440">
        <f t="shared" si="965"/>
        <v>1.0000000000000675</v>
      </c>
      <c r="G440">
        <f t="shared" si="965"/>
        <v>-0.99999999999997868</v>
      </c>
      <c r="H440">
        <f t="shared" si="965"/>
        <v>6.0000000000000497</v>
      </c>
      <c r="I440">
        <f t="shared" si="965"/>
        <v>4.9999999999999822</v>
      </c>
      <c r="J440">
        <f t="shared" si="965"/>
        <v>7.0000000000000284</v>
      </c>
      <c r="K440">
        <f t="shared" si="965"/>
        <v>6.9999999999999396</v>
      </c>
      <c r="L440">
        <f t="shared" si="965"/>
        <v>8.0000000000000071</v>
      </c>
      <c r="M440">
        <f t="shared" si="965"/>
        <v>5.9999999999999609</v>
      </c>
      <c r="N440">
        <f t="shared" si="965"/>
        <v>5.9999999999999609</v>
      </c>
      <c r="O440" s="5">
        <f t="shared" si="954"/>
        <v>-2.6403086678093803E-3</v>
      </c>
      <c r="P440" s="5">
        <f t="shared" si="954"/>
        <v>1.5761509171656939E-2</v>
      </c>
      <c r="Q440" s="5">
        <f t="shared" si="954"/>
        <v>6.9562473453839598E-3</v>
      </c>
      <c r="R440" s="5">
        <f t="shared" si="954"/>
        <v>-2.3844229074324887E-3</v>
      </c>
      <c r="S440" s="5">
        <f t="shared" si="954"/>
        <v>1.059799103440019E-2</v>
      </c>
      <c r="T440" s="5">
        <f t="shared" ref="T440:X440" si="966">LN(T989/T990)</f>
        <v>1.3572604550407294E-3</v>
      </c>
      <c r="U440" s="5">
        <f t="shared" si="966"/>
        <v>2.4182949845761605E-4</v>
      </c>
      <c r="V440" s="5">
        <f t="shared" si="966"/>
        <v>1.3190097381560195E-3</v>
      </c>
      <c r="W440" s="5">
        <f t="shared" si="966"/>
        <v>-3.97724392838022E-3</v>
      </c>
      <c r="X440" s="5">
        <f t="shared" si="966"/>
        <v>5.3550686690895721E-4</v>
      </c>
      <c r="Z440" s="4">
        <v>45454</v>
      </c>
      <c r="AA440">
        <f>B440*B$3</f>
        <v>-982.99999999997908</v>
      </c>
      <c r="AB440">
        <f>C440*C$3</f>
        <v>-2584.0000000001746</v>
      </c>
      <c r="AC440">
        <f>D440*D$3</f>
        <v>0</v>
      </c>
      <c r="AD440">
        <f>E440*E$3</f>
        <v>0</v>
      </c>
      <c r="AE440">
        <f>F440*F$3</f>
        <v>-12428.000000000839</v>
      </c>
      <c r="AF440">
        <f>G440*G$3</f>
        <v>15627.999999999667</v>
      </c>
      <c r="AG440">
        <f>H440*H$3</f>
        <v>-169296.0000000014</v>
      </c>
      <c r="AH440">
        <f>I440*I$3</f>
        <v>-92279.999999999665</v>
      </c>
      <c r="AI440">
        <f>J440*J$3</f>
        <v>-357360.50000000146</v>
      </c>
      <c r="AJ440">
        <f>K440*K$3</f>
        <v>-548764.99999999523</v>
      </c>
      <c r="AK440">
        <f>L440*L$3</f>
        <v>248032.00000000023</v>
      </c>
      <c r="AL440">
        <f>M440*M$3</f>
        <v>192437.99999999875</v>
      </c>
      <c r="AM440">
        <f>N440*N$3</f>
        <v>0</v>
      </c>
      <c r="AN440">
        <f>O440*O$3</f>
        <v>0</v>
      </c>
      <c r="AO440">
        <f>P440*P$3</f>
        <v>-78807.545858284691</v>
      </c>
      <c r="AP440">
        <f>Q440*Q$3</f>
        <v>83474.968144607512</v>
      </c>
      <c r="AQ440">
        <f>R440*R$3</f>
        <v>35766.343611487333</v>
      </c>
      <c r="AR440" s="1">
        <f>S440*S$3</f>
        <v>-74185.93724080133</v>
      </c>
      <c r="AS440" s="1">
        <f t="shared" si="960"/>
        <v>5429.0418201629172</v>
      </c>
      <c r="AT440" s="1">
        <f t="shared" si="960"/>
        <v>1934.6359876609283</v>
      </c>
      <c r="AU440" s="1">
        <f t="shared" si="960"/>
        <v>0</v>
      </c>
      <c r="AV440" s="1">
        <f t="shared" si="960"/>
        <v>0</v>
      </c>
      <c r="AW440" s="1">
        <f t="shared" si="960"/>
        <v>0</v>
      </c>
      <c r="AX440" s="1">
        <f t="shared" si="856"/>
        <v>-753986.99353516742</v>
      </c>
      <c r="AY440" s="1">
        <f t="shared" si="857"/>
        <v>-26388.49353516733</v>
      </c>
      <c r="AZ440" s="1">
        <f t="shared" si="858"/>
        <v>-727598.50000000012</v>
      </c>
    </row>
    <row r="441" spans="1:52" x14ac:dyDescent="0.25">
      <c r="A441" s="4">
        <v>45453</v>
      </c>
      <c r="B441">
        <f t="shared" ref="B441:N441" si="967">(B991-B990)*100</f>
        <v>0</v>
      </c>
      <c r="C441">
        <f t="shared" si="967"/>
        <v>-1.0000000000000675</v>
      </c>
      <c r="D441">
        <f t="shared" si="967"/>
        <v>0</v>
      </c>
      <c r="E441">
        <f t="shared" si="967"/>
        <v>0.99999999999997868</v>
      </c>
      <c r="F441">
        <f t="shared" si="967"/>
        <v>0</v>
      </c>
      <c r="G441">
        <f t="shared" si="967"/>
        <v>0.99999999999997868</v>
      </c>
      <c r="H441">
        <f t="shared" si="967"/>
        <v>0</v>
      </c>
      <c r="I441">
        <f t="shared" si="967"/>
        <v>3.0000000000000249</v>
      </c>
      <c r="J441">
        <f t="shared" si="967"/>
        <v>-2.0000000000000462</v>
      </c>
      <c r="K441">
        <f t="shared" si="967"/>
        <v>-1.9999999999999574</v>
      </c>
      <c r="L441">
        <f t="shared" si="967"/>
        <v>-4.0000000000000036</v>
      </c>
      <c r="M441">
        <f t="shared" si="967"/>
        <v>-4.0000000000000036</v>
      </c>
      <c r="N441">
        <f t="shared" si="967"/>
        <v>-4.0000000000000036</v>
      </c>
      <c r="O441" s="5">
        <f t="shared" si="954"/>
        <v>1.6231499861941775E-2</v>
      </c>
      <c r="P441" s="5">
        <f t="shared" si="954"/>
        <v>0</v>
      </c>
      <c r="Q441" s="5">
        <f t="shared" si="954"/>
        <v>6.9939922483133543E-3</v>
      </c>
      <c r="R441" s="5">
        <f t="shared" si="954"/>
        <v>6.3711391512537591E-3</v>
      </c>
      <c r="S441" s="5">
        <f t="shared" si="954"/>
        <v>-3.8084060020329752E-3</v>
      </c>
      <c r="T441" s="5">
        <f t="shared" ref="T441:X441" si="968">LN(T990/T991)</f>
        <v>1.0662943021032066E-2</v>
      </c>
      <c r="U441" s="5">
        <f t="shared" si="968"/>
        <v>5.0024342968367445E-3</v>
      </c>
      <c r="V441" s="5">
        <f t="shared" si="968"/>
        <v>7.2696466606018972E-3</v>
      </c>
      <c r="W441" s="5">
        <f t="shared" si="968"/>
        <v>1.3112806990110998E-2</v>
      </c>
      <c r="X441" s="5">
        <f t="shared" si="968"/>
        <v>7.1451647808815711E-3</v>
      </c>
      <c r="Z441" s="4">
        <v>45453</v>
      </c>
      <c r="AA441">
        <f>B441*B$3</f>
        <v>0</v>
      </c>
      <c r="AB441">
        <f>C441*C$3</f>
        <v>2584.0000000001746</v>
      </c>
      <c r="AC441">
        <f>D441*D$3</f>
        <v>0</v>
      </c>
      <c r="AD441">
        <f>E441*E$3</f>
        <v>2427.9999999999482</v>
      </c>
      <c r="AE441">
        <f>F441*F$3</f>
        <v>0</v>
      </c>
      <c r="AF441">
        <f>G441*G$3</f>
        <v>-15627.999999999667</v>
      </c>
      <c r="AG441">
        <f>H441*H$3</f>
        <v>0</v>
      </c>
      <c r="AH441">
        <f>I441*I$3</f>
        <v>-55368.000000000458</v>
      </c>
      <c r="AI441">
        <f>J441*J$3</f>
        <v>102103.00000000236</v>
      </c>
      <c r="AJ441">
        <f>K441*K$3</f>
        <v>156789.99999999665</v>
      </c>
      <c r="AK441">
        <f>L441*L$3</f>
        <v>-124016.00000000012</v>
      </c>
      <c r="AL441">
        <f>M441*M$3</f>
        <v>-128292.00000000012</v>
      </c>
      <c r="AM441">
        <f>N441*N$3</f>
        <v>0</v>
      </c>
      <c r="AN441">
        <f>O441*O$3</f>
        <v>0</v>
      </c>
      <c r="AO441">
        <f>P441*P$3</f>
        <v>0</v>
      </c>
      <c r="AP441">
        <f>Q441*Q$3</f>
        <v>83927.906979760257</v>
      </c>
      <c r="AQ441">
        <f>R441*R$3</f>
        <v>-95567.087268806383</v>
      </c>
      <c r="AR441" s="1">
        <f>S441*S$3</f>
        <v>26658.842014230828</v>
      </c>
      <c r="AS441" s="1">
        <f t="shared" si="960"/>
        <v>42651.772084128264</v>
      </c>
      <c r="AT441" s="1">
        <f t="shared" si="960"/>
        <v>40019.474374693957</v>
      </c>
      <c r="AU441" s="1">
        <f t="shared" si="960"/>
        <v>0</v>
      </c>
      <c r="AV441" s="1">
        <f t="shared" si="960"/>
        <v>0</v>
      </c>
      <c r="AW441" s="1">
        <f t="shared" si="960"/>
        <v>0</v>
      </c>
      <c r="AX441" s="1">
        <f t="shared" si="856"/>
        <v>38291.908184005704</v>
      </c>
      <c r="AY441" s="1">
        <f t="shared" si="857"/>
        <v>97690.908184006927</v>
      </c>
      <c r="AZ441" s="1">
        <f t="shared" si="858"/>
        <v>-59399.000000001222</v>
      </c>
    </row>
    <row r="442" spans="1:52" x14ac:dyDescent="0.25">
      <c r="A442" s="4">
        <v>45450</v>
      </c>
      <c r="B442">
        <f t="shared" ref="B442:N442" si="969">(B992-B991)*100</f>
        <v>1.0000000000000675</v>
      </c>
      <c r="C442">
        <f t="shared" si="969"/>
        <v>0</v>
      </c>
      <c r="D442">
        <f t="shared" si="969"/>
        <v>-0.99999999999997868</v>
      </c>
      <c r="E442">
        <f t="shared" si="969"/>
        <v>-1.9999999999999574</v>
      </c>
      <c r="F442">
        <f t="shared" si="969"/>
        <v>-4.0000000000000036</v>
      </c>
      <c r="G442">
        <f t="shared" si="969"/>
        <v>-8.9999999999999858</v>
      </c>
      <c r="H442">
        <f t="shared" si="969"/>
        <v>-15.000000000000036</v>
      </c>
      <c r="I442">
        <f t="shared" si="969"/>
        <v>-16.000000000000014</v>
      </c>
      <c r="J442">
        <f t="shared" si="969"/>
        <v>-16.999999999999993</v>
      </c>
      <c r="K442">
        <f t="shared" si="969"/>
        <v>-16.999999999999993</v>
      </c>
      <c r="L442">
        <f t="shared" si="969"/>
        <v>-14.999999999999947</v>
      </c>
      <c r="M442">
        <f t="shared" si="969"/>
        <v>-12.999999999999989</v>
      </c>
      <c r="N442">
        <f t="shared" si="969"/>
        <v>-12.000000000000011</v>
      </c>
      <c r="O442" s="5">
        <f t="shared" si="954"/>
        <v>2.2943400566686842E-3</v>
      </c>
      <c r="P442" s="5">
        <f t="shared" si="954"/>
        <v>-6.8384414578068306E-4</v>
      </c>
      <c r="Q442" s="5">
        <f t="shared" si="954"/>
        <v>4.6237766089677482E-3</v>
      </c>
      <c r="R442" s="5">
        <f t="shared" si="954"/>
        <v>0</v>
      </c>
      <c r="S442" s="5">
        <f t="shared" si="954"/>
        <v>2.6191191714238601E-2</v>
      </c>
      <c r="T442" s="5">
        <f t="shared" ref="T442:X442" si="970">LN(T991/T992)</f>
        <v>-1.8284745320387224E-3</v>
      </c>
      <c r="U442" s="5">
        <f t="shared" si="970"/>
        <v>1.1516525108126189E-4</v>
      </c>
      <c r="V442" s="5">
        <f t="shared" si="970"/>
        <v>-1.4889301052892856E-3</v>
      </c>
      <c r="W442" s="5">
        <f t="shared" si="970"/>
        <v>-1.7724788550345988E-3</v>
      </c>
      <c r="X442" s="5">
        <f t="shared" si="970"/>
        <v>-3.1196629794286029E-3</v>
      </c>
      <c r="Z442" s="4">
        <v>45450</v>
      </c>
      <c r="AA442">
        <f>B442*B$3</f>
        <v>-983.00000000006639</v>
      </c>
      <c r="AB442">
        <f>C442*C$3</f>
        <v>0</v>
      </c>
      <c r="AC442">
        <f>D442*D$3</f>
        <v>-16142.999999999656</v>
      </c>
      <c r="AD442">
        <f>E442*E$3</f>
        <v>-4855.9999999998963</v>
      </c>
      <c r="AE442">
        <f>F442*F$3</f>
        <v>49712.000000000044</v>
      </c>
      <c r="AF442">
        <f>G442*G$3</f>
        <v>140651.99999999977</v>
      </c>
      <c r="AG442">
        <f>H442*H$3</f>
        <v>423240.00000000099</v>
      </c>
      <c r="AH442">
        <f>I442*I$3</f>
        <v>295296.00000000029</v>
      </c>
      <c r="AI442">
        <f>J442*J$3</f>
        <v>867875.49999999965</v>
      </c>
      <c r="AJ442">
        <f>K442*K$3</f>
        <v>1332714.9999999995</v>
      </c>
      <c r="AK442">
        <f>L442*L$3</f>
        <v>-465059.99999999837</v>
      </c>
      <c r="AL442">
        <f>M442*M$3</f>
        <v>-416948.99999999965</v>
      </c>
      <c r="AM442">
        <f>N442*N$3</f>
        <v>0</v>
      </c>
      <c r="AN442">
        <f>O442*O$3</f>
        <v>0</v>
      </c>
      <c r="AO442">
        <f>P442*P$3</f>
        <v>3419.2207289034154</v>
      </c>
      <c r="AP442">
        <f>Q442*Q$3</f>
        <v>55485.319307612976</v>
      </c>
      <c r="AQ442">
        <f>R442*R$3</f>
        <v>0</v>
      </c>
      <c r="AR442" s="1">
        <f>S442*S$3</f>
        <v>-183338.3419996702</v>
      </c>
      <c r="AS442" s="1">
        <f t="shared" si="960"/>
        <v>-7313.8981281548895</v>
      </c>
      <c r="AT442" s="1">
        <f t="shared" si="960"/>
        <v>921.32200865009509</v>
      </c>
      <c r="AU442" s="1">
        <f t="shared" si="960"/>
        <v>0</v>
      </c>
      <c r="AV442" s="1">
        <f t="shared" si="960"/>
        <v>0</v>
      </c>
      <c r="AW442" s="1">
        <f t="shared" si="960"/>
        <v>0</v>
      </c>
      <c r="AX442" s="1">
        <f t="shared" si="856"/>
        <v>2074673.1219173439</v>
      </c>
      <c r="AY442" s="1">
        <f t="shared" si="857"/>
        <v>-130826.37808265862</v>
      </c>
      <c r="AZ442" s="1">
        <f t="shared" si="858"/>
        <v>2205499.5000000023</v>
      </c>
    </row>
    <row r="443" spans="1:52" x14ac:dyDescent="0.25">
      <c r="A443" s="4">
        <v>45449</v>
      </c>
      <c r="B443">
        <f t="shared" ref="B443:N443" si="971">(B993-B992)*100</f>
        <v>0</v>
      </c>
      <c r="C443">
        <f t="shared" si="971"/>
        <v>1.0000000000000675</v>
      </c>
      <c r="D443">
        <f t="shared" si="971"/>
        <v>0</v>
      </c>
      <c r="E443">
        <f t="shared" si="971"/>
        <v>0.99999999999997868</v>
      </c>
      <c r="F443">
        <f t="shared" si="971"/>
        <v>0.99999999999997868</v>
      </c>
      <c r="G443">
        <f t="shared" si="971"/>
        <v>0</v>
      </c>
      <c r="H443">
        <f t="shared" si="971"/>
        <v>0</v>
      </c>
      <c r="I443">
        <f t="shared" si="971"/>
        <v>0.99999999999997868</v>
      </c>
      <c r="J443">
        <f t="shared" si="971"/>
        <v>1.9999999999999574</v>
      </c>
      <c r="K443">
        <f t="shared" si="971"/>
        <v>0.99999999999997868</v>
      </c>
      <c r="L443">
        <f t="shared" si="971"/>
        <v>0.99999999999997868</v>
      </c>
      <c r="M443">
        <f t="shared" si="971"/>
        <v>0.99999999999997868</v>
      </c>
      <c r="N443">
        <f t="shared" si="971"/>
        <v>1.0000000000000675</v>
      </c>
      <c r="O443" s="5">
        <f t="shared" si="954"/>
        <v>-3.0327177419855241E-3</v>
      </c>
      <c r="P443" s="5">
        <f t="shared" si="954"/>
        <v>-8.6113067453633845E-4</v>
      </c>
      <c r="Q443" s="5">
        <f t="shared" si="954"/>
        <v>9.7150624216323415E-4</v>
      </c>
      <c r="R443" s="5">
        <f t="shared" si="954"/>
        <v>1.8659208399221868E-3</v>
      </c>
      <c r="S443" s="5">
        <f t="shared" si="954"/>
        <v>2.0056571355714797E-2</v>
      </c>
      <c r="T443" s="5">
        <f t="shared" ref="T443:X443" si="972">LN(T992/T993)</f>
        <v>6.7438925619662008E-4</v>
      </c>
      <c r="U443" s="5">
        <f t="shared" si="972"/>
        <v>-1.7002205392661477E-3</v>
      </c>
      <c r="V443" s="5">
        <f t="shared" si="972"/>
        <v>5.1760294737440114E-3</v>
      </c>
      <c r="W443" s="5">
        <f t="shared" si="972"/>
        <v>-1.742174066350225E-3</v>
      </c>
      <c r="X443" s="5">
        <f t="shared" si="972"/>
        <v>2.8612389785600627E-3</v>
      </c>
      <c r="Z443" s="4">
        <v>45449</v>
      </c>
      <c r="AA443">
        <f>B443*B$3</f>
        <v>0</v>
      </c>
      <c r="AB443">
        <f>C443*C$3</f>
        <v>-2584.0000000001746</v>
      </c>
      <c r="AC443">
        <f>D443*D$3</f>
        <v>0</v>
      </c>
      <c r="AD443">
        <f>E443*E$3</f>
        <v>2427.9999999999482</v>
      </c>
      <c r="AE443">
        <f>F443*F$3</f>
        <v>-12427.999999999734</v>
      </c>
      <c r="AF443">
        <f>G443*G$3</f>
        <v>0</v>
      </c>
      <c r="AG443">
        <f>H443*H$3</f>
        <v>0</v>
      </c>
      <c r="AH443">
        <f>I443*I$3</f>
        <v>-18455.999999999607</v>
      </c>
      <c r="AI443">
        <f>J443*J$3</f>
        <v>-102102.99999999782</v>
      </c>
      <c r="AJ443">
        <f>K443*K$3</f>
        <v>-78394.999999998327</v>
      </c>
      <c r="AK443">
        <f>L443*L$3</f>
        <v>31003.999999999338</v>
      </c>
      <c r="AL443">
        <f>M443*M$3</f>
        <v>32072.999999999316</v>
      </c>
      <c r="AM443">
        <f>N443*N$3</f>
        <v>0</v>
      </c>
      <c r="AN443">
        <f>O443*O$3</f>
        <v>0</v>
      </c>
      <c r="AO443">
        <f>P443*P$3</f>
        <v>4305.6533726816924</v>
      </c>
      <c r="AP443">
        <f>Q443*Q$3</f>
        <v>11658.074905958811</v>
      </c>
      <c r="AQ443">
        <f>R443*R$3</f>
        <v>-27988.812598832803</v>
      </c>
      <c r="AR443" s="1">
        <f>S443*S$3</f>
        <v>-140395.99949000357</v>
      </c>
      <c r="AS443" s="1">
        <f t="shared" si="960"/>
        <v>2697.5570247864803</v>
      </c>
      <c r="AT443" s="1">
        <f t="shared" si="960"/>
        <v>-13601.764314129181</v>
      </c>
      <c r="AU443" s="1">
        <f t="shared" si="960"/>
        <v>0</v>
      </c>
      <c r="AV443" s="1">
        <f t="shared" si="960"/>
        <v>0</v>
      </c>
      <c r="AW443" s="1">
        <f t="shared" si="960"/>
        <v>0</v>
      </c>
      <c r="AX443" s="1">
        <f t="shared" si="856"/>
        <v>-311786.29109953559</v>
      </c>
      <c r="AY443" s="1">
        <f t="shared" si="857"/>
        <v>-163325.29109953859</v>
      </c>
      <c r="AZ443" s="1">
        <f t="shared" si="858"/>
        <v>-148460.999999997</v>
      </c>
    </row>
    <row r="444" spans="1:52" x14ac:dyDescent="0.25">
      <c r="A444" s="4">
        <v>45448</v>
      </c>
      <c r="B444">
        <f t="shared" ref="B444:N444" si="973">(B994-B993)*100</f>
        <v>0</v>
      </c>
      <c r="C444">
        <f t="shared" si="973"/>
        <v>0</v>
      </c>
      <c r="D444">
        <f t="shared" si="973"/>
        <v>0.99999999999997868</v>
      </c>
      <c r="E444">
        <f t="shared" si="973"/>
        <v>-0.99999999999997868</v>
      </c>
      <c r="F444">
        <f t="shared" si="973"/>
        <v>0.99999999999997868</v>
      </c>
      <c r="G444">
        <f t="shared" si="973"/>
        <v>3.0000000000000249</v>
      </c>
      <c r="H444">
        <f t="shared" si="973"/>
        <v>4.9999999999999822</v>
      </c>
      <c r="I444">
        <f t="shared" si="973"/>
        <v>4.9999999999999822</v>
      </c>
      <c r="J444">
        <f t="shared" si="973"/>
        <v>4.0000000000000036</v>
      </c>
      <c r="K444">
        <f t="shared" si="973"/>
        <v>4.0000000000000036</v>
      </c>
      <c r="L444">
        <f t="shared" si="973"/>
        <v>4.0000000000000036</v>
      </c>
      <c r="M444">
        <f t="shared" si="973"/>
        <v>4.0000000000000036</v>
      </c>
      <c r="N444">
        <f t="shared" si="973"/>
        <v>4.0000000000000036</v>
      </c>
      <c r="O444" s="5">
        <f t="shared" si="954"/>
        <v>2.9188246874406547E-3</v>
      </c>
      <c r="P444" s="5">
        <f t="shared" si="954"/>
        <v>4.2666233879180035E-4</v>
      </c>
      <c r="Q444" s="5">
        <f t="shared" si="954"/>
        <v>-2.8345971960849589E-3</v>
      </c>
      <c r="R444" s="5">
        <f t="shared" si="954"/>
        <v>1.067805760830137E-3</v>
      </c>
      <c r="S444" s="5">
        <f t="shared" si="954"/>
        <v>-1.9760241096270004E-2</v>
      </c>
      <c r="T444" s="5">
        <f t="shared" ref="T444:X444" si="974">LN(T993/T994)</f>
        <v>2.3423607924114476E-3</v>
      </c>
      <c r="U444" s="5">
        <f t="shared" si="974"/>
        <v>2.9036304572568794E-3</v>
      </c>
      <c r="V444" s="5">
        <f t="shared" si="974"/>
        <v>-6.1183424649148234E-3</v>
      </c>
      <c r="W444" s="5">
        <f t="shared" si="974"/>
        <v>6.5807088744419574E-3</v>
      </c>
      <c r="X444" s="5">
        <f t="shared" si="974"/>
        <v>-5.6808174538856906E-3</v>
      </c>
      <c r="Z444" s="4">
        <v>45448</v>
      </c>
      <c r="AA444">
        <f>B444*B$3</f>
        <v>0</v>
      </c>
      <c r="AB444">
        <f>C444*C$3</f>
        <v>0</v>
      </c>
      <c r="AC444">
        <f>D444*D$3</f>
        <v>16142.999999999656</v>
      </c>
      <c r="AD444">
        <f>E444*E$3</f>
        <v>-2427.9999999999482</v>
      </c>
      <c r="AE444">
        <f>F444*F$3</f>
        <v>-12427.999999999734</v>
      </c>
      <c r="AF444">
        <f>G444*G$3</f>
        <v>-46884.000000000386</v>
      </c>
      <c r="AG444">
        <f>H444*H$3</f>
        <v>-141079.99999999951</v>
      </c>
      <c r="AH444">
        <f>I444*I$3</f>
        <v>-92279.999999999665</v>
      </c>
      <c r="AI444">
        <f>J444*J$3</f>
        <v>-204206.00000000017</v>
      </c>
      <c r="AJ444">
        <f>K444*K$3</f>
        <v>-313580.00000000029</v>
      </c>
      <c r="AK444">
        <f>L444*L$3</f>
        <v>124016.00000000012</v>
      </c>
      <c r="AL444">
        <f>M444*M$3</f>
        <v>128292.00000000012</v>
      </c>
      <c r="AM444">
        <f>N444*N$3</f>
        <v>0</v>
      </c>
      <c r="AN444">
        <f>O444*O$3</f>
        <v>0</v>
      </c>
      <c r="AO444">
        <f>P444*P$3</f>
        <v>-2133.3116939590018</v>
      </c>
      <c r="AP444">
        <f>Q444*Q$3</f>
        <v>-34015.166353019507</v>
      </c>
      <c r="AQ444">
        <f>R444*R$3</f>
        <v>-16017.086412452054</v>
      </c>
      <c r="AR444" s="1">
        <f>S444*S$3</f>
        <v>138321.68767389003</v>
      </c>
      <c r="AS444" s="1">
        <f t="shared" si="960"/>
        <v>9369.4431696457905</v>
      </c>
      <c r="AT444" s="1">
        <f t="shared" si="960"/>
        <v>23229.043658055034</v>
      </c>
      <c r="AU444" s="1">
        <f t="shared" si="960"/>
        <v>0</v>
      </c>
      <c r="AV444" s="1">
        <f t="shared" si="960"/>
        <v>0</v>
      </c>
      <c r="AW444" s="1">
        <f t="shared" si="960"/>
        <v>0</v>
      </c>
      <c r="AX444" s="1">
        <f t="shared" si="856"/>
        <v>-425680.38995783956</v>
      </c>
      <c r="AY444" s="1">
        <f t="shared" si="857"/>
        <v>118754.61004216029</v>
      </c>
      <c r="AZ444" s="1">
        <f t="shared" si="858"/>
        <v>-544434.99999999988</v>
      </c>
    </row>
    <row r="445" spans="1:52" x14ac:dyDescent="0.25">
      <c r="A445" s="4">
        <v>45447</v>
      </c>
      <c r="B445">
        <f t="shared" ref="B445:N445" si="975">(B995-B994)*100</f>
        <v>0.99999999999997868</v>
      </c>
      <c r="C445">
        <f t="shared" si="975"/>
        <v>0.99999999999997868</v>
      </c>
      <c r="D445">
        <f t="shared" si="975"/>
        <v>0</v>
      </c>
      <c r="E445">
        <f t="shared" si="975"/>
        <v>0.99999999999997868</v>
      </c>
      <c r="F445">
        <f t="shared" si="975"/>
        <v>0.99999999999997868</v>
      </c>
      <c r="G445">
        <f t="shared" si="975"/>
        <v>2.9999999999999361</v>
      </c>
      <c r="H445">
        <f t="shared" si="975"/>
        <v>5.0000000000000711</v>
      </c>
      <c r="I445">
        <f t="shared" si="975"/>
        <v>7.0000000000000284</v>
      </c>
      <c r="J445">
        <f t="shared" si="975"/>
        <v>7.0000000000000284</v>
      </c>
      <c r="K445">
        <f t="shared" si="975"/>
        <v>8.0000000000000071</v>
      </c>
      <c r="L445">
        <f t="shared" si="975"/>
        <v>8.0000000000000071</v>
      </c>
      <c r="M445">
        <f t="shared" si="975"/>
        <v>7.0000000000000284</v>
      </c>
      <c r="N445">
        <f t="shared" si="975"/>
        <v>6.9999999999999396</v>
      </c>
      <c r="O445" s="5">
        <f t="shared" ref="O445:S454" si="976">LN(O994/O995)</f>
        <v>5.9778958454036321E-3</v>
      </c>
      <c r="P445" s="5">
        <f t="shared" si="976"/>
        <v>1.8277639336590577E-2</v>
      </c>
      <c r="Q445" s="5">
        <f t="shared" si="976"/>
        <v>-9.6783257891865926E-3</v>
      </c>
      <c r="R445" s="5">
        <f t="shared" si="976"/>
        <v>4.5509381182243696E-3</v>
      </c>
      <c r="S445" s="5">
        <f t="shared" si="976"/>
        <v>9.4784244137111773E-3</v>
      </c>
      <c r="T445" s="5">
        <f t="shared" ref="T445:X445" si="977">LN(T994/T995)</f>
        <v>-4.993990868638813E-3</v>
      </c>
      <c r="U445" s="5">
        <f t="shared" si="977"/>
        <v>-5.2001042532486405E-3</v>
      </c>
      <c r="V445" s="5">
        <f t="shared" si="977"/>
        <v>-7.0485049270665534E-3</v>
      </c>
      <c r="W445" s="5">
        <f t="shared" si="977"/>
        <v>-4.9717586259092452E-3</v>
      </c>
      <c r="X445" s="5">
        <f t="shared" si="977"/>
        <v>-7.0142605559836754E-3</v>
      </c>
      <c r="Z445" s="4">
        <v>45447</v>
      </c>
      <c r="AA445">
        <f>B445*B$3</f>
        <v>-982.99999999997908</v>
      </c>
      <c r="AB445">
        <f>C445*C$3</f>
        <v>-2583.999999999945</v>
      </c>
      <c r="AC445">
        <f>D445*D$3</f>
        <v>0</v>
      </c>
      <c r="AD445">
        <f>E445*E$3</f>
        <v>2427.9999999999482</v>
      </c>
      <c r="AE445">
        <f>F445*F$3</f>
        <v>-12427.999999999734</v>
      </c>
      <c r="AF445">
        <f>G445*G$3</f>
        <v>-46883.999999999003</v>
      </c>
      <c r="AG445">
        <f>H445*H$3</f>
        <v>-141080.00000000201</v>
      </c>
      <c r="AH445">
        <f>I445*I$3</f>
        <v>-129192.00000000052</v>
      </c>
      <c r="AI445">
        <f>J445*J$3</f>
        <v>-357360.50000000146</v>
      </c>
      <c r="AJ445">
        <f>K445*K$3</f>
        <v>-627160.00000000058</v>
      </c>
      <c r="AK445">
        <f>L445*L$3</f>
        <v>248032.00000000023</v>
      </c>
      <c r="AL445">
        <f>M445*M$3</f>
        <v>224511.0000000009</v>
      </c>
      <c r="AM445">
        <f>N445*N$3</f>
        <v>0</v>
      </c>
      <c r="AN445">
        <f>O445*O$3</f>
        <v>0</v>
      </c>
      <c r="AO445">
        <f>P445*P$3</f>
        <v>-91388.196682952883</v>
      </c>
      <c r="AP445">
        <f>Q445*Q$3</f>
        <v>-116139.90947023912</v>
      </c>
      <c r="AQ445">
        <f>R445*R$3</f>
        <v>-68264.071773365547</v>
      </c>
      <c r="AR445" s="1">
        <f>S445*S$3</f>
        <v>-66348.970895978244</v>
      </c>
      <c r="AS445" s="1">
        <f t="shared" si="960"/>
        <v>-19975.96347455525</v>
      </c>
      <c r="AT445" s="1">
        <f t="shared" si="960"/>
        <v>-41600.834025989127</v>
      </c>
      <c r="AU445" s="1">
        <f t="shared" si="960"/>
        <v>0</v>
      </c>
      <c r="AV445" s="1">
        <f t="shared" si="960"/>
        <v>0</v>
      </c>
      <c r="AW445" s="1">
        <f t="shared" si="960"/>
        <v>0</v>
      </c>
      <c r="AX445" s="1">
        <f t="shared" si="856"/>
        <v>-1246418.4463230821</v>
      </c>
      <c r="AY445" s="1">
        <f t="shared" si="857"/>
        <v>-403717.9463230801</v>
      </c>
      <c r="AZ445" s="1">
        <f t="shared" si="858"/>
        <v>-842700.50000000198</v>
      </c>
    </row>
    <row r="446" spans="1:52" x14ac:dyDescent="0.25">
      <c r="A446" s="4">
        <v>45446</v>
      </c>
      <c r="B446">
        <f t="shared" ref="B446:N446" si="978">(B996-B995)*100</f>
        <v>-0.99999999999997868</v>
      </c>
      <c r="C446">
        <f t="shared" si="978"/>
        <v>-0.99999999999997868</v>
      </c>
      <c r="D446">
        <f t="shared" si="978"/>
        <v>-5.9999999999999609</v>
      </c>
      <c r="E446">
        <f t="shared" si="978"/>
        <v>0</v>
      </c>
      <c r="F446">
        <f t="shared" si="978"/>
        <v>3.0000000000000249</v>
      </c>
      <c r="G446">
        <f t="shared" si="978"/>
        <v>4.0000000000000036</v>
      </c>
      <c r="H446">
        <f t="shared" si="978"/>
        <v>6.9999999999999396</v>
      </c>
      <c r="I446">
        <f t="shared" si="978"/>
        <v>7.0000000000000284</v>
      </c>
      <c r="J446">
        <f t="shared" si="978"/>
        <v>9.9999999999999645</v>
      </c>
      <c r="K446">
        <f t="shared" si="978"/>
        <v>10.999999999999943</v>
      </c>
      <c r="L446">
        <f t="shared" si="978"/>
        <v>9.9999999999999645</v>
      </c>
      <c r="M446">
        <f t="shared" si="978"/>
        <v>10.000000000000053</v>
      </c>
      <c r="N446">
        <f t="shared" si="978"/>
        <v>10.000000000000053</v>
      </c>
      <c r="O446" s="5">
        <f t="shared" si="976"/>
        <v>-8.2074386902078423E-4</v>
      </c>
      <c r="P446" s="5">
        <f t="shared" si="976"/>
        <v>0</v>
      </c>
      <c r="Q446" s="5">
        <f t="shared" si="976"/>
        <v>-1.3189809787937544E-3</v>
      </c>
      <c r="R446" s="5">
        <f t="shared" si="976"/>
        <v>1.0738256065415915E-3</v>
      </c>
      <c r="S446" s="5">
        <f t="shared" si="976"/>
        <v>4.3019928537908148E-2</v>
      </c>
      <c r="T446" s="5">
        <f t="shared" ref="T446:X446" si="979">LN(T995/T996)</f>
        <v>-1.6266164009211791E-3</v>
      </c>
      <c r="U446" s="5">
        <f t="shared" si="979"/>
        <v>-1.0444910090581169E-3</v>
      </c>
      <c r="V446" s="5">
        <f t="shared" si="979"/>
        <v>1.4451827014426229E-3</v>
      </c>
      <c r="W446" s="5">
        <f t="shared" si="979"/>
        <v>-4.004091078232172E-3</v>
      </c>
      <c r="X446" s="5">
        <f t="shared" si="979"/>
        <v>-2.2054616205299609E-3</v>
      </c>
      <c r="Z446" s="4">
        <v>45446</v>
      </c>
      <c r="AA446">
        <f>B446*B$3</f>
        <v>982.99999999997908</v>
      </c>
      <c r="AB446">
        <f>C446*C$3</f>
        <v>2583.999999999945</v>
      </c>
      <c r="AC446">
        <f>D446*D$3</f>
        <v>-96857.999999999374</v>
      </c>
      <c r="AD446">
        <f>E446*E$3</f>
        <v>0</v>
      </c>
      <c r="AE446">
        <f>F446*F$3</f>
        <v>-37284.000000000306</v>
      </c>
      <c r="AF446">
        <f>G446*G$3</f>
        <v>-62512.000000000058</v>
      </c>
      <c r="AG446">
        <f>H446*H$3</f>
        <v>-197511.99999999828</v>
      </c>
      <c r="AH446">
        <f>I446*I$3</f>
        <v>-129192.00000000052</v>
      </c>
      <c r="AI446">
        <f>J446*J$3</f>
        <v>-510514.9999999982</v>
      </c>
      <c r="AJ446">
        <f>K446*K$3</f>
        <v>-862344.99999999558</v>
      </c>
      <c r="AK446">
        <f>L446*L$3</f>
        <v>310039.99999999889</v>
      </c>
      <c r="AL446">
        <f>M446*M$3</f>
        <v>320730.00000000169</v>
      </c>
      <c r="AM446">
        <f>N446*N$3</f>
        <v>0</v>
      </c>
      <c r="AN446">
        <f>O446*O$3</f>
        <v>0</v>
      </c>
      <c r="AO446">
        <f>P446*P$3</f>
        <v>0</v>
      </c>
      <c r="AP446">
        <f>Q446*Q$3</f>
        <v>-15827.771745525053</v>
      </c>
      <c r="AQ446">
        <f>R446*R$3</f>
        <v>-16107.384098123874</v>
      </c>
      <c r="AR446" s="1">
        <f>S446*S$3</f>
        <v>-301139.49976535706</v>
      </c>
      <c r="AS446" s="1">
        <f t="shared" si="960"/>
        <v>-6506.4656036847164</v>
      </c>
      <c r="AT446" s="1">
        <f t="shared" si="960"/>
        <v>-8355.9280724649361</v>
      </c>
      <c r="AU446" s="1">
        <f t="shared" si="960"/>
        <v>0</v>
      </c>
      <c r="AV446" s="1">
        <f t="shared" si="960"/>
        <v>0</v>
      </c>
      <c r="AW446" s="1">
        <f t="shared" si="960"/>
        <v>0</v>
      </c>
      <c r="AX446" s="1">
        <f t="shared" si="856"/>
        <v>-1609818.0492851476</v>
      </c>
      <c r="AY446" s="1">
        <f t="shared" si="857"/>
        <v>-347937.04928515566</v>
      </c>
      <c r="AZ446" s="1">
        <f t="shared" si="858"/>
        <v>-1261880.9999999919</v>
      </c>
    </row>
    <row r="447" spans="1:52" x14ac:dyDescent="0.25">
      <c r="A447" s="4">
        <v>45443</v>
      </c>
      <c r="B447">
        <f t="shared" ref="B447:N447" si="980">(B997-B996)*100</f>
        <v>0</v>
      </c>
      <c r="C447">
        <f t="shared" si="980"/>
        <v>0</v>
      </c>
      <c r="D447">
        <f t="shared" si="980"/>
        <v>0</v>
      </c>
      <c r="E447">
        <f t="shared" si="980"/>
        <v>2.0000000000000462</v>
      </c>
      <c r="F447">
        <f t="shared" si="980"/>
        <v>0</v>
      </c>
      <c r="G447">
        <f t="shared" si="980"/>
        <v>1.0000000000000675</v>
      </c>
      <c r="H447">
        <f t="shared" si="980"/>
        <v>3.0000000000000249</v>
      </c>
      <c r="I447">
        <f t="shared" si="980"/>
        <v>4.9999999999999822</v>
      </c>
      <c r="J447">
        <f t="shared" si="980"/>
        <v>5.0000000000000711</v>
      </c>
      <c r="K447">
        <f t="shared" si="980"/>
        <v>5.0000000000000711</v>
      </c>
      <c r="L447">
        <f t="shared" si="980"/>
        <v>4.0000000000000036</v>
      </c>
      <c r="M447">
        <f t="shared" si="980"/>
        <v>2.9999999999999361</v>
      </c>
      <c r="N447">
        <f t="shared" si="980"/>
        <v>4.0000000000000036</v>
      </c>
      <c r="O447" s="5">
        <f t="shared" si="976"/>
        <v>8.507265195503641E-3</v>
      </c>
      <c r="P447" s="5">
        <f t="shared" si="976"/>
        <v>-1.2417090070895062E-4</v>
      </c>
      <c r="Q447" s="5">
        <f t="shared" si="976"/>
        <v>1.129472747175536E-2</v>
      </c>
      <c r="R447" s="5">
        <f t="shared" si="976"/>
        <v>-6.4257249209704447E-3</v>
      </c>
      <c r="S447" s="5">
        <f t="shared" si="976"/>
        <v>-1.9429257143866135E-3</v>
      </c>
      <c r="T447" s="5">
        <f t="shared" ref="T447:X447" si="981">LN(T996/T997)</f>
        <v>-3.1049095212828354E-3</v>
      </c>
      <c r="U447" s="5">
        <f t="shared" si="981"/>
        <v>-2.5504797965044367E-3</v>
      </c>
      <c r="V447" s="5">
        <f t="shared" si="981"/>
        <v>-4.1645322611051231E-3</v>
      </c>
      <c r="W447" s="5">
        <f t="shared" si="981"/>
        <v>-2.5070505608082291E-3</v>
      </c>
      <c r="X447" s="5">
        <f t="shared" si="981"/>
        <v>-1.0451018299980887E-2</v>
      </c>
      <c r="Z447" s="4">
        <v>45443</v>
      </c>
      <c r="AA447">
        <f>B447*B$3</f>
        <v>0</v>
      </c>
      <c r="AB447">
        <f>C447*C$3</f>
        <v>0</v>
      </c>
      <c r="AC447">
        <f>D447*D$3</f>
        <v>0</v>
      </c>
      <c r="AD447">
        <f>E447*E$3</f>
        <v>4856.0000000001119</v>
      </c>
      <c r="AE447">
        <f>F447*F$3</f>
        <v>0</v>
      </c>
      <c r="AF447">
        <f>G447*G$3</f>
        <v>-15628.000000001055</v>
      </c>
      <c r="AG447">
        <f>H447*H$3</f>
        <v>-84648.000000000698</v>
      </c>
      <c r="AH447">
        <f>I447*I$3</f>
        <v>-92279.999999999665</v>
      </c>
      <c r="AI447">
        <f>J447*J$3</f>
        <v>-255257.50000000364</v>
      </c>
      <c r="AJ447">
        <f>K447*K$3</f>
        <v>-391975.00000000559</v>
      </c>
      <c r="AK447">
        <f>L447*L$3</f>
        <v>124016.00000000012</v>
      </c>
      <c r="AL447">
        <f>M447*M$3</f>
        <v>96218.999999997948</v>
      </c>
      <c r="AM447">
        <f>N447*N$3</f>
        <v>0</v>
      </c>
      <c r="AN447">
        <f>O447*O$3</f>
        <v>0</v>
      </c>
      <c r="AO447">
        <f>P447*P$3</f>
        <v>620.85450354475313</v>
      </c>
      <c r="AP447">
        <f>Q447*Q$3</f>
        <v>135536.72966106431</v>
      </c>
      <c r="AQ447">
        <f>R447*R$3</f>
        <v>96385.873814556675</v>
      </c>
      <c r="AR447" s="1">
        <f>S447*S$3</f>
        <v>13600.480000706295</v>
      </c>
      <c r="AS447" s="1">
        <f t="shared" si="960"/>
        <v>-12419.638085131341</v>
      </c>
      <c r="AT447" s="1">
        <f t="shared" si="960"/>
        <v>-20403.838372035494</v>
      </c>
      <c r="AU447" s="1">
        <f t="shared" si="960"/>
        <v>0</v>
      </c>
      <c r="AV447" s="1">
        <f t="shared" si="960"/>
        <v>0</v>
      </c>
      <c r="AW447" s="1">
        <f t="shared" si="960"/>
        <v>0</v>
      </c>
      <c r="AX447" s="1">
        <f t="shared" si="856"/>
        <v>-401377.03847730724</v>
      </c>
      <c r="AY447" s="1">
        <f t="shared" si="857"/>
        <v>213320.46152270518</v>
      </c>
      <c r="AZ447" s="1">
        <f t="shared" si="858"/>
        <v>-614697.50000001246</v>
      </c>
    </row>
    <row r="448" spans="1:52" x14ac:dyDescent="0.25">
      <c r="A448" s="4">
        <v>45442</v>
      </c>
      <c r="B448">
        <f t="shared" ref="B448:N448" si="982">(B998-B997)*100</f>
        <v>1.9999999999999574</v>
      </c>
      <c r="C448">
        <f t="shared" si="982"/>
        <v>0</v>
      </c>
      <c r="D448">
        <f t="shared" si="982"/>
        <v>0</v>
      </c>
      <c r="E448">
        <f t="shared" si="982"/>
        <v>-1.0000000000000675</v>
      </c>
      <c r="F448">
        <f t="shared" si="982"/>
        <v>0.99999999999997868</v>
      </c>
      <c r="G448">
        <f t="shared" si="982"/>
        <v>2.9999999999999361</v>
      </c>
      <c r="H448">
        <f t="shared" si="982"/>
        <v>4.0000000000000036</v>
      </c>
      <c r="I448">
        <f t="shared" si="982"/>
        <v>4.9999999999999822</v>
      </c>
      <c r="J448">
        <f t="shared" si="982"/>
        <v>5.9999999999999609</v>
      </c>
      <c r="K448">
        <f t="shared" si="982"/>
        <v>5.9999999999999609</v>
      </c>
      <c r="L448">
        <f t="shared" si="982"/>
        <v>6.0000000000000497</v>
      </c>
      <c r="M448">
        <f t="shared" si="982"/>
        <v>6.0000000000000497</v>
      </c>
      <c r="N448">
        <f t="shared" si="982"/>
        <v>4.9999999999999822</v>
      </c>
      <c r="O448" s="5">
        <f t="shared" si="976"/>
        <v>0</v>
      </c>
      <c r="P448" s="5">
        <f t="shared" si="976"/>
        <v>-2.8723182188526938E-3</v>
      </c>
      <c r="Q448" s="5">
        <f t="shared" si="976"/>
        <v>1.0566052447445936E-2</v>
      </c>
      <c r="R448" s="5">
        <f t="shared" si="976"/>
        <v>-2.665246780281579E-3</v>
      </c>
      <c r="S448" s="5">
        <f t="shared" si="976"/>
        <v>2.6798693184953166E-3</v>
      </c>
      <c r="T448" s="5">
        <f t="shared" ref="T448:X448" si="983">LN(T997/T998)</f>
        <v>4.6229986676961671E-3</v>
      </c>
      <c r="U448" s="5">
        <f t="shared" si="983"/>
        <v>4.7424653847226257E-3</v>
      </c>
      <c r="V448" s="5">
        <f t="shared" si="983"/>
        <v>2.1977860413669621E-3</v>
      </c>
      <c r="W448" s="5">
        <f t="shared" si="983"/>
        <v>5.172726225708791E-3</v>
      </c>
      <c r="X448" s="5">
        <f t="shared" si="983"/>
        <v>5.5891705188213805E-4</v>
      </c>
      <c r="Z448" s="4">
        <v>45442</v>
      </c>
      <c r="AA448">
        <f>B448*B$3</f>
        <v>-1965.9999999999582</v>
      </c>
      <c r="AB448">
        <f>C448*C$3</f>
        <v>0</v>
      </c>
      <c r="AC448">
        <f>D448*D$3</f>
        <v>0</v>
      </c>
      <c r="AD448">
        <f>E448*E$3</f>
        <v>-2428.0000000001637</v>
      </c>
      <c r="AE448">
        <f>F448*F$3</f>
        <v>-12427.999999999734</v>
      </c>
      <c r="AF448">
        <f>G448*G$3</f>
        <v>-46883.999999999003</v>
      </c>
      <c r="AG448">
        <f>H448*H$3</f>
        <v>-112864.0000000001</v>
      </c>
      <c r="AH448">
        <f>I448*I$3</f>
        <v>-92279.999999999665</v>
      </c>
      <c r="AI448">
        <f>J448*J$3</f>
        <v>-306308.99999999802</v>
      </c>
      <c r="AJ448">
        <f>K448*K$3</f>
        <v>-470369.99999999691</v>
      </c>
      <c r="AK448">
        <f>L448*L$3</f>
        <v>186024.00000000154</v>
      </c>
      <c r="AL448">
        <f>M448*M$3</f>
        <v>192438.0000000016</v>
      </c>
      <c r="AM448">
        <f>N448*N$3</f>
        <v>0</v>
      </c>
      <c r="AN448">
        <f>O448*O$3</f>
        <v>0</v>
      </c>
      <c r="AO448">
        <f>P448*P$3</f>
        <v>14361.591094263469</v>
      </c>
      <c r="AP448">
        <f>Q448*Q$3</f>
        <v>126792.62936935123</v>
      </c>
      <c r="AQ448">
        <f>R448*R$3</f>
        <v>39978.701704223684</v>
      </c>
      <c r="AR448" s="1">
        <f>S448*S$3</f>
        <v>-18759.085229467215</v>
      </c>
      <c r="AS448" s="1">
        <f t="shared" si="960"/>
        <v>18491.994670784668</v>
      </c>
      <c r="AT448" s="1">
        <f t="shared" si="960"/>
        <v>37939.723077781004</v>
      </c>
      <c r="AU448" s="1">
        <f t="shared" si="960"/>
        <v>0</v>
      </c>
      <c r="AV448" s="1">
        <f t="shared" si="960"/>
        <v>0</v>
      </c>
      <c r="AW448" s="1">
        <f t="shared" si="960"/>
        <v>0</v>
      </c>
      <c r="AX448" s="1">
        <f t="shared" si="856"/>
        <v>-448261.44531305344</v>
      </c>
      <c r="AY448" s="1">
        <f t="shared" si="857"/>
        <v>218805.55468693681</v>
      </c>
      <c r="AZ448" s="1">
        <f t="shared" si="858"/>
        <v>-667066.99999999022</v>
      </c>
    </row>
    <row r="449" spans="1:52" x14ac:dyDescent="0.25">
      <c r="A449" s="4">
        <v>45441</v>
      </c>
      <c r="B449">
        <f t="shared" ref="B449:N449" si="984">(B999-B998)*100</f>
        <v>0</v>
      </c>
      <c r="C449">
        <f t="shared" si="984"/>
        <v>0</v>
      </c>
      <c r="D449">
        <f t="shared" si="984"/>
        <v>0</v>
      </c>
      <c r="E449">
        <f t="shared" si="984"/>
        <v>4.0000000000000036</v>
      </c>
      <c r="F449">
        <f t="shared" si="984"/>
        <v>0</v>
      </c>
      <c r="G449">
        <f t="shared" si="984"/>
        <v>-0.99999999999997868</v>
      </c>
      <c r="H449">
        <f t="shared" si="984"/>
        <v>-1.9999999999999574</v>
      </c>
      <c r="I449">
        <f t="shared" si="984"/>
        <v>-4.0000000000000036</v>
      </c>
      <c r="J449">
        <f t="shared" si="984"/>
        <v>-7.0000000000000284</v>
      </c>
      <c r="K449">
        <f t="shared" si="984"/>
        <v>-7.0000000000000284</v>
      </c>
      <c r="L449">
        <f t="shared" si="984"/>
        <v>-7.0000000000000284</v>
      </c>
      <c r="M449">
        <f t="shared" si="984"/>
        <v>-8.0000000000000071</v>
      </c>
      <c r="N449">
        <f t="shared" si="984"/>
        <v>-8.0000000000000071</v>
      </c>
      <c r="O449" s="5">
        <f t="shared" si="976"/>
        <v>8.3861984761574287E-3</v>
      </c>
      <c r="P449" s="5">
        <f t="shared" si="976"/>
        <v>8.9905130597721979E-3</v>
      </c>
      <c r="Q449" s="5">
        <f t="shared" si="976"/>
        <v>-2.3910020788097822E-3</v>
      </c>
      <c r="R449" s="5">
        <f t="shared" si="976"/>
        <v>2.3984022156560555E-3</v>
      </c>
      <c r="S449" s="5">
        <f t="shared" si="976"/>
        <v>8.9335499323561929E-3</v>
      </c>
      <c r="T449" s="5">
        <f t="shared" ref="T449:X449" si="985">LN(T998/T999)</f>
        <v>9.2287470195795006E-4</v>
      </c>
      <c r="U449" s="5">
        <f t="shared" si="985"/>
        <v>1.0979269783871184E-3</v>
      </c>
      <c r="V449" s="5">
        <f t="shared" si="985"/>
        <v>2.6550980372769908E-3</v>
      </c>
      <c r="W449" s="5">
        <f t="shared" si="985"/>
        <v>1.1453526347324154E-3</v>
      </c>
      <c r="X449" s="5">
        <f t="shared" si="985"/>
        <v>-9.9704056761167298E-4</v>
      </c>
      <c r="Z449" s="4">
        <v>45441</v>
      </c>
      <c r="AA449">
        <f>B449*B$3</f>
        <v>0</v>
      </c>
      <c r="AB449">
        <f>C449*C$3</f>
        <v>0</v>
      </c>
      <c r="AC449">
        <f>D449*D$3</f>
        <v>0</v>
      </c>
      <c r="AD449">
        <f>E449*E$3</f>
        <v>9712.0000000000091</v>
      </c>
      <c r="AE449">
        <f>F449*F$3</f>
        <v>0</v>
      </c>
      <c r="AF449">
        <f>G449*G$3</f>
        <v>15627.999999999667</v>
      </c>
      <c r="AG449">
        <f>H449*H$3</f>
        <v>56431.999999998799</v>
      </c>
      <c r="AH449">
        <f>I449*I$3</f>
        <v>73824.000000000073</v>
      </c>
      <c r="AI449">
        <f>J449*J$3</f>
        <v>357360.50000000146</v>
      </c>
      <c r="AJ449">
        <f>K449*K$3</f>
        <v>548765.00000000221</v>
      </c>
      <c r="AK449">
        <f>L449*L$3</f>
        <v>-217028.00000000087</v>
      </c>
      <c r="AL449">
        <f>M449*M$3</f>
        <v>-256584.00000000023</v>
      </c>
      <c r="AM449">
        <f>N449*N$3</f>
        <v>0</v>
      </c>
      <c r="AN449">
        <f>O449*O$3</f>
        <v>0</v>
      </c>
      <c r="AO449">
        <f>P449*P$3</f>
        <v>-44952.565298860987</v>
      </c>
      <c r="AP449">
        <f>Q449*Q$3</f>
        <v>-28692.024945717385</v>
      </c>
      <c r="AQ449">
        <f>R449*R$3</f>
        <v>-35976.033234840834</v>
      </c>
      <c r="AR449" s="1">
        <f>S449*S$3</f>
        <v>-62534.849526493352</v>
      </c>
      <c r="AS449" s="1">
        <f t="shared" si="960"/>
        <v>3691.4988078318001</v>
      </c>
      <c r="AT449" s="1">
        <f t="shared" si="960"/>
        <v>8783.4158270969474</v>
      </c>
      <c r="AU449" s="1">
        <f t="shared" si="960"/>
        <v>0</v>
      </c>
      <c r="AV449" s="1">
        <f t="shared" si="960"/>
        <v>0</v>
      </c>
      <c r="AW449" s="1">
        <f t="shared" si="960"/>
        <v>0</v>
      </c>
      <c r="AX449" s="1">
        <f t="shared" si="856"/>
        <v>428428.94162901735</v>
      </c>
      <c r="AY449" s="1">
        <f t="shared" si="857"/>
        <v>-159680.55837098381</v>
      </c>
      <c r="AZ449" s="1">
        <f t="shared" si="858"/>
        <v>588109.50000000116</v>
      </c>
    </row>
    <row r="450" spans="1:52" x14ac:dyDescent="0.25">
      <c r="A450" s="4">
        <v>45440</v>
      </c>
      <c r="B450">
        <f t="shared" ref="B450:N450" si="986">(B1000-B999)*100</f>
        <v>5.9999999999999609</v>
      </c>
      <c r="C450">
        <f t="shared" si="986"/>
        <v>4.9999999999999822</v>
      </c>
      <c r="D450">
        <f t="shared" si="986"/>
        <v>0</v>
      </c>
      <c r="E450">
        <f t="shared" si="986"/>
        <v>0</v>
      </c>
      <c r="F450">
        <f t="shared" si="986"/>
        <v>1.0000000000000675</v>
      </c>
      <c r="G450">
        <f t="shared" si="986"/>
        <v>0</v>
      </c>
      <c r="H450">
        <f t="shared" si="986"/>
        <v>-1.0000000000000675</v>
      </c>
      <c r="I450">
        <f t="shared" si="986"/>
        <v>-4.0000000000000036</v>
      </c>
      <c r="J450">
        <f t="shared" si="986"/>
        <v>-2.9999999999999361</v>
      </c>
      <c r="K450">
        <f t="shared" si="986"/>
        <v>-6.9999999999999396</v>
      </c>
      <c r="L450">
        <f t="shared" si="986"/>
        <v>-8.0000000000000071</v>
      </c>
      <c r="M450">
        <f t="shared" si="986"/>
        <v>-8.9999999999999858</v>
      </c>
      <c r="N450">
        <f t="shared" si="986"/>
        <v>-8.9999999999999858</v>
      </c>
      <c r="O450" s="5">
        <f t="shared" si="976"/>
        <v>5.8229815309934535E-4</v>
      </c>
      <c r="P450" s="5">
        <f t="shared" si="976"/>
        <v>-8.474517176290516E-3</v>
      </c>
      <c r="Q450" s="5">
        <f t="shared" si="976"/>
        <v>-9.5842611136755292E-3</v>
      </c>
      <c r="R450" s="5">
        <f t="shared" si="976"/>
        <v>1.8694090101667061E-3</v>
      </c>
      <c r="S450" s="5">
        <f t="shared" si="976"/>
        <v>6.6091568404231631E-3</v>
      </c>
      <c r="T450" s="5">
        <f t="shared" ref="T450:X450" si="987">LN(T999/T1000)</f>
        <v>-4.5407748814715303E-3</v>
      </c>
      <c r="U450" s="5">
        <f t="shared" si="987"/>
        <v>-6.1501518212652489E-3</v>
      </c>
      <c r="V450" s="5">
        <f t="shared" si="987"/>
        <v>-8.1579759675096781E-4</v>
      </c>
      <c r="W450" s="5">
        <f t="shared" si="987"/>
        <v>-8.1662255978813166E-3</v>
      </c>
      <c r="X450" s="5">
        <f t="shared" si="987"/>
        <v>-1.2366253722872272E-3</v>
      </c>
      <c r="Z450" s="4">
        <v>45440</v>
      </c>
      <c r="AA450">
        <f>B450*B$3</f>
        <v>-5897.9999999999618</v>
      </c>
      <c r="AB450">
        <f>C450*C$3</f>
        <v>-12919.999999999955</v>
      </c>
      <c r="AC450">
        <f>D450*D$3</f>
        <v>0</v>
      </c>
      <c r="AD450">
        <f>E450*E$3</f>
        <v>0</v>
      </c>
      <c r="AE450">
        <f>F450*F$3</f>
        <v>-12428.000000000839</v>
      </c>
      <c r="AF450">
        <f>G450*G$3</f>
        <v>0</v>
      </c>
      <c r="AG450">
        <f>H450*H$3</f>
        <v>28216.000000001906</v>
      </c>
      <c r="AH450">
        <f>I450*I$3</f>
        <v>73824.000000000073</v>
      </c>
      <c r="AI450">
        <f>J450*J$3</f>
        <v>153154.49999999674</v>
      </c>
      <c r="AJ450">
        <f>K450*K$3</f>
        <v>548764.99999999523</v>
      </c>
      <c r="AK450">
        <f>L450*L$3</f>
        <v>-248032.00000000023</v>
      </c>
      <c r="AL450">
        <f>M450*M$3</f>
        <v>-288656.99999999953</v>
      </c>
      <c r="AM450">
        <f>N450*N$3</f>
        <v>0</v>
      </c>
      <c r="AN450">
        <f>O450*O$3</f>
        <v>0</v>
      </c>
      <c r="AO450">
        <f>P450*P$3</f>
        <v>42372.585881452578</v>
      </c>
      <c r="AP450">
        <f>Q450*Q$3</f>
        <v>-115011.13336410635</v>
      </c>
      <c r="AQ450">
        <f>R450*R$3</f>
        <v>-28041.135152500592</v>
      </c>
      <c r="AR450" s="1">
        <f>S450*S$3</f>
        <v>-46264.097882962138</v>
      </c>
      <c r="AS450" s="1">
        <f t="shared" si="960"/>
        <v>-18163.099525886122</v>
      </c>
      <c r="AT450" s="1">
        <f t="shared" si="960"/>
        <v>-49201.214570121992</v>
      </c>
      <c r="AU450" s="1">
        <f t="shared" si="960"/>
        <v>0</v>
      </c>
      <c r="AV450" s="1">
        <f t="shared" si="960"/>
        <v>0</v>
      </c>
      <c r="AW450" s="1">
        <f t="shared" si="960"/>
        <v>0</v>
      </c>
      <c r="AX450" s="1">
        <f t="shared" si="856"/>
        <v>21716.405385868879</v>
      </c>
      <c r="AY450" s="1">
        <f t="shared" si="857"/>
        <v>-214308.09461412462</v>
      </c>
      <c r="AZ450" s="1">
        <f t="shared" si="858"/>
        <v>236024.49999999351</v>
      </c>
    </row>
    <row r="451" spans="1:52" x14ac:dyDescent="0.25">
      <c r="A451" s="4">
        <v>45436</v>
      </c>
      <c r="B451">
        <f t="shared" ref="B451:N451" si="988">(B1001-B1000)*100</f>
        <v>-4.9999999999999822</v>
      </c>
      <c r="C451">
        <f t="shared" si="988"/>
        <v>-4.9999999999999822</v>
      </c>
      <c r="D451">
        <f t="shared" si="988"/>
        <v>0</v>
      </c>
      <c r="E451">
        <f t="shared" si="988"/>
        <v>0</v>
      </c>
      <c r="F451">
        <f t="shared" si="988"/>
        <v>0</v>
      </c>
      <c r="G451">
        <f t="shared" si="988"/>
        <v>-0.99999999999997868</v>
      </c>
      <c r="H451">
        <f t="shared" si="988"/>
        <v>-1.9999999999999574</v>
      </c>
      <c r="I451">
        <f t="shared" si="988"/>
        <v>0</v>
      </c>
      <c r="J451">
        <f t="shared" si="988"/>
        <v>-1.0000000000000675</v>
      </c>
      <c r="K451">
        <f t="shared" si="988"/>
        <v>0.99999999999997868</v>
      </c>
      <c r="L451">
        <f t="shared" si="988"/>
        <v>0.99999999999997868</v>
      </c>
      <c r="M451">
        <f t="shared" si="988"/>
        <v>1.9999999999999574</v>
      </c>
      <c r="N451">
        <f t="shared" si="988"/>
        <v>0.99999999999997868</v>
      </c>
      <c r="O451" s="5">
        <f t="shared" si="976"/>
        <v>1.2628104062928178E-3</v>
      </c>
      <c r="P451" s="5">
        <f t="shared" si="976"/>
        <v>1.8080852142623167E-3</v>
      </c>
      <c r="Q451" s="5">
        <f t="shared" si="976"/>
        <v>4.7198508457755367E-3</v>
      </c>
      <c r="R451" s="5">
        <f t="shared" si="976"/>
        <v>1.6051367812284368E-3</v>
      </c>
      <c r="S451" s="5">
        <f t="shared" si="976"/>
        <v>-2.3214638034331748E-3</v>
      </c>
      <c r="T451" s="5">
        <f t="shared" ref="T451:X451" si="989">LN(T1000/T1001)</f>
        <v>1.1575009521855219E-3</v>
      </c>
      <c r="U451" s="5">
        <f t="shared" si="989"/>
        <v>2.1221673049975588E-3</v>
      </c>
      <c r="V451" s="5">
        <f t="shared" si="989"/>
        <v>1.7152198946649229E-3</v>
      </c>
      <c r="W451" s="5">
        <f t="shared" si="989"/>
        <v>2.6772049166040356E-3</v>
      </c>
      <c r="X451" s="5">
        <f t="shared" si="989"/>
        <v>-7.3252593239450897E-4</v>
      </c>
      <c r="Z451" s="4">
        <v>45436</v>
      </c>
      <c r="AA451">
        <f>B451*B$3</f>
        <v>4914.9999999999827</v>
      </c>
      <c r="AB451">
        <f>C451*C$3</f>
        <v>12919.999999999955</v>
      </c>
      <c r="AC451">
        <f>D451*D$3</f>
        <v>0</v>
      </c>
      <c r="AD451">
        <f>E451*E$3</f>
        <v>0</v>
      </c>
      <c r="AE451">
        <f>F451*F$3</f>
        <v>0</v>
      </c>
      <c r="AF451">
        <f>G451*G$3</f>
        <v>15627.999999999667</v>
      </c>
      <c r="AG451">
        <f>H451*H$3</f>
        <v>56431.999999998799</v>
      </c>
      <c r="AH451">
        <f>I451*I$3</f>
        <v>0</v>
      </c>
      <c r="AI451">
        <f>J451*J$3</f>
        <v>51051.500000003449</v>
      </c>
      <c r="AJ451">
        <f>K451*K$3</f>
        <v>-78394.999999998327</v>
      </c>
      <c r="AK451">
        <f>L451*L$3</f>
        <v>31003.999999999338</v>
      </c>
      <c r="AL451">
        <f>M451*M$3</f>
        <v>64145.999999998632</v>
      </c>
      <c r="AM451">
        <f>N451*N$3</f>
        <v>0</v>
      </c>
      <c r="AN451">
        <f>O451*O$3</f>
        <v>0</v>
      </c>
      <c r="AO451">
        <f>P451*P$3</f>
        <v>-9040.4260713115837</v>
      </c>
      <c r="AP451">
        <f>Q451*Q$3</f>
        <v>56638.21014930644</v>
      </c>
      <c r="AQ451">
        <f>R451*R$3</f>
        <v>-24077.051718426552</v>
      </c>
      <c r="AR451" s="1">
        <f>S451*S$3</f>
        <v>16250.246624032223</v>
      </c>
      <c r="AS451" s="1">
        <f t="shared" si="960"/>
        <v>4630.003808742088</v>
      </c>
      <c r="AT451" s="1">
        <f t="shared" si="960"/>
        <v>16977.338439980471</v>
      </c>
      <c r="AU451" s="1">
        <f t="shared" si="960"/>
        <v>0</v>
      </c>
      <c r="AV451" s="1">
        <f t="shared" si="960"/>
        <v>0</v>
      </c>
      <c r="AW451" s="1">
        <f t="shared" si="960"/>
        <v>0</v>
      </c>
      <c r="AX451" s="1">
        <f t="shared" si="856"/>
        <v>219079.82123232461</v>
      </c>
      <c r="AY451" s="1">
        <f t="shared" si="857"/>
        <v>61378.321232323091</v>
      </c>
      <c r="AZ451" s="1">
        <f t="shared" si="858"/>
        <v>157701.50000000151</v>
      </c>
    </row>
    <row r="452" spans="1:52" x14ac:dyDescent="0.25">
      <c r="A452" s="4">
        <v>45435</v>
      </c>
      <c r="B452">
        <f t="shared" ref="B452:N452" si="990">(B1002-B1001)*100</f>
        <v>-1.9999999999999574</v>
      </c>
      <c r="C452">
        <f t="shared" si="990"/>
        <v>0</v>
      </c>
      <c r="D452">
        <f t="shared" si="990"/>
        <v>-0.99999999999997868</v>
      </c>
      <c r="E452">
        <f t="shared" si="990"/>
        <v>-0.99999999999997868</v>
      </c>
      <c r="F452">
        <f t="shared" si="990"/>
        <v>-1.0000000000000675</v>
      </c>
      <c r="G452">
        <f t="shared" si="990"/>
        <v>-4.0000000000000036</v>
      </c>
      <c r="H452">
        <f t="shared" si="990"/>
        <v>-4.9999999999999822</v>
      </c>
      <c r="I452">
        <f t="shared" si="990"/>
        <v>-7.0000000000000284</v>
      </c>
      <c r="J452">
        <f t="shared" si="990"/>
        <v>-4.9999999999999822</v>
      </c>
      <c r="K452">
        <f t="shared" si="990"/>
        <v>-5.9999999999999609</v>
      </c>
      <c r="L452">
        <f t="shared" si="990"/>
        <v>-4.0000000000000036</v>
      </c>
      <c r="M452">
        <f t="shared" si="990"/>
        <v>-4.0000000000000036</v>
      </c>
      <c r="N452">
        <f t="shared" si="990"/>
        <v>-3.0000000000000249</v>
      </c>
      <c r="O452" s="5">
        <f t="shared" si="976"/>
        <v>-1.1463100760766187E-3</v>
      </c>
      <c r="P452" s="5">
        <f t="shared" si="976"/>
        <v>1.0787030323209153E-2</v>
      </c>
      <c r="Q452" s="5">
        <f t="shared" si="976"/>
        <v>1.99620351394936E-2</v>
      </c>
      <c r="R452" s="5">
        <f t="shared" si="976"/>
        <v>0</v>
      </c>
      <c r="S452" s="5">
        <f t="shared" si="976"/>
        <v>3.5321975240149854E-3</v>
      </c>
      <c r="T452" s="5">
        <f t="shared" ref="T452:X452" si="991">LN(T1001/T1002)</f>
        <v>2.7643117547022397E-3</v>
      </c>
      <c r="U452" s="5">
        <f t="shared" si="991"/>
        <v>-7.6300011131057827E-4</v>
      </c>
      <c r="V452" s="5">
        <f t="shared" si="991"/>
        <v>2.8949081152407565E-3</v>
      </c>
      <c r="W452" s="5">
        <f t="shared" si="991"/>
        <v>7.2123716304952129E-3</v>
      </c>
      <c r="X452" s="5">
        <f t="shared" si="991"/>
        <v>4.2055842541285048E-3</v>
      </c>
      <c r="Z452" s="4">
        <v>45435</v>
      </c>
      <c r="AA452">
        <f>B452*B$3</f>
        <v>1965.9999999999582</v>
      </c>
      <c r="AB452">
        <f>C452*C$3</f>
        <v>0</v>
      </c>
      <c r="AC452">
        <f>D452*D$3</f>
        <v>-16142.999999999656</v>
      </c>
      <c r="AD452">
        <f>E452*E$3</f>
        <v>-2427.9999999999482</v>
      </c>
      <c r="AE452">
        <f>F452*F$3</f>
        <v>12428.000000000839</v>
      </c>
      <c r="AF452">
        <f>G452*G$3</f>
        <v>62512.000000000058</v>
      </c>
      <c r="AG452">
        <f>H452*H$3</f>
        <v>141079.99999999951</v>
      </c>
      <c r="AH452">
        <f>I452*I$3</f>
        <v>129192.00000000052</v>
      </c>
      <c r="AI452">
        <f>J452*J$3</f>
        <v>255257.4999999991</v>
      </c>
      <c r="AJ452">
        <f>K452*K$3</f>
        <v>470369.99999999691</v>
      </c>
      <c r="AK452">
        <f>L452*L$3</f>
        <v>-124016.00000000012</v>
      </c>
      <c r="AL452">
        <f>M452*M$3</f>
        <v>-128292.00000000012</v>
      </c>
      <c r="AM452">
        <f>N452*N$3</f>
        <v>0</v>
      </c>
      <c r="AN452">
        <f>O452*O$3</f>
        <v>0</v>
      </c>
      <c r="AO452">
        <f>P452*P$3</f>
        <v>-53935.151616045769</v>
      </c>
      <c r="AP452">
        <f>Q452*Q$3</f>
        <v>239544.42167392321</v>
      </c>
      <c r="AQ452">
        <f>R452*R$3</f>
        <v>0</v>
      </c>
      <c r="AR452" s="1">
        <f>S452*S$3</f>
        <v>-24725.382668104899</v>
      </c>
      <c r="AS452" s="1">
        <f t="shared" si="960"/>
        <v>11057.247018808959</v>
      </c>
      <c r="AT452" s="1">
        <f t="shared" si="960"/>
        <v>-6104.0008904846263</v>
      </c>
      <c r="AU452" s="1">
        <f t="shared" si="960"/>
        <v>0</v>
      </c>
      <c r="AV452" s="1">
        <f t="shared" si="960"/>
        <v>0</v>
      </c>
      <c r="AW452" s="1">
        <f t="shared" si="960"/>
        <v>0</v>
      </c>
      <c r="AX452" s="1">
        <f t="shared" si="856"/>
        <v>967763.63351809385</v>
      </c>
      <c r="AY452" s="1">
        <f t="shared" si="857"/>
        <v>165837.13351809687</v>
      </c>
      <c r="AZ452" s="1">
        <f t="shared" si="858"/>
        <v>801926.49999999697</v>
      </c>
    </row>
    <row r="453" spans="1:52" x14ac:dyDescent="0.25">
      <c r="A453" s="4">
        <v>45434</v>
      </c>
      <c r="B453">
        <f t="shared" ref="B453:N453" si="992">(B1003-B1002)*100</f>
        <v>0.99999999999997868</v>
      </c>
      <c r="C453">
        <f t="shared" si="992"/>
        <v>-1.0000000000000675</v>
      </c>
      <c r="D453">
        <f t="shared" si="992"/>
        <v>0</v>
      </c>
      <c r="E453">
        <f t="shared" si="992"/>
        <v>0.99999999999997868</v>
      </c>
      <c r="F453">
        <f t="shared" si="992"/>
        <v>-0.99999999999997868</v>
      </c>
      <c r="G453">
        <f t="shared" si="992"/>
        <v>-2.0000000000000462</v>
      </c>
      <c r="H453">
        <f t="shared" si="992"/>
        <v>-4.0000000000000036</v>
      </c>
      <c r="I453">
        <f t="shared" si="992"/>
        <v>-2.9999999999999361</v>
      </c>
      <c r="J453">
        <f t="shared" si="992"/>
        <v>-4.0000000000000036</v>
      </c>
      <c r="K453">
        <f t="shared" si="992"/>
        <v>-2.0000000000000462</v>
      </c>
      <c r="L453">
        <f t="shared" si="992"/>
        <v>-1.9999999999999574</v>
      </c>
      <c r="M453">
        <f t="shared" si="992"/>
        <v>2.0000000000000462</v>
      </c>
      <c r="N453">
        <f t="shared" si="992"/>
        <v>0</v>
      </c>
      <c r="O453" s="5">
        <f t="shared" si="976"/>
        <v>9.0703127379543266E-3</v>
      </c>
      <c r="P453" s="5">
        <f t="shared" si="976"/>
        <v>3.0098825314184958E-3</v>
      </c>
      <c r="Q453" s="5">
        <f t="shared" si="976"/>
        <v>-1.1570284353625174E-2</v>
      </c>
      <c r="R453" s="5">
        <f t="shared" si="976"/>
        <v>1.0715243457599295E-3</v>
      </c>
      <c r="S453" s="5">
        <f t="shared" si="976"/>
        <v>2.2455323960255953E-3</v>
      </c>
      <c r="T453" s="5">
        <f t="shared" ref="T453:X453" si="993">LN(T1002/T1003)</f>
        <v>5.2117011828278228E-4</v>
      </c>
      <c r="U453" s="5">
        <f t="shared" si="993"/>
        <v>-3.8169981057825913E-5</v>
      </c>
      <c r="V453" s="5">
        <f t="shared" si="993"/>
        <v>-7.6122872115753134E-4</v>
      </c>
      <c r="W453" s="5">
        <f t="shared" si="993"/>
        <v>7.4899077200453489E-4</v>
      </c>
      <c r="X453" s="5">
        <f t="shared" si="993"/>
        <v>1.1420341228061833E-3</v>
      </c>
      <c r="Z453" s="4">
        <v>45434</v>
      </c>
      <c r="AA453">
        <f>B453*B$3</f>
        <v>-982.99999999997908</v>
      </c>
      <c r="AB453">
        <f>C453*C$3</f>
        <v>2584.0000000001746</v>
      </c>
      <c r="AC453">
        <f>D453*D$3</f>
        <v>0</v>
      </c>
      <c r="AD453">
        <f>E453*E$3</f>
        <v>2427.9999999999482</v>
      </c>
      <c r="AE453">
        <f>F453*F$3</f>
        <v>12427.999999999734</v>
      </c>
      <c r="AF453">
        <f>G453*G$3</f>
        <v>31256.00000000072</v>
      </c>
      <c r="AG453">
        <f>H453*H$3</f>
        <v>112864.0000000001</v>
      </c>
      <c r="AH453">
        <f>I453*I$3</f>
        <v>55367.999999998821</v>
      </c>
      <c r="AI453">
        <f>J453*J$3</f>
        <v>204206.00000000017</v>
      </c>
      <c r="AJ453">
        <f>K453*K$3</f>
        <v>156790.00000000361</v>
      </c>
      <c r="AK453">
        <f>L453*L$3</f>
        <v>-62007.999999998676</v>
      </c>
      <c r="AL453">
        <f>M453*M$3</f>
        <v>64146.000000001484</v>
      </c>
      <c r="AM453">
        <f>N453*N$3</f>
        <v>0</v>
      </c>
      <c r="AN453">
        <f>O453*O$3</f>
        <v>0</v>
      </c>
      <c r="AO453">
        <f>P453*P$3</f>
        <v>-15049.412657092478</v>
      </c>
      <c r="AP453">
        <f>Q453*Q$3</f>
        <v>-138843.4122435021</v>
      </c>
      <c r="AQ453">
        <f>R453*R$3</f>
        <v>-16072.865186398942</v>
      </c>
      <c r="AR453" s="1">
        <f>S453*S$3</f>
        <v>-15718.726772179167</v>
      </c>
      <c r="AS453" s="1">
        <f t="shared" ref="AS453:AW468" si="994">T453*T$3</f>
        <v>2084.680473131129</v>
      </c>
      <c r="AT453" s="1">
        <f t="shared" si="994"/>
        <v>-305.35984846260732</v>
      </c>
      <c r="AU453" s="1">
        <f t="shared" si="994"/>
        <v>0</v>
      </c>
      <c r="AV453" s="1">
        <f t="shared" si="994"/>
        <v>0</v>
      </c>
      <c r="AW453" s="1">
        <f t="shared" si="994"/>
        <v>0</v>
      </c>
      <c r="AX453" s="1">
        <f t="shared" si="856"/>
        <v>395173.90376550186</v>
      </c>
      <c r="AY453" s="1">
        <f t="shared" si="857"/>
        <v>-183905.09623450413</v>
      </c>
      <c r="AZ453" s="1">
        <f t="shared" si="858"/>
        <v>579079.00000000605</v>
      </c>
    </row>
    <row r="454" spans="1:52" x14ac:dyDescent="0.25">
      <c r="A454" s="4">
        <v>45433</v>
      </c>
      <c r="B454">
        <f t="shared" ref="B454:N454" si="995">(B1004-B1003)*100</f>
        <v>0</v>
      </c>
      <c r="C454">
        <f t="shared" si="995"/>
        <v>0</v>
      </c>
      <c r="D454">
        <f t="shared" si="995"/>
        <v>0</v>
      </c>
      <c r="E454">
        <f t="shared" si="995"/>
        <v>0</v>
      </c>
      <c r="F454">
        <f t="shared" si="995"/>
        <v>0.99999999999997868</v>
      </c>
      <c r="G454">
        <f t="shared" si="995"/>
        <v>1.0000000000000675</v>
      </c>
      <c r="H454">
        <f t="shared" si="995"/>
        <v>0</v>
      </c>
      <c r="I454">
        <f t="shared" si="995"/>
        <v>0.99999999999997868</v>
      </c>
      <c r="J454">
        <f t="shared" si="995"/>
        <v>3.0000000000000249</v>
      </c>
      <c r="K454">
        <f t="shared" si="995"/>
        <v>2.0000000000000462</v>
      </c>
      <c r="L454">
        <f t="shared" si="995"/>
        <v>3.0000000000000249</v>
      </c>
      <c r="M454">
        <f t="shared" si="995"/>
        <v>2.9999999999999361</v>
      </c>
      <c r="N454">
        <f t="shared" si="995"/>
        <v>3.0000000000000249</v>
      </c>
      <c r="O454" s="5">
        <f t="shared" si="976"/>
        <v>-9.4010739815919369E-4</v>
      </c>
      <c r="P454" s="5">
        <f t="shared" si="976"/>
        <v>-4.4461953721937481E-3</v>
      </c>
      <c r="Q454" s="5">
        <f t="shared" si="976"/>
        <v>0</v>
      </c>
      <c r="R454" s="5">
        <f t="shared" si="976"/>
        <v>-5.3590569342609447E-4</v>
      </c>
      <c r="S454" s="5">
        <f t="shared" si="976"/>
        <v>5.116272011330132E-3</v>
      </c>
      <c r="T454" s="5">
        <f t="shared" ref="T454:X454" si="996">LN(T1003/T1004)</f>
        <v>1.347612272872006E-3</v>
      </c>
      <c r="U454" s="5">
        <f t="shared" si="996"/>
        <v>-3.4312631934558651E-4</v>
      </c>
      <c r="V454" s="5">
        <f t="shared" si="996"/>
        <v>3.9471372159148033E-3</v>
      </c>
      <c r="W454" s="5">
        <f t="shared" si="996"/>
        <v>4.2792323435250443E-3</v>
      </c>
      <c r="X454" s="5">
        <f t="shared" si="996"/>
        <v>1.5614754026154125E-3</v>
      </c>
      <c r="Z454" s="4">
        <v>45433</v>
      </c>
      <c r="AA454">
        <f>B454*B$3</f>
        <v>0</v>
      </c>
      <c r="AB454">
        <f>C454*C$3</f>
        <v>0</v>
      </c>
      <c r="AC454">
        <f>D454*D$3</f>
        <v>0</v>
      </c>
      <c r="AD454">
        <f>E454*E$3</f>
        <v>0</v>
      </c>
      <c r="AE454">
        <f>F454*F$3</f>
        <v>-12427.999999999734</v>
      </c>
      <c r="AF454">
        <f>G454*G$3</f>
        <v>-15628.000000001055</v>
      </c>
      <c r="AG454">
        <f>H454*H$3</f>
        <v>0</v>
      </c>
      <c r="AH454">
        <f>I454*I$3</f>
        <v>-18455.999999999607</v>
      </c>
      <c r="AI454">
        <f>J454*J$3</f>
        <v>-153154.50000000128</v>
      </c>
      <c r="AJ454">
        <f>K454*K$3</f>
        <v>-156790.00000000361</v>
      </c>
      <c r="AK454">
        <f>L454*L$3</f>
        <v>93012.000000000771</v>
      </c>
      <c r="AL454">
        <f>M454*M$3</f>
        <v>96218.999999997948</v>
      </c>
      <c r="AM454">
        <f>N454*N$3</f>
        <v>0</v>
      </c>
      <c r="AN454">
        <f>O454*O$3</f>
        <v>0</v>
      </c>
      <c r="AO454">
        <f>P454*P$3</f>
        <v>22230.976860968742</v>
      </c>
      <c r="AP454">
        <f>Q454*Q$3</f>
        <v>0</v>
      </c>
      <c r="AQ454">
        <f>R454*R$3</f>
        <v>8038.5854013914168</v>
      </c>
      <c r="AR454" s="1">
        <f>S454*S$3</f>
        <v>-35813.904079310923</v>
      </c>
      <c r="AS454" s="1">
        <f t="shared" si="994"/>
        <v>5390.4490914880244</v>
      </c>
      <c r="AT454" s="1">
        <f t="shared" si="994"/>
        <v>-2745.0105547646922</v>
      </c>
      <c r="AU454" s="1">
        <f t="shared" si="994"/>
        <v>0</v>
      </c>
      <c r="AV454" s="1">
        <f t="shared" si="994"/>
        <v>0</v>
      </c>
      <c r="AW454" s="1">
        <f t="shared" si="994"/>
        <v>0</v>
      </c>
      <c r="AX454" s="1">
        <f t="shared" ref="AX454:AX517" si="997">SUM(AA454:AW454)</f>
        <v>-170124.40328023399</v>
      </c>
      <c r="AY454" s="1">
        <f t="shared" ref="AY454:AY517" si="998">SUM(AN454:AW454)</f>
        <v>-2898.9032802274319</v>
      </c>
      <c r="AZ454" s="1">
        <f t="shared" ref="AZ454:AZ517" si="999">AX454-AY454</f>
        <v>-167225.50000000655</v>
      </c>
    </row>
    <row r="455" spans="1:52" x14ac:dyDescent="0.25">
      <c r="A455" s="4">
        <v>45432</v>
      </c>
      <c r="B455">
        <f t="shared" ref="B455:N455" si="1000">(B1005-B1004)*100</f>
        <v>0</v>
      </c>
      <c r="C455">
        <f t="shared" si="1000"/>
        <v>0</v>
      </c>
      <c r="D455">
        <f t="shared" si="1000"/>
        <v>0.99999999999997868</v>
      </c>
      <c r="E455">
        <f t="shared" si="1000"/>
        <v>-0.99999999999997868</v>
      </c>
      <c r="F455">
        <f t="shared" si="1000"/>
        <v>-1.9999999999999574</v>
      </c>
      <c r="G455">
        <f t="shared" si="1000"/>
        <v>-1.0000000000000675</v>
      </c>
      <c r="H455">
        <f t="shared" si="1000"/>
        <v>0.99999999999997868</v>
      </c>
      <c r="I455">
        <f t="shared" si="1000"/>
        <v>-2.0000000000000462</v>
      </c>
      <c r="J455">
        <f t="shared" si="1000"/>
        <v>-1.9999999999999574</v>
      </c>
      <c r="K455">
        <f t="shared" si="1000"/>
        <v>-1.0000000000000675</v>
      </c>
      <c r="L455">
        <f t="shared" si="1000"/>
        <v>-2.0000000000000462</v>
      </c>
      <c r="M455">
        <f t="shared" si="1000"/>
        <v>-1.9999999999999574</v>
      </c>
      <c r="N455">
        <f t="shared" si="1000"/>
        <v>-2.0000000000000462</v>
      </c>
      <c r="O455" s="5">
        <f t="shared" ref="O455:S464" si="1001">LN(O1004/O1005)</f>
        <v>-1.4085060429464577E-3</v>
      </c>
      <c r="P455" s="5">
        <f t="shared" si="1001"/>
        <v>1.305653665048879E-3</v>
      </c>
      <c r="Q455" s="5">
        <f t="shared" si="1001"/>
        <v>-4.9148344274652861E-3</v>
      </c>
      <c r="R455" s="5">
        <f t="shared" si="1001"/>
        <v>-1.3385091009242742E-3</v>
      </c>
      <c r="S455" s="5">
        <f t="shared" si="1001"/>
        <v>-3.1789049001359699E-3</v>
      </c>
      <c r="T455" s="5">
        <f t="shared" ref="T455:X455" si="1002">LN(T1004/T1005)</f>
        <v>-7.0659540201122853E-4</v>
      </c>
      <c r="U455" s="5">
        <f t="shared" si="1002"/>
        <v>-2.7167075330363308E-3</v>
      </c>
      <c r="V455" s="5">
        <f t="shared" si="1002"/>
        <v>2.4105458879768189E-3</v>
      </c>
      <c r="W455" s="5">
        <f t="shared" si="1002"/>
        <v>-2.6231860070749925E-3</v>
      </c>
      <c r="X455" s="5">
        <f t="shared" si="1002"/>
        <v>2.9867214819781504E-3</v>
      </c>
      <c r="Z455" s="4">
        <v>45432</v>
      </c>
      <c r="AA455">
        <f>B455*B$3</f>
        <v>0</v>
      </c>
      <c r="AB455">
        <f>C455*C$3</f>
        <v>0</v>
      </c>
      <c r="AC455">
        <f>D455*D$3</f>
        <v>16142.999999999656</v>
      </c>
      <c r="AD455">
        <f>E455*E$3</f>
        <v>-2427.9999999999482</v>
      </c>
      <c r="AE455">
        <f>F455*F$3</f>
        <v>24855.999999999469</v>
      </c>
      <c r="AF455">
        <f>G455*G$3</f>
        <v>15628.000000001055</v>
      </c>
      <c r="AG455">
        <f>H455*H$3</f>
        <v>-28215.9999999994</v>
      </c>
      <c r="AH455">
        <f>I455*I$3</f>
        <v>36912.000000000851</v>
      </c>
      <c r="AI455">
        <f>J455*J$3</f>
        <v>102102.99999999782</v>
      </c>
      <c r="AJ455">
        <f>K455*K$3</f>
        <v>78395.000000005297</v>
      </c>
      <c r="AK455">
        <f>L455*L$3</f>
        <v>-62008.000000001433</v>
      </c>
      <c r="AL455">
        <f>M455*M$3</f>
        <v>-64145.999999998632</v>
      </c>
      <c r="AM455">
        <f>N455*N$3</f>
        <v>0</v>
      </c>
      <c r="AN455">
        <f>O455*O$3</f>
        <v>0</v>
      </c>
      <c r="AO455">
        <f>P455*P$3</f>
        <v>-6528.2683252443949</v>
      </c>
      <c r="AP455">
        <f>Q455*Q$3</f>
        <v>-58978.013129583436</v>
      </c>
      <c r="AQ455">
        <f>R455*R$3</f>
        <v>20077.636513864112</v>
      </c>
      <c r="AR455" s="1">
        <f>S455*S$3</f>
        <v>22252.334300951788</v>
      </c>
      <c r="AS455" s="1">
        <f t="shared" si="994"/>
        <v>-2826.3816080449142</v>
      </c>
      <c r="AT455" s="1">
        <f t="shared" si="994"/>
        <v>-21733.660264290647</v>
      </c>
      <c r="AU455" s="1">
        <f t="shared" si="994"/>
        <v>0</v>
      </c>
      <c r="AV455" s="1">
        <f t="shared" si="994"/>
        <v>0</v>
      </c>
      <c r="AW455" s="1">
        <f t="shared" si="994"/>
        <v>0</v>
      </c>
      <c r="AX455" s="1">
        <f t="shared" si="997"/>
        <v>69502.647487657247</v>
      </c>
      <c r="AY455" s="1">
        <f t="shared" si="998"/>
        <v>-47736.352512347497</v>
      </c>
      <c r="AZ455" s="1">
        <f t="shared" si="999"/>
        <v>117239.00000000474</v>
      </c>
    </row>
    <row r="456" spans="1:52" x14ac:dyDescent="0.25">
      <c r="A456" s="4">
        <v>45429</v>
      </c>
      <c r="B456">
        <f t="shared" ref="B456:N456" si="1003">(B1006-B1005)*100</f>
        <v>0.99999999999997868</v>
      </c>
      <c r="C456">
        <f t="shared" si="1003"/>
        <v>0</v>
      </c>
      <c r="D456">
        <f t="shared" si="1003"/>
        <v>-0.99999999999997868</v>
      </c>
      <c r="E456">
        <f t="shared" si="1003"/>
        <v>3.0000000000000249</v>
      </c>
      <c r="F456">
        <f t="shared" si="1003"/>
        <v>0</v>
      </c>
      <c r="G456">
        <f t="shared" si="1003"/>
        <v>-0.99999999999997868</v>
      </c>
      <c r="H456">
        <f t="shared" si="1003"/>
        <v>-4.9999999999999822</v>
      </c>
      <c r="I456">
        <f t="shared" si="1003"/>
        <v>-1.9999999999999574</v>
      </c>
      <c r="J456">
        <f t="shared" si="1003"/>
        <v>-4.0000000000000036</v>
      </c>
      <c r="K456">
        <f t="shared" si="1003"/>
        <v>-4.0000000000000036</v>
      </c>
      <c r="L456">
        <f t="shared" si="1003"/>
        <v>-4.0000000000000036</v>
      </c>
      <c r="M456">
        <f t="shared" si="1003"/>
        <v>-4.0000000000000036</v>
      </c>
      <c r="N456">
        <f t="shared" si="1003"/>
        <v>-4.0000000000000036</v>
      </c>
      <c r="O456" s="5">
        <f t="shared" si="1001"/>
        <v>-2.2065796242895083E-3</v>
      </c>
      <c r="P456" s="5">
        <f t="shared" si="1001"/>
        <v>-6.5303992394597063E-4</v>
      </c>
      <c r="Q456" s="5">
        <f t="shared" si="1001"/>
        <v>-8.3177786399068233E-3</v>
      </c>
      <c r="R456" s="5">
        <f t="shared" si="1001"/>
        <v>1.874414794350352E-3</v>
      </c>
      <c r="S456" s="5">
        <f t="shared" si="1001"/>
        <v>-4.6505842962024299E-3</v>
      </c>
      <c r="T456" s="5">
        <f t="shared" ref="T456:X456" si="1004">LN(T1005/T1006)</f>
        <v>2.023385274152207E-3</v>
      </c>
      <c r="U456" s="5">
        <f t="shared" si="1004"/>
        <v>1.4214660845197457E-3</v>
      </c>
      <c r="V456" s="5">
        <f t="shared" si="1004"/>
        <v>7.0851978595075507E-3</v>
      </c>
      <c r="W456" s="5">
        <f t="shared" si="1004"/>
        <v>2.6768230977360446E-3</v>
      </c>
      <c r="X456" s="5">
        <f t="shared" si="1004"/>
        <v>6.0448160556339694E-3</v>
      </c>
      <c r="Z456" s="4">
        <v>45429</v>
      </c>
      <c r="AA456">
        <f>B456*B$3</f>
        <v>-982.99999999997908</v>
      </c>
      <c r="AB456">
        <f>C456*C$3</f>
        <v>0</v>
      </c>
      <c r="AC456">
        <f>D456*D$3</f>
        <v>-16142.999999999656</v>
      </c>
      <c r="AD456">
        <f>E456*E$3</f>
        <v>7284.00000000006</v>
      </c>
      <c r="AE456">
        <f>F456*F$3</f>
        <v>0</v>
      </c>
      <c r="AF456">
        <f>G456*G$3</f>
        <v>15627.999999999667</v>
      </c>
      <c r="AG456">
        <f>H456*H$3</f>
        <v>141079.99999999951</v>
      </c>
      <c r="AH456">
        <f>I456*I$3</f>
        <v>36911.999999999214</v>
      </c>
      <c r="AI456">
        <f>J456*J$3</f>
        <v>204206.00000000017</v>
      </c>
      <c r="AJ456">
        <f>K456*K$3</f>
        <v>313580.00000000029</v>
      </c>
      <c r="AK456">
        <f>L456*L$3</f>
        <v>-124016.00000000012</v>
      </c>
      <c r="AL456">
        <f>M456*M$3</f>
        <v>-128292.00000000012</v>
      </c>
      <c r="AM456">
        <f>N456*N$3</f>
        <v>0</v>
      </c>
      <c r="AN456">
        <f>O456*O$3</f>
        <v>0</v>
      </c>
      <c r="AO456">
        <f>P456*P$3</f>
        <v>3265.1996197298531</v>
      </c>
      <c r="AP456">
        <f>Q456*Q$3</f>
        <v>-99813.34367888188</v>
      </c>
      <c r="AQ456">
        <f>R456*R$3</f>
        <v>-28116.221915255279</v>
      </c>
      <c r="AR456" s="1">
        <f>S456*S$3</f>
        <v>32554.09007341701</v>
      </c>
      <c r="AS456" s="1">
        <f t="shared" si="994"/>
        <v>8093.5410966088275</v>
      </c>
      <c r="AT456" s="1">
        <f t="shared" si="994"/>
        <v>11371.728676157965</v>
      </c>
      <c r="AU456" s="1">
        <f t="shared" si="994"/>
        <v>0</v>
      </c>
      <c r="AV456" s="1">
        <f t="shared" si="994"/>
        <v>0</v>
      </c>
      <c r="AW456" s="1">
        <f t="shared" si="994"/>
        <v>0</v>
      </c>
      <c r="AX456" s="1">
        <f t="shared" si="997"/>
        <v>376610.99387177551</v>
      </c>
      <c r="AY456" s="1">
        <f t="shared" si="998"/>
        <v>-72645.006128223496</v>
      </c>
      <c r="AZ456" s="1">
        <f t="shared" si="999"/>
        <v>449255.99999999901</v>
      </c>
    </row>
    <row r="457" spans="1:52" x14ac:dyDescent="0.25">
      <c r="A457" s="4">
        <v>45428</v>
      </c>
      <c r="B457">
        <f t="shared" ref="B457:N457" si="1005">(B1007-B1006)*100</f>
        <v>-1.9999999999999574</v>
      </c>
      <c r="C457">
        <f t="shared" si="1005"/>
        <v>-0.99999999999997868</v>
      </c>
      <c r="D457">
        <f t="shared" si="1005"/>
        <v>0</v>
      </c>
      <c r="E457">
        <f t="shared" si="1005"/>
        <v>-3.0000000000000249</v>
      </c>
      <c r="F457">
        <f t="shared" si="1005"/>
        <v>-0.99999999999997868</v>
      </c>
      <c r="G457">
        <f t="shared" si="1005"/>
        <v>-3.0000000000000249</v>
      </c>
      <c r="H457">
        <f t="shared" si="1005"/>
        <v>-4.9999999999999822</v>
      </c>
      <c r="I457">
        <f t="shared" si="1005"/>
        <v>-7.0000000000000284</v>
      </c>
      <c r="J457">
        <f t="shared" si="1005"/>
        <v>-5.0000000000000711</v>
      </c>
      <c r="K457">
        <f t="shared" si="1005"/>
        <v>-4.0000000000000036</v>
      </c>
      <c r="L457">
        <f t="shared" si="1005"/>
        <v>-1.9999999999999574</v>
      </c>
      <c r="M457">
        <f t="shared" si="1005"/>
        <v>-0.99999999999997868</v>
      </c>
      <c r="N457">
        <f t="shared" si="1005"/>
        <v>0</v>
      </c>
      <c r="O457" s="5">
        <f t="shared" si="1001"/>
        <v>-2.9799315048620449E-3</v>
      </c>
      <c r="P457" s="5">
        <f t="shared" si="1001"/>
        <v>1.2019232216164014E-3</v>
      </c>
      <c r="Q457" s="5">
        <f t="shared" si="1001"/>
        <v>-8.5545969765110016E-3</v>
      </c>
      <c r="R457" s="5">
        <f t="shared" si="1001"/>
        <v>3.7594029239057455E-3</v>
      </c>
      <c r="S457" s="5">
        <f t="shared" si="1001"/>
        <v>-2.7571160740707612E-4</v>
      </c>
      <c r="T457" s="5">
        <f t="shared" ref="T457:X457" si="1006">LN(T1006/T1007)</f>
        <v>-6.9344184467114E-3</v>
      </c>
      <c r="U457" s="5">
        <f t="shared" si="1006"/>
        <v>-8.2901244259244652E-3</v>
      </c>
      <c r="V457" s="5">
        <f t="shared" si="1006"/>
        <v>-1.4261155699937982E-2</v>
      </c>
      <c r="W457" s="5">
        <f t="shared" si="1006"/>
        <v>-1.1261101139004278E-2</v>
      </c>
      <c r="X457" s="5">
        <f t="shared" si="1006"/>
        <v>-6.8281938612100752E-3</v>
      </c>
      <c r="Z457" s="4">
        <v>45428</v>
      </c>
      <c r="AA457">
        <f>B457*B$3</f>
        <v>1965.9999999999582</v>
      </c>
      <c r="AB457">
        <f>C457*C$3</f>
        <v>2583.999999999945</v>
      </c>
      <c r="AC457">
        <f>D457*D$3</f>
        <v>0</v>
      </c>
      <c r="AD457">
        <f>E457*E$3</f>
        <v>-7284.00000000006</v>
      </c>
      <c r="AE457">
        <f>F457*F$3</f>
        <v>12427.999999999734</v>
      </c>
      <c r="AF457">
        <f>G457*G$3</f>
        <v>46884.000000000386</v>
      </c>
      <c r="AG457">
        <f>H457*H$3</f>
        <v>141079.99999999951</v>
      </c>
      <c r="AH457">
        <f>I457*I$3</f>
        <v>129192.00000000052</v>
      </c>
      <c r="AI457">
        <f>J457*J$3</f>
        <v>255257.50000000364</v>
      </c>
      <c r="AJ457">
        <f>K457*K$3</f>
        <v>313580.00000000029</v>
      </c>
      <c r="AK457">
        <f>L457*L$3</f>
        <v>-62007.999999998676</v>
      </c>
      <c r="AL457">
        <f>M457*M$3</f>
        <v>-32072.999999999316</v>
      </c>
      <c r="AM457">
        <f>N457*N$3</f>
        <v>0</v>
      </c>
      <c r="AN457">
        <f>O457*O$3</f>
        <v>0</v>
      </c>
      <c r="AO457">
        <f>P457*P$3</f>
        <v>-6009.6161080820066</v>
      </c>
      <c r="AP457">
        <f>Q457*Q$3</f>
        <v>-102655.16371813203</v>
      </c>
      <c r="AQ457">
        <f>R457*R$3</f>
        <v>-56391.043858586185</v>
      </c>
      <c r="AR457" s="1">
        <f>S457*S$3</f>
        <v>1929.9812518495328</v>
      </c>
      <c r="AS457" s="1">
        <f t="shared" si="994"/>
        <v>-27737.6737868456</v>
      </c>
      <c r="AT457" s="1">
        <f t="shared" si="994"/>
        <v>-66320.99540739572</v>
      </c>
      <c r="AU457" s="1">
        <f t="shared" si="994"/>
        <v>0</v>
      </c>
      <c r="AV457" s="1">
        <f t="shared" si="994"/>
        <v>0</v>
      </c>
      <c r="AW457" s="1">
        <f t="shared" si="994"/>
        <v>0</v>
      </c>
      <c r="AX457" s="1">
        <f t="shared" si="997"/>
        <v>544421.98837281379</v>
      </c>
      <c r="AY457" s="1">
        <f t="shared" si="998"/>
        <v>-257184.51162719203</v>
      </c>
      <c r="AZ457" s="1">
        <f t="shared" si="999"/>
        <v>801606.50000000582</v>
      </c>
    </row>
    <row r="458" spans="1:52" x14ac:dyDescent="0.25">
      <c r="A458" s="4">
        <v>45427</v>
      </c>
      <c r="B458">
        <f t="shared" ref="B458:N458" si="1007">(B1008-B1007)*100</f>
        <v>0.99999999999997868</v>
      </c>
      <c r="C458">
        <f t="shared" si="1007"/>
        <v>0.99999999999997868</v>
      </c>
      <c r="D458">
        <f t="shared" si="1007"/>
        <v>-0.99999999999997868</v>
      </c>
      <c r="E458">
        <f t="shared" si="1007"/>
        <v>0.99999999999997868</v>
      </c>
      <c r="F458">
        <f t="shared" si="1007"/>
        <v>2.9999999999999361</v>
      </c>
      <c r="G458">
        <f t="shared" si="1007"/>
        <v>6.0000000000000497</v>
      </c>
      <c r="H458">
        <f t="shared" si="1007"/>
        <v>7.9999999999999183</v>
      </c>
      <c r="I458">
        <f t="shared" si="1007"/>
        <v>11.000000000000032</v>
      </c>
      <c r="J458">
        <f t="shared" si="1007"/>
        <v>11.000000000000032</v>
      </c>
      <c r="K458">
        <f t="shared" si="1007"/>
        <v>10.000000000000053</v>
      </c>
      <c r="L458">
        <f t="shared" si="1007"/>
        <v>8.9999999999999858</v>
      </c>
      <c r="M458">
        <f t="shared" si="1007"/>
        <v>8.0000000000000071</v>
      </c>
      <c r="N458">
        <f t="shared" si="1007"/>
        <v>7.0000000000000284</v>
      </c>
      <c r="O458" s="5">
        <f t="shared" si="1001"/>
        <v>1.303844579641228E-3</v>
      </c>
      <c r="P458" s="5">
        <f t="shared" si="1001"/>
        <v>-5.5663245082198734E-3</v>
      </c>
      <c r="Q458" s="5">
        <f t="shared" si="1001"/>
        <v>-5.6879819687855604E-3</v>
      </c>
      <c r="R458" s="5">
        <f t="shared" si="1001"/>
        <v>0</v>
      </c>
      <c r="S458" s="5">
        <f t="shared" si="1001"/>
        <v>-9.376746304472083E-3</v>
      </c>
      <c r="T458" s="5">
        <f t="shared" ref="T458:X458" si="1008">LN(T1007/T1008)</f>
        <v>-1.9447012704896741E-3</v>
      </c>
      <c r="U458" s="5">
        <f t="shared" si="1008"/>
        <v>-1.8609203858844703E-3</v>
      </c>
      <c r="V458" s="5">
        <f t="shared" si="1008"/>
        <v>1.6947437298861785E-3</v>
      </c>
      <c r="W458" s="5">
        <f t="shared" si="1008"/>
        <v>-1.9858452740927745E-3</v>
      </c>
      <c r="X458" s="5">
        <f t="shared" si="1008"/>
        <v>-1.3225624265222945E-3</v>
      </c>
      <c r="Z458" s="4">
        <v>45427</v>
      </c>
      <c r="AA458">
        <f>B458*B$3</f>
        <v>-982.99999999997908</v>
      </c>
      <c r="AB458">
        <f>C458*C$3</f>
        <v>-2583.999999999945</v>
      </c>
      <c r="AC458">
        <f>D458*D$3</f>
        <v>-16142.999999999656</v>
      </c>
      <c r="AD458">
        <f>E458*E$3</f>
        <v>2427.9999999999482</v>
      </c>
      <c r="AE458">
        <f>F458*F$3</f>
        <v>-37283.999999999207</v>
      </c>
      <c r="AF458">
        <f>G458*G$3</f>
        <v>-93768.000000000771</v>
      </c>
      <c r="AG458">
        <f>H458*H$3</f>
        <v>-225727.9999999977</v>
      </c>
      <c r="AH458">
        <f>I458*I$3</f>
        <v>-203016.00000000058</v>
      </c>
      <c r="AI458">
        <f>J458*J$3</f>
        <v>-561566.50000000163</v>
      </c>
      <c r="AJ458">
        <f>K458*K$3</f>
        <v>-783950.00000000419</v>
      </c>
      <c r="AK458">
        <f>L458*L$3</f>
        <v>279035.99999999953</v>
      </c>
      <c r="AL458">
        <f>M458*M$3</f>
        <v>256584.00000000023</v>
      </c>
      <c r="AM458">
        <f>N458*N$3</f>
        <v>0</v>
      </c>
      <c r="AN458">
        <f>O458*O$3</f>
        <v>0</v>
      </c>
      <c r="AO458">
        <f>P458*P$3</f>
        <v>27831.622541099368</v>
      </c>
      <c r="AP458">
        <f>Q458*Q$3</f>
        <v>-68255.783625426731</v>
      </c>
      <c r="AQ458">
        <f>R458*R$3</f>
        <v>0</v>
      </c>
      <c r="AR458" s="1">
        <f>S458*S$3</f>
        <v>65637.224131304582</v>
      </c>
      <c r="AS458" s="1">
        <f t="shared" si="994"/>
        <v>-7778.805081958697</v>
      </c>
      <c r="AT458" s="1">
        <f t="shared" si="994"/>
        <v>-14887.363087075762</v>
      </c>
      <c r="AU458" s="1">
        <f t="shared" si="994"/>
        <v>0</v>
      </c>
      <c r="AV458" s="1">
        <f t="shared" si="994"/>
        <v>0</v>
      </c>
      <c r="AW458" s="1">
        <f t="shared" si="994"/>
        <v>0</v>
      </c>
      <c r="AX458" s="1">
        <f t="shared" si="997"/>
        <v>-1384427.6051220612</v>
      </c>
      <c r="AY458" s="1">
        <f t="shared" si="998"/>
        <v>2546.8948779427556</v>
      </c>
      <c r="AZ458" s="1">
        <f t="shared" si="999"/>
        <v>-1386974.500000004</v>
      </c>
    </row>
    <row r="459" spans="1:52" x14ac:dyDescent="0.25">
      <c r="A459" s="4">
        <v>45426</v>
      </c>
      <c r="B459">
        <f t="shared" ref="B459:N459" si="1009">(B1009-B1008)*100</f>
        <v>0</v>
      </c>
      <c r="C459">
        <f t="shared" si="1009"/>
        <v>0</v>
      </c>
      <c r="D459">
        <f t="shared" si="1009"/>
        <v>0.99999999999997868</v>
      </c>
      <c r="E459">
        <f t="shared" si="1009"/>
        <v>0</v>
      </c>
      <c r="F459">
        <f t="shared" si="1009"/>
        <v>0</v>
      </c>
      <c r="G459">
        <f t="shared" si="1009"/>
        <v>0</v>
      </c>
      <c r="H459">
        <f t="shared" si="1009"/>
        <v>4.0000000000000036</v>
      </c>
      <c r="I459">
        <f t="shared" si="1009"/>
        <v>4.0000000000000036</v>
      </c>
      <c r="J459">
        <f t="shared" si="1009"/>
        <v>4.0000000000000036</v>
      </c>
      <c r="K459">
        <f t="shared" si="1009"/>
        <v>4.0000000000000036</v>
      </c>
      <c r="L459">
        <f t="shared" si="1009"/>
        <v>3.0000000000000249</v>
      </c>
      <c r="M459">
        <f t="shared" si="1009"/>
        <v>2.9999999999999361</v>
      </c>
      <c r="N459">
        <f t="shared" si="1009"/>
        <v>4.0000000000000036</v>
      </c>
      <c r="O459" s="5">
        <f t="shared" si="1001"/>
        <v>-1.0898971515428202E-3</v>
      </c>
      <c r="P459" s="5">
        <f t="shared" si="1001"/>
        <v>-1.1310509976240408E-2</v>
      </c>
      <c r="Q459" s="5">
        <f t="shared" si="1001"/>
        <v>1.0845398850177112E-4</v>
      </c>
      <c r="R459" s="5">
        <f t="shared" si="1001"/>
        <v>-1.8814680997056199E-3</v>
      </c>
      <c r="S459" s="5">
        <f t="shared" si="1001"/>
        <v>1.8600013087630614E-3</v>
      </c>
      <c r="T459" s="5">
        <f t="shared" ref="T459:X459" si="1010">LN(T1008/T1009)</f>
        <v>-2.1457068323343883E-3</v>
      </c>
      <c r="U459" s="5">
        <f t="shared" si="1010"/>
        <v>-3.1104561163969222E-3</v>
      </c>
      <c r="V459" s="5">
        <f t="shared" si="1010"/>
        <v>2.6598780098185002E-3</v>
      </c>
      <c r="W459" s="5">
        <f t="shared" si="1010"/>
        <v>-1.797085903388685E-3</v>
      </c>
      <c r="X459" s="5">
        <f t="shared" si="1010"/>
        <v>1.5983713645397358E-3</v>
      </c>
      <c r="Z459" s="4">
        <v>45426</v>
      </c>
      <c r="AA459">
        <f>B459*B$3</f>
        <v>0</v>
      </c>
      <c r="AB459">
        <f>C459*C$3</f>
        <v>0</v>
      </c>
      <c r="AC459">
        <f>D459*D$3</f>
        <v>16142.999999999656</v>
      </c>
      <c r="AD459">
        <f>E459*E$3</f>
        <v>0</v>
      </c>
      <c r="AE459">
        <f>F459*F$3</f>
        <v>0</v>
      </c>
      <c r="AF459">
        <f>G459*G$3</f>
        <v>0</v>
      </c>
      <c r="AG459">
        <f>H459*H$3</f>
        <v>-112864.0000000001</v>
      </c>
      <c r="AH459">
        <f>I459*I$3</f>
        <v>-73824.000000000073</v>
      </c>
      <c r="AI459">
        <f>J459*J$3</f>
        <v>-204206.00000000017</v>
      </c>
      <c r="AJ459">
        <f>K459*K$3</f>
        <v>-313580.00000000029</v>
      </c>
      <c r="AK459">
        <f>L459*L$3</f>
        <v>93012.000000000771</v>
      </c>
      <c r="AL459">
        <f>M459*M$3</f>
        <v>96218.999999997948</v>
      </c>
      <c r="AM459">
        <f>N459*N$3</f>
        <v>0</v>
      </c>
      <c r="AN459">
        <f>O459*O$3</f>
        <v>0</v>
      </c>
      <c r="AO459">
        <f>P459*P$3</f>
        <v>56552.549881202038</v>
      </c>
      <c r="AP459">
        <f>Q459*Q$3</f>
        <v>1301.4478620212535</v>
      </c>
      <c r="AQ459">
        <f>R459*R$3</f>
        <v>28222.0214955843</v>
      </c>
      <c r="AR459" s="1">
        <f>S459*S$3</f>
        <v>-13020.00916134143</v>
      </c>
      <c r="AS459" s="1">
        <f t="shared" si="994"/>
        <v>-8582.8273293375532</v>
      </c>
      <c r="AT459" s="1">
        <f t="shared" si="994"/>
        <v>-24883.648931175379</v>
      </c>
      <c r="AU459" s="1">
        <f t="shared" si="994"/>
        <v>0</v>
      </c>
      <c r="AV459" s="1">
        <f t="shared" si="994"/>
        <v>0</v>
      </c>
      <c r="AW459" s="1">
        <f t="shared" si="994"/>
        <v>0</v>
      </c>
      <c r="AX459" s="1">
        <f t="shared" si="997"/>
        <v>-459510.46618304885</v>
      </c>
      <c r="AY459" s="1">
        <f t="shared" si="998"/>
        <v>39589.533816953233</v>
      </c>
      <c r="AZ459" s="1">
        <f t="shared" si="999"/>
        <v>-499100.0000000021</v>
      </c>
    </row>
    <row r="460" spans="1:52" x14ac:dyDescent="0.25">
      <c r="A460" s="4">
        <v>45425</v>
      </c>
      <c r="B460">
        <f t="shared" ref="B460:N460" si="1011">(B1010-B1009)*100</f>
        <v>0.99999999999997868</v>
      </c>
      <c r="C460">
        <f t="shared" si="1011"/>
        <v>0</v>
      </c>
      <c r="D460">
        <f t="shared" si="1011"/>
        <v>1.9999999999999574</v>
      </c>
      <c r="E460">
        <f t="shared" si="1011"/>
        <v>0</v>
      </c>
      <c r="F460">
        <f t="shared" si="1011"/>
        <v>0</v>
      </c>
      <c r="G460">
        <f t="shared" si="1011"/>
        <v>0.99999999999997868</v>
      </c>
      <c r="H460">
        <f t="shared" si="1011"/>
        <v>2.0000000000000462</v>
      </c>
      <c r="I460">
        <f t="shared" si="1011"/>
        <v>-0.99999999999997868</v>
      </c>
      <c r="J460">
        <f t="shared" si="1011"/>
        <v>1.9999999999999574</v>
      </c>
      <c r="K460">
        <f t="shared" si="1011"/>
        <v>1.9999999999999574</v>
      </c>
      <c r="L460">
        <f t="shared" si="1011"/>
        <v>1.9999999999999574</v>
      </c>
      <c r="M460">
        <f t="shared" si="1011"/>
        <v>2.0000000000000462</v>
      </c>
      <c r="N460">
        <f t="shared" si="1011"/>
        <v>0.99999999999997868</v>
      </c>
      <c r="O460" s="5">
        <f t="shared" si="1001"/>
        <v>-1.0109848241285902E-3</v>
      </c>
      <c r="P460" s="5">
        <f t="shared" si="1001"/>
        <v>0</v>
      </c>
      <c r="Q460" s="5">
        <f t="shared" si="1001"/>
        <v>-9.7033125242261264E-3</v>
      </c>
      <c r="R460" s="5">
        <f t="shared" si="1001"/>
        <v>2.4196812450982125E-3</v>
      </c>
      <c r="S460" s="5">
        <f t="shared" si="1001"/>
        <v>1.6549198938465577E-3</v>
      </c>
      <c r="T460" s="5">
        <f t="shared" ref="T460:X460" si="1012">LN(T1009/T1010)</f>
        <v>1.3687557229374744E-3</v>
      </c>
      <c r="U460" s="5">
        <f t="shared" si="1012"/>
        <v>2.2539252469870952E-4</v>
      </c>
      <c r="V460" s="5">
        <f t="shared" si="1012"/>
        <v>2.7569165629646743E-3</v>
      </c>
      <c r="W460" s="5">
        <f t="shared" si="1012"/>
        <v>3.0237799541219315E-3</v>
      </c>
      <c r="X460" s="5">
        <f t="shared" si="1012"/>
        <v>6.6212038538377847E-4</v>
      </c>
      <c r="Z460" s="4">
        <v>45425</v>
      </c>
      <c r="AA460">
        <f>B460*B$3</f>
        <v>-982.99999999997908</v>
      </c>
      <c r="AB460">
        <f>C460*C$3</f>
        <v>0</v>
      </c>
      <c r="AC460">
        <f>D460*D$3</f>
        <v>32285.999999999312</v>
      </c>
      <c r="AD460">
        <f>E460*E$3</f>
        <v>0</v>
      </c>
      <c r="AE460">
        <f>F460*F$3</f>
        <v>0</v>
      </c>
      <c r="AF460">
        <f>G460*G$3</f>
        <v>-15627.999999999667</v>
      </c>
      <c r="AG460">
        <f>H460*H$3</f>
        <v>-56432.000000001302</v>
      </c>
      <c r="AH460">
        <f>I460*I$3</f>
        <v>18455.999999999607</v>
      </c>
      <c r="AI460">
        <f>J460*J$3</f>
        <v>-102102.99999999782</v>
      </c>
      <c r="AJ460">
        <f>K460*K$3</f>
        <v>-156789.99999999665</v>
      </c>
      <c r="AK460">
        <f>L460*L$3</f>
        <v>62007.999999998676</v>
      </c>
      <c r="AL460">
        <f>M460*M$3</f>
        <v>64146.000000001484</v>
      </c>
      <c r="AM460">
        <f>N460*N$3</f>
        <v>0</v>
      </c>
      <c r="AN460">
        <f>O460*O$3</f>
        <v>0</v>
      </c>
      <c r="AO460">
        <f>P460*P$3</f>
        <v>0</v>
      </c>
      <c r="AP460">
        <f>Q460*Q$3</f>
        <v>-116439.75029071352</v>
      </c>
      <c r="AQ460">
        <f>R460*R$3</f>
        <v>-36295.218676473189</v>
      </c>
      <c r="AR460" s="1">
        <f>S460*S$3</f>
        <v>-11584.439256925903</v>
      </c>
      <c r="AS460" s="1">
        <f t="shared" si="994"/>
        <v>5475.0228917498971</v>
      </c>
      <c r="AT460" s="1">
        <f t="shared" si="994"/>
        <v>1803.1401975896761</v>
      </c>
      <c r="AU460" s="1">
        <f t="shared" si="994"/>
        <v>0</v>
      </c>
      <c r="AV460" s="1">
        <f t="shared" si="994"/>
        <v>0</v>
      </c>
      <c r="AW460" s="1">
        <f t="shared" si="994"/>
        <v>0</v>
      </c>
      <c r="AX460" s="1">
        <f t="shared" si="997"/>
        <v>-312081.24513476936</v>
      </c>
      <c r="AY460" s="1">
        <f t="shared" si="998"/>
        <v>-157041.24513477302</v>
      </c>
      <c r="AZ460" s="1">
        <f t="shared" si="999"/>
        <v>-155039.99999999633</v>
      </c>
    </row>
    <row r="461" spans="1:52" x14ac:dyDescent="0.25">
      <c r="A461" s="4">
        <v>45422</v>
      </c>
      <c r="B461">
        <f t="shared" ref="B461:N461" si="1013">(B1011-B1010)*100</f>
        <v>0</v>
      </c>
      <c r="C461">
        <f t="shared" si="1013"/>
        <v>1.0000000000000675</v>
      </c>
      <c r="D461">
        <f t="shared" si="1013"/>
        <v>-0.99999999999997868</v>
      </c>
      <c r="E461">
        <f t="shared" si="1013"/>
        <v>-0.99999999999997868</v>
      </c>
      <c r="F461">
        <f t="shared" si="1013"/>
        <v>-1.9999999999999574</v>
      </c>
      <c r="G461">
        <f t="shared" si="1013"/>
        <v>-4.9999999999999822</v>
      </c>
      <c r="H461">
        <f t="shared" si="1013"/>
        <v>-7.0000000000000284</v>
      </c>
      <c r="I461">
        <f t="shared" si="1013"/>
        <v>-5.0000000000000711</v>
      </c>
      <c r="J461">
        <f t="shared" si="1013"/>
        <v>-4.9999999999999822</v>
      </c>
      <c r="K461">
        <f t="shared" si="1013"/>
        <v>-4.9999999999999822</v>
      </c>
      <c r="L461">
        <f t="shared" si="1013"/>
        <v>-4.9999999999999822</v>
      </c>
      <c r="M461">
        <f t="shared" si="1013"/>
        <v>-4.0000000000000036</v>
      </c>
      <c r="N461">
        <f t="shared" si="1013"/>
        <v>-4.0000000000000036</v>
      </c>
      <c r="O461" s="5">
        <f t="shared" si="1001"/>
        <v>-2.1934302965956882E-3</v>
      </c>
      <c r="P461" s="5">
        <f t="shared" si="1001"/>
        <v>-2.5673955052458097E-3</v>
      </c>
      <c r="Q461" s="5">
        <f t="shared" si="1001"/>
        <v>-6.1785767428293092E-3</v>
      </c>
      <c r="R461" s="5">
        <f t="shared" si="1001"/>
        <v>6.7522201172866506E-3</v>
      </c>
      <c r="S461" s="5">
        <f t="shared" si="1001"/>
        <v>-4.8247169392974564E-4</v>
      </c>
      <c r="T461" s="5">
        <f t="shared" ref="T461:X461" si="1014">LN(T1010/T1011)</f>
        <v>-3.5526859952007017E-3</v>
      </c>
      <c r="U461" s="5">
        <f t="shared" si="1014"/>
        <v>-2.5894565525877407E-3</v>
      </c>
      <c r="V461" s="5">
        <f t="shared" si="1014"/>
        <v>-1.9303736098805701E-4</v>
      </c>
      <c r="W461" s="5">
        <f t="shared" si="1014"/>
        <v>-6.6978135276748972E-3</v>
      </c>
      <c r="X461" s="5">
        <f t="shared" si="1014"/>
        <v>-2.3596200186364177E-3</v>
      </c>
      <c r="Z461" s="4">
        <v>45422</v>
      </c>
      <c r="AA461">
        <f>B461*B$3</f>
        <v>0</v>
      </c>
      <c r="AB461">
        <f>C461*C$3</f>
        <v>-2584.0000000001746</v>
      </c>
      <c r="AC461">
        <f>D461*D$3</f>
        <v>-16142.999999999656</v>
      </c>
      <c r="AD461">
        <f>E461*E$3</f>
        <v>-2427.9999999999482</v>
      </c>
      <c r="AE461">
        <f>F461*F$3</f>
        <v>24855.999999999469</v>
      </c>
      <c r="AF461">
        <f>G461*G$3</f>
        <v>78139.999999999724</v>
      </c>
      <c r="AG461">
        <f>H461*H$3</f>
        <v>197512.00000000081</v>
      </c>
      <c r="AH461">
        <f>I461*I$3</f>
        <v>92280.00000000131</v>
      </c>
      <c r="AI461">
        <f>J461*J$3</f>
        <v>255257.4999999991</v>
      </c>
      <c r="AJ461">
        <f>K461*K$3</f>
        <v>391974.9999999986</v>
      </c>
      <c r="AK461">
        <f>L461*L$3</f>
        <v>-155019.99999999945</v>
      </c>
      <c r="AL461">
        <f>M461*M$3</f>
        <v>-128292.00000000012</v>
      </c>
      <c r="AM461">
        <f>N461*N$3</f>
        <v>0</v>
      </c>
      <c r="AN461">
        <f>O461*O$3</f>
        <v>0</v>
      </c>
      <c r="AO461">
        <f>P461*P$3</f>
        <v>12836.977526229048</v>
      </c>
      <c r="AP461">
        <f>Q461*Q$3</f>
        <v>-74142.920913951704</v>
      </c>
      <c r="AQ461">
        <f>R461*R$3</f>
        <v>-101283.30175929976</v>
      </c>
      <c r="AR461" s="1">
        <f>S461*S$3</f>
        <v>3377.3018575082197</v>
      </c>
      <c r="AS461" s="1">
        <f t="shared" si="994"/>
        <v>-14210.743980802807</v>
      </c>
      <c r="AT461" s="1">
        <f t="shared" si="994"/>
        <v>-20715.652420701925</v>
      </c>
      <c r="AU461" s="1">
        <f t="shared" si="994"/>
        <v>0</v>
      </c>
      <c r="AV461" s="1">
        <f t="shared" si="994"/>
        <v>0</v>
      </c>
      <c r="AW461" s="1">
        <f t="shared" si="994"/>
        <v>0</v>
      </c>
      <c r="AX461" s="1">
        <f t="shared" si="997"/>
        <v>541415.16030898062</v>
      </c>
      <c r="AY461" s="1">
        <f t="shared" si="998"/>
        <v>-194138.33969101892</v>
      </c>
      <c r="AZ461" s="1">
        <f t="shared" si="999"/>
        <v>735553.49999999953</v>
      </c>
    </row>
    <row r="462" spans="1:52" x14ac:dyDescent="0.25">
      <c r="A462" s="4">
        <v>45421</v>
      </c>
      <c r="B462">
        <f t="shared" ref="B462:N462" si="1015">(B1012-B1011)*100</f>
        <v>0</v>
      </c>
      <c r="C462">
        <f t="shared" si="1015"/>
        <v>-1.0000000000000675</v>
      </c>
      <c r="D462">
        <f t="shared" si="1015"/>
        <v>-0.99999999999997868</v>
      </c>
      <c r="E462">
        <f t="shared" si="1015"/>
        <v>0</v>
      </c>
      <c r="F462">
        <f t="shared" si="1015"/>
        <v>0</v>
      </c>
      <c r="G462">
        <f t="shared" si="1015"/>
        <v>0.99999999999997868</v>
      </c>
      <c r="H462">
        <f t="shared" si="1015"/>
        <v>4.0000000000000036</v>
      </c>
      <c r="I462">
        <f t="shared" si="1015"/>
        <v>3.0000000000000249</v>
      </c>
      <c r="J462">
        <f t="shared" si="1015"/>
        <v>3.0000000000000249</v>
      </c>
      <c r="K462">
        <f t="shared" si="1015"/>
        <v>3.0000000000000249</v>
      </c>
      <c r="L462">
        <f t="shared" si="1015"/>
        <v>3.0000000000000249</v>
      </c>
      <c r="M462">
        <f t="shared" si="1015"/>
        <v>3.0000000000000249</v>
      </c>
      <c r="N462">
        <f t="shared" si="1015"/>
        <v>4.0000000000000036</v>
      </c>
      <c r="O462" s="5">
        <f t="shared" si="1001"/>
        <v>1.3469137236404903E-2</v>
      </c>
      <c r="P462" s="5">
        <f t="shared" si="1001"/>
        <v>-1.2812301560485731E-3</v>
      </c>
      <c r="Q462" s="5">
        <f t="shared" si="1001"/>
        <v>2.6402302822759027E-3</v>
      </c>
      <c r="R462" s="5">
        <f t="shared" si="1001"/>
        <v>-8.6347001676231709E-3</v>
      </c>
      <c r="S462" s="5">
        <f t="shared" si="1001"/>
        <v>-6.1563498674353781E-3</v>
      </c>
      <c r="T462" s="5">
        <f t="shared" ref="T462:X462" si="1016">LN(T1011/T1012)</f>
        <v>3.3316091492220683E-4</v>
      </c>
      <c r="U462" s="5">
        <f t="shared" si="1016"/>
        <v>6.498763265066522E-4</v>
      </c>
      <c r="V462" s="5">
        <f t="shared" si="1016"/>
        <v>4.3267419146568046E-3</v>
      </c>
      <c r="W462" s="5">
        <f t="shared" si="1016"/>
        <v>1.8834818589805646E-3</v>
      </c>
      <c r="X462" s="5">
        <f t="shared" si="1016"/>
        <v>-5.3951874282275351E-4</v>
      </c>
      <c r="Z462" s="4">
        <v>45421</v>
      </c>
      <c r="AA462">
        <f>B462*B$3</f>
        <v>0</v>
      </c>
      <c r="AB462">
        <f>C462*C$3</f>
        <v>2584.0000000001746</v>
      </c>
      <c r="AC462">
        <f>D462*D$3</f>
        <v>-16142.999999999656</v>
      </c>
      <c r="AD462">
        <f>E462*E$3</f>
        <v>0</v>
      </c>
      <c r="AE462">
        <f>F462*F$3</f>
        <v>0</v>
      </c>
      <c r="AF462">
        <f>G462*G$3</f>
        <v>-15627.999999999667</v>
      </c>
      <c r="AG462">
        <f>H462*H$3</f>
        <v>-112864.0000000001</v>
      </c>
      <c r="AH462">
        <f>I462*I$3</f>
        <v>-55368.000000000458</v>
      </c>
      <c r="AI462">
        <f>J462*J$3</f>
        <v>-153154.50000000128</v>
      </c>
      <c r="AJ462">
        <f>K462*K$3</f>
        <v>-235185.00000000195</v>
      </c>
      <c r="AK462">
        <f>L462*L$3</f>
        <v>93012.000000000771</v>
      </c>
      <c r="AL462">
        <f>M462*M$3</f>
        <v>96219.0000000008</v>
      </c>
      <c r="AM462">
        <f>N462*N$3</f>
        <v>0</v>
      </c>
      <c r="AN462">
        <f>O462*O$3</f>
        <v>0</v>
      </c>
      <c r="AO462">
        <f>P462*P$3</f>
        <v>6406.1507802428659</v>
      </c>
      <c r="AP462">
        <f>Q462*Q$3</f>
        <v>31682.763387310832</v>
      </c>
      <c r="AQ462">
        <f>R462*R$3</f>
        <v>129520.50251434757</v>
      </c>
      <c r="AR462" s="1">
        <f>S462*S$3</f>
        <v>43094.449072047646</v>
      </c>
      <c r="AS462" s="1">
        <f t="shared" si="994"/>
        <v>1332.6436596888273</v>
      </c>
      <c r="AT462" s="1">
        <f t="shared" si="994"/>
        <v>5199.0106120532173</v>
      </c>
      <c r="AU462" s="1">
        <f t="shared" si="994"/>
        <v>0</v>
      </c>
      <c r="AV462" s="1">
        <f t="shared" si="994"/>
        <v>0</v>
      </c>
      <c r="AW462" s="1">
        <f t="shared" si="994"/>
        <v>0</v>
      </c>
      <c r="AX462" s="1">
        <f t="shared" si="997"/>
        <v>-179291.97997431038</v>
      </c>
      <c r="AY462" s="1">
        <f t="shared" si="998"/>
        <v>217235.52002569096</v>
      </c>
      <c r="AZ462" s="1">
        <f t="shared" si="999"/>
        <v>-396527.50000000134</v>
      </c>
    </row>
    <row r="463" spans="1:52" x14ac:dyDescent="0.25">
      <c r="A463" s="4">
        <v>45420</v>
      </c>
      <c r="B463">
        <f t="shared" ref="B463:N463" si="1017">(B1013-B1012)*100</f>
        <v>0</v>
      </c>
      <c r="C463">
        <f t="shared" si="1017"/>
        <v>1.0000000000000675</v>
      </c>
      <c r="D463">
        <f t="shared" si="1017"/>
        <v>0</v>
      </c>
      <c r="E463">
        <f t="shared" si="1017"/>
        <v>0.99999999999997868</v>
      </c>
      <c r="F463">
        <f t="shared" si="1017"/>
        <v>0</v>
      </c>
      <c r="G463">
        <f t="shared" si="1017"/>
        <v>0</v>
      </c>
      <c r="H463">
        <f t="shared" si="1017"/>
        <v>-1.9999999999999574</v>
      </c>
      <c r="I463">
        <f t="shared" si="1017"/>
        <v>-3.0000000000000249</v>
      </c>
      <c r="J463">
        <f t="shared" si="1017"/>
        <v>-1.9999999999999574</v>
      </c>
      <c r="K463">
        <f t="shared" si="1017"/>
        <v>-2.0000000000000462</v>
      </c>
      <c r="L463">
        <f t="shared" si="1017"/>
        <v>-1.0000000000000675</v>
      </c>
      <c r="M463">
        <f t="shared" si="1017"/>
        <v>-3.0000000000000249</v>
      </c>
      <c r="N463">
        <f t="shared" si="1017"/>
        <v>-2.9999999999999361</v>
      </c>
      <c r="O463" s="5">
        <f t="shared" si="1001"/>
        <v>5.4586256476805975E-3</v>
      </c>
      <c r="P463" s="5">
        <f t="shared" si="1001"/>
        <v>4.3628966934566461E-3</v>
      </c>
      <c r="Q463" s="5">
        <f t="shared" si="1001"/>
        <v>4.4195174002451326E-3</v>
      </c>
      <c r="R463" s="5">
        <f t="shared" si="1001"/>
        <v>2.6870885557349664E-4</v>
      </c>
      <c r="S463" s="5">
        <f t="shared" si="1001"/>
        <v>-4.2603803033778236E-4</v>
      </c>
      <c r="T463" s="5">
        <f t="shared" ref="T463:X463" si="1018">LN(T1012/T1013)</f>
        <v>1.5815538797217766E-3</v>
      </c>
      <c r="U463" s="5">
        <f t="shared" si="1018"/>
        <v>4.6613114576540453E-3</v>
      </c>
      <c r="V463" s="5">
        <f t="shared" si="1018"/>
        <v>3.3076172097787257E-3</v>
      </c>
      <c r="W463" s="5">
        <f t="shared" si="1018"/>
        <v>5.2554402398968204E-3</v>
      </c>
      <c r="X463" s="5">
        <f t="shared" si="1018"/>
        <v>1.9612094380579191E-3</v>
      </c>
      <c r="Z463" s="4">
        <v>45420</v>
      </c>
      <c r="AA463">
        <f>B463*B$3</f>
        <v>0</v>
      </c>
      <c r="AB463">
        <f>C463*C$3</f>
        <v>-2584.0000000001746</v>
      </c>
      <c r="AC463">
        <f>D463*D$3</f>
        <v>0</v>
      </c>
      <c r="AD463">
        <f>E463*E$3</f>
        <v>2427.9999999999482</v>
      </c>
      <c r="AE463">
        <f>F463*F$3</f>
        <v>0</v>
      </c>
      <c r="AF463">
        <f>G463*G$3</f>
        <v>0</v>
      </c>
      <c r="AG463">
        <f>H463*H$3</f>
        <v>56431.999999998799</v>
      </c>
      <c r="AH463">
        <f>I463*I$3</f>
        <v>55368.000000000458</v>
      </c>
      <c r="AI463">
        <f>J463*J$3</f>
        <v>102102.99999999782</v>
      </c>
      <c r="AJ463">
        <f>K463*K$3</f>
        <v>156790.00000000361</v>
      </c>
      <c r="AK463">
        <f>L463*L$3</f>
        <v>-31004.000000002092</v>
      </c>
      <c r="AL463">
        <f>M463*M$3</f>
        <v>-96219.0000000008</v>
      </c>
      <c r="AM463">
        <f>N463*N$3</f>
        <v>0</v>
      </c>
      <c r="AN463">
        <f>O463*O$3</f>
        <v>0</v>
      </c>
      <c r="AO463">
        <f>P463*P$3</f>
        <v>-21814.483467283229</v>
      </c>
      <c r="AP463">
        <f>Q463*Q$3</f>
        <v>53034.20880294159</v>
      </c>
      <c r="AQ463">
        <f>R463*R$3</f>
        <v>-4030.6328336024494</v>
      </c>
      <c r="AR463" s="1">
        <f>S463*S$3</f>
        <v>2982.2662123644764</v>
      </c>
      <c r="AS463" s="1">
        <f t="shared" si="994"/>
        <v>6326.2155188871066</v>
      </c>
      <c r="AT463" s="1">
        <f t="shared" si="994"/>
        <v>37290.491661232365</v>
      </c>
      <c r="AU463" s="1">
        <f t="shared" si="994"/>
        <v>0</v>
      </c>
      <c r="AV463" s="1">
        <f t="shared" si="994"/>
        <v>0</v>
      </c>
      <c r="AW463" s="1">
        <f t="shared" si="994"/>
        <v>0</v>
      </c>
      <c r="AX463" s="1">
        <f t="shared" si="997"/>
        <v>317102.06589453743</v>
      </c>
      <c r="AY463" s="1">
        <f t="shared" si="998"/>
        <v>73788.065894539861</v>
      </c>
      <c r="AZ463" s="1">
        <f t="shared" si="999"/>
        <v>243313.99999999756</v>
      </c>
    </row>
    <row r="464" spans="1:52" x14ac:dyDescent="0.25">
      <c r="A464" s="4">
        <v>45419</v>
      </c>
      <c r="B464">
        <f t="shared" ref="B464:N464" si="1019">(B1014-B1013)*100</f>
        <v>0</v>
      </c>
      <c r="C464">
        <f t="shared" si="1019"/>
        <v>0</v>
      </c>
      <c r="D464">
        <f t="shared" si="1019"/>
        <v>0</v>
      </c>
      <c r="E464">
        <f t="shared" si="1019"/>
        <v>-0.99999999999997868</v>
      </c>
      <c r="F464">
        <f t="shared" si="1019"/>
        <v>0.99999999999997868</v>
      </c>
      <c r="G464">
        <f t="shared" si="1019"/>
        <v>-0.99999999999997868</v>
      </c>
      <c r="H464">
        <f t="shared" si="1019"/>
        <v>0</v>
      </c>
      <c r="I464">
        <f t="shared" si="1019"/>
        <v>4.0000000000000036</v>
      </c>
      <c r="J464">
        <f t="shared" si="1019"/>
        <v>0</v>
      </c>
      <c r="K464">
        <f t="shared" si="1019"/>
        <v>1.0000000000000675</v>
      </c>
      <c r="L464">
        <f t="shared" si="1019"/>
        <v>2.0000000000000462</v>
      </c>
      <c r="M464">
        <f t="shared" si="1019"/>
        <v>3.0000000000000249</v>
      </c>
      <c r="N464">
        <f t="shared" si="1019"/>
        <v>2.9999999999999361</v>
      </c>
      <c r="O464" s="5">
        <f t="shared" si="1001"/>
        <v>-2.3092647263691785E-3</v>
      </c>
      <c r="P464" s="5">
        <f t="shared" si="1001"/>
        <v>-2.3121397583795024E-3</v>
      </c>
      <c r="Q464" s="5">
        <f t="shared" si="1001"/>
        <v>-8.6917045258782764E-3</v>
      </c>
      <c r="R464" s="5">
        <f t="shared" si="1001"/>
        <v>-1.0744024670373512E-3</v>
      </c>
      <c r="S464" s="5">
        <f t="shared" si="1001"/>
        <v>1.3142006579988656E-3</v>
      </c>
      <c r="T464" s="5">
        <f t="shared" ref="T464:X464" si="1020">LN(T1013/T1014)</f>
        <v>-8.7179449248860541E-4</v>
      </c>
      <c r="U464" s="5">
        <f t="shared" si="1020"/>
        <v>-1.4934356162539103E-3</v>
      </c>
      <c r="V464" s="5">
        <f t="shared" si="1020"/>
        <v>4.3599726158796018E-3</v>
      </c>
      <c r="W464" s="5">
        <f t="shared" si="1020"/>
        <v>-2.2429336707893099E-3</v>
      </c>
      <c r="X464" s="5">
        <f t="shared" si="1020"/>
        <v>8.3857673374357756E-4</v>
      </c>
      <c r="Z464" s="4">
        <v>45419</v>
      </c>
      <c r="AA464">
        <f>B464*B$3</f>
        <v>0</v>
      </c>
      <c r="AB464">
        <f>C464*C$3</f>
        <v>0</v>
      </c>
      <c r="AC464">
        <f>D464*D$3</f>
        <v>0</v>
      </c>
      <c r="AD464">
        <f>E464*E$3</f>
        <v>-2427.9999999999482</v>
      </c>
      <c r="AE464">
        <f>F464*F$3</f>
        <v>-12427.999999999734</v>
      </c>
      <c r="AF464">
        <f>G464*G$3</f>
        <v>15627.999999999667</v>
      </c>
      <c r="AG464">
        <f>H464*H$3</f>
        <v>0</v>
      </c>
      <c r="AH464">
        <f>I464*I$3</f>
        <v>-73824.000000000073</v>
      </c>
      <c r="AI464">
        <f>J464*J$3</f>
        <v>0</v>
      </c>
      <c r="AJ464">
        <f>K464*K$3</f>
        <v>-78395.000000005297</v>
      </c>
      <c r="AK464">
        <f>L464*L$3</f>
        <v>62008.000000001433</v>
      </c>
      <c r="AL464">
        <f>M464*M$3</f>
        <v>96219.0000000008</v>
      </c>
      <c r="AM464">
        <f>N464*N$3</f>
        <v>0</v>
      </c>
      <c r="AN464">
        <f>O464*O$3</f>
        <v>0</v>
      </c>
      <c r="AO464">
        <f>P464*P$3</f>
        <v>11560.698791897512</v>
      </c>
      <c r="AP464">
        <f>Q464*Q$3</f>
        <v>-104300.45431053932</v>
      </c>
      <c r="AQ464">
        <f>R464*R$3</f>
        <v>16116.037005560267</v>
      </c>
      <c r="AR464" s="1">
        <f>S464*S$3</f>
        <v>-9199.4046059920602</v>
      </c>
      <c r="AS464" s="1">
        <f t="shared" si="994"/>
        <v>-3487.1779699544218</v>
      </c>
      <c r="AT464" s="1">
        <f t="shared" si="994"/>
        <v>-11947.484930031282</v>
      </c>
      <c r="AU464" s="1">
        <f t="shared" si="994"/>
        <v>0</v>
      </c>
      <c r="AV464" s="1">
        <f t="shared" si="994"/>
        <v>0</v>
      </c>
      <c r="AW464" s="1">
        <f t="shared" si="994"/>
        <v>0</v>
      </c>
      <c r="AX464" s="1">
        <f t="shared" si="997"/>
        <v>-94477.786019062463</v>
      </c>
      <c r="AY464" s="1">
        <f t="shared" si="998"/>
        <v>-101257.78601905932</v>
      </c>
      <c r="AZ464" s="1">
        <f t="shared" si="999"/>
        <v>6779.9999999968568</v>
      </c>
    </row>
    <row r="465" spans="1:52" x14ac:dyDescent="0.25">
      <c r="A465" s="4">
        <v>45418</v>
      </c>
      <c r="B465">
        <f t="shared" ref="B465:N465" si="1021">(B1015-B1014)*100</f>
        <v>0</v>
      </c>
      <c r="C465">
        <f t="shared" si="1021"/>
        <v>0</v>
      </c>
      <c r="D465">
        <f t="shared" si="1021"/>
        <v>0</v>
      </c>
      <c r="E465">
        <f t="shared" si="1021"/>
        <v>0</v>
      </c>
      <c r="F465">
        <f t="shared" si="1021"/>
        <v>-0.99999999999997868</v>
      </c>
      <c r="G465">
        <f t="shared" si="1021"/>
        <v>0</v>
      </c>
      <c r="H465">
        <f t="shared" si="1021"/>
        <v>-1.0000000000000675</v>
      </c>
      <c r="I465">
        <f t="shared" si="1021"/>
        <v>-0.99999999999997868</v>
      </c>
      <c r="J465">
        <f t="shared" si="1021"/>
        <v>0</v>
      </c>
      <c r="K465">
        <f t="shared" si="1021"/>
        <v>0.99999999999997868</v>
      </c>
      <c r="L465">
        <f t="shared" si="1021"/>
        <v>0.99999999999997868</v>
      </c>
      <c r="M465">
        <f t="shared" si="1021"/>
        <v>1.9999999999999574</v>
      </c>
      <c r="N465">
        <f t="shared" si="1021"/>
        <v>2.0000000000000462</v>
      </c>
      <c r="O465" s="5">
        <f t="shared" ref="O465:S474" si="1022">LN(O1014/O1015)</f>
        <v>1.1638344723724318E-3</v>
      </c>
      <c r="P465" s="5">
        <f t="shared" si="1022"/>
        <v>-4.1228723846675943E-3</v>
      </c>
      <c r="Q465" s="5">
        <f t="shared" si="1022"/>
        <v>-1.6981889090037654E-2</v>
      </c>
      <c r="R465" s="5">
        <f t="shared" si="1022"/>
        <v>1.3431835464675379E-3</v>
      </c>
      <c r="S465" s="5">
        <f t="shared" si="1022"/>
        <v>-4.7867339562865287E-3</v>
      </c>
      <c r="T465" s="5">
        <f t="shared" ref="T465:X465" si="1023">LN(T1014/T1015)</f>
        <v>-2.3316917706933992E-3</v>
      </c>
      <c r="U465" s="5">
        <f t="shared" si="1023"/>
        <v>-3.7642528304535051E-5</v>
      </c>
      <c r="V465" s="5">
        <f t="shared" si="1023"/>
        <v>3.3984208527218411E-3</v>
      </c>
      <c r="W465" s="5">
        <f t="shared" si="1023"/>
        <v>-5.7176931929268458E-3</v>
      </c>
      <c r="X465" s="5">
        <f t="shared" si="1023"/>
        <v>-4.2187588576135995E-3</v>
      </c>
      <c r="Z465" s="4">
        <v>45418</v>
      </c>
      <c r="AA465">
        <f>B465*B$3</f>
        <v>0</v>
      </c>
      <c r="AB465">
        <f>C465*C$3</f>
        <v>0</v>
      </c>
      <c r="AC465">
        <f>D465*D$3</f>
        <v>0</v>
      </c>
      <c r="AD465">
        <f>E465*E$3</f>
        <v>0</v>
      </c>
      <c r="AE465">
        <f>F465*F$3</f>
        <v>12427.999999999734</v>
      </c>
      <c r="AF465">
        <f>G465*G$3</f>
        <v>0</v>
      </c>
      <c r="AG465">
        <f>H465*H$3</f>
        <v>28216.000000001906</v>
      </c>
      <c r="AH465">
        <f>I465*I$3</f>
        <v>18455.999999999607</v>
      </c>
      <c r="AI465">
        <f>J465*J$3</f>
        <v>0</v>
      </c>
      <c r="AJ465">
        <f>K465*K$3</f>
        <v>-78394.999999998327</v>
      </c>
      <c r="AK465">
        <f>L465*L$3</f>
        <v>31003.999999999338</v>
      </c>
      <c r="AL465">
        <f>M465*M$3</f>
        <v>64145.999999998632</v>
      </c>
      <c r="AM465">
        <f>N465*N$3</f>
        <v>0</v>
      </c>
      <c r="AN465">
        <f>O465*O$3</f>
        <v>0</v>
      </c>
      <c r="AO465">
        <f>P465*P$3</f>
        <v>20614.361923337972</v>
      </c>
      <c r="AP465">
        <f>Q465*Q$3</f>
        <v>-203782.66908045186</v>
      </c>
      <c r="AQ465">
        <f>R465*R$3</f>
        <v>-20147.753197013069</v>
      </c>
      <c r="AR465" s="1">
        <f>S465*S$3</f>
        <v>33507.137694005702</v>
      </c>
      <c r="AS465" s="1">
        <f t="shared" si="994"/>
        <v>-9326.7670827735965</v>
      </c>
      <c r="AT465" s="1">
        <f t="shared" si="994"/>
        <v>-301.14022643628039</v>
      </c>
      <c r="AU465" s="1">
        <f t="shared" si="994"/>
        <v>0</v>
      </c>
      <c r="AV465" s="1">
        <f t="shared" si="994"/>
        <v>0</v>
      </c>
      <c r="AW465" s="1">
        <f t="shared" si="994"/>
        <v>0</v>
      </c>
      <c r="AX465" s="1">
        <f t="shared" si="997"/>
        <v>-103581.82996933024</v>
      </c>
      <c r="AY465" s="1">
        <f t="shared" si="998"/>
        <v>-179436.82996933113</v>
      </c>
      <c r="AZ465" s="1">
        <f t="shared" si="999"/>
        <v>75855.000000000888</v>
      </c>
    </row>
    <row r="466" spans="1:52" x14ac:dyDescent="0.25">
      <c r="A466" s="4">
        <v>45415</v>
      </c>
      <c r="B466">
        <f t="shared" ref="B466:N466" si="1024">(B1016-B1015)*100</f>
        <v>0</v>
      </c>
      <c r="C466">
        <f t="shared" si="1024"/>
        <v>-1.0000000000000675</v>
      </c>
      <c r="D466">
        <f t="shared" si="1024"/>
        <v>0.99999999999997868</v>
      </c>
      <c r="E466">
        <f t="shared" si="1024"/>
        <v>0</v>
      </c>
      <c r="F466">
        <f t="shared" si="1024"/>
        <v>0.99999999999997868</v>
      </c>
      <c r="G466">
        <f t="shared" si="1024"/>
        <v>4.0000000000000036</v>
      </c>
      <c r="H466">
        <f t="shared" si="1024"/>
        <v>6.0000000000000497</v>
      </c>
      <c r="I466">
        <f t="shared" si="1024"/>
        <v>8.0000000000000071</v>
      </c>
      <c r="J466">
        <f t="shared" si="1024"/>
        <v>8.9999999999999858</v>
      </c>
      <c r="K466">
        <f t="shared" si="1024"/>
        <v>8.0000000000000071</v>
      </c>
      <c r="L466">
        <f t="shared" si="1024"/>
        <v>8.0000000000000071</v>
      </c>
      <c r="M466">
        <f t="shared" si="1024"/>
        <v>7.0000000000000284</v>
      </c>
      <c r="N466">
        <f t="shared" si="1024"/>
        <v>5.9999999999999609</v>
      </c>
      <c r="O466" s="5">
        <f t="shared" si="1022"/>
        <v>-1.0133032522856448E-2</v>
      </c>
      <c r="P466" s="5">
        <f t="shared" si="1022"/>
        <v>2.5587895540465024E-3</v>
      </c>
      <c r="Q466" s="5">
        <f t="shared" si="1022"/>
        <v>1.1526713170505755E-4</v>
      </c>
      <c r="R466" s="5">
        <f t="shared" si="1022"/>
        <v>-8.061266055245527E-4</v>
      </c>
      <c r="S466" s="5">
        <f t="shared" si="1022"/>
        <v>-1.8788749950301871E-3</v>
      </c>
      <c r="T466" s="5">
        <f t="shared" ref="T466:X466" si="1025">LN(T1015/T1016)</f>
        <v>-1.0728188714230775E-3</v>
      </c>
      <c r="U466" s="5">
        <f t="shared" si="1025"/>
        <v>-1.002919351729778E-4</v>
      </c>
      <c r="V466" s="5">
        <f t="shared" si="1025"/>
        <v>-1.7224751397500845E-2</v>
      </c>
      <c r="W466" s="5">
        <f t="shared" si="1025"/>
        <v>-6.0288520033975994E-3</v>
      </c>
      <c r="X466" s="5">
        <f t="shared" si="1025"/>
        <v>-7.2174896918841616E-3</v>
      </c>
      <c r="Z466" s="4">
        <v>45415</v>
      </c>
      <c r="AA466">
        <f>B466*B$3</f>
        <v>0</v>
      </c>
      <c r="AB466">
        <f>C466*C$3</f>
        <v>2584.0000000001746</v>
      </c>
      <c r="AC466">
        <f>D466*D$3</f>
        <v>16142.999999999656</v>
      </c>
      <c r="AD466">
        <f>E466*E$3</f>
        <v>0</v>
      </c>
      <c r="AE466">
        <f>F466*F$3</f>
        <v>-12427.999999999734</v>
      </c>
      <c r="AF466">
        <f>G466*G$3</f>
        <v>-62512.000000000058</v>
      </c>
      <c r="AG466">
        <f>H466*H$3</f>
        <v>-169296.0000000014</v>
      </c>
      <c r="AH466">
        <f>I466*I$3</f>
        <v>-147648.00000000015</v>
      </c>
      <c r="AI466">
        <f>J466*J$3</f>
        <v>-459463.4999999993</v>
      </c>
      <c r="AJ466">
        <f>K466*K$3</f>
        <v>-627160.00000000058</v>
      </c>
      <c r="AK466">
        <f>L466*L$3</f>
        <v>248032.00000000023</v>
      </c>
      <c r="AL466">
        <f>M466*M$3</f>
        <v>224511.0000000009</v>
      </c>
      <c r="AM466">
        <f>N466*N$3</f>
        <v>0</v>
      </c>
      <c r="AN466">
        <f>O466*O$3</f>
        <v>0</v>
      </c>
      <c r="AO466">
        <f>P466*P$3</f>
        <v>-12793.947770232511</v>
      </c>
      <c r="AP466">
        <f>Q466*Q$3</f>
        <v>1383.2055804606907</v>
      </c>
      <c r="AQ466">
        <f>R466*R$3</f>
        <v>12091.899082868291</v>
      </c>
      <c r="AR466" s="1">
        <f>S466*S$3</f>
        <v>13152.124965211309</v>
      </c>
      <c r="AS466" s="1">
        <f t="shared" si="994"/>
        <v>-4291.2754856923102</v>
      </c>
      <c r="AT466" s="1">
        <f t="shared" si="994"/>
        <v>-802.33548138382241</v>
      </c>
      <c r="AU466" s="1">
        <f t="shared" si="994"/>
        <v>0</v>
      </c>
      <c r="AV466" s="1">
        <f t="shared" si="994"/>
        <v>0</v>
      </c>
      <c r="AW466" s="1">
        <f t="shared" si="994"/>
        <v>0</v>
      </c>
      <c r="AX466" s="1">
        <f t="shared" si="997"/>
        <v>-978497.82910876872</v>
      </c>
      <c r="AY466" s="1">
        <f t="shared" si="998"/>
        <v>8739.6708912316462</v>
      </c>
      <c r="AZ466" s="1">
        <f t="shared" si="999"/>
        <v>-987237.50000000035</v>
      </c>
    </row>
    <row r="467" spans="1:52" x14ac:dyDescent="0.25">
      <c r="A467" s="4">
        <v>45414</v>
      </c>
      <c r="B467">
        <f t="shared" ref="B467:N467" si="1026">(B1017-B1016)*100</f>
        <v>-4.0000000000000036</v>
      </c>
      <c r="C467">
        <f t="shared" si="1026"/>
        <v>3.0000000000000249</v>
      </c>
      <c r="D467">
        <f t="shared" si="1026"/>
        <v>0</v>
      </c>
      <c r="E467">
        <f t="shared" si="1026"/>
        <v>0.99999999999997868</v>
      </c>
      <c r="F467">
        <f t="shared" si="1026"/>
        <v>0.99999999999997868</v>
      </c>
      <c r="G467">
        <f t="shared" si="1026"/>
        <v>4.9999999999999822</v>
      </c>
      <c r="H467">
        <f t="shared" si="1026"/>
        <v>8.9999999999999858</v>
      </c>
      <c r="I467">
        <f t="shared" si="1026"/>
        <v>8.0000000000000071</v>
      </c>
      <c r="J467">
        <f t="shared" si="1026"/>
        <v>6.9999999999999396</v>
      </c>
      <c r="K467">
        <f t="shared" si="1026"/>
        <v>6.9999999999999396</v>
      </c>
      <c r="L467">
        <f t="shared" si="1026"/>
        <v>4.9999999999999822</v>
      </c>
      <c r="M467">
        <f t="shared" si="1026"/>
        <v>2.9999999999999361</v>
      </c>
      <c r="N467">
        <f t="shared" si="1026"/>
        <v>2.0000000000000462</v>
      </c>
      <c r="O467" s="5">
        <f t="shared" si="1022"/>
        <v>-1.0379505406629758E-2</v>
      </c>
      <c r="P467" s="5">
        <f t="shared" si="1022"/>
        <v>-5.4627491939549036E-3</v>
      </c>
      <c r="Q467" s="5">
        <f t="shared" si="1022"/>
        <v>1.1202148894650028E-2</v>
      </c>
      <c r="R467" s="5">
        <f t="shared" si="1022"/>
        <v>-1.1218066361277132E-2</v>
      </c>
      <c r="S467" s="5">
        <f t="shared" si="1022"/>
        <v>-7.7723787420301577E-3</v>
      </c>
      <c r="T467" s="5">
        <f t="shared" ref="T467:X467" si="1027">LN(T1016/T1017)</f>
        <v>-5.143796890728366E-3</v>
      </c>
      <c r="U467" s="5">
        <f t="shared" si="1027"/>
        <v>-3.9296550442527245E-3</v>
      </c>
      <c r="V467" s="5">
        <f t="shared" si="1027"/>
        <v>-1.2877255174240336E-2</v>
      </c>
      <c r="W467" s="5">
        <f t="shared" si="1027"/>
        <v>-8.2858428878681573E-3</v>
      </c>
      <c r="X467" s="5">
        <f t="shared" si="1027"/>
        <v>-3.4098233934540347E-3</v>
      </c>
      <c r="Z467" s="4">
        <v>45414</v>
      </c>
      <c r="AA467">
        <f>B467*B$3</f>
        <v>3932.0000000000036</v>
      </c>
      <c r="AB467">
        <f>C467*C$3</f>
        <v>-7752.0000000000646</v>
      </c>
      <c r="AC467">
        <f>D467*D$3</f>
        <v>0</v>
      </c>
      <c r="AD467">
        <f>E467*E$3</f>
        <v>2427.9999999999482</v>
      </c>
      <c r="AE467">
        <f>F467*F$3</f>
        <v>-12427.999999999734</v>
      </c>
      <c r="AF467">
        <f>G467*G$3</f>
        <v>-78139.999999999724</v>
      </c>
      <c r="AG467">
        <f>H467*H$3</f>
        <v>-253943.99999999959</v>
      </c>
      <c r="AH467">
        <f>I467*I$3</f>
        <v>-147648.00000000015</v>
      </c>
      <c r="AI467">
        <f>J467*J$3</f>
        <v>-357360.49999999691</v>
      </c>
      <c r="AJ467">
        <f>K467*K$3</f>
        <v>-548764.99999999523</v>
      </c>
      <c r="AK467">
        <f>L467*L$3</f>
        <v>155019.99999999945</v>
      </c>
      <c r="AL467">
        <f>M467*M$3</f>
        <v>96218.999999997948</v>
      </c>
      <c r="AM467">
        <f>N467*N$3</f>
        <v>0</v>
      </c>
      <c r="AN467">
        <f>O467*O$3</f>
        <v>0</v>
      </c>
      <c r="AO467">
        <f>P467*P$3</f>
        <v>27313.745969774518</v>
      </c>
      <c r="AP467">
        <f>Q467*Q$3</f>
        <v>134425.78673580033</v>
      </c>
      <c r="AQ467">
        <f>R467*R$3</f>
        <v>168270.99541915697</v>
      </c>
      <c r="AR467" s="1">
        <f>S467*S$3</f>
        <v>54406.651194211103</v>
      </c>
      <c r="AS467" s="1">
        <f t="shared" si="994"/>
        <v>-20575.187562913463</v>
      </c>
      <c r="AT467" s="1">
        <f t="shared" si="994"/>
        <v>-31437.240354021797</v>
      </c>
      <c r="AU467" s="1">
        <f t="shared" si="994"/>
        <v>0</v>
      </c>
      <c r="AV467" s="1">
        <f t="shared" si="994"/>
        <v>0</v>
      </c>
      <c r="AW467" s="1">
        <f t="shared" si="994"/>
        <v>0</v>
      </c>
      <c r="AX467" s="1">
        <f t="shared" si="997"/>
        <v>-816033.74859798665</v>
      </c>
      <c r="AY467" s="1">
        <f t="shared" si="998"/>
        <v>332404.75140200771</v>
      </c>
      <c r="AZ467" s="1">
        <f t="shared" si="999"/>
        <v>-1148438.4999999944</v>
      </c>
    </row>
    <row r="468" spans="1:52" x14ac:dyDescent="0.25">
      <c r="A468" s="4">
        <v>45413</v>
      </c>
      <c r="B468">
        <f t="shared" ref="B468:N468" si="1028">(B1018-B1017)*100</f>
        <v>1.0000000000000675</v>
      </c>
      <c r="C468">
        <f t="shared" si="1028"/>
        <v>0.99999999999997868</v>
      </c>
      <c r="D468">
        <f t="shared" si="1028"/>
        <v>0</v>
      </c>
      <c r="E468">
        <f t="shared" si="1028"/>
        <v>-5.9999999999999609</v>
      </c>
      <c r="F468">
        <f t="shared" si="1028"/>
        <v>1.0000000000000675</v>
      </c>
      <c r="G468">
        <f t="shared" si="1028"/>
        <v>4.0000000000000036</v>
      </c>
      <c r="H468">
        <f t="shared" si="1028"/>
        <v>8.0000000000000071</v>
      </c>
      <c r="I468">
        <f t="shared" si="1028"/>
        <v>8.0000000000000071</v>
      </c>
      <c r="J468">
        <f t="shared" si="1028"/>
        <v>8.0000000000000071</v>
      </c>
      <c r="K468">
        <f t="shared" si="1028"/>
        <v>7.0000000000000284</v>
      </c>
      <c r="L468">
        <f t="shared" si="1028"/>
        <v>6.0000000000000497</v>
      </c>
      <c r="M468">
        <f t="shared" si="1028"/>
        <v>5.0000000000000711</v>
      </c>
      <c r="N468">
        <f t="shared" si="1028"/>
        <v>4.9999999999999822</v>
      </c>
      <c r="O468" s="5">
        <f t="shared" si="1022"/>
        <v>0</v>
      </c>
      <c r="P468" s="5">
        <f t="shared" si="1022"/>
        <v>0</v>
      </c>
      <c r="Q468" s="5">
        <f t="shared" si="1022"/>
        <v>0</v>
      </c>
      <c r="R468" s="5">
        <f t="shared" si="1022"/>
        <v>0</v>
      </c>
      <c r="S468" s="5">
        <f t="shared" si="1022"/>
        <v>0</v>
      </c>
      <c r="T468" s="5">
        <f t="shared" ref="T468:X468" si="1029">LN(T1017/T1018)</f>
        <v>4.5971658287732482E-3</v>
      </c>
      <c r="U468" s="5">
        <f t="shared" si="1029"/>
        <v>5.5610251239841847E-3</v>
      </c>
      <c r="V468" s="5">
        <f t="shared" si="1029"/>
        <v>8.9672153249741697E-3</v>
      </c>
      <c r="W468" s="5">
        <f t="shared" si="1029"/>
        <v>1.2868022497731665E-2</v>
      </c>
      <c r="X468" s="5">
        <f t="shared" si="1029"/>
        <v>9.5836611967987997E-3</v>
      </c>
      <c r="Z468" s="4">
        <v>45413</v>
      </c>
      <c r="AA468">
        <f>B468*B$3</f>
        <v>-983.00000000006639</v>
      </c>
      <c r="AB468">
        <f>C468*C$3</f>
        <v>-2583.999999999945</v>
      </c>
      <c r="AC468">
        <f>D468*D$3</f>
        <v>0</v>
      </c>
      <c r="AD468">
        <f>E468*E$3</f>
        <v>-14567.999999999905</v>
      </c>
      <c r="AE468">
        <f>F468*F$3</f>
        <v>-12428.000000000839</v>
      </c>
      <c r="AF468">
        <f>G468*G$3</f>
        <v>-62512.000000000058</v>
      </c>
      <c r="AG468">
        <f>H468*H$3</f>
        <v>-225728.0000000002</v>
      </c>
      <c r="AH468">
        <f>I468*I$3</f>
        <v>-147648.00000000015</v>
      </c>
      <c r="AI468">
        <f>J468*J$3</f>
        <v>-408412.00000000035</v>
      </c>
      <c r="AJ468">
        <f>K468*K$3</f>
        <v>-548765.00000000221</v>
      </c>
      <c r="AK468">
        <f>L468*L$3</f>
        <v>186024.00000000154</v>
      </c>
      <c r="AL468">
        <f>M468*M$3</f>
        <v>160365.00000000227</v>
      </c>
      <c r="AM468">
        <f>N468*N$3</f>
        <v>0</v>
      </c>
      <c r="AN468">
        <f>O468*O$3</f>
        <v>0</v>
      </c>
      <c r="AO468">
        <f>P468*P$3</f>
        <v>0</v>
      </c>
      <c r="AP468">
        <f>Q468*Q$3</f>
        <v>0</v>
      </c>
      <c r="AQ468">
        <f>R468*R$3</f>
        <v>0</v>
      </c>
      <c r="AR468" s="1">
        <f>S468*S$3</f>
        <v>0</v>
      </c>
      <c r="AS468" s="1">
        <f t="shared" si="994"/>
        <v>18388.663315092992</v>
      </c>
      <c r="AT468" s="1">
        <f t="shared" si="994"/>
        <v>44488.200991873477</v>
      </c>
      <c r="AU468" s="1">
        <f t="shared" si="994"/>
        <v>0</v>
      </c>
      <c r="AV468" s="1">
        <f t="shared" si="994"/>
        <v>0</v>
      </c>
      <c r="AW468" s="1">
        <f t="shared" si="994"/>
        <v>0</v>
      </c>
      <c r="AX468" s="1">
        <f t="shared" si="997"/>
        <v>-1014362.1356930333</v>
      </c>
      <c r="AY468" s="1">
        <f t="shared" si="998"/>
        <v>62876.864306966469</v>
      </c>
      <c r="AZ468" s="1">
        <f t="shared" si="999"/>
        <v>-1077238.9999999998</v>
      </c>
    </row>
    <row r="469" spans="1:52" x14ac:dyDescent="0.25">
      <c r="A469" s="4">
        <v>45412</v>
      </c>
      <c r="B469">
        <f t="shared" ref="B469:N469" si="1030">(B1019-B1018)*100</f>
        <v>0</v>
      </c>
      <c r="C469">
        <f t="shared" si="1030"/>
        <v>0</v>
      </c>
      <c r="D469">
        <f t="shared" si="1030"/>
        <v>-0.99999999999997868</v>
      </c>
      <c r="E469">
        <f t="shared" si="1030"/>
        <v>0</v>
      </c>
      <c r="F469">
        <f t="shared" si="1030"/>
        <v>-1.0000000000000675</v>
      </c>
      <c r="G469">
        <f t="shared" si="1030"/>
        <v>-4.9999999999999822</v>
      </c>
      <c r="H469">
        <f t="shared" si="1030"/>
        <v>-7.0000000000000284</v>
      </c>
      <c r="I469">
        <f t="shared" si="1030"/>
        <v>-7.0000000000000284</v>
      </c>
      <c r="J469">
        <f t="shared" si="1030"/>
        <v>-6.9999999999999396</v>
      </c>
      <c r="K469">
        <f t="shared" si="1030"/>
        <v>-7.0000000000000284</v>
      </c>
      <c r="L469">
        <f t="shared" si="1030"/>
        <v>-6.0000000000000497</v>
      </c>
      <c r="M469">
        <f t="shared" si="1030"/>
        <v>-4.0000000000000036</v>
      </c>
      <c r="N469">
        <f t="shared" si="1030"/>
        <v>-4.0000000000000036</v>
      </c>
      <c r="O469" s="5">
        <f t="shared" si="1022"/>
        <v>1.0946282512281403E-2</v>
      </c>
      <c r="P469" s="5">
        <f t="shared" si="1022"/>
        <v>1.4910016832410958E-2</v>
      </c>
      <c r="Q469" s="5">
        <f t="shared" si="1022"/>
        <v>-4.293349797965848E-3</v>
      </c>
      <c r="R469" s="5">
        <f t="shared" si="1022"/>
        <v>9.3396275961328424E-3</v>
      </c>
      <c r="S469" s="5">
        <f t="shared" si="1022"/>
        <v>6.3435004621860405E-3</v>
      </c>
      <c r="T469" s="5">
        <f t="shared" ref="T469:X469" si="1031">LN(T1018/T1019)</f>
        <v>-8.2479380797403879E-4</v>
      </c>
      <c r="U469" s="5">
        <f t="shared" si="1031"/>
        <v>-3.9360054192153163E-3</v>
      </c>
      <c r="V469" s="5">
        <f t="shared" si="1031"/>
        <v>-1.2144969277622444E-2</v>
      </c>
      <c r="W469" s="5">
        <f t="shared" si="1031"/>
        <v>-3.1290501567856972E-3</v>
      </c>
      <c r="X469" s="5">
        <f t="shared" si="1031"/>
        <v>-3.2536756180839821E-3</v>
      </c>
      <c r="Z469" s="4">
        <v>45412</v>
      </c>
      <c r="AA469">
        <f>B469*B$3</f>
        <v>0</v>
      </c>
      <c r="AB469">
        <f>C469*C$3</f>
        <v>0</v>
      </c>
      <c r="AC469">
        <f>D469*D$3</f>
        <v>-16142.999999999656</v>
      </c>
      <c r="AD469">
        <f>E469*E$3</f>
        <v>0</v>
      </c>
      <c r="AE469">
        <f>F469*F$3</f>
        <v>12428.000000000839</v>
      </c>
      <c r="AF469">
        <f>G469*G$3</f>
        <v>78139.999999999724</v>
      </c>
      <c r="AG469">
        <f>H469*H$3</f>
        <v>197512.00000000081</v>
      </c>
      <c r="AH469">
        <f>I469*I$3</f>
        <v>129192.00000000052</v>
      </c>
      <c r="AI469">
        <f>J469*J$3</f>
        <v>357360.49999999691</v>
      </c>
      <c r="AJ469">
        <f>K469*K$3</f>
        <v>548765.00000000221</v>
      </c>
      <c r="AK469">
        <f>L469*L$3</f>
        <v>-186024.00000000154</v>
      </c>
      <c r="AL469">
        <f>M469*M$3</f>
        <v>-128292.00000000012</v>
      </c>
      <c r="AM469">
        <f>N469*N$3</f>
        <v>0</v>
      </c>
      <c r="AN469">
        <f>O469*O$3</f>
        <v>0</v>
      </c>
      <c r="AO469">
        <f>P469*P$3</f>
        <v>-74550.084162054787</v>
      </c>
      <c r="AP469">
        <f>Q469*Q$3</f>
        <v>-51520.197575590173</v>
      </c>
      <c r="AQ469">
        <f>R469*R$3</f>
        <v>-140094.41394199262</v>
      </c>
      <c r="AR469" s="1">
        <f>S469*S$3</f>
        <v>-44404.503235302283</v>
      </c>
      <c r="AS469" s="1">
        <f t="shared" ref="AS469:AW484" si="1032">T469*T$3</f>
        <v>-3299.1752318961553</v>
      </c>
      <c r="AT469" s="1">
        <f t="shared" si="1032"/>
        <v>-31488.043353722529</v>
      </c>
      <c r="AU469" s="1">
        <f t="shared" si="1032"/>
        <v>0</v>
      </c>
      <c r="AV469" s="1">
        <f t="shared" si="1032"/>
        <v>0</v>
      </c>
      <c r="AW469" s="1">
        <f t="shared" si="1032"/>
        <v>0</v>
      </c>
      <c r="AX469" s="1">
        <f t="shared" si="997"/>
        <v>647582.08249944099</v>
      </c>
      <c r="AY469" s="1">
        <f t="shared" si="998"/>
        <v>-345356.4175005586</v>
      </c>
      <c r="AZ469" s="1">
        <f t="shared" si="999"/>
        <v>992938.49999999953</v>
      </c>
    </row>
    <row r="470" spans="1:52" x14ac:dyDescent="0.25">
      <c r="A470" s="4">
        <v>45411</v>
      </c>
      <c r="B470">
        <f t="shared" ref="B470:N470" si="1033">(B1020-B1019)*100</f>
        <v>0</v>
      </c>
      <c r="C470">
        <f t="shared" si="1033"/>
        <v>0</v>
      </c>
      <c r="D470">
        <f t="shared" si="1033"/>
        <v>0.99999999999997868</v>
      </c>
      <c r="E470">
        <f t="shared" si="1033"/>
        <v>0</v>
      </c>
      <c r="F470">
        <f t="shared" si="1033"/>
        <v>-2.9999999999999361</v>
      </c>
      <c r="G470">
        <f t="shared" si="1033"/>
        <v>0.99999999999997868</v>
      </c>
      <c r="H470">
        <f t="shared" si="1033"/>
        <v>-0.99999999999997868</v>
      </c>
      <c r="I470">
        <f t="shared" si="1033"/>
        <v>4.0000000000000036</v>
      </c>
      <c r="J470">
        <f t="shared" si="1033"/>
        <v>2.9999999999999361</v>
      </c>
      <c r="K470">
        <f t="shared" si="1033"/>
        <v>4.0000000000000036</v>
      </c>
      <c r="L470">
        <f t="shared" si="1033"/>
        <v>4.0000000000000036</v>
      </c>
      <c r="M470">
        <f t="shared" si="1033"/>
        <v>2.9999999999999361</v>
      </c>
      <c r="N470">
        <f t="shared" si="1033"/>
        <v>3.0000000000000249</v>
      </c>
      <c r="O470" s="5">
        <f t="shared" si="1022"/>
        <v>-5.6677710565165515E-4</v>
      </c>
      <c r="P470" s="5">
        <f t="shared" si="1022"/>
        <v>-8.9090889757821971E-3</v>
      </c>
      <c r="Q470" s="5">
        <f t="shared" si="1022"/>
        <v>-9.8086271041050895E-4</v>
      </c>
      <c r="R470" s="5">
        <f t="shared" si="1022"/>
        <v>-2.9447217102849029E-3</v>
      </c>
      <c r="S470" s="5">
        <f t="shared" si="1022"/>
        <v>-7.4989155772736552E-3</v>
      </c>
      <c r="T470" s="5">
        <f t="shared" ref="T470:X470" si="1034">LN(T1019/T1020)</f>
        <v>2.1223189259002881E-3</v>
      </c>
      <c r="U470" s="5">
        <f t="shared" si="1034"/>
        <v>-1.1254094451108454E-4</v>
      </c>
      <c r="V470" s="5">
        <f t="shared" si="1034"/>
        <v>1.6742412218309823E-2</v>
      </c>
      <c r="W470" s="5">
        <f t="shared" si="1034"/>
        <v>-2.7860171964581562E-3</v>
      </c>
      <c r="X470" s="5">
        <f t="shared" si="1034"/>
        <v>1.2791673031954547E-3</v>
      </c>
      <c r="Z470" s="4">
        <v>45411</v>
      </c>
      <c r="AA470">
        <f>B470*B$3</f>
        <v>0</v>
      </c>
      <c r="AB470">
        <f>C470*C$3</f>
        <v>0</v>
      </c>
      <c r="AC470">
        <f>D470*D$3</f>
        <v>16142.999999999656</v>
      </c>
      <c r="AD470">
        <f>E470*E$3</f>
        <v>0</v>
      </c>
      <c r="AE470">
        <f>F470*F$3</f>
        <v>37283.999999999207</v>
      </c>
      <c r="AF470">
        <f>G470*G$3</f>
        <v>-15627.999999999667</v>
      </c>
      <c r="AG470">
        <f>H470*H$3</f>
        <v>28215.9999999994</v>
      </c>
      <c r="AH470">
        <f>I470*I$3</f>
        <v>-73824.000000000073</v>
      </c>
      <c r="AI470">
        <f>J470*J$3</f>
        <v>-153154.49999999674</v>
      </c>
      <c r="AJ470">
        <f>K470*K$3</f>
        <v>-313580.00000000029</v>
      </c>
      <c r="AK470">
        <f>L470*L$3</f>
        <v>124016.00000000012</v>
      </c>
      <c r="AL470">
        <f>M470*M$3</f>
        <v>96218.999999997948</v>
      </c>
      <c r="AM470">
        <f>N470*N$3</f>
        <v>0</v>
      </c>
      <c r="AN470">
        <f>O470*O$3</f>
        <v>0</v>
      </c>
      <c r="AO470">
        <f>P470*P$3</f>
        <v>44545.444878910988</v>
      </c>
      <c r="AP470">
        <f>Q470*Q$3</f>
        <v>-11770.352524926107</v>
      </c>
      <c r="AQ470">
        <f>R470*R$3</f>
        <v>44170.825654273547</v>
      </c>
      <c r="AR470" s="1">
        <f>S470*S$3</f>
        <v>52492.409040915583</v>
      </c>
      <c r="AS470" s="1">
        <f t="shared" si="1032"/>
        <v>8489.2757036011517</v>
      </c>
      <c r="AT470" s="1">
        <f t="shared" si="1032"/>
        <v>-900.32755608867637</v>
      </c>
      <c r="AU470" s="1">
        <f t="shared" si="1032"/>
        <v>0</v>
      </c>
      <c r="AV470" s="1">
        <f t="shared" si="1032"/>
        <v>0</v>
      </c>
      <c r="AW470" s="1">
        <f t="shared" si="1032"/>
        <v>0</v>
      </c>
      <c r="AX470" s="1">
        <f t="shared" si="997"/>
        <v>-117281.22480331392</v>
      </c>
      <c r="AY470" s="1">
        <f t="shared" si="998"/>
        <v>137027.27519668647</v>
      </c>
      <c r="AZ470" s="1">
        <f t="shared" si="999"/>
        <v>-254308.50000000041</v>
      </c>
    </row>
    <row r="471" spans="1:52" x14ac:dyDescent="0.25">
      <c r="A471" s="4">
        <v>45408</v>
      </c>
      <c r="B471">
        <f t="shared" ref="B471:N471" si="1035">(B1021-B1020)*100</f>
        <v>0</v>
      </c>
      <c r="C471">
        <f t="shared" si="1035"/>
        <v>0</v>
      </c>
      <c r="D471">
        <f t="shared" si="1035"/>
        <v>0.99999999999997868</v>
      </c>
      <c r="E471">
        <f t="shared" si="1035"/>
        <v>0.99999999999997868</v>
      </c>
      <c r="F471">
        <f t="shared" si="1035"/>
        <v>0.99999999999997868</v>
      </c>
      <c r="G471">
        <f t="shared" si="1035"/>
        <v>0</v>
      </c>
      <c r="H471">
        <f t="shared" si="1035"/>
        <v>0</v>
      </c>
      <c r="I471">
        <f t="shared" si="1035"/>
        <v>0.99999999999997868</v>
      </c>
      <c r="J471">
        <f t="shared" si="1035"/>
        <v>2.0000000000000462</v>
      </c>
      <c r="K471">
        <f t="shared" si="1035"/>
        <v>3.0000000000000249</v>
      </c>
      <c r="L471">
        <f t="shared" si="1035"/>
        <v>3.0000000000000249</v>
      </c>
      <c r="M471">
        <f t="shared" si="1035"/>
        <v>4.0000000000000036</v>
      </c>
      <c r="N471">
        <f t="shared" si="1035"/>
        <v>4.0000000000000036</v>
      </c>
      <c r="O471" s="5">
        <f t="shared" si="1022"/>
        <v>-9.6250876749175967E-3</v>
      </c>
      <c r="P471" s="5">
        <f t="shared" si="1022"/>
        <v>-1.4397270026383037E-2</v>
      </c>
      <c r="Q471" s="5">
        <f t="shared" si="1022"/>
        <v>-6.2736979295097972E-3</v>
      </c>
      <c r="R471" s="5">
        <f t="shared" si="1022"/>
        <v>-3.4689827983080145E-3</v>
      </c>
      <c r="S471" s="5">
        <f t="shared" si="1022"/>
        <v>-3.8998658282917227E-3</v>
      </c>
      <c r="T471" s="5">
        <f t="shared" ref="T471:X471" si="1036">LN(T1020/T1021)</f>
        <v>-2.7752017910359582E-3</v>
      </c>
      <c r="U471" s="5">
        <f t="shared" si="1036"/>
        <v>-3.9700872750559682E-3</v>
      </c>
      <c r="V471" s="5">
        <f t="shared" si="1036"/>
        <v>2.1746246922702646E-3</v>
      </c>
      <c r="W471" s="5">
        <f t="shared" si="1036"/>
        <v>-4.0245850599941093E-3</v>
      </c>
      <c r="X471" s="5">
        <f t="shared" si="1036"/>
        <v>-2.1018364478366303E-3</v>
      </c>
      <c r="Z471" s="4">
        <v>45408</v>
      </c>
      <c r="AA471">
        <f>B471*B$3</f>
        <v>0</v>
      </c>
      <c r="AB471">
        <f>C471*C$3</f>
        <v>0</v>
      </c>
      <c r="AC471">
        <f>D471*D$3</f>
        <v>16142.999999999656</v>
      </c>
      <c r="AD471">
        <f>E471*E$3</f>
        <v>2427.9999999999482</v>
      </c>
      <c r="AE471">
        <f>F471*F$3</f>
        <v>-12427.999999999734</v>
      </c>
      <c r="AF471">
        <f>G471*G$3</f>
        <v>0</v>
      </c>
      <c r="AG471">
        <f>H471*H$3</f>
        <v>0</v>
      </c>
      <c r="AH471">
        <f>I471*I$3</f>
        <v>-18455.999999999607</v>
      </c>
      <c r="AI471">
        <f>J471*J$3</f>
        <v>-102103.00000000236</v>
      </c>
      <c r="AJ471">
        <f>K471*K$3</f>
        <v>-235185.00000000195</v>
      </c>
      <c r="AK471">
        <f>L471*L$3</f>
        <v>93012.000000000771</v>
      </c>
      <c r="AL471">
        <f>M471*M$3</f>
        <v>128292.00000000012</v>
      </c>
      <c r="AM471">
        <f>N471*N$3</f>
        <v>0</v>
      </c>
      <c r="AN471">
        <f>O471*O$3</f>
        <v>0</v>
      </c>
      <c r="AO471">
        <f>P471*P$3</f>
        <v>71986.350131915184</v>
      </c>
      <c r="AP471">
        <f>Q471*Q$3</f>
        <v>-75284.375154117573</v>
      </c>
      <c r="AQ471">
        <f>R471*R$3</f>
        <v>52034.741974620221</v>
      </c>
      <c r="AR471" s="1">
        <f>S471*S$3</f>
        <v>27299.060798042057</v>
      </c>
      <c r="AS471" s="1">
        <f t="shared" si="1032"/>
        <v>-11100.807164143833</v>
      </c>
      <c r="AT471" s="1">
        <f t="shared" si="1032"/>
        <v>-31760.698200447747</v>
      </c>
      <c r="AU471" s="1">
        <f t="shared" si="1032"/>
        <v>0</v>
      </c>
      <c r="AV471" s="1">
        <f t="shared" si="1032"/>
        <v>0</v>
      </c>
      <c r="AW471" s="1">
        <f t="shared" si="1032"/>
        <v>0</v>
      </c>
      <c r="AX471" s="1">
        <f t="shared" si="997"/>
        <v>-95122.727614134899</v>
      </c>
      <c r="AY471" s="1">
        <f t="shared" si="998"/>
        <v>33174.272385868317</v>
      </c>
      <c r="AZ471" s="1">
        <f t="shared" si="999"/>
        <v>-128297.00000000322</v>
      </c>
    </row>
    <row r="472" spans="1:52" x14ac:dyDescent="0.25">
      <c r="A472" s="4">
        <v>45407</v>
      </c>
      <c r="B472">
        <f t="shared" ref="B472:N472" si="1037">(B1022-B1021)*100</f>
        <v>0.99999999999997868</v>
      </c>
      <c r="C472">
        <f t="shared" si="1037"/>
        <v>-0.99999999999997868</v>
      </c>
      <c r="D472">
        <f t="shared" si="1037"/>
        <v>-0.99999999999997868</v>
      </c>
      <c r="E472">
        <f t="shared" si="1037"/>
        <v>-1.9999999999999574</v>
      </c>
      <c r="F472">
        <f t="shared" si="1037"/>
        <v>-0.99999999999997868</v>
      </c>
      <c r="G472">
        <f t="shared" si="1037"/>
        <v>-4.0000000000000036</v>
      </c>
      <c r="H472">
        <f t="shared" si="1037"/>
        <v>-7.0000000000000284</v>
      </c>
      <c r="I472">
        <f t="shared" si="1037"/>
        <v>-6.9999999999999396</v>
      </c>
      <c r="J472">
        <f t="shared" si="1037"/>
        <v>-6.0000000000000497</v>
      </c>
      <c r="K472">
        <f t="shared" si="1037"/>
        <v>-4.9999999999999822</v>
      </c>
      <c r="L472">
        <f t="shared" si="1037"/>
        <v>-4.9999999999999822</v>
      </c>
      <c r="M472">
        <f t="shared" si="1037"/>
        <v>-4.9999999999999822</v>
      </c>
      <c r="N472">
        <f t="shared" si="1037"/>
        <v>-4.0000000000000036</v>
      </c>
      <c r="O472" s="5">
        <f t="shared" si="1022"/>
        <v>1.6849856308338246E-3</v>
      </c>
      <c r="P472" s="5">
        <f t="shared" si="1022"/>
        <v>4.4520153153470932E-3</v>
      </c>
      <c r="Q472" s="5">
        <f t="shared" si="1022"/>
        <v>3.9992705572687356E-3</v>
      </c>
      <c r="R472" s="5">
        <f t="shared" si="1022"/>
        <v>6.1456439252962668E-3</v>
      </c>
      <c r="S472" s="5">
        <f t="shared" si="1022"/>
        <v>8.3772322507549759E-3</v>
      </c>
      <c r="T472" s="5">
        <f t="shared" ref="T472:X472" si="1038">LN(T1021/T1022)</f>
        <v>4.1737294582304873E-4</v>
      </c>
      <c r="U472" s="5">
        <f t="shared" si="1038"/>
        <v>-4.9812481683388652E-4</v>
      </c>
      <c r="V472" s="5">
        <f t="shared" si="1038"/>
        <v>3.3225475461942438E-3</v>
      </c>
      <c r="W472" s="5">
        <f t="shared" si="1038"/>
        <v>-1.2471815876414414E-3</v>
      </c>
      <c r="X472" s="5">
        <f t="shared" si="1038"/>
        <v>3.3299291372285251E-3</v>
      </c>
      <c r="Z472" s="4">
        <v>45407</v>
      </c>
      <c r="AA472">
        <f>B472*B$3</f>
        <v>-982.99999999997908</v>
      </c>
      <c r="AB472">
        <f>C472*C$3</f>
        <v>2583.999999999945</v>
      </c>
      <c r="AC472">
        <f>D472*D$3</f>
        <v>-16142.999999999656</v>
      </c>
      <c r="AD472">
        <f>E472*E$3</f>
        <v>-4855.9999999998963</v>
      </c>
      <c r="AE472">
        <f>F472*F$3</f>
        <v>12427.999999999734</v>
      </c>
      <c r="AF472">
        <f>G472*G$3</f>
        <v>62512.000000000058</v>
      </c>
      <c r="AG472">
        <f>H472*H$3</f>
        <v>197512.00000000081</v>
      </c>
      <c r="AH472">
        <f>I472*I$3</f>
        <v>129191.99999999888</v>
      </c>
      <c r="AI472">
        <f>J472*J$3</f>
        <v>306309.00000000256</v>
      </c>
      <c r="AJ472">
        <f>K472*K$3</f>
        <v>391974.9999999986</v>
      </c>
      <c r="AK472">
        <f>L472*L$3</f>
        <v>-155019.99999999945</v>
      </c>
      <c r="AL472">
        <f>M472*M$3</f>
        <v>-160364.99999999942</v>
      </c>
      <c r="AM472">
        <f>N472*N$3</f>
        <v>0</v>
      </c>
      <c r="AN472">
        <f>O472*O$3</f>
        <v>0</v>
      </c>
      <c r="AO472">
        <f>P472*P$3</f>
        <v>-22260.076576735464</v>
      </c>
      <c r="AP472">
        <f>Q472*Q$3</f>
        <v>47991.246687224826</v>
      </c>
      <c r="AQ472">
        <f>R472*R$3</f>
        <v>-92184.658879444003</v>
      </c>
      <c r="AR472" s="1">
        <f>S472*S$3</f>
        <v>-58640.625755284833</v>
      </c>
      <c r="AS472" s="1">
        <f t="shared" si="1032"/>
        <v>1669.4917832921949</v>
      </c>
      <c r="AT472" s="1">
        <f t="shared" si="1032"/>
        <v>-3984.9985346710923</v>
      </c>
      <c r="AU472" s="1">
        <f t="shared" si="1032"/>
        <v>0</v>
      </c>
      <c r="AV472" s="1">
        <f t="shared" si="1032"/>
        <v>0</v>
      </c>
      <c r="AW472" s="1">
        <f t="shared" si="1032"/>
        <v>0</v>
      </c>
      <c r="AX472" s="1">
        <f t="shared" si="997"/>
        <v>637735.37872438366</v>
      </c>
      <c r="AY472" s="1">
        <f t="shared" si="998"/>
        <v>-127409.62127561837</v>
      </c>
      <c r="AZ472" s="1">
        <f t="shared" si="999"/>
        <v>765145.00000000198</v>
      </c>
    </row>
    <row r="473" spans="1:52" x14ac:dyDescent="0.25">
      <c r="A473" s="4">
        <v>45406</v>
      </c>
      <c r="B473">
        <f t="shared" ref="B473:N473" si="1039">(B1023-B1022)*100</f>
        <v>0</v>
      </c>
      <c r="C473">
        <f t="shared" si="1039"/>
        <v>0</v>
      </c>
      <c r="D473">
        <f t="shared" si="1039"/>
        <v>-0.99999999999997868</v>
      </c>
      <c r="E473">
        <f t="shared" si="1039"/>
        <v>0</v>
      </c>
      <c r="F473">
        <f t="shared" si="1039"/>
        <v>-1.0000000000000675</v>
      </c>
      <c r="G473">
        <f t="shared" si="1039"/>
        <v>-3.0000000000000249</v>
      </c>
      <c r="H473">
        <f t="shared" si="1039"/>
        <v>-2.9999999999999361</v>
      </c>
      <c r="I473">
        <f t="shared" si="1039"/>
        <v>-2.0000000000000462</v>
      </c>
      <c r="J473">
        <f t="shared" si="1039"/>
        <v>-0.99999999999997868</v>
      </c>
      <c r="K473">
        <f t="shared" si="1039"/>
        <v>-4.0000000000000036</v>
      </c>
      <c r="L473">
        <f t="shared" si="1039"/>
        <v>-4.0000000000000036</v>
      </c>
      <c r="M473">
        <f t="shared" si="1039"/>
        <v>-4.0000000000000036</v>
      </c>
      <c r="N473">
        <f t="shared" si="1039"/>
        <v>-4.9999999999999822</v>
      </c>
      <c r="O473" s="5">
        <f t="shared" si="1022"/>
        <v>-6.5883814343021489E-4</v>
      </c>
      <c r="P473" s="5">
        <f t="shared" si="1022"/>
        <v>7.6152361177569614E-3</v>
      </c>
      <c r="Q473" s="5">
        <f t="shared" si="1022"/>
        <v>-3.1293999873603386E-3</v>
      </c>
      <c r="R473" s="5">
        <f t="shared" si="1022"/>
        <v>6.7231663758528125E-3</v>
      </c>
      <c r="S473" s="5">
        <f t="shared" si="1022"/>
        <v>6.3764669572523398E-3</v>
      </c>
      <c r="T473" s="5">
        <f t="shared" ref="T473:X473" si="1040">LN(T1022/T1023)</f>
        <v>-4.7094636643051305E-3</v>
      </c>
      <c r="U473" s="5">
        <f t="shared" si="1040"/>
        <v>-8.3091866437464308E-3</v>
      </c>
      <c r="V473" s="5">
        <f t="shared" si="1040"/>
        <v>-4.4579992544189096E-4</v>
      </c>
      <c r="W473" s="5">
        <f t="shared" si="1040"/>
        <v>-5.5694799014939719E-3</v>
      </c>
      <c r="X473" s="5">
        <f t="shared" si="1040"/>
        <v>-5.3743528941522774E-4</v>
      </c>
      <c r="Z473" s="4">
        <v>45406</v>
      </c>
      <c r="AA473">
        <f>B473*B$3</f>
        <v>0</v>
      </c>
      <c r="AB473">
        <f>C473*C$3</f>
        <v>0</v>
      </c>
      <c r="AC473">
        <f>D473*D$3</f>
        <v>-16142.999999999656</v>
      </c>
      <c r="AD473">
        <f>E473*E$3</f>
        <v>0</v>
      </c>
      <c r="AE473">
        <f>F473*F$3</f>
        <v>12428.000000000839</v>
      </c>
      <c r="AF473">
        <f>G473*G$3</f>
        <v>46884.000000000386</v>
      </c>
      <c r="AG473">
        <f>H473*H$3</f>
        <v>84647.999999998196</v>
      </c>
      <c r="AH473">
        <f>I473*I$3</f>
        <v>36912.000000000851</v>
      </c>
      <c r="AI473">
        <f>J473*J$3</f>
        <v>51051.499999998909</v>
      </c>
      <c r="AJ473">
        <f>K473*K$3</f>
        <v>313580.00000000029</v>
      </c>
      <c r="AK473">
        <f>L473*L$3</f>
        <v>-124016.00000000012</v>
      </c>
      <c r="AL473">
        <f>M473*M$3</f>
        <v>-128292.00000000012</v>
      </c>
      <c r="AM473">
        <f>N473*N$3</f>
        <v>0</v>
      </c>
      <c r="AN473">
        <f>O473*O$3</f>
        <v>0</v>
      </c>
      <c r="AO473">
        <f>P473*P$3</f>
        <v>-38076.18058878481</v>
      </c>
      <c r="AP473">
        <f>Q473*Q$3</f>
        <v>-37552.799848324066</v>
      </c>
      <c r="AQ473">
        <f>R473*R$3</f>
        <v>-100847.49563779219</v>
      </c>
      <c r="AR473" s="1">
        <f>S473*S$3</f>
        <v>-44635.268700766377</v>
      </c>
      <c r="AS473" s="1">
        <f t="shared" si="1032"/>
        <v>-18837.854657220523</v>
      </c>
      <c r="AT473" s="1">
        <f t="shared" si="1032"/>
        <v>-66473.493149971444</v>
      </c>
      <c r="AU473" s="1">
        <f t="shared" si="1032"/>
        <v>0</v>
      </c>
      <c r="AV473" s="1">
        <f t="shared" si="1032"/>
        <v>0</v>
      </c>
      <c r="AW473" s="1">
        <f t="shared" si="1032"/>
        <v>0</v>
      </c>
      <c r="AX473" s="1">
        <f t="shared" si="997"/>
        <v>-29370.59258285987</v>
      </c>
      <c r="AY473" s="1">
        <f t="shared" si="998"/>
        <v>-306423.09258285945</v>
      </c>
      <c r="AZ473" s="1">
        <f t="shared" si="999"/>
        <v>277052.49999999959</v>
      </c>
    </row>
    <row r="474" spans="1:52" x14ac:dyDescent="0.25">
      <c r="A474" s="4">
        <v>45405</v>
      </c>
      <c r="B474">
        <f t="shared" ref="B474:N474" si="1041">(B1024-B1023)*100</f>
        <v>0</v>
      </c>
      <c r="C474">
        <f t="shared" si="1041"/>
        <v>0</v>
      </c>
      <c r="D474">
        <f t="shared" si="1041"/>
        <v>-3.0000000000000249</v>
      </c>
      <c r="E474">
        <f t="shared" si="1041"/>
        <v>0</v>
      </c>
      <c r="F474">
        <f t="shared" si="1041"/>
        <v>0</v>
      </c>
      <c r="G474">
        <f t="shared" si="1041"/>
        <v>2.0000000000000462</v>
      </c>
      <c r="H474">
        <f t="shared" si="1041"/>
        <v>10.999999999999943</v>
      </c>
      <c r="I474">
        <f t="shared" si="1041"/>
        <v>4.9999999999999822</v>
      </c>
      <c r="J474">
        <f t="shared" si="1041"/>
        <v>3.0000000000000249</v>
      </c>
      <c r="K474">
        <f t="shared" si="1041"/>
        <v>3.0000000000000249</v>
      </c>
      <c r="L474">
        <f t="shared" si="1041"/>
        <v>0.99999999999997868</v>
      </c>
      <c r="M474">
        <f t="shared" si="1041"/>
        <v>0</v>
      </c>
      <c r="N474">
        <f t="shared" si="1041"/>
        <v>-1.0000000000000675</v>
      </c>
      <c r="O474" s="5">
        <f t="shared" si="1022"/>
        <v>-8.0453440336533399E-3</v>
      </c>
      <c r="P474" s="5">
        <f t="shared" si="1022"/>
        <v>-1.469470424596459E-3</v>
      </c>
      <c r="Q474" s="5">
        <f t="shared" si="1022"/>
        <v>-2.6910024772773436E-3</v>
      </c>
      <c r="R474" s="5">
        <f t="shared" si="1022"/>
        <v>2.9725734630030518E-3</v>
      </c>
      <c r="S474" s="5">
        <f t="shared" si="1022"/>
        <v>-1.0404663898187942E-2</v>
      </c>
      <c r="T474" s="5">
        <f t="shared" ref="T474:X474" si="1042">LN(T1023/T1024)</f>
        <v>3.9422626838280975E-4</v>
      </c>
      <c r="U474" s="5">
        <f t="shared" si="1042"/>
        <v>2.0646340146411785E-3</v>
      </c>
      <c r="V474" s="5">
        <f t="shared" si="1042"/>
        <v>1.1181288711204572E-3</v>
      </c>
      <c r="W474" s="5">
        <f t="shared" si="1042"/>
        <v>-4.1727951215158165E-3</v>
      </c>
      <c r="X474" s="5">
        <f t="shared" si="1042"/>
        <v>9.9507135336740298E-4</v>
      </c>
      <c r="Z474" s="4">
        <v>45405</v>
      </c>
      <c r="AA474">
        <f>B474*B$3</f>
        <v>0</v>
      </c>
      <c r="AB474">
        <f>C474*C$3</f>
        <v>0</v>
      </c>
      <c r="AC474">
        <f>D474*D$3</f>
        <v>-48429.0000000004</v>
      </c>
      <c r="AD474">
        <f>E474*E$3</f>
        <v>0</v>
      </c>
      <c r="AE474">
        <f>F474*F$3</f>
        <v>0</v>
      </c>
      <c r="AF474">
        <f>G474*G$3</f>
        <v>-31256.00000000072</v>
      </c>
      <c r="AG474">
        <f>H474*H$3</f>
        <v>-310375.99999999837</v>
      </c>
      <c r="AH474">
        <f>I474*I$3</f>
        <v>-92279.999999999665</v>
      </c>
      <c r="AI474">
        <f>J474*J$3</f>
        <v>-153154.50000000128</v>
      </c>
      <c r="AJ474">
        <f>K474*K$3</f>
        <v>-235185.00000000195</v>
      </c>
      <c r="AK474">
        <f>L474*L$3</f>
        <v>31003.999999999338</v>
      </c>
      <c r="AL474">
        <f>M474*M$3</f>
        <v>0</v>
      </c>
      <c r="AM474">
        <f>N474*N$3</f>
        <v>0</v>
      </c>
      <c r="AN474">
        <f>O474*O$3</f>
        <v>0</v>
      </c>
      <c r="AO474">
        <f>P474*P$3</f>
        <v>7347.3521229822945</v>
      </c>
      <c r="AP474">
        <f>Q474*Q$3</f>
        <v>-32292.029727328121</v>
      </c>
      <c r="AQ474">
        <f>R474*R$3</f>
        <v>-44588.601945045775</v>
      </c>
      <c r="AR474" s="1">
        <f>S474*S$3</f>
        <v>72832.647287315602</v>
      </c>
      <c r="AS474" s="1">
        <f t="shared" si="1032"/>
        <v>1576.9050735312389</v>
      </c>
      <c r="AT474" s="1">
        <f t="shared" si="1032"/>
        <v>16517.072117129428</v>
      </c>
      <c r="AU474" s="1">
        <f t="shared" si="1032"/>
        <v>0</v>
      </c>
      <c r="AV474" s="1">
        <f t="shared" si="1032"/>
        <v>0</v>
      </c>
      <c r="AW474" s="1">
        <f t="shared" si="1032"/>
        <v>0</v>
      </c>
      <c r="AX474" s="1">
        <f t="shared" si="997"/>
        <v>-818283.1550714185</v>
      </c>
      <c r="AY474" s="1">
        <f t="shared" si="998"/>
        <v>21393.344928584665</v>
      </c>
      <c r="AZ474" s="1">
        <f t="shared" si="999"/>
        <v>-839676.50000000314</v>
      </c>
    </row>
    <row r="475" spans="1:52" x14ac:dyDescent="0.25">
      <c r="A475" s="4">
        <v>45404</v>
      </c>
      <c r="B475">
        <f t="shared" ref="B475:N475" si="1043">(B1025-B1024)*100</f>
        <v>0</v>
      </c>
      <c r="C475">
        <f t="shared" si="1043"/>
        <v>0.99999999999997868</v>
      </c>
      <c r="D475">
        <f t="shared" si="1043"/>
        <v>3.0000000000000249</v>
      </c>
      <c r="E475">
        <f t="shared" si="1043"/>
        <v>0</v>
      </c>
      <c r="F475">
        <f t="shared" si="1043"/>
        <v>0</v>
      </c>
      <c r="G475">
        <f t="shared" si="1043"/>
        <v>0.99999999999997868</v>
      </c>
      <c r="H475">
        <f t="shared" si="1043"/>
        <v>0</v>
      </c>
      <c r="I475">
        <f t="shared" si="1043"/>
        <v>0</v>
      </c>
      <c r="J475">
        <f t="shared" si="1043"/>
        <v>0</v>
      </c>
      <c r="K475">
        <f t="shared" si="1043"/>
        <v>0</v>
      </c>
      <c r="L475">
        <f t="shared" si="1043"/>
        <v>0</v>
      </c>
      <c r="M475">
        <f t="shared" si="1043"/>
        <v>-0.99999999999997868</v>
      </c>
      <c r="N475">
        <f t="shared" si="1043"/>
        <v>0</v>
      </c>
      <c r="O475" s="5">
        <f t="shared" ref="O475:S484" si="1044">LN(O1024/O1025)</f>
        <v>-4.3334104205055603E-3</v>
      </c>
      <c r="P475" s="5">
        <f t="shared" si="1044"/>
        <v>2.5185870879077632E-3</v>
      </c>
      <c r="Q475" s="5">
        <f t="shared" si="1044"/>
        <v>-1.2593944380687361E-2</v>
      </c>
      <c r="R475" s="5">
        <f t="shared" si="1044"/>
        <v>3.7961000032810011E-3</v>
      </c>
      <c r="S475" s="5">
        <f t="shared" si="1044"/>
        <v>1.3019808877500862E-3</v>
      </c>
      <c r="T475" s="5">
        <f t="shared" ref="T475:X475" si="1045">LN(T1024/T1025)</f>
        <v>-1.3207774304032393E-3</v>
      </c>
      <c r="U475" s="5">
        <f t="shared" si="1045"/>
        <v>4.9875630762657303E-3</v>
      </c>
      <c r="V475" s="5">
        <f t="shared" si="1045"/>
        <v>1.9400989096912593E-4</v>
      </c>
      <c r="W475" s="5">
        <f t="shared" si="1045"/>
        <v>-2.011142739365903E-4</v>
      </c>
      <c r="X475" s="5">
        <f t="shared" si="1045"/>
        <v>-1.225387057479315E-3</v>
      </c>
      <c r="Z475" s="4">
        <v>45404</v>
      </c>
      <c r="AA475">
        <f>B475*B$3</f>
        <v>0</v>
      </c>
      <c r="AB475">
        <f>C475*C$3</f>
        <v>-2583.999999999945</v>
      </c>
      <c r="AC475">
        <f>D475*D$3</f>
        <v>48429.0000000004</v>
      </c>
      <c r="AD475">
        <f>E475*E$3</f>
        <v>0</v>
      </c>
      <c r="AE475">
        <f>F475*F$3</f>
        <v>0</v>
      </c>
      <c r="AF475">
        <f>G475*G$3</f>
        <v>-15627.999999999667</v>
      </c>
      <c r="AG475">
        <f>H475*H$3</f>
        <v>0</v>
      </c>
      <c r="AH475">
        <f>I475*I$3</f>
        <v>0</v>
      </c>
      <c r="AI475">
        <f>J475*J$3</f>
        <v>0</v>
      </c>
      <c r="AJ475">
        <f>K475*K$3</f>
        <v>0</v>
      </c>
      <c r="AK475">
        <f>L475*L$3</f>
        <v>0</v>
      </c>
      <c r="AL475">
        <f>M475*M$3</f>
        <v>-32072.999999999316</v>
      </c>
      <c r="AM475">
        <f>N475*N$3</f>
        <v>0</v>
      </c>
      <c r="AN475">
        <f>O475*O$3</f>
        <v>0</v>
      </c>
      <c r="AO475">
        <f>P475*P$3</f>
        <v>-12592.935439538816</v>
      </c>
      <c r="AP475">
        <f>Q475*Q$3</f>
        <v>-151127.33256824833</v>
      </c>
      <c r="AQ475">
        <f>R475*R$3</f>
        <v>-56941.500049215014</v>
      </c>
      <c r="AR475" s="1">
        <f>S475*S$3</f>
        <v>-9113.8662142506037</v>
      </c>
      <c r="AS475" s="1">
        <f t="shared" si="1032"/>
        <v>-5283.1097216129574</v>
      </c>
      <c r="AT475" s="1">
        <f t="shared" si="1032"/>
        <v>39900.504610125841</v>
      </c>
      <c r="AU475" s="1">
        <f t="shared" si="1032"/>
        <v>0</v>
      </c>
      <c r="AV475" s="1">
        <f t="shared" si="1032"/>
        <v>0</v>
      </c>
      <c r="AW475" s="1">
        <f t="shared" si="1032"/>
        <v>0</v>
      </c>
      <c r="AX475" s="1">
        <f t="shared" si="997"/>
        <v>-197014.23938273839</v>
      </c>
      <c r="AY475" s="1">
        <f t="shared" si="998"/>
        <v>-195158.23938273988</v>
      </c>
      <c r="AZ475" s="1">
        <f t="shared" si="999"/>
        <v>-1855.9999999985157</v>
      </c>
    </row>
    <row r="476" spans="1:52" x14ac:dyDescent="0.25">
      <c r="A476" s="4">
        <v>45401</v>
      </c>
      <c r="B476">
        <f t="shared" ref="B476:N476" si="1046">(B1026-B1025)*100</f>
        <v>0</v>
      </c>
      <c r="C476">
        <f t="shared" si="1046"/>
        <v>0.99999999999997868</v>
      </c>
      <c r="D476">
        <f t="shared" si="1046"/>
        <v>0.99999999999997868</v>
      </c>
      <c r="E476">
        <f t="shared" si="1046"/>
        <v>0</v>
      </c>
      <c r="F476">
        <f t="shared" si="1046"/>
        <v>0</v>
      </c>
      <c r="G476">
        <f t="shared" si="1046"/>
        <v>0.99999999999997868</v>
      </c>
      <c r="H476">
        <f t="shared" si="1046"/>
        <v>1.0000000000000675</v>
      </c>
      <c r="I476">
        <f t="shared" si="1046"/>
        <v>2.0000000000000462</v>
      </c>
      <c r="J476">
        <f t="shared" si="1046"/>
        <v>1.9999999999999574</v>
      </c>
      <c r="K476">
        <f t="shared" si="1046"/>
        <v>1.9999999999999574</v>
      </c>
      <c r="L476">
        <f t="shared" si="1046"/>
        <v>1.9999999999999574</v>
      </c>
      <c r="M476">
        <f t="shared" si="1046"/>
        <v>1.9999999999999574</v>
      </c>
      <c r="N476">
        <f t="shared" si="1046"/>
        <v>2.0000000000000462</v>
      </c>
      <c r="O476" s="5">
        <f t="shared" si="1044"/>
        <v>-4.6385194119980778E-3</v>
      </c>
      <c r="P476" s="5">
        <f t="shared" si="1044"/>
        <v>-9.6308930609613E-3</v>
      </c>
      <c r="Q476" s="5">
        <f t="shared" si="1044"/>
        <v>-6.7201718370640175E-3</v>
      </c>
      <c r="R476" s="5">
        <f t="shared" si="1044"/>
        <v>-1.2687442426460751E-2</v>
      </c>
      <c r="S476" s="5">
        <f t="shared" si="1044"/>
        <v>3.511527258442611E-3</v>
      </c>
      <c r="T476" s="5">
        <f t="shared" ref="T476:X476" si="1047">LN(T1025/T1026)</f>
        <v>2.3658880343130307E-3</v>
      </c>
      <c r="U476" s="5">
        <f t="shared" si="1047"/>
        <v>1.2943216267138264E-3</v>
      </c>
      <c r="V476" s="5">
        <f t="shared" si="1047"/>
        <v>1.7349325585774909E-3</v>
      </c>
      <c r="W476" s="5">
        <f t="shared" si="1047"/>
        <v>2.3497130382108414E-3</v>
      </c>
      <c r="X476" s="5">
        <f t="shared" si="1047"/>
        <v>1.8656177561236417E-3</v>
      </c>
      <c r="Z476" s="4">
        <v>45401</v>
      </c>
      <c r="AA476">
        <f>B476*B$3</f>
        <v>0</v>
      </c>
      <c r="AB476">
        <f>C476*C$3</f>
        <v>-2583.999999999945</v>
      </c>
      <c r="AC476">
        <f>D476*D$3</f>
        <v>16142.999999999656</v>
      </c>
      <c r="AD476">
        <f>E476*E$3</f>
        <v>0</v>
      </c>
      <c r="AE476">
        <f>F476*F$3</f>
        <v>0</v>
      </c>
      <c r="AF476">
        <f>G476*G$3</f>
        <v>-15627.999999999667</v>
      </c>
      <c r="AG476">
        <f>H476*H$3</f>
        <v>-28216.000000001906</v>
      </c>
      <c r="AH476">
        <f>I476*I$3</f>
        <v>-36912.000000000851</v>
      </c>
      <c r="AI476">
        <f>J476*J$3</f>
        <v>-102102.99999999782</v>
      </c>
      <c r="AJ476">
        <f>K476*K$3</f>
        <v>-156789.99999999665</v>
      </c>
      <c r="AK476">
        <f>L476*L$3</f>
        <v>62007.999999998676</v>
      </c>
      <c r="AL476">
        <f>M476*M$3</f>
        <v>64145.999999998632</v>
      </c>
      <c r="AM476">
        <f>N476*N$3</f>
        <v>0</v>
      </c>
      <c r="AN476">
        <f>O476*O$3</f>
        <v>0</v>
      </c>
      <c r="AO476">
        <f>P476*P$3</f>
        <v>48154.465304806501</v>
      </c>
      <c r="AP476">
        <f>Q476*Q$3</f>
        <v>-80642.062044768216</v>
      </c>
      <c r="AQ476">
        <f>R476*R$3</f>
        <v>190311.63639691126</v>
      </c>
      <c r="AR476" s="1">
        <f>S476*S$3</f>
        <v>-24580.690809098276</v>
      </c>
      <c r="AS476" s="1">
        <f t="shared" si="1032"/>
        <v>9463.5521372521234</v>
      </c>
      <c r="AT476" s="1">
        <f t="shared" si="1032"/>
        <v>10354.573013710611</v>
      </c>
      <c r="AU476" s="1">
        <f t="shared" si="1032"/>
        <v>0</v>
      </c>
      <c r="AV476" s="1">
        <f t="shared" si="1032"/>
        <v>0</v>
      </c>
      <c r="AW476" s="1">
        <f t="shared" si="1032"/>
        <v>0</v>
      </c>
      <c r="AX476" s="1">
        <f t="shared" si="997"/>
        <v>-46874.526001185906</v>
      </c>
      <c r="AY476" s="1">
        <f t="shared" si="998"/>
        <v>153061.47399881401</v>
      </c>
      <c r="AZ476" s="1">
        <f t="shared" si="999"/>
        <v>-199935.99999999991</v>
      </c>
    </row>
    <row r="477" spans="1:52" x14ac:dyDescent="0.25">
      <c r="A477" s="4">
        <v>45400</v>
      </c>
      <c r="B477">
        <f t="shared" ref="B477:N477" si="1048">(B1027-B1026)*100</f>
        <v>0</v>
      </c>
      <c r="C477">
        <f t="shared" si="1048"/>
        <v>-2.9999999999999361</v>
      </c>
      <c r="D477">
        <f t="shared" si="1048"/>
        <v>-0.99999999999997868</v>
      </c>
      <c r="E477">
        <f t="shared" si="1048"/>
        <v>0</v>
      </c>
      <c r="F477">
        <f t="shared" si="1048"/>
        <v>-0.99999999999997868</v>
      </c>
      <c r="G477">
        <f t="shared" si="1048"/>
        <v>-1.9999999999999574</v>
      </c>
      <c r="H477">
        <f t="shared" si="1048"/>
        <v>-5.0000000000000711</v>
      </c>
      <c r="I477">
        <f t="shared" si="1048"/>
        <v>-6.0000000000000497</v>
      </c>
      <c r="J477">
        <f t="shared" si="1048"/>
        <v>-5.9999999999999609</v>
      </c>
      <c r="K477">
        <f t="shared" si="1048"/>
        <v>-5.9999999999999609</v>
      </c>
      <c r="L477">
        <f t="shared" si="1048"/>
        <v>-4.9999999999999822</v>
      </c>
      <c r="M477">
        <f t="shared" si="1048"/>
        <v>-4.0000000000000036</v>
      </c>
      <c r="N477">
        <f t="shared" si="1048"/>
        <v>-3.0000000000000249</v>
      </c>
      <c r="O477" s="5">
        <f t="shared" si="1044"/>
        <v>8.1924272264784746E-4</v>
      </c>
      <c r="P477" s="5">
        <f t="shared" si="1044"/>
        <v>1.1398968241933169E-2</v>
      </c>
      <c r="Q477" s="5">
        <f t="shared" si="1044"/>
        <v>-1.0285700011395751E-2</v>
      </c>
      <c r="R477" s="5">
        <f t="shared" si="1044"/>
        <v>-4.8167071985519829E-3</v>
      </c>
      <c r="S477" s="5">
        <f t="shared" si="1044"/>
        <v>4.6541777613560006E-3</v>
      </c>
      <c r="T477" s="5">
        <f t="shared" ref="T477:X477" si="1049">LN(T1026/T1027)</f>
        <v>-4.503013980534723E-3</v>
      </c>
      <c r="U477" s="5">
        <f t="shared" si="1049"/>
        <v>-1.8290905335868763E-3</v>
      </c>
      <c r="V477" s="5">
        <f t="shared" si="1049"/>
        <v>-2.303928118214873E-3</v>
      </c>
      <c r="W477" s="5">
        <f t="shared" si="1049"/>
        <v>-4.203388920071687E-3</v>
      </c>
      <c r="X477" s="5">
        <f t="shared" si="1049"/>
        <v>-2.3697873577723464E-3</v>
      </c>
      <c r="Z477" s="4">
        <v>45400</v>
      </c>
      <c r="AA477">
        <f>B477*B$3</f>
        <v>0</v>
      </c>
      <c r="AB477">
        <f>C477*C$3</f>
        <v>7751.9999999998345</v>
      </c>
      <c r="AC477">
        <f>D477*D$3</f>
        <v>-16142.999999999656</v>
      </c>
      <c r="AD477">
        <f>E477*E$3</f>
        <v>0</v>
      </c>
      <c r="AE477">
        <f>F477*F$3</f>
        <v>12427.999999999734</v>
      </c>
      <c r="AF477">
        <f>G477*G$3</f>
        <v>31255.999999999334</v>
      </c>
      <c r="AG477">
        <f>H477*H$3</f>
        <v>141080.00000000201</v>
      </c>
      <c r="AH477">
        <f>I477*I$3</f>
        <v>110736.00000000092</v>
      </c>
      <c r="AI477">
        <f>J477*J$3</f>
        <v>306308.99999999802</v>
      </c>
      <c r="AJ477">
        <f>K477*K$3</f>
        <v>470369.99999999691</v>
      </c>
      <c r="AK477">
        <f>L477*L$3</f>
        <v>-155019.99999999945</v>
      </c>
      <c r="AL477">
        <f>M477*M$3</f>
        <v>-128292.00000000012</v>
      </c>
      <c r="AM477">
        <f>N477*N$3</f>
        <v>0</v>
      </c>
      <c r="AN477">
        <f>O477*O$3</f>
        <v>0</v>
      </c>
      <c r="AO477">
        <f>P477*P$3</f>
        <v>-56994.841209665843</v>
      </c>
      <c r="AP477">
        <f>Q477*Q$3</f>
        <v>-123428.40013674901</v>
      </c>
      <c r="AQ477">
        <f>R477*R$3</f>
        <v>72250.607978279746</v>
      </c>
      <c r="AR477" s="1">
        <f>S477*S$3</f>
        <v>-32579.244329492005</v>
      </c>
      <c r="AS477" s="1">
        <f t="shared" si="1032"/>
        <v>-18012.05592213889</v>
      </c>
      <c r="AT477" s="1">
        <f t="shared" si="1032"/>
        <v>-14632.72426869501</v>
      </c>
      <c r="AU477" s="1">
        <f t="shared" si="1032"/>
        <v>0</v>
      </c>
      <c r="AV477" s="1">
        <f t="shared" si="1032"/>
        <v>0</v>
      </c>
      <c r="AW477" s="1">
        <f t="shared" si="1032"/>
        <v>0</v>
      </c>
      <c r="AX477" s="1">
        <f t="shared" si="997"/>
        <v>607079.34211153665</v>
      </c>
      <c r="AY477" s="1">
        <f t="shared" si="998"/>
        <v>-173396.65788846099</v>
      </c>
      <c r="AZ477" s="1">
        <f t="shared" si="999"/>
        <v>780475.99999999767</v>
      </c>
    </row>
    <row r="478" spans="1:52" x14ac:dyDescent="0.25">
      <c r="A478" s="4">
        <v>45399</v>
      </c>
      <c r="B478">
        <f t="shared" ref="B478:N478" si="1050">(B1028-B1027)*100</f>
        <v>0</v>
      </c>
      <c r="C478">
        <f t="shared" si="1050"/>
        <v>1.9999999999999574</v>
      </c>
      <c r="D478">
        <f t="shared" si="1050"/>
        <v>0</v>
      </c>
      <c r="E478">
        <f t="shared" si="1050"/>
        <v>0</v>
      </c>
      <c r="F478">
        <f t="shared" si="1050"/>
        <v>0.99999999999997868</v>
      </c>
      <c r="G478">
        <f t="shared" si="1050"/>
        <v>1.9999999999999574</v>
      </c>
      <c r="H478">
        <f t="shared" si="1050"/>
        <v>4.0000000000000036</v>
      </c>
      <c r="I478">
        <f t="shared" si="1050"/>
        <v>6.0000000000000497</v>
      </c>
      <c r="J478">
        <f t="shared" si="1050"/>
        <v>7.0000000000000284</v>
      </c>
      <c r="K478">
        <f t="shared" si="1050"/>
        <v>8.0000000000000071</v>
      </c>
      <c r="L478">
        <f t="shared" si="1050"/>
        <v>8.0000000000000071</v>
      </c>
      <c r="M478">
        <f t="shared" si="1050"/>
        <v>7.0000000000000284</v>
      </c>
      <c r="N478">
        <f t="shared" si="1050"/>
        <v>5.9999999999999609</v>
      </c>
      <c r="O478" s="5">
        <f t="shared" si="1044"/>
        <v>-3.1494590604115168E-3</v>
      </c>
      <c r="P478" s="5">
        <f t="shared" si="1044"/>
        <v>-5.0907619439791059E-3</v>
      </c>
      <c r="Q478" s="5">
        <f t="shared" si="1044"/>
        <v>7.1111591894895011E-3</v>
      </c>
      <c r="R478" s="5">
        <f t="shared" si="1044"/>
        <v>-2.1333341424202715E-3</v>
      </c>
      <c r="S478" s="5">
        <f t="shared" si="1044"/>
        <v>-4.0618562248802351E-3</v>
      </c>
      <c r="T478" s="5">
        <f t="shared" ref="T478:X478" si="1051">LN(T1027/T1028)</f>
        <v>4.0362549824937531E-4</v>
      </c>
      <c r="U478" s="5">
        <f t="shared" si="1051"/>
        <v>1.3185733126498179E-3</v>
      </c>
      <c r="V478" s="5">
        <f t="shared" si="1051"/>
        <v>3.185486907240177E-3</v>
      </c>
      <c r="W478" s="5">
        <f t="shared" si="1051"/>
        <v>4.6208240560822351E-3</v>
      </c>
      <c r="X478" s="5">
        <f t="shared" si="1051"/>
        <v>1.0525310367487943E-3</v>
      </c>
      <c r="Z478" s="4">
        <v>45399</v>
      </c>
      <c r="AA478">
        <f>B478*B$3</f>
        <v>0</v>
      </c>
      <c r="AB478">
        <f>C478*C$3</f>
        <v>-5167.99999999989</v>
      </c>
      <c r="AC478">
        <f>D478*D$3</f>
        <v>0</v>
      </c>
      <c r="AD478">
        <f>E478*E$3</f>
        <v>0</v>
      </c>
      <c r="AE478">
        <f>F478*F$3</f>
        <v>-12427.999999999734</v>
      </c>
      <c r="AF478">
        <f>G478*G$3</f>
        <v>-31255.999999999334</v>
      </c>
      <c r="AG478">
        <f>H478*H$3</f>
        <v>-112864.0000000001</v>
      </c>
      <c r="AH478">
        <f>I478*I$3</f>
        <v>-110736.00000000092</v>
      </c>
      <c r="AI478">
        <f>J478*J$3</f>
        <v>-357360.50000000146</v>
      </c>
      <c r="AJ478">
        <f>K478*K$3</f>
        <v>-627160.00000000058</v>
      </c>
      <c r="AK478">
        <f>L478*L$3</f>
        <v>248032.00000000023</v>
      </c>
      <c r="AL478">
        <f>M478*M$3</f>
        <v>224511.0000000009</v>
      </c>
      <c r="AM478">
        <f>N478*N$3</f>
        <v>0</v>
      </c>
      <c r="AN478">
        <f>O478*O$3</f>
        <v>0</v>
      </c>
      <c r="AO478">
        <f>P478*P$3</f>
        <v>25453.809719895529</v>
      </c>
      <c r="AP478">
        <f>Q478*Q$3</f>
        <v>85333.910273874018</v>
      </c>
      <c r="AQ478">
        <f>R478*R$3</f>
        <v>32000.012136304074</v>
      </c>
      <c r="AR478" s="1">
        <f>S478*S$3</f>
        <v>28432.993574161646</v>
      </c>
      <c r="AS478" s="1">
        <f t="shared" si="1032"/>
        <v>1614.5019929975012</v>
      </c>
      <c r="AT478" s="1">
        <f t="shared" si="1032"/>
        <v>10548.586501198542</v>
      </c>
      <c r="AU478" s="1">
        <f t="shared" si="1032"/>
        <v>0</v>
      </c>
      <c r="AV478" s="1">
        <f t="shared" si="1032"/>
        <v>0</v>
      </c>
      <c r="AW478" s="1">
        <f t="shared" si="1032"/>
        <v>0</v>
      </c>
      <c r="AX478" s="1">
        <f t="shared" si="997"/>
        <v>-601045.68580156937</v>
      </c>
      <c r="AY478" s="1">
        <f t="shared" si="998"/>
        <v>183383.8141984313</v>
      </c>
      <c r="AZ478" s="1">
        <f t="shared" si="999"/>
        <v>-784429.5000000007</v>
      </c>
    </row>
    <row r="479" spans="1:52" x14ac:dyDescent="0.25">
      <c r="A479" s="4">
        <v>45398</v>
      </c>
      <c r="B479">
        <f t="shared" ref="B479:N479" si="1052">(B1029-B1028)*100</f>
        <v>0</v>
      </c>
      <c r="C479">
        <f t="shared" si="1052"/>
        <v>0</v>
      </c>
      <c r="D479">
        <f t="shared" si="1052"/>
        <v>0</v>
      </c>
      <c r="E479">
        <f t="shared" si="1052"/>
        <v>0</v>
      </c>
      <c r="F479">
        <f t="shared" si="1052"/>
        <v>-0.99999999999997868</v>
      </c>
      <c r="G479">
        <f t="shared" si="1052"/>
        <v>-1.9999999999999574</v>
      </c>
      <c r="H479">
        <f t="shared" si="1052"/>
        <v>-4.0000000000000036</v>
      </c>
      <c r="I479">
        <f t="shared" si="1052"/>
        <v>-4.9999999999999822</v>
      </c>
      <c r="J479">
        <f t="shared" si="1052"/>
        <v>-4.0000000000000036</v>
      </c>
      <c r="K479">
        <f t="shared" si="1052"/>
        <v>-4.0000000000000036</v>
      </c>
      <c r="L479">
        <f t="shared" si="1052"/>
        <v>-4.0000000000000036</v>
      </c>
      <c r="M479">
        <f t="shared" si="1052"/>
        <v>-3.0000000000000249</v>
      </c>
      <c r="N479">
        <f t="shared" si="1052"/>
        <v>-2.9999999999999361</v>
      </c>
      <c r="O479" s="5">
        <f t="shared" si="1044"/>
        <v>1.702564251880628E-2</v>
      </c>
      <c r="P479" s="5">
        <f t="shared" si="1044"/>
        <v>2.0434234441172386E-3</v>
      </c>
      <c r="Q479" s="5">
        <f t="shared" si="1044"/>
        <v>1.3878101525966958E-2</v>
      </c>
      <c r="R479" s="5">
        <f t="shared" si="1044"/>
        <v>4.2712291309460262E-3</v>
      </c>
      <c r="S479" s="5">
        <f t="shared" si="1044"/>
        <v>1.906421462929811E-2</v>
      </c>
      <c r="T479" s="5">
        <f t="shared" ref="T479:X479" si="1053">LN(T1028/T1029)</f>
        <v>2.2446258334518328E-3</v>
      </c>
      <c r="U479" s="5">
        <f t="shared" si="1053"/>
        <v>1.1582460946598175E-3</v>
      </c>
      <c r="V479" s="5">
        <f t="shared" si="1053"/>
        <v>6.0034125999966007E-3</v>
      </c>
      <c r="W479" s="5">
        <f t="shared" si="1053"/>
        <v>5.1556590089349803E-3</v>
      </c>
      <c r="X479" s="5">
        <f t="shared" si="1053"/>
        <v>-2.3776300786367472E-3</v>
      </c>
      <c r="Z479" s="4">
        <v>45398</v>
      </c>
      <c r="AA479">
        <f>B479*B$3</f>
        <v>0</v>
      </c>
      <c r="AB479">
        <f>C479*C$3</f>
        <v>0</v>
      </c>
      <c r="AC479">
        <f>D479*D$3</f>
        <v>0</v>
      </c>
      <c r="AD479">
        <f>E479*E$3</f>
        <v>0</v>
      </c>
      <c r="AE479">
        <f>F479*F$3</f>
        <v>12427.999999999734</v>
      </c>
      <c r="AF479">
        <f>G479*G$3</f>
        <v>31255.999999999334</v>
      </c>
      <c r="AG479">
        <f>H479*H$3</f>
        <v>112864.0000000001</v>
      </c>
      <c r="AH479">
        <f>I479*I$3</f>
        <v>92279.999999999665</v>
      </c>
      <c r="AI479">
        <f>J479*J$3</f>
        <v>204206.00000000017</v>
      </c>
      <c r="AJ479">
        <f>K479*K$3</f>
        <v>313580.00000000029</v>
      </c>
      <c r="AK479">
        <f>L479*L$3</f>
        <v>-124016.00000000012</v>
      </c>
      <c r="AL479">
        <f>M479*M$3</f>
        <v>-96219.0000000008</v>
      </c>
      <c r="AM479">
        <f>N479*N$3</f>
        <v>0</v>
      </c>
      <c r="AN479">
        <f>O479*O$3</f>
        <v>0</v>
      </c>
      <c r="AO479">
        <f>P479*P$3</f>
        <v>-10217.117220586193</v>
      </c>
      <c r="AP479">
        <f>Q479*Q$3</f>
        <v>166537.2183116035</v>
      </c>
      <c r="AQ479">
        <f>R479*R$3</f>
        <v>-64068.43696419039</v>
      </c>
      <c r="AR479" s="1">
        <f>S479*S$3</f>
        <v>-133449.50240508677</v>
      </c>
      <c r="AS479" s="1">
        <f t="shared" si="1032"/>
        <v>8978.5033338073317</v>
      </c>
      <c r="AT479" s="1">
        <f t="shared" si="1032"/>
        <v>9265.9687572785388</v>
      </c>
      <c r="AU479" s="1">
        <f t="shared" si="1032"/>
        <v>0</v>
      </c>
      <c r="AV479" s="1">
        <f t="shared" si="1032"/>
        <v>0</v>
      </c>
      <c r="AW479" s="1">
        <f t="shared" si="1032"/>
        <v>0</v>
      </c>
      <c r="AX479" s="1">
        <f t="shared" si="997"/>
        <v>523425.63381282438</v>
      </c>
      <c r="AY479" s="1">
        <f t="shared" si="998"/>
        <v>-22953.366187173975</v>
      </c>
      <c r="AZ479" s="1">
        <f t="shared" si="999"/>
        <v>546378.99999999837</v>
      </c>
    </row>
    <row r="480" spans="1:52" x14ac:dyDescent="0.25">
      <c r="A480" s="4">
        <v>45397</v>
      </c>
      <c r="B480">
        <f t="shared" ref="B480:N480" si="1054">(B1030-B1029)*100</f>
        <v>-0.99999999999997868</v>
      </c>
      <c r="C480">
        <f t="shared" si="1054"/>
        <v>-0.99999999999997868</v>
      </c>
      <c r="D480">
        <f t="shared" si="1054"/>
        <v>0</v>
      </c>
      <c r="E480">
        <f t="shared" si="1054"/>
        <v>-2.0000000000000462</v>
      </c>
      <c r="F480">
        <f t="shared" si="1054"/>
        <v>-1.9999999999999574</v>
      </c>
      <c r="G480">
        <f t="shared" si="1054"/>
        <v>-3.0000000000000249</v>
      </c>
      <c r="H480">
        <f t="shared" si="1054"/>
        <v>-4.9999999999999822</v>
      </c>
      <c r="I480">
        <f t="shared" si="1054"/>
        <v>-8.0000000000000071</v>
      </c>
      <c r="J480">
        <f t="shared" si="1054"/>
        <v>-11.000000000000032</v>
      </c>
      <c r="K480">
        <f t="shared" si="1054"/>
        <v>-12.000000000000011</v>
      </c>
      <c r="L480">
        <f t="shared" si="1054"/>
        <v>-12.999999999999989</v>
      </c>
      <c r="M480">
        <f t="shared" si="1054"/>
        <v>-11.999999999999922</v>
      </c>
      <c r="N480">
        <f t="shared" si="1054"/>
        <v>-12.999999999999989</v>
      </c>
      <c r="O480" s="5">
        <f t="shared" si="1044"/>
        <v>7.4100276986210313E-3</v>
      </c>
      <c r="P480" s="5">
        <f t="shared" si="1044"/>
        <v>1.4193839841275559E-2</v>
      </c>
      <c r="Q480" s="5">
        <f t="shared" si="1044"/>
        <v>7.8684016656353547E-3</v>
      </c>
      <c r="R480" s="5">
        <f t="shared" si="1044"/>
        <v>9.1373922494381137E-3</v>
      </c>
      <c r="S480" s="5">
        <f t="shared" si="1044"/>
        <v>4.2002392550255082E-3</v>
      </c>
      <c r="T480" s="5">
        <f t="shared" ref="T480:X480" si="1055">LN(T1029/T1030)</f>
        <v>7.2251482479190462E-3</v>
      </c>
      <c r="U480" s="5">
        <f t="shared" si="1055"/>
        <v>7.4299439508899315E-3</v>
      </c>
      <c r="V480" s="5">
        <f t="shared" si="1055"/>
        <v>5.9387172742478267E-4</v>
      </c>
      <c r="W480" s="5">
        <f t="shared" si="1055"/>
        <v>9.9573524550687301E-3</v>
      </c>
      <c r="X480" s="5">
        <f t="shared" si="1055"/>
        <v>4.3211800581954207E-3</v>
      </c>
      <c r="Z480" s="4">
        <v>45397</v>
      </c>
      <c r="AA480">
        <f>B480*B$3</f>
        <v>982.99999999997908</v>
      </c>
      <c r="AB480">
        <f>C480*C$3</f>
        <v>2583.999999999945</v>
      </c>
      <c r="AC480">
        <f>D480*D$3</f>
        <v>0</v>
      </c>
      <c r="AD480">
        <f>E480*E$3</f>
        <v>-4856.0000000001119</v>
      </c>
      <c r="AE480">
        <f>F480*F$3</f>
        <v>24855.999999999469</v>
      </c>
      <c r="AF480">
        <f>G480*G$3</f>
        <v>46884.000000000386</v>
      </c>
      <c r="AG480">
        <f>H480*H$3</f>
        <v>141079.99999999951</v>
      </c>
      <c r="AH480">
        <f>I480*I$3</f>
        <v>147648.00000000015</v>
      </c>
      <c r="AI480">
        <f>J480*J$3</f>
        <v>561566.50000000163</v>
      </c>
      <c r="AJ480">
        <f>K480*K$3</f>
        <v>940740.00000000081</v>
      </c>
      <c r="AK480">
        <f>L480*L$3</f>
        <v>-403051.99999999965</v>
      </c>
      <c r="AL480">
        <f>M480*M$3</f>
        <v>-384875.9999999975</v>
      </c>
      <c r="AM480">
        <f>N480*N$3</f>
        <v>0</v>
      </c>
      <c r="AN480">
        <f>O480*O$3</f>
        <v>0</v>
      </c>
      <c r="AO480">
        <f>P480*P$3</f>
        <v>-70969.199206377802</v>
      </c>
      <c r="AP480">
        <f>Q480*Q$3</f>
        <v>94420.819987624258</v>
      </c>
      <c r="AQ480">
        <f>R480*R$3</f>
        <v>-137060.88374157171</v>
      </c>
      <c r="AR480" s="1">
        <f>S480*S$3</f>
        <v>-29401.674785178559</v>
      </c>
      <c r="AS480" s="1">
        <f t="shared" si="1032"/>
        <v>28900.592991676185</v>
      </c>
      <c r="AT480" s="1">
        <f t="shared" si="1032"/>
        <v>59439.551607119451</v>
      </c>
      <c r="AU480" s="1">
        <f t="shared" si="1032"/>
        <v>0</v>
      </c>
      <c r="AV480" s="1">
        <f t="shared" si="1032"/>
        <v>0</v>
      </c>
      <c r="AW480" s="1">
        <f t="shared" si="1032"/>
        <v>0</v>
      </c>
      <c r="AX480" s="1">
        <f t="shared" si="997"/>
        <v>1018886.7068532967</v>
      </c>
      <c r="AY480" s="1">
        <f t="shared" si="998"/>
        <v>-54670.793146708187</v>
      </c>
      <c r="AZ480" s="1">
        <f t="shared" si="999"/>
        <v>1073557.5000000049</v>
      </c>
    </row>
    <row r="481" spans="1:52" x14ac:dyDescent="0.25">
      <c r="A481" s="4">
        <v>45394</v>
      </c>
      <c r="B481">
        <f t="shared" ref="B481:N481" si="1056">(B1031-B1030)*100</f>
        <v>0</v>
      </c>
      <c r="C481">
        <f t="shared" si="1056"/>
        <v>0.99999999999997868</v>
      </c>
      <c r="D481">
        <f t="shared" si="1056"/>
        <v>0</v>
      </c>
      <c r="E481">
        <f t="shared" si="1056"/>
        <v>2.0000000000000462</v>
      </c>
      <c r="F481">
        <f t="shared" si="1056"/>
        <v>1.9999999999999574</v>
      </c>
      <c r="G481">
        <f t="shared" si="1056"/>
        <v>4.0000000000000036</v>
      </c>
      <c r="H481">
        <f t="shared" si="1056"/>
        <v>4.9999999999999822</v>
      </c>
      <c r="I481">
        <f t="shared" si="1056"/>
        <v>6.9999999999999396</v>
      </c>
      <c r="J481">
        <f t="shared" si="1056"/>
        <v>7.0000000000000284</v>
      </c>
      <c r="K481">
        <f t="shared" si="1056"/>
        <v>6.9999999999999396</v>
      </c>
      <c r="L481">
        <f t="shared" si="1056"/>
        <v>5.9999999999999609</v>
      </c>
      <c r="M481">
        <f t="shared" si="1056"/>
        <v>3.9999999999999147</v>
      </c>
      <c r="N481">
        <f t="shared" si="1056"/>
        <v>4.0000000000000036</v>
      </c>
      <c r="O481" s="5">
        <f t="shared" si="1044"/>
        <v>1.1731086423929478E-2</v>
      </c>
      <c r="P481" s="5">
        <f t="shared" si="1044"/>
        <v>7.0504295479113426E-3</v>
      </c>
      <c r="Q481" s="5">
        <f t="shared" si="1044"/>
        <v>3.6848262615415297E-3</v>
      </c>
      <c r="R481" s="5">
        <f t="shared" si="1044"/>
        <v>3.7868587314970857E-3</v>
      </c>
      <c r="S481" s="5">
        <f t="shared" si="1044"/>
        <v>1.3206399159129668E-2</v>
      </c>
      <c r="T481" s="5">
        <f t="shared" ref="T481:X481" si="1057">LN(T1030/T1031)</f>
        <v>1.3847416017454177E-3</v>
      </c>
      <c r="U481" s="5">
        <f t="shared" si="1057"/>
        <v>-1.3675700146201035E-3</v>
      </c>
      <c r="V481" s="5">
        <f t="shared" si="1057"/>
        <v>1.4894162711609554E-3</v>
      </c>
      <c r="W481" s="5">
        <f t="shared" si="1057"/>
        <v>-5.1205675554132878E-3</v>
      </c>
      <c r="X481" s="5">
        <f t="shared" si="1057"/>
        <v>-3.5219313928811268E-3</v>
      </c>
      <c r="Z481" s="4">
        <v>45394</v>
      </c>
      <c r="AA481">
        <f>B481*B$3</f>
        <v>0</v>
      </c>
      <c r="AB481">
        <f>C481*C$3</f>
        <v>-2583.999999999945</v>
      </c>
      <c r="AC481">
        <f>D481*D$3</f>
        <v>0</v>
      </c>
      <c r="AD481">
        <f>E481*E$3</f>
        <v>4856.0000000001119</v>
      </c>
      <c r="AE481">
        <f>F481*F$3</f>
        <v>-24855.999999999469</v>
      </c>
      <c r="AF481">
        <f>G481*G$3</f>
        <v>-62512.000000000058</v>
      </c>
      <c r="AG481">
        <f>H481*H$3</f>
        <v>-141079.99999999951</v>
      </c>
      <c r="AH481">
        <f>I481*I$3</f>
        <v>-129191.99999999888</v>
      </c>
      <c r="AI481">
        <f>J481*J$3</f>
        <v>-357360.50000000146</v>
      </c>
      <c r="AJ481">
        <f>K481*K$3</f>
        <v>-548764.99999999523</v>
      </c>
      <c r="AK481">
        <f>L481*L$3</f>
        <v>186023.99999999878</v>
      </c>
      <c r="AL481">
        <f>M481*M$3</f>
        <v>128291.99999999726</v>
      </c>
      <c r="AM481">
        <f>N481*N$3</f>
        <v>0</v>
      </c>
      <c r="AN481">
        <f>O481*O$3</f>
        <v>0</v>
      </c>
      <c r="AO481">
        <f>P481*P$3</f>
        <v>-35252.147739556713</v>
      </c>
      <c r="AP481">
        <f>Q481*Q$3</f>
        <v>44217.915138498356</v>
      </c>
      <c r="AQ481">
        <f>R481*R$3</f>
        <v>-56802.880972456289</v>
      </c>
      <c r="AR481" s="1">
        <f>S481*S$3</f>
        <v>-92444.794113907672</v>
      </c>
      <c r="AS481" s="1">
        <f t="shared" si="1032"/>
        <v>5538.9664069816708</v>
      </c>
      <c r="AT481" s="1">
        <f t="shared" si="1032"/>
        <v>-10940.560116960829</v>
      </c>
      <c r="AU481" s="1">
        <f t="shared" si="1032"/>
        <v>0</v>
      </c>
      <c r="AV481" s="1">
        <f t="shared" si="1032"/>
        <v>0</v>
      </c>
      <c r="AW481" s="1">
        <f t="shared" si="1032"/>
        <v>0</v>
      </c>
      <c r="AX481" s="1">
        <f t="shared" si="997"/>
        <v>-1092861.0013973999</v>
      </c>
      <c r="AY481" s="1">
        <f t="shared" si="998"/>
        <v>-145683.5013974015</v>
      </c>
      <c r="AZ481" s="1">
        <f t="shared" si="999"/>
        <v>-947177.49999999837</v>
      </c>
    </row>
    <row r="482" spans="1:52" x14ac:dyDescent="0.25">
      <c r="A482" s="4">
        <v>45393</v>
      </c>
      <c r="B482">
        <f t="shared" ref="B482:N482" si="1058">(B1032-B1031)*100</f>
        <v>0.99999999999997868</v>
      </c>
      <c r="C482">
        <f t="shared" si="1058"/>
        <v>-0.99999999999997868</v>
      </c>
      <c r="D482">
        <f t="shared" si="1058"/>
        <v>0</v>
      </c>
      <c r="E482">
        <f t="shared" si="1058"/>
        <v>0</v>
      </c>
      <c r="F482">
        <f t="shared" si="1058"/>
        <v>2.0000000000000462</v>
      </c>
      <c r="G482">
        <f t="shared" si="1058"/>
        <v>2.0000000000000462</v>
      </c>
      <c r="H482">
        <f t="shared" si="1058"/>
        <v>4.0000000000000036</v>
      </c>
      <c r="I482">
        <f t="shared" si="1058"/>
        <v>0</v>
      </c>
      <c r="J482">
        <f t="shared" si="1058"/>
        <v>0</v>
      </c>
      <c r="K482">
        <f t="shared" si="1058"/>
        <v>-0.99999999999997868</v>
      </c>
      <c r="L482">
        <f t="shared" si="1058"/>
        <v>-0.99999999999997868</v>
      </c>
      <c r="M482">
        <f t="shared" si="1058"/>
        <v>-0.99999999999997868</v>
      </c>
      <c r="N482">
        <f t="shared" si="1058"/>
        <v>-1.0000000000000675</v>
      </c>
      <c r="O482" s="5">
        <f t="shared" si="1044"/>
        <v>2.1890693367955885E-3</v>
      </c>
      <c r="P482" s="5">
        <f t="shared" si="1044"/>
        <v>4.7621693293429966E-3</v>
      </c>
      <c r="Q482" s="5">
        <f t="shared" si="1044"/>
        <v>1.3621311696223472E-2</v>
      </c>
      <c r="R482" s="5">
        <f t="shared" si="1044"/>
        <v>-6.483004878078266E-3</v>
      </c>
      <c r="S482" s="5">
        <f t="shared" si="1044"/>
        <v>-3.0416400757654437E-4</v>
      </c>
      <c r="T482" s="5">
        <f t="shared" ref="T482:X482" si="1059">LN(T1031/T1032)</f>
        <v>1.0886717095524618E-2</v>
      </c>
      <c r="U482" s="5">
        <f t="shared" si="1059"/>
        <v>1.1107100672954688E-2</v>
      </c>
      <c r="V482" s="5">
        <f t="shared" si="1059"/>
        <v>7.790338237742985E-3</v>
      </c>
      <c r="W482" s="5">
        <f t="shared" si="1059"/>
        <v>1.8469128146331563E-2</v>
      </c>
      <c r="X482" s="5">
        <f t="shared" si="1059"/>
        <v>1.1079234341270663E-2</v>
      </c>
      <c r="Z482" s="4">
        <v>45393</v>
      </c>
      <c r="AA482">
        <f>B482*B$3</f>
        <v>-982.99999999997908</v>
      </c>
      <c r="AB482">
        <f>C482*C$3</f>
        <v>2583.999999999945</v>
      </c>
      <c r="AC482">
        <f>D482*D$3</f>
        <v>0</v>
      </c>
      <c r="AD482">
        <f>E482*E$3</f>
        <v>0</v>
      </c>
      <c r="AE482">
        <f>F482*F$3</f>
        <v>-24856.000000000575</v>
      </c>
      <c r="AF482">
        <f>G482*G$3</f>
        <v>-31256.00000000072</v>
      </c>
      <c r="AG482">
        <f>H482*H$3</f>
        <v>-112864.0000000001</v>
      </c>
      <c r="AH482">
        <f>I482*I$3</f>
        <v>0</v>
      </c>
      <c r="AI482">
        <f>J482*J$3</f>
        <v>0</v>
      </c>
      <c r="AJ482">
        <f>K482*K$3</f>
        <v>78394.999999998327</v>
      </c>
      <c r="AK482">
        <f>L482*L$3</f>
        <v>-31003.999999999338</v>
      </c>
      <c r="AL482">
        <f>M482*M$3</f>
        <v>-32072.999999999316</v>
      </c>
      <c r="AM482">
        <f>N482*N$3</f>
        <v>0</v>
      </c>
      <c r="AN482">
        <f>O482*O$3</f>
        <v>0</v>
      </c>
      <c r="AO482">
        <f>P482*P$3</f>
        <v>-23810.846646714985</v>
      </c>
      <c r="AP482">
        <f>Q482*Q$3</f>
        <v>163455.74035468165</v>
      </c>
      <c r="AQ482">
        <f>R482*R$3</f>
        <v>97245.073171173994</v>
      </c>
      <c r="AR482" s="1">
        <f>S482*S$3</f>
        <v>2129.1480530358108</v>
      </c>
      <c r="AS482" s="1">
        <f t="shared" si="1032"/>
        <v>43546.868382098473</v>
      </c>
      <c r="AT482" s="1">
        <f t="shared" si="1032"/>
        <v>88856.805383637504</v>
      </c>
      <c r="AU482" s="1">
        <f t="shared" si="1032"/>
        <v>0</v>
      </c>
      <c r="AV482" s="1">
        <f t="shared" si="1032"/>
        <v>0</v>
      </c>
      <c r="AW482" s="1">
        <f t="shared" si="1032"/>
        <v>0</v>
      </c>
      <c r="AX482" s="1">
        <f t="shared" si="997"/>
        <v>219365.7886979107</v>
      </c>
      <c r="AY482" s="1">
        <f t="shared" si="998"/>
        <v>371422.78869791242</v>
      </c>
      <c r="AZ482" s="1">
        <f t="shared" si="999"/>
        <v>-152057.00000000172</v>
      </c>
    </row>
    <row r="483" spans="1:52" x14ac:dyDescent="0.25">
      <c r="A483" s="4">
        <v>45392</v>
      </c>
      <c r="B483">
        <f t="shared" ref="B483:N483" si="1060">(B1033-B1032)*100</f>
        <v>-0.99999999999997868</v>
      </c>
      <c r="C483">
        <f t="shared" si="1060"/>
        <v>-0.99999999999997868</v>
      </c>
      <c r="D483">
        <f t="shared" si="1060"/>
        <v>-2.0000000000000462</v>
      </c>
      <c r="E483">
        <f t="shared" si="1060"/>
        <v>-3.0000000000000249</v>
      </c>
      <c r="F483">
        <f t="shared" si="1060"/>
        <v>-6.0000000000000497</v>
      </c>
      <c r="G483">
        <f t="shared" si="1060"/>
        <v>-16.000000000000014</v>
      </c>
      <c r="H483">
        <f t="shared" si="1060"/>
        <v>-22.999999999999954</v>
      </c>
      <c r="I483">
        <f t="shared" si="1060"/>
        <v>-25</v>
      </c>
      <c r="J483">
        <f t="shared" si="1060"/>
        <v>-24.000000000000021</v>
      </c>
      <c r="K483">
        <f t="shared" si="1060"/>
        <v>-20.999999999999996</v>
      </c>
      <c r="L483">
        <f t="shared" si="1060"/>
        <v>-18.99999999999995</v>
      </c>
      <c r="M483">
        <f t="shared" si="1060"/>
        <v>-16.000000000000014</v>
      </c>
      <c r="N483">
        <f t="shared" si="1060"/>
        <v>-13.999999999999968</v>
      </c>
      <c r="O483" s="5">
        <f t="shared" si="1044"/>
        <v>1.1397152992256195E-2</v>
      </c>
      <c r="P483" s="5">
        <f t="shared" si="1044"/>
        <v>8.9148623071721861E-3</v>
      </c>
      <c r="Q483" s="5">
        <f t="shared" si="1044"/>
        <v>-6.4642151211677223E-3</v>
      </c>
      <c r="R483" s="5">
        <f t="shared" si="1044"/>
        <v>6.483004878078312E-3</v>
      </c>
      <c r="S483" s="5">
        <f t="shared" si="1044"/>
        <v>2.0762369740374587E-3</v>
      </c>
      <c r="T483" s="5">
        <f t="shared" ref="T483:X483" si="1061">LN(T1032/T1033)</f>
        <v>4.0191986970179191E-4</v>
      </c>
      <c r="U483" s="5">
        <f t="shared" si="1061"/>
        <v>-1.4948005893408093E-3</v>
      </c>
      <c r="V483" s="5">
        <f t="shared" si="1061"/>
        <v>-4.3481670236200594E-4</v>
      </c>
      <c r="W483" s="5">
        <f t="shared" si="1061"/>
        <v>-3.5519158349495606E-3</v>
      </c>
      <c r="X483" s="5">
        <f t="shared" si="1061"/>
        <v>-2.2455392162238959E-3</v>
      </c>
      <c r="Z483" s="4">
        <v>45392</v>
      </c>
      <c r="AA483">
        <f>B483*B$3</f>
        <v>982.99999999997908</v>
      </c>
      <c r="AB483">
        <f>C483*C$3</f>
        <v>2583.999999999945</v>
      </c>
      <c r="AC483">
        <f>D483*D$3</f>
        <v>-32286.000000000746</v>
      </c>
      <c r="AD483">
        <f>E483*E$3</f>
        <v>-7284.00000000006</v>
      </c>
      <c r="AE483">
        <f>F483*F$3</f>
        <v>74568.000000000611</v>
      </c>
      <c r="AF483">
        <f>G483*G$3</f>
        <v>250048.00000000023</v>
      </c>
      <c r="AG483">
        <f>H483*H$3</f>
        <v>648967.99999999872</v>
      </c>
      <c r="AH483">
        <f>I483*I$3</f>
        <v>461400</v>
      </c>
      <c r="AI483">
        <f>J483*J$3</f>
        <v>1225236.0000000012</v>
      </c>
      <c r="AJ483">
        <f>K483*K$3</f>
        <v>1646294.9999999998</v>
      </c>
      <c r="AK483">
        <f>L483*L$3</f>
        <v>-589075.99999999849</v>
      </c>
      <c r="AL483">
        <f>M483*M$3</f>
        <v>-513168.00000000047</v>
      </c>
      <c r="AM483">
        <f>N483*N$3</f>
        <v>0</v>
      </c>
      <c r="AN483">
        <f>O483*O$3</f>
        <v>0</v>
      </c>
      <c r="AO483">
        <f>P483*P$3</f>
        <v>-44574.311535860928</v>
      </c>
      <c r="AP483">
        <f>Q483*Q$3</f>
        <v>-77570.581454012674</v>
      </c>
      <c r="AQ483">
        <f>R483*R$3</f>
        <v>-97245.073171174678</v>
      </c>
      <c r="AR483" s="1">
        <f>S483*S$3</f>
        <v>-14533.658818262211</v>
      </c>
      <c r="AS483" s="1">
        <f t="shared" si="1032"/>
        <v>1607.6794788071677</v>
      </c>
      <c r="AT483" s="1">
        <f t="shared" si="1032"/>
        <v>-11958.404714726476</v>
      </c>
      <c r="AU483" s="1">
        <f t="shared" si="1032"/>
        <v>0</v>
      </c>
      <c r="AV483" s="1">
        <f t="shared" si="1032"/>
        <v>0</v>
      </c>
      <c r="AW483" s="1">
        <f t="shared" si="1032"/>
        <v>0</v>
      </c>
      <c r="AX483" s="1">
        <f t="shared" si="997"/>
        <v>2923993.6497847717</v>
      </c>
      <c r="AY483" s="1">
        <f t="shared" si="998"/>
        <v>-244274.35021522979</v>
      </c>
      <c r="AZ483" s="1">
        <f t="shared" si="999"/>
        <v>3168268.0000000014</v>
      </c>
    </row>
    <row r="484" spans="1:52" x14ac:dyDescent="0.25">
      <c r="A484" s="4">
        <v>45391</v>
      </c>
      <c r="B484">
        <f t="shared" ref="B484:N484" si="1062">(B1034-B1033)*100</f>
        <v>0</v>
      </c>
      <c r="C484">
        <f t="shared" si="1062"/>
        <v>0</v>
      </c>
      <c r="D484">
        <f t="shared" si="1062"/>
        <v>0</v>
      </c>
      <c r="E484">
        <f t="shared" si="1062"/>
        <v>0</v>
      </c>
      <c r="F484">
        <f t="shared" si="1062"/>
        <v>0.99999999999997868</v>
      </c>
      <c r="G484">
        <f t="shared" si="1062"/>
        <v>4.0000000000000036</v>
      </c>
      <c r="H484">
        <f t="shared" si="1062"/>
        <v>4.0000000000000036</v>
      </c>
      <c r="I484">
        <f t="shared" si="1062"/>
        <v>8.0000000000000071</v>
      </c>
      <c r="J484">
        <f t="shared" si="1062"/>
        <v>5.9999999999999609</v>
      </c>
      <c r="K484">
        <f t="shared" si="1062"/>
        <v>4.9999999999999822</v>
      </c>
      <c r="L484">
        <f t="shared" si="1062"/>
        <v>5.9999999999999609</v>
      </c>
      <c r="M484">
        <f t="shared" si="1062"/>
        <v>5.0000000000000711</v>
      </c>
      <c r="N484">
        <f t="shared" si="1062"/>
        <v>4.9999999999999822</v>
      </c>
      <c r="O484" s="5">
        <f t="shared" si="1044"/>
        <v>-6.7864333299732186E-3</v>
      </c>
      <c r="P484" s="5">
        <f t="shared" si="1044"/>
        <v>2.231901196073196E-3</v>
      </c>
      <c r="Q484" s="5">
        <f t="shared" si="1044"/>
        <v>-2.3316797067616532E-3</v>
      </c>
      <c r="R484" s="5">
        <f t="shared" si="1044"/>
        <v>5.4215235808841445E-4</v>
      </c>
      <c r="S484" s="5">
        <f t="shared" si="1044"/>
        <v>4.2817462349881673E-3</v>
      </c>
      <c r="T484" s="5">
        <f t="shared" ref="T484:X484" si="1063">LN(T1033/T1034)</f>
        <v>-3.0589583376973988E-3</v>
      </c>
      <c r="U484" s="5">
        <f t="shared" si="1063"/>
        <v>-2.6422745389307464E-3</v>
      </c>
      <c r="V484" s="5">
        <f t="shared" si="1063"/>
        <v>1.0081268823314677E-3</v>
      </c>
      <c r="W484" s="5">
        <f t="shared" si="1063"/>
        <v>-5.2799706237541344E-3</v>
      </c>
      <c r="X484" s="5">
        <f t="shared" si="1063"/>
        <v>2.0351912367278626E-3</v>
      </c>
      <c r="Z484" s="4">
        <v>45391</v>
      </c>
      <c r="AA484">
        <f>B484*B$3</f>
        <v>0</v>
      </c>
      <c r="AB484">
        <f>C484*C$3</f>
        <v>0</v>
      </c>
      <c r="AC484">
        <f>D484*D$3</f>
        <v>0</v>
      </c>
      <c r="AD484">
        <f>E484*E$3</f>
        <v>0</v>
      </c>
      <c r="AE484">
        <f>F484*F$3</f>
        <v>-12427.999999999734</v>
      </c>
      <c r="AF484">
        <f>G484*G$3</f>
        <v>-62512.000000000058</v>
      </c>
      <c r="AG484">
        <f>H484*H$3</f>
        <v>-112864.0000000001</v>
      </c>
      <c r="AH484">
        <f>I484*I$3</f>
        <v>-147648.00000000015</v>
      </c>
      <c r="AI484">
        <f>J484*J$3</f>
        <v>-306308.99999999802</v>
      </c>
      <c r="AJ484">
        <f>K484*K$3</f>
        <v>-391974.9999999986</v>
      </c>
      <c r="AK484">
        <f>L484*L$3</f>
        <v>186023.99999999878</v>
      </c>
      <c r="AL484">
        <f>M484*M$3</f>
        <v>160365.00000000227</v>
      </c>
      <c r="AM484">
        <f>N484*N$3</f>
        <v>0</v>
      </c>
      <c r="AN484">
        <f>O484*O$3</f>
        <v>0</v>
      </c>
      <c r="AO484">
        <f>P484*P$3</f>
        <v>-11159.505980365981</v>
      </c>
      <c r="AP484">
        <f>Q484*Q$3</f>
        <v>-27980.156481139838</v>
      </c>
      <c r="AQ484">
        <f>R484*R$3</f>
        <v>-8132.2853713262166</v>
      </c>
      <c r="AR484" s="1">
        <f>S484*S$3</f>
        <v>-29972.223644917172</v>
      </c>
      <c r="AS484" s="1">
        <f t="shared" si="1032"/>
        <v>-12235.833350789595</v>
      </c>
      <c r="AT484" s="1">
        <f t="shared" si="1032"/>
        <v>-21138.196311445972</v>
      </c>
      <c r="AU484" s="1">
        <f t="shared" si="1032"/>
        <v>0</v>
      </c>
      <c r="AV484" s="1">
        <f t="shared" si="1032"/>
        <v>0</v>
      </c>
      <c r="AW484" s="1">
        <f t="shared" si="1032"/>
        <v>0</v>
      </c>
      <c r="AX484" s="1">
        <f t="shared" si="997"/>
        <v>-797965.20113998046</v>
      </c>
      <c r="AY484" s="1">
        <f t="shared" si="998"/>
        <v>-110618.20113998477</v>
      </c>
      <c r="AZ484" s="1">
        <f t="shared" si="999"/>
        <v>-687346.99999999569</v>
      </c>
    </row>
    <row r="485" spans="1:52" x14ac:dyDescent="0.25">
      <c r="A485" s="4">
        <v>45390</v>
      </c>
      <c r="B485">
        <f t="shared" ref="B485:N485" si="1064">(B1035-B1034)*100</f>
        <v>-1.0000000000000675</v>
      </c>
      <c r="C485">
        <f t="shared" si="1064"/>
        <v>0.99999999999997868</v>
      </c>
      <c r="D485">
        <f t="shared" si="1064"/>
        <v>0</v>
      </c>
      <c r="E485">
        <f t="shared" si="1064"/>
        <v>0</v>
      </c>
      <c r="F485">
        <f t="shared" si="1064"/>
        <v>-0.99999999999997868</v>
      </c>
      <c r="G485">
        <f t="shared" si="1064"/>
        <v>-2.0000000000000462</v>
      </c>
      <c r="H485">
        <f t="shared" si="1064"/>
        <v>-4.9999999999999822</v>
      </c>
      <c r="I485">
        <f t="shared" si="1064"/>
        <v>-5.9999999999999609</v>
      </c>
      <c r="J485">
        <f t="shared" si="1064"/>
        <v>-4.9999999999999822</v>
      </c>
      <c r="K485">
        <f t="shared" si="1064"/>
        <v>-4.0000000000000036</v>
      </c>
      <c r="L485">
        <f t="shared" si="1064"/>
        <v>-3.0000000000000249</v>
      </c>
      <c r="M485">
        <f t="shared" si="1064"/>
        <v>0</v>
      </c>
      <c r="N485">
        <f t="shared" si="1064"/>
        <v>-0.99999999999997868</v>
      </c>
      <c r="O485" s="5">
        <f t="shared" ref="O485:S494" si="1065">LN(O1034/O1035)</f>
        <v>-1.9616591221454272E-3</v>
      </c>
      <c r="P485" s="5">
        <f t="shared" si="1065"/>
        <v>6.2646331664080836E-4</v>
      </c>
      <c r="Q485" s="5">
        <f t="shared" si="1065"/>
        <v>6.5551819599531658E-3</v>
      </c>
      <c r="R485" s="5">
        <f t="shared" si="1065"/>
        <v>3.2591012009067031E-3</v>
      </c>
      <c r="S485" s="5">
        <f t="shared" si="1065"/>
        <v>-7.5129634292094398E-3</v>
      </c>
      <c r="T485" s="5">
        <f t="shared" ref="T485:X485" si="1066">LN(T1034/T1035)</f>
        <v>6.0673263801716646E-4</v>
      </c>
      <c r="U485" s="5">
        <f t="shared" si="1066"/>
        <v>1.1786223638587431E-3</v>
      </c>
      <c r="V485" s="5">
        <f t="shared" si="1066"/>
        <v>2.6271871665361607E-3</v>
      </c>
      <c r="W485" s="5">
        <f t="shared" si="1066"/>
        <v>2.6579015193372484E-3</v>
      </c>
      <c r="X485" s="5">
        <f t="shared" si="1066"/>
        <v>1.8396500593166609E-3</v>
      </c>
      <c r="Z485" s="4">
        <v>45390</v>
      </c>
      <c r="AA485">
        <f>B485*B$3</f>
        <v>983.00000000006639</v>
      </c>
      <c r="AB485">
        <f>C485*C$3</f>
        <v>-2583.999999999945</v>
      </c>
      <c r="AC485">
        <f>D485*D$3</f>
        <v>0</v>
      </c>
      <c r="AD485">
        <f>E485*E$3</f>
        <v>0</v>
      </c>
      <c r="AE485">
        <f>F485*F$3</f>
        <v>12427.999999999734</v>
      </c>
      <c r="AF485">
        <f>G485*G$3</f>
        <v>31256.00000000072</v>
      </c>
      <c r="AG485">
        <f>H485*H$3</f>
        <v>141079.99999999951</v>
      </c>
      <c r="AH485">
        <f>I485*I$3</f>
        <v>110735.99999999927</v>
      </c>
      <c r="AI485">
        <f>J485*J$3</f>
        <v>255257.4999999991</v>
      </c>
      <c r="AJ485">
        <f>K485*K$3</f>
        <v>313580.00000000029</v>
      </c>
      <c r="AK485">
        <f>L485*L$3</f>
        <v>-93012.000000000771</v>
      </c>
      <c r="AL485">
        <f>M485*M$3</f>
        <v>0</v>
      </c>
      <c r="AM485">
        <f>N485*N$3</f>
        <v>0</v>
      </c>
      <c r="AN485">
        <f>O485*O$3</f>
        <v>0</v>
      </c>
      <c r="AO485">
        <f>P485*P$3</f>
        <v>-3132.3165832040418</v>
      </c>
      <c r="AP485">
        <f>Q485*Q$3</f>
        <v>78662.183519437996</v>
      </c>
      <c r="AQ485">
        <f>R485*R$3</f>
        <v>-48886.518013600544</v>
      </c>
      <c r="AR485" s="1">
        <f>S485*S$3</f>
        <v>52590.744004466076</v>
      </c>
      <c r="AS485" s="1">
        <f t="shared" ref="AS485:AW500" si="1067">T485*T$3</f>
        <v>2426.9305520686657</v>
      </c>
      <c r="AT485" s="1">
        <f t="shared" si="1067"/>
        <v>9428.9789108699442</v>
      </c>
      <c r="AU485" s="1">
        <f t="shared" si="1067"/>
        <v>0</v>
      </c>
      <c r="AV485" s="1">
        <f t="shared" si="1067"/>
        <v>0</v>
      </c>
      <c r="AW485" s="1">
        <f t="shared" si="1067"/>
        <v>0</v>
      </c>
      <c r="AX485" s="1">
        <f t="shared" si="997"/>
        <v>860814.50239003613</v>
      </c>
      <c r="AY485" s="1">
        <f t="shared" si="998"/>
        <v>91090.002390038106</v>
      </c>
      <c r="AZ485" s="1">
        <f t="shared" si="999"/>
        <v>769724.49999999802</v>
      </c>
    </row>
    <row r="486" spans="1:52" x14ac:dyDescent="0.25">
      <c r="A486" s="4">
        <v>45387</v>
      </c>
      <c r="B486">
        <f t="shared" ref="B486:N486" si="1068">(B1036-B1035)*100</f>
        <v>0</v>
      </c>
      <c r="C486">
        <f t="shared" si="1068"/>
        <v>-0.99999999999997868</v>
      </c>
      <c r="D486">
        <f t="shared" si="1068"/>
        <v>-1.9999999999999574</v>
      </c>
      <c r="E486">
        <f t="shared" si="1068"/>
        <v>-0.99999999999997868</v>
      </c>
      <c r="F486">
        <f t="shared" si="1068"/>
        <v>-1.9999999999999574</v>
      </c>
      <c r="G486">
        <f t="shared" si="1068"/>
        <v>-4.9999999999999822</v>
      </c>
      <c r="H486">
        <f t="shared" si="1068"/>
        <v>-8.0000000000000071</v>
      </c>
      <c r="I486">
        <f t="shared" si="1068"/>
        <v>-8.0000000000000071</v>
      </c>
      <c r="J486">
        <f t="shared" si="1068"/>
        <v>-8.0000000000000071</v>
      </c>
      <c r="K486">
        <f t="shared" si="1068"/>
        <v>-8.0000000000000071</v>
      </c>
      <c r="L486">
        <f t="shared" si="1068"/>
        <v>-8.0000000000000071</v>
      </c>
      <c r="M486">
        <f t="shared" si="1068"/>
        <v>-8.0000000000000071</v>
      </c>
      <c r="N486">
        <f t="shared" si="1068"/>
        <v>-7.0000000000000284</v>
      </c>
      <c r="O486" s="5">
        <f t="shared" si="1065"/>
        <v>5.6178250198732965E-3</v>
      </c>
      <c r="P486" s="5">
        <f t="shared" si="1065"/>
        <v>-7.0341690968186781E-4</v>
      </c>
      <c r="Q486" s="5">
        <f t="shared" si="1065"/>
        <v>-2.1107550708506388E-2</v>
      </c>
      <c r="R486" s="5">
        <f t="shared" si="1065"/>
        <v>-2.4453211478592542E-3</v>
      </c>
      <c r="S486" s="5">
        <f t="shared" si="1065"/>
        <v>-8.7827040721409587E-3</v>
      </c>
      <c r="T486" s="5">
        <f t="shared" ref="T486:X486" si="1069">LN(T1035/T1036)</f>
        <v>1.1923458450647129E-4</v>
      </c>
      <c r="U486" s="5">
        <f t="shared" si="1069"/>
        <v>9.1937967346979491E-4</v>
      </c>
      <c r="V486" s="5">
        <f t="shared" si="1069"/>
        <v>-1.9083001304417886E-3</v>
      </c>
      <c r="W486" s="5">
        <f t="shared" si="1069"/>
        <v>-2.8431678224858726E-3</v>
      </c>
      <c r="X486" s="5">
        <f t="shared" si="1069"/>
        <v>-1.5296237963485905E-3</v>
      </c>
      <c r="Z486" s="4">
        <v>45387</v>
      </c>
      <c r="AA486">
        <f>B486*B$3</f>
        <v>0</v>
      </c>
      <c r="AB486">
        <f>C486*C$3</f>
        <v>2583.999999999945</v>
      </c>
      <c r="AC486">
        <f>D486*D$3</f>
        <v>-32285.999999999312</v>
      </c>
      <c r="AD486">
        <f>E486*E$3</f>
        <v>-2427.9999999999482</v>
      </c>
      <c r="AE486">
        <f>F486*F$3</f>
        <v>24855.999999999469</v>
      </c>
      <c r="AF486">
        <f>G486*G$3</f>
        <v>78139.999999999724</v>
      </c>
      <c r="AG486">
        <f>H486*H$3</f>
        <v>225728.0000000002</v>
      </c>
      <c r="AH486">
        <f>I486*I$3</f>
        <v>147648.00000000015</v>
      </c>
      <c r="AI486">
        <f>J486*J$3</f>
        <v>408412.00000000035</v>
      </c>
      <c r="AJ486">
        <f>K486*K$3</f>
        <v>627160.00000000058</v>
      </c>
      <c r="AK486">
        <f>L486*L$3</f>
        <v>-248032.00000000023</v>
      </c>
      <c r="AL486">
        <f>M486*M$3</f>
        <v>-256584.00000000023</v>
      </c>
      <c r="AM486">
        <f>N486*N$3</f>
        <v>0</v>
      </c>
      <c r="AN486">
        <f>O486*O$3</f>
        <v>0</v>
      </c>
      <c r="AO486">
        <f>P486*P$3</f>
        <v>3517.0845484093393</v>
      </c>
      <c r="AP486">
        <f>Q486*Q$3</f>
        <v>-253290.60850207665</v>
      </c>
      <c r="AQ486">
        <f>R486*R$3</f>
        <v>36679.817217888813</v>
      </c>
      <c r="AR486" s="1">
        <f>S486*S$3</f>
        <v>61478.92850498671</v>
      </c>
      <c r="AS486" s="1">
        <f t="shared" si="1067"/>
        <v>476.93833802588517</v>
      </c>
      <c r="AT486" s="1">
        <f t="shared" si="1067"/>
        <v>7355.0373877583597</v>
      </c>
      <c r="AU486" s="1">
        <f t="shared" si="1067"/>
        <v>0</v>
      </c>
      <c r="AV486" s="1">
        <f t="shared" si="1067"/>
        <v>0</v>
      </c>
      <c r="AW486" s="1">
        <f t="shared" si="1067"/>
        <v>0</v>
      </c>
      <c r="AX486" s="1">
        <f t="shared" si="997"/>
        <v>831415.1974949931</v>
      </c>
      <c r="AY486" s="1">
        <f t="shared" si="998"/>
        <v>-143782.80250500757</v>
      </c>
      <c r="AZ486" s="1">
        <f t="shared" si="999"/>
        <v>975198.0000000007</v>
      </c>
    </row>
    <row r="487" spans="1:52" x14ac:dyDescent="0.25">
      <c r="A487" s="4">
        <v>45386</v>
      </c>
      <c r="B487">
        <f t="shared" ref="B487:N487" si="1070">(B1037-B1036)*100</f>
        <v>0</v>
      </c>
      <c r="C487">
        <f t="shared" si="1070"/>
        <v>-4.9999999999999822</v>
      </c>
      <c r="D487">
        <f t="shared" si="1070"/>
        <v>0.99999999999997868</v>
      </c>
      <c r="E487">
        <f t="shared" si="1070"/>
        <v>0</v>
      </c>
      <c r="F487">
        <f t="shared" si="1070"/>
        <v>0.99999999999997868</v>
      </c>
      <c r="G487">
        <f t="shared" si="1070"/>
        <v>3.0000000000000249</v>
      </c>
      <c r="H487">
        <f t="shared" si="1070"/>
        <v>2.9999999999999361</v>
      </c>
      <c r="I487">
        <f t="shared" si="1070"/>
        <v>2.0000000000000462</v>
      </c>
      <c r="J487">
        <f t="shared" si="1070"/>
        <v>4.0000000000000036</v>
      </c>
      <c r="K487">
        <f t="shared" si="1070"/>
        <v>5.0000000000000711</v>
      </c>
      <c r="L487">
        <f t="shared" si="1070"/>
        <v>5.0000000000000711</v>
      </c>
      <c r="M487">
        <f t="shared" si="1070"/>
        <v>4.0000000000000036</v>
      </c>
      <c r="N487">
        <f t="shared" si="1070"/>
        <v>4.0000000000000036</v>
      </c>
      <c r="O487" s="5">
        <f t="shared" si="1065"/>
        <v>-9.6479377465305393E-3</v>
      </c>
      <c r="P487" s="5">
        <f t="shared" si="1065"/>
        <v>-1.1699433730784104E-2</v>
      </c>
      <c r="Q487" s="5">
        <f t="shared" si="1065"/>
        <v>-1.7634889962360928E-2</v>
      </c>
      <c r="R487" s="5">
        <f t="shared" si="1065"/>
        <v>-5.4259361070744551E-4</v>
      </c>
      <c r="S487" s="5">
        <f t="shared" si="1065"/>
        <v>3.7830724169872934E-3</v>
      </c>
      <c r="T487" s="5">
        <f t="shared" ref="T487:X487" si="1071">LN(T1036/T1037)</f>
        <v>-6.4604272768901032E-3</v>
      </c>
      <c r="U487" s="5">
        <f t="shared" si="1071"/>
        <v>-5.9412273952135644E-3</v>
      </c>
      <c r="V487" s="5">
        <f t="shared" si="1071"/>
        <v>2.7052146322943394E-4</v>
      </c>
      <c r="W487" s="5">
        <f t="shared" si="1071"/>
        <v>-8.3464495658449548E-3</v>
      </c>
      <c r="X487" s="5">
        <f t="shared" si="1071"/>
        <v>-5.4453467653050704E-3</v>
      </c>
      <c r="Z487" s="4">
        <v>45386</v>
      </c>
      <c r="AA487">
        <f>B487*B$3</f>
        <v>0</v>
      </c>
      <c r="AB487">
        <f>C487*C$3</f>
        <v>12919.999999999955</v>
      </c>
      <c r="AC487">
        <f>D487*D$3</f>
        <v>16142.999999999656</v>
      </c>
      <c r="AD487">
        <f>E487*E$3</f>
        <v>0</v>
      </c>
      <c r="AE487">
        <f>F487*F$3</f>
        <v>-12427.999999999734</v>
      </c>
      <c r="AF487">
        <f>G487*G$3</f>
        <v>-46884.000000000386</v>
      </c>
      <c r="AG487">
        <f>H487*H$3</f>
        <v>-84647.999999998196</v>
      </c>
      <c r="AH487">
        <f>I487*I$3</f>
        <v>-36912.000000000851</v>
      </c>
      <c r="AI487">
        <f>J487*J$3</f>
        <v>-204206.00000000017</v>
      </c>
      <c r="AJ487">
        <f>K487*K$3</f>
        <v>-391975.00000000559</v>
      </c>
      <c r="AK487">
        <f>L487*L$3</f>
        <v>155020.00000000221</v>
      </c>
      <c r="AL487">
        <f>M487*M$3</f>
        <v>128292.00000000012</v>
      </c>
      <c r="AM487">
        <f>N487*N$3</f>
        <v>0</v>
      </c>
      <c r="AN487">
        <f>O487*O$3</f>
        <v>0</v>
      </c>
      <c r="AO487">
        <f>P487*P$3</f>
        <v>58497.168653920518</v>
      </c>
      <c r="AP487">
        <f>Q487*Q$3</f>
        <v>-211618.67954833113</v>
      </c>
      <c r="AQ487">
        <f>R487*R$3</f>
        <v>8138.9041606116825</v>
      </c>
      <c r="AR487" s="1">
        <f>S487*S$3</f>
        <v>-26481.506918911055</v>
      </c>
      <c r="AS487" s="1">
        <f t="shared" si="1067"/>
        <v>-25841.709107560411</v>
      </c>
      <c r="AT487" s="1">
        <f t="shared" si="1067"/>
        <v>-47529.819161708518</v>
      </c>
      <c r="AU487" s="1">
        <f t="shared" si="1067"/>
        <v>0</v>
      </c>
      <c r="AV487" s="1">
        <f t="shared" si="1067"/>
        <v>0</v>
      </c>
      <c r="AW487" s="1">
        <f t="shared" si="1067"/>
        <v>0</v>
      </c>
      <c r="AX487" s="1">
        <f t="shared" si="997"/>
        <v>-709513.64192198182</v>
      </c>
      <c r="AY487" s="1">
        <f t="shared" si="998"/>
        <v>-244835.64192197891</v>
      </c>
      <c r="AZ487" s="1">
        <f t="shared" si="999"/>
        <v>-464678.00000000291</v>
      </c>
    </row>
    <row r="488" spans="1:52" x14ac:dyDescent="0.25">
      <c r="A488" s="4">
        <v>45385</v>
      </c>
      <c r="B488">
        <f t="shared" ref="B488:N488" si="1072">(B1038-B1037)*100</f>
        <v>2.0000000000000462</v>
      </c>
      <c r="C488">
        <f t="shared" si="1072"/>
        <v>0.99999999999997868</v>
      </c>
      <c r="D488">
        <f t="shared" si="1072"/>
        <v>0</v>
      </c>
      <c r="E488">
        <f t="shared" si="1072"/>
        <v>0</v>
      </c>
      <c r="F488">
        <f t="shared" si="1072"/>
        <v>0.99999999999997868</v>
      </c>
      <c r="G488">
        <f t="shared" si="1072"/>
        <v>1.9999999999999574</v>
      </c>
      <c r="H488">
        <f t="shared" si="1072"/>
        <v>2.0000000000000462</v>
      </c>
      <c r="I488">
        <f t="shared" si="1072"/>
        <v>2.9999999999999361</v>
      </c>
      <c r="J488">
        <f t="shared" si="1072"/>
        <v>0.99999999999997868</v>
      </c>
      <c r="K488">
        <f t="shared" si="1072"/>
        <v>0.99999999999997868</v>
      </c>
      <c r="L488">
        <f t="shared" si="1072"/>
        <v>0</v>
      </c>
      <c r="M488">
        <f t="shared" si="1072"/>
        <v>0</v>
      </c>
      <c r="N488">
        <f t="shared" si="1072"/>
        <v>0</v>
      </c>
      <c r="O488" s="5">
        <f t="shared" si="1065"/>
        <v>4.9113925206972393E-3</v>
      </c>
      <c r="P488" s="5">
        <f t="shared" si="1065"/>
        <v>-3.9261927152811332E-3</v>
      </c>
      <c r="Q488" s="5">
        <f t="shared" si="1065"/>
        <v>-2.6801880964698191E-3</v>
      </c>
      <c r="R488" s="5">
        <f t="shared" si="1065"/>
        <v>-4.6001975319255864E-3</v>
      </c>
      <c r="S488" s="5">
        <f t="shared" si="1065"/>
        <v>-1.1177067032763378E-3</v>
      </c>
      <c r="T488" s="5">
        <f t="shared" ref="T488:X488" si="1073">LN(T1037/T1038)</f>
        <v>-2.9140258333191569E-3</v>
      </c>
      <c r="U488" s="5">
        <f t="shared" si="1073"/>
        <v>-2.4997453009461671E-3</v>
      </c>
      <c r="V488" s="5">
        <f t="shared" si="1073"/>
        <v>-2.7052146322937816E-4</v>
      </c>
      <c r="W488" s="5">
        <f t="shared" si="1073"/>
        <v>-4.0755078679915102E-3</v>
      </c>
      <c r="X488" s="5">
        <f t="shared" si="1073"/>
        <v>3.0338096801959032E-3</v>
      </c>
      <c r="Z488" s="4">
        <v>45385</v>
      </c>
      <c r="AA488">
        <f>B488*B$3</f>
        <v>-1966.0000000000455</v>
      </c>
      <c r="AB488">
        <f>C488*C$3</f>
        <v>-2583.999999999945</v>
      </c>
      <c r="AC488">
        <f>D488*D$3</f>
        <v>0</v>
      </c>
      <c r="AD488">
        <f>E488*E$3</f>
        <v>0</v>
      </c>
      <c r="AE488">
        <f>F488*F$3</f>
        <v>-12427.999999999734</v>
      </c>
      <c r="AF488">
        <f>G488*G$3</f>
        <v>-31255.999999999334</v>
      </c>
      <c r="AG488">
        <f>H488*H$3</f>
        <v>-56432.000000001302</v>
      </c>
      <c r="AH488">
        <f>I488*I$3</f>
        <v>-55367.999999998821</v>
      </c>
      <c r="AI488">
        <f>J488*J$3</f>
        <v>-51051.499999998909</v>
      </c>
      <c r="AJ488">
        <f>K488*K$3</f>
        <v>-78394.999999998327</v>
      </c>
      <c r="AK488">
        <f>L488*L$3</f>
        <v>0</v>
      </c>
      <c r="AL488">
        <f>M488*M$3</f>
        <v>0</v>
      </c>
      <c r="AM488">
        <f>N488*N$3</f>
        <v>0</v>
      </c>
      <c r="AN488">
        <f>O488*O$3</f>
        <v>0</v>
      </c>
      <c r="AO488">
        <f>P488*P$3</f>
        <v>19630.963576405666</v>
      </c>
      <c r="AP488">
        <f>Q488*Q$3</f>
        <v>-32162.257157637829</v>
      </c>
      <c r="AQ488">
        <f>R488*R$3</f>
        <v>69002.962978883792</v>
      </c>
      <c r="AR488" s="1">
        <f>S488*S$3</f>
        <v>7823.946922934364</v>
      </c>
      <c r="AS488" s="1">
        <f t="shared" si="1067"/>
        <v>-11656.103333276627</v>
      </c>
      <c r="AT488" s="1">
        <f t="shared" si="1067"/>
        <v>-19997.962407569335</v>
      </c>
      <c r="AU488" s="1">
        <f t="shared" si="1067"/>
        <v>0</v>
      </c>
      <c r="AV488" s="1">
        <f t="shared" si="1067"/>
        <v>0</v>
      </c>
      <c r="AW488" s="1">
        <f t="shared" si="1067"/>
        <v>0</v>
      </c>
      <c r="AX488" s="1">
        <f t="shared" si="997"/>
        <v>-256838.94942025642</v>
      </c>
      <c r="AY488" s="1">
        <f t="shared" si="998"/>
        <v>32641.550579740033</v>
      </c>
      <c r="AZ488" s="1">
        <f t="shared" si="999"/>
        <v>-289480.49999999645</v>
      </c>
    </row>
    <row r="489" spans="1:52" x14ac:dyDescent="0.25">
      <c r="A489" s="4">
        <v>45384</v>
      </c>
      <c r="B489">
        <f t="shared" ref="B489:N489" si="1074">(B1039-B1038)*100</f>
        <v>0</v>
      </c>
      <c r="C489">
        <f t="shared" si="1074"/>
        <v>1.9999999999999574</v>
      </c>
      <c r="D489">
        <f t="shared" si="1074"/>
        <v>2.0000000000000462</v>
      </c>
      <c r="E489">
        <f t="shared" si="1074"/>
        <v>0.99999999999997868</v>
      </c>
      <c r="F489">
        <f t="shared" si="1074"/>
        <v>2.0000000000000462</v>
      </c>
      <c r="G489">
        <f t="shared" si="1074"/>
        <v>0.99999999999997868</v>
      </c>
      <c r="H489">
        <f t="shared" si="1074"/>
        <v>1.9999999999999574</v>
      </c>
      <c r="I489">
        <f t="shared" si="1074"/>
        <v>0</v>
      </c>
      <c r="J489">
        <f t="shared" si="1074"/>
        <v>-0.99999999999997868</v>
      </c>
      <c r="K489">
        <f t="shared" si="1074"/>
        <v>-4.0000000000000036</v>
      </c>
      <c r="L489">
        <f t="shared" si="1074"/>
        <v>-3.0000000000000249</v>
      </c>
      <c r="M489">
        <f t="shared" si="1074"/>
        <v>-3.0000000000000249</v>
      </c>
      <c r="N489">
        <f t="shared" si="1074"/>
        <v>-4.0000000000000036</v>
      </c>
      <c r="O489" s="5">
        <f t="shared" si="1065"/>
        <v>-1.11879538211685E-3</v>
      </c>
      <c r="P489" s="5">
        <f t="shared" si="1065"/>
        <v>-9.696825100075461E-3</v>
      </c>
      <c r="Q489" s="5">
        <f t="shared" si="1065"/>
        <v>8.9599354362599815E-4</v>
      </c>
      <c r="R489" s="5">
        <f t="shared" si="1065"/>
        <v>-5.6535350475898083E-3</v>
      </c>
      <c r="S489" s="5">
        <f t="shared" si="1065"/>
        <v>-4.2299157434134487E-3</v>
      </c>
      <c r="T489" s="5">
        <f t="shared" ref="T489:X489" si="1075">LN(T1038/T1039)</f>
        <v>5.1564218397431626E-3</v>
      </c>
      <c r="U489" s="5">
        <f t="shared" si="1075"/>
        <v>7.2903189144930946E-3</v>
      </c>
      <c r="V489" s="5">
        <f t="shared" si="1075"/>
        <v>1.2079958435164048E-3</v>
      </c>
      <c r="W489" s="5">
        <f t="shared" si="1075"/>
        <v>6.9270524244771292E-3</v>
      </c>
      <c r="X489" s="5">
        <f t="shared" si="1075"/>
        <v>3.3977651764451251E-3</v>
      </c>
      <c r="Z489" s="4">
        <v>45384</v>
      </c>
      <c r="AA489">
        <f>B489*B$3</f>
        <v>0</v>
      </c>
      <c r="AB489">
        <f>C489*C$3</f>
        <v>-5167.99999999989</v>
      </c>
      <c r="AC489">
        <f>D489*D$3</f>
        <v>32286.000000000746</v>
      </c>
      <c r="AD489">
        <f>E489*E$3</f>
        <v>2427.9999999999482</v>
      </c>
      <c r="AE489">
        <f>F489*F$3</f>
        <v>-24856.000000000575</v>
      </c>
      <c r="AF489">
        <f>G489*G$3</f>
        <v>-15627.999999999667</v>
      </c>
      <c r="AG489">
        <f>H489*H$3</f>
        <v>-56431.999999998799</v>
      </c>
      <c r="AH489">
        <f>I489*I$3</f>
        <v>0</v>
      </c>
      <c r="AI489">
        <f>J489*J$3</f>
        <v>51051.499999998909</v>
      </c>
      <c r="AJ489">
        <f>K489*K$3</f>
        <v>313580.00000000029</v>
      </c>
      <c r="AK489">
        <f>L489*L$3</f>
        <v>-93012.000000000771</v>
      </c>
      <c r="AL489">
        <f>M489*M$3</f>
        <v>-96219.0000000008</v>
      </c>
      <c r="AM489">
        <f>N489*N$3</f>
        <v>0</v>
      </c>
      <c r="AN489">
        <f>O489*O$3</f>
        <v>0</v>
      </c>
      <c r="AO489">
        <f>P489*P$3</f>
        <v>48484.125500377304</v>
      </c>
      <c r="AP489">
        <f>Q489*Q$3</f>
        <v>10751.922523511977</v>
      </c>
      <c r="AQ489">
        <f>R489*R$3</f>
        <v>84803.025713847121</v>
      </c>
      <c r="AR489" s="1">
        <f>S489*S$3</f>
        <v>29609.410203894142</v>
      </c>
      <c r="AS489" s="1">
        <f t="shared" si="1067"/>
        <v>20625.687358972649</v>
      </c>
      <c r="AT489" s="1">
        <f t="shared" si="1067"/>
        <v>58322.551315944758</v>
      </c>
      <c r="AU489" s="1">
        <f t="shared" si="1067"/>
        <v>0</v>
      </c>
      <c r="AV489" s="1">
        <f t="shared" si="1067"/>
        <v>0</v>
      </c>
      <c r="AW489" s="1">
        <f t="shared" si="1067"/>
        <v>0</v>
      </c>
      <c r="AX489" s="1">
        <f t="shared" si="997"/>
        <v>360627.22261654737</v>
      </c>
      <c r="AY489" s="1">
        <f t="shared" si="998"/>
        <v>252596.72261654792</v>
      </c>
      <c r="AZ489" s="1">
        <f t="shared" si="999"/>
        <v>108030.49999999945</v>
      </c>
    </row>
    <row r="490" spans="1:52" x14ac:dyDescent="0.25">
      <c r="A490" s="4">
        <v>45383</v>
      </c>
      <c r="B490">
        <f t="shared" ref="B490:N490" si="1076">(B1040-B1039)*100</f>
        <v>0</v>
      </c>
      <c r="C490">
        <f t="shared" si="1076"/>
        <v>1.0000000000000675</v>
      </c>
      <c r="D490">
        <f t="shared" si="1076"/>
        <v>1.9999999999999574</v>
      </c>
      <c r="E490">
        <f t="shared" si="1076"/>
        <v>0.99999999999997868</v>
      </c>
      <c r="F490">
        <f t="shared" si="1076"/>
        <v>1.9999999999999574</v>
      </c>
      <c r="G490">
        <f t="shared" si="1076"/>
        <v>-2.9999999999999361</v>
      </c>
      <c r="H490">
        <f t="shared" si="1076"/>
        <v>-12.999999999999989</v>
      </c>
      <c r="I490">
        <f t="shared" si="1076"/>
        <v>-10.999999999999943</v>
      </c>
      <c r="J490">
        <f t="shared" si="1076"/>
        <v>-12.999999999999989</v>
      </c>
      <c r="K490">
        <f t="shared" si="1076"/>
        <v>-12.999999999999989</v>
      </c>
      <c r="L490">
        <f t="shared" si="1076"/>
        <v>-12.999999999999989</v>
      </c>
      <c r="M490">
        <f t="shared" si="1076"/>
        <v>-12.999999999999989</v>
      </c>
      <c r="N490">
        <f t="shared" si="1076"/>
        <v>-12.999999999999989</v>
      </c>
      <c r="O490" s="5">
        <f t="shared" si="1065"/>
        <v>1.1344759840115052E-2</v>
      </c>
      <c r="P490" s="5">
        <f t="shared" si="1065"/>
        <v>6.9358898835340419E-4</v>
      </c>
      <c r="Q490" s="5">
        <f t="shared" si="1065"/>
        <v>-6.8224982153404848E-4</v>
      </c>
      <c r="R490" s="5">
        <f t="shared" si="1065"/>
        <v>2.149960516407774E-3</v>
      </c>
      <c r="S490" s="5">
        <f t="shared" si="1065"/>
        <v>4.1393456043262999E-3</v>
      </c>
      <c r="T490" s="5">
        <f t="shared" ref="T490:X490" si="1077">LN(T1039/T1040)</f>
        <v>1.9121066038267909E-3</v>
      </c>
      <c r="U490" s="5">
        <f t="shared" si="1077"/>
        <v>-1.6288273021404624E-3</v>
      </c>
      <c r="V490" s="5">
        <f t="shared" si="1077"/>
        <v>7.3338578066998376E-4</v>
      </c>
      <c r="W490" s="5">
        <f t="shared" si="1077"/>
        <v>-1.685457935706689E-3</v>
      </c>
      <c r="X490" s="5">
        <f t="shared" si="1077"/>
        <v>-3.8727403667039085E-3</v>
      </c>
      <c r="Z490" s="4">
        <v>45383</v>
      </c>
      <c r="AA490">
        <f>B490*B$3</f>
        <v>0</v>
      </c>
      <c r="AB490">
        <f>C490*C$3</f>
        <v>-2584.0000000001746</v>
      </c>
      <c r="AC490">
        <f>D490*D$3</f>
        <v>32285.999999999312</v>
      </c>
      <c r="AD490">
        <f>E490*E$3</f>
        <v>2427.9999999999482</v>
      </c>
      <c r="AE490">
        <f>F490*F$3</f>
        <v>-24855.999999999469</v>
      </c>
      <c r="AF490">
        <f>G490*G$3</f>
        <v>46883.999999999003</v>
      </c>
      <c r="AG490">
        <f>H490*H$3</f>
        <v>366807.99999999971</v>
      </c>
      <c r="AH490">
        <f>I490*I$3</f>
        <v>203015.99999999895</v>
      </c>
      <c r="AI490">
        <f>J490*J$3</f>
        <v>663669.49999999942</v>
      </c>
      <c r="AJ490">
        <f>K490*K$3</f>
        <v>1019134.9999999992</v>
      </c>
      <c r="AK490">
        <f>L490*L$3</f>
        <v>-403051.99999999965</v>
      </c>
      <c r="AL490">
        <f>M490*M$3</f>
        <v>-416948.99999999965</v>
      </c>
      <c r="AM490">
        <f>N490*N$3</f>
        <v>0</v>
      </c>
      <c r="AN490">
        <f>O490*O$3</f>
        <v>0</v>
      </c>
      <c r="AO490">
        <f>P490*P$3</f>
        <v>-3467.9449417670207</v>
      </c>
      <c r="AP490">
        <f>Q490*Q$3</f>
        <v>-8186.997858408582</v>
      </c>
      <c r="AQ490">
        <f>R490*R$3</f>
        <v>-32249.407746116609</v>
      </c>
      <c r="AR490" s="1">
        <f>S490*S$3</f>
        <v>-28975.4192302841</v>
      </c>
      <c r="AS490" s="1">
        <f t="shared" si="1067"/>
        <v>7648.4264153071636</v>
      </c>
      <c r="AT490" s="1">
        <f t="shared" si="1067"/>
        <v>-13030.6184171237</v>
      </c>
      <c r="AU490" s="1">
        <f t="shared" si="1067"/>
        <v>0</v>
      </c>
      <c r="AV490" s="1">
        <f t="shared" si="1067"/>
        <v>0</v>
      </c>
      <c r="AW490" s="1">
        <f t="shared" si="1067"/>
        <v>0</v>
      </c>
      <c r="AX490" s="1">
        <f t="shared" si="997"/>
        <v>1408523.5382216037</v>
      </c>
      <c r="AY490" s="1">
        <f t="shared" si="998"/>
        <v>-78261.961778392855</v>
      </c>
      <c r="AZ490" s="1">
        <f t="shared" si="999"/>
        <v>1486785.4999999965</v>
      </c>
    </row>
    <row r="491" spans="1:52" x14ac:dyDescent="0.25">
      <c r="A491" s="4">
        <v>45379</v>
      </c>
      <c r="B491">
        <f t="shared" ref="B491:N491" si="1078">(B1041-B1040)*100</f>
        <v>0.99999999999997868</v>
      </c>
      <c r="C491">
        <f t="shared" si="1078"/>
        <v>-1.0000000000000675</v>
      </c>
      <c r="D491">
        <f t="shared" si="1078"/>
        <v>-0.99999999999997868</v>
      </c>
      <c r="E491">
        <f t="shared" si="1078"/>
        <v>-0.99999999999997868</v>
      </c>
      <c r="F491">
        <f t="shared" si="1078"/>
        <v>-1.9999999999999574</v>
      </c>
      <c r="G491">
        <f t="shared" si="1078"/>
        <v>-4.0000000000000036</v>
      </c>
      <c r="H491">
        <f t="shared" si="1078"/>
        <v>-4.9999999999999822</v>
      </c>
      <c r="I491">
        <f t="shared" si="1078"/>
        <v>-4.0000000000000036</v>
      </c>
      <c r="J491">
        <f t="shared" si="1078"/>
        <v>-3.0000000000000249</v>
      </c>
      <c r="K491">
        <f t="shared" si="1078"/>
        <v>-2.0000000000000462</v>
      </c>
      <c r="L491">
        <f t="shared" si="1078"/>
        <v>0</v>
      </c>
      <c r="M491">
        <f t="shared" si="1078"/>
        <v>0</v>
      </c>
      <c r="N491">
        <f t="shared" si="1078"/>
        <v>2.0000000000000462</v>
      </c>
      <c r="O491" s="5">
        <f t="shared" si="1065"/>
        <v>2.1239939055476358E-3</v>
      </c>
      <c r="P491" s="5">
        <f t="shared" si="1065"/>
        <v>0</v>
      </c>
      <c r="Q491" s="5">
        <f t="shared" si="1065"/>
        <v>6.8224982153412871E-4</v>
      </c>
      <c r="R491" s="5">
        <f t="shared" si="1065"/>
        <v>0</v>
      </c>
      <c r="S491" s="5">
        <f t="shared" si="1065"/>
        <v>0</v>
      </c>
      <c r="T491" s="5">
        <f t="shared" ref="T491:X491" si="1079">LN(T1040/T1041)</f>
        <v>1.7533000294244153E-3</v>
      </c>
      <c r="U491" s="5">
        <f t="shared" si="1079"/>
        <v>9.3411749576865436E-4</v>
      </c>
      <c r="V491" s="5">
        <f t="shared" si="1079"/>
        <v>-1.6049050542077451E-3</v>
      </c>
      <c r="W491" s="5">
        <f t="shared" si="1079"/>
        <v>2.600503494206857E-3</v>
      </c>
      <c r="X491" s="5">
        <f t="shared" si="1079"/>
        <v>2.0451699740457979E-3</v>
      </c>
      <c r="Z491" s="4">
        <v>45379</v>
      </c>
      <c r="AA491">
        <f>B491*B$3</f>
        <v>-982.99999999997908</v>
      </c>
      <c r="AB491">
        <f>C491*C$3</f>
        <v>2584.0000000001746</v>
      </c>
      <c r="AC491">
        <f>D491*D$3</f>
        <v>-16142.999999999656</v>
      </c>
      <c r="AD491">
        <f>E491*E$3</f>
        <v>-2427.9999999999482</v>
      </c>
      <c r="AE491">
        <f>F491*F$3</f>
        <v>24855.999999999469</v>
      </c>
      <c r="AF491">
        <f>G491*G$3</f>
        <v>62512.000000000058</v>
      </c>
      <c r="AG491">
        <f>H491*H$3</f>
        <v>141079.99999999951</v>
      </c>
      <c r="AH491">
        <f>I491*I$3</f>
        <v>73824.000000000073</v>
      </c>
      <c r="AI491">
        <f>J491*J$3</f>
        <v>153154.50000000128</v>
      </c>
      <c r="AJ491">
        <f>K491*K$3</f>
        <v>156790.00000000361</v>
      </c>
      <c r="AK491">
        <f>L491*L$3</f>
        <v>0</v>
      </c>
      <c r="AL491">
        <f>M491*M$3</f>
        <v>0</v>
      </c>
      <c r="AM491">
        <f>N491*N$3</f>
        <v>0</v>
      </c>
      <c r="AN491">
        <f>O491*O$3</f>
        <v>0</v>
      </c>
      <c r="AO491">
        <f>P491*P$3</f>
        <v>0</v>
      </c>
      <c r="AP491">
        <f>Q491*Q$3</f>
        <v>8186.9978584095443</v>
      </c>
      <c r="AQ491">
        <f>R491*R$3</f>
        <v>0</v>
      </c>
      <c r="AR491" s="1">
        <f>S491*S$3</f>
        <v>0</v>
      </c>
      <c r="AS491" s="1">
        <f t="shared" si="1067"/>
        <v>7013.200117697661</v>
      </c>
      <c r="AT491" s="1">
        <f t="shared" si="1067"/>
        <v>7472.9399661492353</v>
      </c>
      <c r="AU491" s="1">
        <f t="shared" si="1067"/>
        <v>0</v>
      </c>
      <c r="AV491" s="1">
        <f t="shared" si="1067"/>
        <v>0</v>
      </c>
      <c r="AW491" s="1">
        <f t="shared" si="1067"/>
        <v>0</v>
      </c>
      <c r="AX491" s="1">
        <f t="shared" si="997"/>
        <v>617919.63794226118</v>
      </c>
      <c r="AY491" s="1">
        <f t="shared" si="998"/>
        <v>22673.137942256442</v>
      </c>
      <c r="AZ491" s="1">
        <f t="shared" si="999"/>
        <v>595246.50000000477</v>
      </c>
    </row>
    <row r="492" spans="1:52" x14ac:dyDescent="0.25">
      <c r="A492" s="4">
        <v>45378</v>
      </c>
      <c r="B492">
        <f t="shared" ref="B492:N492" si="1080">(B1042-B1041)*100</f>
        <v>0</v>
      </c>
      <c r="C492">
        <f t="shared" si="1080"/>
        <v>0</v>
      </c>
      <c r="D492">
        <f t="shared" si="1080"/>
        <v>0.99999999999997868</v>
      </c>
      <c r="E492">
        <f t="shared" si="1080"/>
        <v>0</v>
      </c>
      <c r="F492">
        <f t="shared" si="1080"/>
        <v>0</v>
      </c>
      <c r="G492">
        <f t="shared" si="1080"/>
        <v>0.99999999999997868</v>
      </c>
      <c r="H492">
        <f t="shared" si="1080"/>
        <v>1.9999999999999574</v>
      </c>
      <c r="I492">
        <f t="shared" si="1080"/>
        <v>1.9999999999999574</v>
      </c>
      <c r="J492">
        <f t="shared" si="1080"/>
        <v>4.0000000000000036</v>
      </c>
      <c r="K492">
        <f t="shared" si="1080"/>
        <v>5.0000000000000711</v>
      </c>
      <c r="L492">
        <f t="shared" si="1080"/>
        <v>4.0000000000000036</v>
      </c>
      <c r="M492">
        <f t="shared" si="1080"/>
        <v>4.0000000000000036</v>
      </c>
      <c r="N492">
        <f t="shared" si="1080"/>
        <v>4.0000000000000036</v>
      </c>
      <c r="O492" s="5">
        <f t="shared" si="1065"/>
        <v>-2.8078620320871124E-4</v>
      </c>
      <c r="P492" s="5">
        <f t="shared" si="1065"/>
        <v>3.974106129001103E-3</v>
      </c>
      <c r="Q492" s="5">
        <f t="shared" si="1065"/>
        <v>4.0317079113164726E-3</v>
      </c>
      <c r="R492" s="5">
        <f t="shared" si="1065"/>
        <v>0</v>
      </c>
      <c r="S492" s="5">
        <f t="shared" si="1065"/>
        <v>-5.7194617081141597E-3</v>
      </c>
      <c r="T492" s="5">
        <f t="shared" ref="T492:X492" si="1081">LN(T1041/T1042)</f>
        <v>5.4173572169649705E-4</v>
      </c>
      <c r="U492" s="5">
        <f t="shared" si="1081"/>
        <v>7.4527021569563705E-4</v>
      </c>
      <c r="V492" s="5">
        <f t="shared" si="1081"/>
        <v>1.03662026976409E-3</v>
      </c>
      <c r="W492" s="5">
        <f t="shared" si="1081"/>
        <v>-1.3126087008266165E-5</v>
      </c>
      <c r="X492" s="5">
        <f t="shared" si="1081"/>
        <v>4.6364320955577486E-3</v>
      </c>
      <c r="Z492" s="4">
        <v>45378</v>
      </c>
      <c r="AA492">
        <f>B492*B$3</f>
        <v>0</v>
      </c>
      <c r="AB492">
        <f>C492*C$3</f>
        <v>0</v>
      </c>
      <c r="AC492">
        <f>D492*D$3</f>
        <v>16142.999999999656</v>
      </c>
      <c r="AD492">
        <f>E492*E$3</f>
        <v>0</v>
      </c>
      <c r="AE492">
        <f>F492*F$3</f>
        <v>0</v>
      </c>
      <c r="AF492">
        <f>G492*G$3</f>
        <v>-15627.999999999667</v>
      </c>
      <c r="AG492">
        <f>H492*H$3</f>
        <v>-56431.999999998799</v>
      </c>
      <c r="AH492">
        <f>I492*I$3</f>
        <v>-36911.999999999214</v>
      </c>
      <c r="AI492">
        <f>J492*J$3</f>
        <v>-204206.00000000017</v>
      </c>
      <c r="AJ492">
        <f>K492*K$3</f>
        <v>-391975.00000000559</v>
      </c>
      <c r="AK492">
        <f>L492*L$3</f>
        <v>124016.00000000012</v>
      </c>
      <c r="AL492">
        <f>M492*M$3</f>
        <v>128292.00000000012</v>
      </c>
      <c r="AM492">
        <f>N492*N$3</f>
        <v>0</v>
      </c>
      <c r="AN492">
        <f>O492*O$3</f>
        <v>0</v>
      </c>
      <c r="AO492">
        <f>P492*P$3</f>
        <v>-19870.530645005514</v>
      </c>
      <c r="AP492">
        <f>Q492*Q$3</f>
        <v>48380.494935797673</v>
      </c>
      <c r="AQ492">
        <f>R492*R$3</f>
        <v>0</v>
      </c>
      <c r="AR492" s="1">
        <f>S492*S$3</f>
        <v>40036.231956799114</v>
      </c>
      <c r="AS492" s="1">
        <f t="shared" si="1067"/>
        <v>2166.9428867859883</v>
      </c>
      <c r="AT492" s="1">
        <f t="shared" si="1067"/>
        <v>5962.1617255650963</v>
      </c>
      <c r="AU492" s="1">
        <f t="shared" si="1067"/>
        <v>0</v>
      </c>
      <c r="AV492" s="1">
        <f t="shared" si="1067"/>
        <v>0</v>
      </c>
      <c r="AW492" s="1">
        <f t="shared" si="1067"/>
        <v>0</v>
      </c>
      <c r="AX492" s="1">
        <f t="shared" si="997"/>
        <v>-360026.69914006116</v>
      </c>
      <c r="AY492" s="1">
        <f t="shared" si="998"/>
        <v>76675.300859942348</v>
      </c>
      <c r="AZ492" s="1">
        <f t="shared" si="999"/>
        <v>-436702.00000000349</v>
      </c>
    </row>
    <row r="493" spans="1:52" x14ac:dyDescent="0.25">
      <c r="A493" s="4">
        <v>45377</v>
      </c>
      <c r="B493">
        <f t="shared" ref="B493:N493" si="1082">(B1043-B1042)*100</f>
        <v>0.99999999999997868</v>
      </c>
      <c r="C493">
        <f t="shared" si="1082"/>
        <v>1.0000000000000675</v>
      </c>
      <c r="D493">
        <f t="shared" si="1082"/>
        <v>0</v>
      </c>
      <c r="E493">
        <f t="shared" si="1082"/>
        <v>0</v>
      </c>
      <c r="F493">
        <f t="shared" si="1082"/>
        <v>0</v>
      </c>
      <c r="G493">
        <f t="shared" si="1082"/>
        <v>0</v>
      </c>
      <c r="H493">
        <f t="shared" si="1082"/>
        <v>-1.9999999999999574</v>
      </c>
      <c r="I493">
        <f t="shared" si="1082"/>
        <v>0.99999999999997868</v>
      </c>
      <c r="J493">
        <f t="shared" si="1082"/>
        <v>1.0000000000000675</v>
      </c>
      <c r="K493">
        <f t="shared" si="1082"/>
        <v>1.9999999999999574</v>
      </c>
      <c r="L493">
        <f t="shared" si="1082"/>
        <v>0.99999999999997868</v>
      </c>
      <c r="M493">
        <f t="shared" si="1082"/>
        <v>1.9999999999999574</v>
      </c>
      <c r="N493">
        <f t="shared" si="1082"/>
        <v>1.9999999999999574</v>
      </c>
      <c r="O493" s="5">
        <f t="shared" si="1065"/>
        <v>2.0053542960384226E-5</v>
      </c>
      <c r="P493" s="5">
        <f t="shared" si="1065"/>
        <v>-1.2655781295742258E-2</v>
      </c>
      <c r="Q493" s="5">
        <f t="shared" si="1065"/>
        <v>-2.533198494585769E-3</v>
      </c>
      <c r="R493" s="5">
        <f t="shared" si="1065"/>
        <v>2.9637634519469849E-3</v>
      </c>
      <c r="S493" s="5">
        <f t="shared" si="1065"/>
        <v>-1.4397554903142293E-3</v>
      </c>
      <c r="T493" s="5">
        <f t="shared" ref="T493:X493" si="1083">LN(T1042/T1043)</f>
        <v>-2.835589895122669E-3</v>
      </c>
      <c r="U493" s="5">
        <f t="shared" si="1083"/>
        <v>-3.1671252636109931E-3</v>
      </c>
      <c r="V493" s="5">
        <f t="shared" si="1083"/>
        <v>4.4937805452846199E-4</v>
      </c>
      <c r="W493" s="5">
        <f t="shared" si="1083"/>
        <v>-3.5377379235460808E-3</v>
      </c>
      <c r="X493" s="5">
        <f t="shared" si="1083"/>
        <v>2.0588284610987186E-3</v>
      </c>
      <c r="Z493" s="4">
        <v>45377</v>
      </c>
      <c r="AA493">
        <f>B493*B$3</f>
        <v>-982.99999999997908</v>
      </c>
      <c r="AB493">
        <f>C493*C$3</f>
        <v>-2584.0000000001746</v>
      </c>
      <c r="AC493">
        <f>D493*D$3</f>
        <v>0</v>
      </c>
      <c r="AD493">
        <f>E493*E$3</f>
        <v>0</v>
      </c>
      <c r="AE493">
        <f>F493*F$3</f>
        <v>0</v>
      </c>
      <c r="AF493">
        <f>G493*G$3</f>
        <v>0</v>
      </c>
      <c r="AG493">
        <f>H493*H$3</f>
        <v>56431.999999998799</v>
      </c>
      <c r="AH493">
        <f>I493*I$3</f>
        <v>-18455.999999999607</v>
      </c>
      <c r="AI493">
        <f>J493*J$3</f>
        <v>-51051.500000003449</v>
      </c>
      <c r="AJ493">
        <f>K493*K$3</f>
        <v>-156789.99999999665</v>
      </c>
      <c r="AK493">
        <f>L493*L$3</f>
        <v>31003.999999999338</v>
      </c>
      <c r="AL493">
        <f>M493*M$3</f>
        <v>64145.999999998632</v>
      </c>
      <c r="AM493">
        <f>N493*N$3</f>
        <v>0</v>
      </c>
      <c r="AN493">
        <f>O493*O$3</f>
        <v>0</v>
      </c>
      <c r="AO493">
        <f>P493*P$3</f>
        <v>63278.906478711295</v>
      </c>
      <c r="AP493">
        <f>Q493*Q$3</f>
        <v>-30398.381935029229</v>
      </c>
      <c r="AQ493">
        <f>R493*R$3</f>
        <v>-44456.451779204777</v>
      </c>
      <c r="AR493" s="1">
        <f>S493*S$3</f>
        <v>10078.288432199606</v>
      </c>
      <c r="AS493" s="1">
        <f t="shared" si="1067"/>
        <v>-11342.359580490676</v>
      </c>
      <c r="AT493" s="1">
        <f t="shared" si="1067"/>
        <v>-25337.002108887944</v>
      </c>
      <c r="AU493" s="1">
        <f t="shared" si="1067"/>
        <v>0</v>
      </c>
      <c r="AV493" s="1">
        <f t="shared" si="1067"/>
        <v>0</v>
      </c>
      <c r="AW493" s="1">
        <f t="shared" si="1067"/>
        <v>0</v>
      </c>
      <c r="AX493" s="1">
        <f t="shared" si="997"/>
        <v>-116459.50049270481</v>
      </c>
      <c r="AY493" s="1">
        <f t="shared" si="998"/>
        <v>-38177.000492701722</v>
      </c>
      <c r="AZ493" s="1">
        <f t="shared" si="999"/>
        <v>-78282.500000003085</v>
      </c>
    </row>
    <row r="494" spans="1:52" x14ac:dyDescent="0.25">
      <c r="A494" s="4">
        <v>45376</v>
      </c>
      <c r="B494">
        <f t="shared" ref="B494:N494" si="1084">(B1044-B1043)*100</f>
        <v>0</v>
      </c>
      <c r="C494">
        <f t="shared" si="1084"/>
        <v>-1.0000000000000675</v>
      </c>
      <c r="D494">
        <f t="shared" si="1084"/>
        <v>0</v>
      </c>
      <c r="E494">
        <f t="shared" si="1084"/>
        <v>-0.99999999999997868</v>
      </c>
      <c r="F494">
        <f t="shared" si="1084"/>
        <v>-2.0000000000000462</v>
      </c>
      <c r="G494">
        <f t="shared" si="1084"/>
        <v>-1.9999999999999574</v>
      </c>
      <c r="H494">
        <f t="shared" si="1084"/>
        <v>4.9999999999999822</v>
      </c>
      <c r="I494">
        <f t="shared" si="1084"/>
        <v>-2.9999999999999361</v>
      </c>
      <c r="J494">
        <f t="shared" si="1084"/>
        <v>-3.0000000000000249</v>
      </c>
      <c r="K494">
        <f t="shared" si="1084"/>
        <v>-3.0000000000000249</v>
      </c>
      <c r="L494">
        <f t="shared" si="1084"/>
        <v>-3.0000000000000249</v>
      </c>
      <c r="M494">
        <f t="shared" si="1084"/>
        <v>-4.0000000000000036</v>
      </c>
      <c r="N494">
        <f t="shared" si="1084"/>
        <v>-3.0000000000000249</v>
      </c>
      <c r="O494" s="5">
        <f t="shared" si="1065"/>
        <v>-5.6134724810049655E-4</v>
      </c>
      <c r="P494" s="5">
        <f t="shared" si="1065"/>
        <v>0</v>
      </c>
      <c r="Q494" s="5">
        <f t="shared" si="1065"/>
        <v>8.9149982281701637E-3</v>
      </c>
      <c r="R494" s="5">
        <f t="shared" si="1065"/>
        <v>8.0982593169250615E-4</v>
      </c>
      <c r="S494" s="5">
        <f t="shared" si="1065"/>
        <v>-5.1004197473776105E-3</v>
      </c>
      <c r="T494" s="5">
        <f t="shared" ref="T494:X494" si="1085">LN(T1043/T1044)</f>
        <v>5.059854735420412E-3</v>
      </c>
      <c r="U494" s="5">
        <f t="shared" si="1085"/>
        <v>5.0645927875611367E-3</v>
      </c>
      <c r="V494" s="5">
        <f t="shared" si="1085"/>
        <v>-2.1654798708038753E-3</v>
      </c>
      <c r="W494" s="5">
        <f t="shared" si="1085"/>
        <v>8.9206335870637057E-3</v>
      </c>
      <c r="X494" s="5">
        <f t="shared" si="1085"/>
        <v>-6.6799167199968438E-5</v>
      </c>
      <c r="Z494" s="4">
        <v>45376</v>
      </c>
      <c r="AA494">
        <f>B494*B$3</f>
        <v>0</v>
      </c>
      <c r="AB494">
        <f>C494*C$3</f>
        <v>2584.0000000001746</v>
      </c>
      <c r="AC494">
        <f>D494*D$3</f>
        <v>0</v>
      </c>
      <c r="AD494">
        <f>E494*E$3</f>
        <v>-2427.9999999999482</v>
      </c>
      <c r="AE494">
        <f>F494*F$3</f>
        <v>24856.000000000575</v>
      </c>
      <c r="AF494">
        <f>G494*G$3</f>
        <v>31255.999999999334</v>
      </c>
      <c r="AG494">
        <f>H494*H$3</f>
        <v>-141079.99999999951</v>
      </c>
      <c r="AH494">
        <f>I494*I$3</f>
        <v>55367.999999998821</v>
      </c>
      <c r="AI494">
        <f>J494*J$3</f>
        <v>153154.50000000128</v>
      </c>
      <c r="AJ494">
        <f>K494*K$3</f>
        <v>235185.00000000195</v>
      </c>
      <c r="AK494">
        <f>L494*L$3</f>
        <v>-93012.000000000771</v>
      </c>
      <c r="AL494">
        <f>M494*M$3</f>
        <v>-128292.00000000012</v>
      </c>
      <c r="AM494">
        <f>N494*N$3</f>
        <v>0</v>
      </c>
      <c r="AN494">
        <f>O494*O$3</f>
        <v>0</v>
      </c>
      <c r="AO494">
        <f>P494*P$3</f>
        <v>0</v>
      </c>
      <c r="AP494">
        <f>Q494*Q$3</f>
        <v>106979.97873804196</v>
      </c>
      <c r="AQ494">
        <f>R494*R$3</f>
        <v>-12147.388975387592</v>
      </c>
      <c r="AR494" s="1">
        <f>S494*S$3</f>
        <v>35702.938231643275</v>
      </c>
      <c r="AS494" s="1">
        <f t="shared" si="1067"/>
        <v>20239.418941681648</v>
      </c>
      <c r="AT494" s="1">
        <f t="shared" si="1067"/>
        <v>40516.742300489095</v>
      </c>
      <c r="AU494" s="1">
        <f t="shared" si="1067"/>
        <v>0</v>
      </c>
      <c r="AV494" s="1">
        <f t="shared" si="1067"/>
        <v>0</v>
      </c>
      <c r="AW494" s="1">
        <f t="shared" si="1067"/>
        <v>0</v>
      </c>
      <c r="AX494" s="1">
        <f t="shared" si="997"/>
        <v>328883.18923647015</v>
      </c>
      <c r="AY494" s="1">
        <f t="shared" si="998"/>
        <v>191291.68923646837</v>
      </c>
      <c r="AZ494" s="1">
        <f t="shared" si="999"/>
        <v>137591.50000000178</v>
      </c>
    </row>
    <row r="495" spans="1:52" x14ac:dyDescent="0.25">
      <c r="A495" s="4">
        <v>45373</v>
      </c>
      <c r="B495">
        <f t="shared" ref="B495:N495" si="1086">(B1045-B1044)*100</f>
        <v>0</v>
      </c>
      <c r="C495">
        <f t="shared" si="1086"/>
        <v>1.0000000000000675</v>
      </c>
      <c r="D495">
        <f t="shared" si="1086"/>
        <v>2.0000000000000462</v>
      </c>
      <c r="E495">
        <f t="shared" si="1086"/>
        <v>0</v>
      </c>
      <c r="F495">
        <f t="shared" si="1086"/>
        <v>2.0000000000000462</v>
      </c>
      <c r="G495">
        <f t="shared" si="1086"/>
        <v>2.9999999999999361</v>
      </c>
      <c r="H495">
        <f t="shared" si="1086"/>
        <v>3.0000000000000249</v>
      </c>
      <c r="I495">
        <f t="shared" si="1086"/>
        <v>5.9999999999999609</v>
      </c>
      <c r="J495">
        <f t="shared" si="1086"/>
        <v>5.9999999999999609</v>
      </c>
      <c r="K495">
        <f t="shared" si="1086"/>
        <v>6.0000000000000497</v>
      </c>
      <c r="L495">
        <f t="shared" si="1086"/>
        <v>4.9999999999999822</v>
      </c>
      <c r="M495">
        <f t="shared" si="1086"/>
        <v>6.0000000000000497</v>
      </c>
      <c r="N495">
        <f t="shared" si="1086"/>
        <v>5.0000000000000711</v>
      </c>
      <c r="O495" s="5">
        <f t="shared" ref="O495:S504" si="1087">LN(O1044/O1045)</f>
        <v>1.8054529568786949E-3</v>
      </c>
      <c r="P495" s="5">
        <f t="shared" si="1087"/>
        <v>-2.2175942431940997E-3</v>
      </c>
      <c r="Q495" s="5">
        <f t="shared" si="1087"/>
        <v>-4.4879276334266896E-3</v>
      </c>
      <c r="R495" s="5">
        <f t="shared" si="1087"/>
        <v>4.6014426838441253E-3</v>
      </c>
      <c r="S495" s="5">
        <f t="shared" si="1087"/>
        <v>1.7609789621811727E-3</v>
      </c>
      <c r="T495" s="5">
        <f t="shared" ref="T495:X495" si="1088">LN(T1044/T1045)</f>
        <v>6.8669447570795855E-3</v>
      </c>
      <c r="U495" s="5">
        <f t="shared" si="1088"/>
        <v>1.0718615495472017E-2</v>
      </c>
      <c r="V495" s="5">
        <f t="shared" si="1088"/>
        <v>5.7739666762797476E-3</v>
      </c>
      <c r="W495" s="5">
        <f t="shared" si="1088"/>
        <v>3.584792785729189E-3</v>
      </c>
      <c r="X495" s="5">
        <f t="shared" si="1088"/>
        <v>1.3604694279965513E-2</v>
      </c>
      <c r="Z495" s="4">
        <v>45373</v>
      </c>
      <c r="AA495">
        <f>B495*B$3</f>
        <v>0</v>
      </c>
      <c r="AB495">
        <f>C495*C$3</f>
        <v>-2584.0000000001746</v>
      </c>
      <c r="AC495">
        <f>D495*D$3</f>
        <v>32286.000000000746</v>
      </c>
      <c r="AD495">
        <f>E495*E$3</f>
        <v>0</v>
      </c>
      <c r="AE495">
        <f>F495*F$3</f>
        <v>-24856.000000000575</v>
      </c>
      <c r="AF495">
        <f>G495*G$3</f>
        <v>-46883.999999999003</v>
      </c>
      <c r="AG495">
        <f>H495*H$3</f>
        <v>-84648.000000000698</v>
      </c>
      <c r="AH495">
        <f>I495*I$3</f>
        <v>-110735.99999999927</v>
      </c>
      <c r="AI495">
        <f>J495*J$3</f>
        <v>-306308.99999999802</v>
      </c>
      <c r="AJ495">
        <f>K495*K$3</f>
        <v>-470370.0000000039</v>
      </c>
      <c r="AK495">
        <f>L495*L$3</f>
        <v>155019.99999999945</v>
      </c>
      <c r="AL495">
        <f>M495*M$3</f>
        <v>192438.0000000016</v>
      </c>
      <c r="AM495">
        <f>N495*N$3</f>
        <v>0</v>
      </c>
      <c r="AN495">
        <f>O495*O$3</f>
        <v>0</v>
      </c>
      <c r="AO495">
        <f>P495*P$3</f>
        <v>11087.971215970498</v>
      </c>
      <c r="AP495">
        <f>Q495*Q$3</f>
        <v>-53855.131601120273</v>
      </c>
      <c r="AQ495">
        <f>R495*R$3</f>
        <v>-69021.640257661886</v>
      </c>
      <c r="AR495" s="1">
        <f>S495*S$3</f>
        <v>-12326.852735268209</v>
      </c>
      <c r="AS495" s="1">
        <f t="shared" si="1067"/>
        <v>27467.779028318342</v>
      </c>
      <c r="AT495" s="1">
        <f t="shared" si="1067"/>
        <v>85748.923963776135</v>
      </c>
      <c r="AU495" s="1">
        <f t="shared" si="1067"/>
        <v>0</v>
      </c>
      <c r="AV495" s="1">
        <f t="shared" si="1067"/>
        <v>0</v>
      </c>
      <c r="AW495" s="1">
        <f t="shared" si="1067"/>
        <v>0</v>
      </c>
      <c r="AX495" s="1">
        <f t="shared" si="997"/>
        <v>-677541.95038598531</v>
      </c>
      <c r="AY495" s="1">
        <f t="shared" si="998"/>
        <v>-10898.950385985401</v>
      </c>
      <c r="AZ495" s="1">
        <f t="shared" si="999"/>
        <v>-666642.99999999988</v>
      </c>
    </row>
    <row r="496" spans="1:52" x14ac:dyDescent="0.25">
      <c r="A496" s="4">
        <v>45372</v>
      </c>
      <c r="B496">
        <f t="shared" ref="B496:N496" si="1089">(B1046-B1045)*100</f>
        <v>-0.99999999999997868</v>
      </c>
      <c r="C496">
        <f t="shared" si="1089"/>
        <v>-1.0000000000000675</v>
      </c>
      <c r="D496">
        <f t="shared" si="1089"/>
        <v>-1.0000000000000675</v>
      </c>
      <c r="E496">
        <f t="shared" si="1089"/>
        <v>0.99999999999997868</v>
      </c>
      <c r="F496">
        <f t="shared" si="1089"/>
        <v>0</v>
      </c>
      <c r="G496">
        <f t="shared" si="1089"/>
        <v>0</v>
      </c>
      <c r="H496">
        <f t="shared" si="1089"/>
        <v>-3.0000000000000249</v>
      </c>
      <c r="I496">
        <f t="shared" si="1089"/>
        <v>-0.99999999999997868</v>
      </c>
      <c r="J496">
        <f t="shared" si="1089"/>
        <v>-0.99999999999997868</v>
      </c>
      <c r="K496">
        <f t="shared" si="1089"/>
        <v>0</v>
      </c>
      <c r="L496">
        <f t="shared" si="1089"/>
        <v>0</v>
      </c>
      <c r="M496">
        <f t="shared" si="1089"/>
        <v>0</v>
      </c>
      <c r="N496">
        <f t="shared" si="1089"/>
        <v>0.99999999999997868</v>
      </c>
      <c r="O496" s="5">
        <f t="shared" si="1087"/>
        <v>-6.2649698014663798E-3</v>
      </c>
      <c r="P496" s="5">
        <f t="shared" si="1087"/>
        <v>2.307427089993271E-3</v>
      </c>
      <c r="Q496" s="5">
        <f t="shared" si="1087"/>
        <v>1.4293550263302708E-2</v>
      </c>
      <c r="R496" s="5">
        <f t="shared" si="1087"/>
        <v>-1.626457392974251E-3</v>
      </c>
      <c r="S496" s="5">
        <f t="shared" si="1087"/>
        <v>3.855114890596627E-3</v>
      </c>
      <c r="T496" s="5">
        <f t="shared" ref="T496:X496" si="1090">LN(T1045/T1046)</f>
        <v>-6.7800302802118548E-3</v>
      </c>
      <c r="U496" s="5">
        <f t="shared" si="1090"/>
        <v>-6.188045472344984E-3</v>
      </c>
      <c r="V496" s="5">
        <f t="shared" si="1090"/>
        <v>-1.8224903199994351E-3</v>
      </c>
      <c r="W496" s="5">
        <f t="shared" si="1090"/>
        <v>-1.0880468688872449E-2</v>
      </c>
      <c r="X496" s="5">
        <f t="shared" si="1090"/>
        <v>-3.3707536195950096E-3</v>
      </c>
      <c r="Z496" s="4">
        <v>45372</v>
      </c>
      <c r="AA496">
        <f>B496*B$3</f>
        <v>982.99999999997908</v>
      </c>
      <c r="AB496">
        <f>C496*C$3</f>
        <v>2584.0000000001746</v>
      </c>
      <c r="AC496">
        <f>D496*D$3</f>
        <v>-16143.00000000109</v>
      </c>
      <c r="AD496">
        <f>E496*E$3</f>
        <v>2427.9999999999482</v>
      </c>
      <c r="AE496">
        <f>F496*F$3</f>
        <v>0</v>
      </c>
      <c r="AF496">
        <f>G496*G$3</f>
        <v>0</v>
      </c>
      <c r="AG496">
        <f>H496*H$3</f>
        <v>84648.000000000698</v>
      </c>
      <c r="AH496">
        <f>I496*I$3</f>
        <v>18455.999999999607</v>
      </c>
      <c r="AI496">
        <f>J496*J$3</f>
        <v>51051.499999998909</v>
      </c>
      <c r="AJ496">
        <f>K496*K$3</f>
        <v>0</v>
      </c>
      <c r="AK496">
        <f>L496*L$3</f>
        <v>0</v>
      </c>
      <c r="AL496">
        <f>M496*M$3</f>
        <v>0</v>
      </c>
      <c r="AM496">
        <f>N496*N$3</f>
        <v>0</v>
      </c>
      <c r="AN496">
        <f>O496*O$3</f>
        <v>0</v>
      </c>
      <c r="AO496">
        <f>P496*P$3</f>
        <v>-11537.135449966356</v>
      </c>
      <c r="AP496">
        <f>Q496*Q$3</f>
        <v>171522.6031596325</v>
      </c>
      <c r="AQ496">
        <f>R496*R$3</f>
        <v>24396.860894613765</v>
      </c>
      <c r="AR496" s="1">
        <f>S496*S$3</f>
        <v>-26985.80423417639</v>
      </c>
      <c r="AS496" s="1">
        <f t="shared" si="1067"/>
        <v>-27120.12112084742</v>
      </c>
      <c r="AT496" s="1">
        <f t="shared" si="1067"/>
        <v>-49504.363778759871</v>
      </c>
      <c r="AU496" s="1">
        <f t="shared" si="1067"/>
        <v>0</v>
      </c>
      <c r="AV496" s="1">
        <f t="shared" si="1067"/>
        <v>0</v>
      </c>
      <c r="AW496" s="1">
        <f t="shared" si="1067"/>
        <v>0</v>
      </c>
      <c r="AX496" s="1">
        <f t="shared" si="997"/>
        <v>224779.53947049446</v>
      </c>
      <c r="AY496" s="1">
        <f t="shared" si="998"/>
        <v>80772.039470496238</v>
      </c>
      <c r="AZ496" s="1">
        <f t="shared" si="999"/>
        <v>144007.49999999822</v>
      </c>
    </row>
    <row r="497" spans="1:52" x14ac:dyDescent="0.25">
      <c r="A497" s="4">
        <v>45371</v>
      </c>
      <c r="B497">
        <f t="shared" ref="B497:N497" si="1091">(B1047-B1046)*100</f>
        <v>1.9999999999999574</v>
      </c>
      <c r="C497">
        <f t="shared" si="1091"/>
        <v>1.0000000000000675</v>
      </c>
      <c r="D497">
        <f t="shared" si="1091"/>
        <v>1.0000000000000675</v>
      </c>
      <c r="E497">
        <f t="shared" si="1091"/>
        <v>0</v>
      </c>
      <c r="F497">
        <f t="shared" si="1091"/>
        <v>2.9999999999999361</v>
      </c>
      <c r="G497">
        <f t="shared" si="1091"/>
        <v>4.9999999999999822</v>
      </c>
      <c r="H497">
        <f t="shared" si="1091"/>
        <v>8.9999999999999858</v>
      </c>
      <c r="I497">
        <f t="shared" si="1091"/>
        <v>5.9999999999999609</v>
      </c>
      <c r="J497">
        <f t="shared" si="1091"/>
        <v>5.9999999999999609</v>
      </c>
      <c r="K497">
        <f t="shared" si="1091"/>
        <v>2.9999999999999361</v>
      </c>
      <c r="L497">
        <f t="shared" si="1091"/>
        <v>3.0000000000000249</v>
      </c>
      <c r="M497">
        <f t="shared" si="1091"/>
        <v>0.99999999999997868</v>
      </c>
      <c r="N497">
        <f t="shared" si="1091"/>
        <v>-0.99999999999997868</v>
      </c>
      <c r="O497" s="5">
        <f t="shared" si="1087"/>
        <v>-4.6184861025193339E-3</v>
      </c>
      <c r="P497" s="5">
        <f t="shared" si="1087"/>
        <v>6.2309508082248567E-3</v>
      </c>
      <c r="Q497" s="5">
        <f t="shared" si="1087"/>
        <v>1.7775495947200896E-2</v>
      </c>
      <c r="R497" s="5">
        <f t="shared" si="1087"/>
        <v>-1.8941962097111121E-3</v>
      </c>
      <c r="S497" s="5">
        <f t="shared" si="1087"/>
        <v>-8.6829324428226249E-3</v>
      </c>
      <c r="T497" s="5">
        <f t="shared" ref="T497:X497" si="1092">LN(T1046/T1047)</f>
        <v>9.7825434877305407E-4</v>
      </c>
      <c r="U497" s="5">
        <f t="shared" si="1092"/>
        <v>6.1078940407060752E-4</v>
      </c>
      <c r="V497" s="5">
        <f t="shared" si="1092"/>
        <v>1.259935891416549E-2</v>
      </c>
      <c r="W497" s="5">
        <f t="shared" si="1092"/>
        <v>4.7546566971778228E-3</v>
      </c>
      <c r="X497" s="5">
        <f t="shared" si="1092"/>
        <v>1.159908745541298E-3</v>
      </c>
      <c r="Z497" s="4">
        <v>45371</v>
      </c>
      <c r="AA497">
        <f>B497*B$3</f>
        <v>-1965.9999999999582</v>
      </c>
      <c r="AB497">
        <f>C497*C$3</f>
        <v>-2584.0000000001746</v>
      </c>
      <c r="AC497">
        <f>D497*D$3</f>
        <v>16143.00000000109</v>
      </c>
      <c r="AD497">
        <f>E497*E$3</f>
        <v>0</v>
      </c>
      <c r="AE497">
        <f>F497*F$3</f>
        <v>-37283.999999999207</v>
      </c>
      <c r="AF497">
        <f>G497*G$3</f>
        <v>-78139.999999999724</v>
      </c>
      <c r="AG497">
        <f>H497*H$3</f>
        <v>-253943.99999999959</v>
      </c>
      <c r="AH497">
        <f>I497*I$3</f>
        <v>-110735.99999999927</v>
      </c>
      <c r="AI497">
        <f>J497*J$3</f>
        <v>-306308.99999999802</v>
      </c>
      <c r="AJ497">
        <f>K497*K$3</f>
        <v>-235184.99999999499</v>
      </c>
      <c r="AK497">
        <f>L497*L$3</f>
        <v>93012.000000000771</v>
      </c>
      <c r="AL497">
        <f>M497*M$3</f>
        <v>32072.999999999316</v>
      </c>
      <c r="AM497">
        <f>N497*N$3</f>
        <v>0</v>
      </c>
      <c r="AN497">
        <f>O497*O$3</f>
        <v>0</v>
      </c>
      <c r="AO497">
        <f>P497*P$3</f>
        <v>-31154.754041124284</v>
      </c>
      <c r="AP497">
        <f>Q497*Q$3</f>
        <v>213305.95136641077</v>
      </c>
      <c r="AQ497">
        <f>R497*R$3</f>
        <v>28412.943145666683</v>
      </c>
      <c r="AR497" s="1">
        <f>S497*S$3</f>
        <v>60780.527099758372</v>
      </c>
      <c r="AS497" s="1">
        <f t="shared" si="1067"/>
        <v>3913.0173950922162</v>
      </c>
      <c r="AT497" s="1">
        <f t="shared" si="1067"/>
        <v>4886.3152325648598</v>
      </c>
      <c r="AU497" s="1">
        <f t="shared" si="1067"/>
        <v>0</v>
      </c>
      <c r="AV497" s="1">
        <f t="shared" si="1067"/>
        <v>0</v>
      </c>
      <c r="AW497" s="1">
        <f t="shared" si="1067"/>
        <v>0</v>
      </c>
      <c r="AX497" s="1">
        <f t="shared" si="997"/>
        <v>-604775.99980162119</v>
      </c>
      <c r="AY497" s="1">
        <f t="shared" si="998"/>
        <v>280144.00019836862</v>
      </c>
      <c r="AZ497" s="1">
        <f t="shared" si="999"/>
        <v>-884919.99999998976</v>
      </c>
    </row>
    <row r="498" spans="1:52" x14ac:dyDescent="0.25">
      <c r="A498" s="4">
        <v>45370</v>
      </c>
      <c r="B498">
        <f t="shared" ref="B498:N498" si="1093">(B1048-B1047)*100</f>
        <v>0</v>
      </c>
      <c r="C498">
        <f t="shared" si="1093"/>
        <v>0</v>
      </c>
      <c r="D498">
        <f t="shared" si="1093"/>
        <v>0</v>
      </c>
      <c r="E498">
        <f t="shared" si="1093"/>
        <v>0</v>
      </c>
      <c r="F498">
        <f t="shared" si="1093"/>
        <v>0</v>
      </c>
      <c r="G498">
        <f t="shared" si="1093"/>
        <v>0</v>
      </c>
      <c r="H498">
        <f t="shared" si="1093"/>
        <v>5.0000000000000711</v>
      </c>
      <c r="I498">
        <f t="shared" si="1093"/>
        <v>4.9999999999999822</v>
      </c>
      <c r="J498">
        <f t="shared" si="1093"/>
        <v>5.0000000000000711</v>
      </c>
      <c r="K498">
        <f t="shared" si="1093"/>
        <v>4.0000000000000036</v>
      </c>
      <c r="L498">
        <f t="shared" si="1093"/>
        <v>4.0000000000000036</v>
      </c>
      <c r="M498">
        <f t="shared" si="1093"/>
        <v>3.0000000000000249</v>
      </c>
      <c r="N498">
        <f t="shared" si="1093"/>
        <v>1.9999999999999574</v>
      </c>
      <c r="O498" s="5">
        <f t="shared" si="1087"/>
        <v>4.5386760504009882E-3</v>
      </c>
      <c r="P498" s="5">
        <f t="shared" si="1087"/>
        <v>-6.5004251424254141E-3</v>
      </c>
      <c r="Q498" s="5">
        <f t="shared" si="1087"/>
        <v>3.9119491402498253E-3</v>
      </c>
      <c r="R498" s="5">
        <f t="shared" si="1087"/>
        <v>-1.0807890811587234E-3</v>
      </c>
      <c r="S498" s="5">
        <f t="shared" si="1087"/>
        <v>6.4662211333511308E-3</v>
      </c>
      <c r="T498" s="5">
        <f t="shared" ref="T498:X498" si="1094">LN(T1047/T1048)</f>
        <v>7.9405229882068668E-4</v>
      </c>
      <c r="U498" s="5">
        <f t="shared" si="1094"/>
        <v>3.3095775767794279E-4</v>
      </c>
      <c r="V498" s="5">
        <f t="shared" si="1094"/>
        <v>1.2680041682119193E-3</v>
      </c>
      <c r="W498" s="5">
        <f t="shared" si="1094"/>
        <v>7.2168263697898198E-5</v>
      </c>
      <c r="X498" s="5">
        <f t="shared" si="1094"/>
        <v>4.4266558727127517E-3</v>
      </c>
      <c r="Z498" s="4">
        <v>45370</v>
      </c>
      <c r="AA498">
        <f>B498*B$3</f>
        <v>0</v>
      </c>
      <c r="AB498">
        <f>C498*C$3</f>
        <v>0</v>
      </c>
      <c r="AC498">
        <f>D498*D$3</f>
        <v>0</v>
      </c>
      <c r="AD498">
        <f>E498*E$3</f>
        <v>0</v>
      </c>
      <c r="AE498">
        <f>F498*F$3</f>
        <v>0</v>
      </c>
      <c r="AF498">
        <f>G498*G$3</f>
        <v>0</v>
      </c>
      <c r="AG498">
        <f>H498*H$3</f>
        <v>-141080.00000000201</v>
      </c>
      <c r="AH498">
        <f>I498*I$3</f>
        <v>-92279.999999999665</v>
      </c>
      <c r="AI498">
        <f>J498*J$3</f>
        <v>-255257.50000000364</v>
      </c>
      <c r="AJ498">
        <f>K498*K$3</f>
        <v>-313580.00000000029</v>
      </c>
      <c r="AK498">
        <f>L498*L$3</f>
        <v>124016.00000000012</v>
      </c>
      <c r="AL498">
        <f>M498*M$3</f>
        <v>96219.0000000008</v>
      </c>
      <c r="AM498">
        <f>N498*N$3</f>
        <v>0</v>
      </c>
      <c r="AN498">
        <f>O498*O$3</f>
        <v>0</v>
      </c>
      <c r="AO498">
        <f>P498*P$3</f>
        <v>32502.125712127072</v>
      </c>
      <c r="AP498">
        <f>Q498*Q$3</f>
        <v>46943.389682997906</v>
      </c>
      <c r="AQ498">
        <f>R498*R$3</f>
        <v>16211.836217380851</v>
      </c>
      <c r="AR498" s="1">
        <f>S498*S$3</f>
        <v>-45263.547933457914</v>
      </c>
      <c r="AS498" s="1">
        <f t="shared" si="1067"/>
        <v>3176.2091952827468</v>
      </c>
      <c r="AT498" s="1">
        <f t="shared" si="1067"/>
        <v>2647.6620614235421</v>
      </c>
      <c r="AU498" s="1">
        <f t="shared" si="1067"/>
        <v>0</v>
      </c>
      <c r="AV498" s="1">
        <f t="shared" si="1067"/>
        <v>0</v>
      </c>
      <c r="AW498" s="1">
        <f t="shared" si="1067"/>
        <v>0</v>
      </c>
      <c r="AX498" s="1">
        <f t="shared" si="997"/>
        <v>-525744.8250642505</v>
      </c>
      <c r="AY498" s="1">
        <f t="shared" si="998"/>
        <v>56217.674935754214</v>
      </c>
      <c r="AZ498" s="1">
        <f t="shared" si="999"/>
        <v>-581962.50000000466</v>
      </c>
    </row>
    <row r="499" spans="1:52" x14ac:dyDescent="0.25">
      <c r="A499" s="4">
        <v>45369</v>
      </c>
      <c r="B499">
        <f t="shared" ref="B499:N499" si="1095">(B1049-B1048)*100</f>
        <v>0</v>
      </c>
      <c r="C499">
        <f t="shared" si="1095"/>
        <v>0</v>
      </c>
      <c r="D499">
        <f t="shared" si="1095"/>
        <v>0</v>
      </c>
      <c r="E499">
        <f t="shared" si="1095"/>
        <v>0</v>
      </c>
      <c r="F499">
        <f t="shared" si="1095"/>
        <v>-0.99999999999997868</v>
      </c>
      <c r="G499">
        <f t="shared" si="1095"/>
        <v>-0.99999999999997868</v>
      </c>
      <c r="H499">
        <f t="shared" si="1095"/>
        <v>-1.0000000000000675</v>
      </c>
      <c r="I499">
        <f t="shared" si="1095"/>
        <v>-0.99999999999997868</v>
      </c>
      <c r="J499">
        <f t="shared" si="1095"/>
        <v>-3.0000000000000249</v>
      </c>
      <c r="K499">
        <f t="shared" si="1095"/>
        <v>-1.9999999999999574</v>
      </c>
      <c r="L499">
        <f t="shared" si="1095"/>
        <v>-3.0000000000000249</v>
      </c>
      <c r="M499">
        <f t="shared" si="1095"/>
        <v>-2.0000000000000462</v>
      </c>
      <c r="N499">
        <f t="shared" si="1095"/>
        <v>-3.0000000000000249</v>
      </c>
      <c r="O499" s="5">
        <f t="shared" si="1087"/>
        <v>3.7379484830206847E-3</v>
      </c>
      <c r="P499" s="5">
        <f t="shared" si="1087"/>
        <v>4.5651903751158874E-3</v>
      </c>
      <c r="Q499" s="5">
        <f t="shared" si="1087"/>
        <v>-4.3879708769858266E-3</v>
      </c>
      <c r="R499" s="5">
        <f t="shared" si="1087"/>
        <v>4.6014426838441253E-3</v>
      </c>
      <c r="S499" s="5">
        <f t="shared" si="1087"/>
        <v>0</v>
      </c>
      <c r="T499" s="5">
        <f t="shared" ref="T499:X499" si="1096">LN(T1048/T1049)</f>
        <v>7.6237921501567674E-5</v>
      </c>
      <c r="U499" s="5">
        <f t="shared" si="1096"/>
        <v>1.1337345025848509E-3</v>
      </c>
      <c r="V499" s="5">
        <f t="shared" si="1096"/>
        <v>4.4339473776995727E-3</v>
      </c>
      <c r="W499" s="5">
        <f t="shared" si="1096"/>
        <v>3.2455450830145864E-3</v>
      </c>
      <c r="X499" s="5">
        <f t="shared" si="1096"/>
        <v>-7.6932497773018007E-4</v>
      </c>
      <c r="Z499" s="4">
        <v>45369</v>
      </c>
      <c r="AA499">
        <f>B499*B$3</f>
        <v>0</v>
      </c>
      <c r="AB499">
        <f>C499*C$3</f>
        <v>0</v>
      </c>
      <c r="AC499">
        <f>D499*D$3</f>
        <v>0</v>
      </c>
      <c r="AD499">
        <f>E499*E$3</f>
        <v>0</v>
      </c>
      <c r="AE499">
        <f>F499*F$3</f>
        <v>12427.999999999734</v>
      </c>
      <c r="AF499">
        <f>G499*G$3</f>
        <v>15627.999999999667</v>
      </c>
      <c r="AG499">
        <f>H499*H$3</f>
        <v>28216.000000001906</v>
      </c>
      <c r="AH499">
        <f>I499*I$3</f>
        <v>18455.999999999607</v>
      </c>
      <c r="AI499">
        <f>J499*J$3</f>
        <v>153154.50000000128</v>
      </c>
      <c r="AJ499">
        <f>K499*K$3</f>
        <v>156789.99999999665</v>
      </c>
      <c r="AK499">
        <f>L499*L$3</f>
        <v>-93012.000000000771</v>
      </c>
      <c r="AL499">
        <f>M499*M$3</f>
        <v>-64146.000000001484</v>
      </c>
      <c r="AM499">
        <f>N499*N$3</f>
        <v>0</v>
      </c>
      <c r="AN499">
        <f>O499*O$3</f>
        <v>0</v>
      </c>
      <c r="AO499">
        <f>P499*P$3</f>
        <v>-22825.951875579438</v>
      </c>
      <c r="AP499">
        <f>Q499*Q$3</f>
        <v>-52655.650523829921</v>
      </c>
      <c r="AQ499">
        <f>R499*R$3</f>
        <v>-69021.640257661886</v>
      </c>
      <c r="AR499" s="1">
        <f>S499*S$3</f>
        <v>0</v>
      </c>
      <c r="AS499" s="1">
        <f t="shared" si="1067"/>
        <v>304.95168600627068</v>
      </c>
      <c r="AT499" s="1">
        <f t="shared" si="1067"/>
        <v>9069.8760206788065</v>
      </c>
      <c r="AU499" s="1">
        <f t="shared" si="1067"/>
        <v>0</v>
      </c>
      <c r="AV499" s="1">
        <f t="shared" si="1067"/>
        <v>0</v>
      </c>
      <c r="AW499" s="1">
        <f t="shared" si="1067"/>
        <v>0</v>
      </c>
      <c r="AX499" s="1">
        <f t="shared" si="997"/>
        <v>92386.085049610439</v>
      </c>
      <c r="AY499" s="1">
        <f t="shared" si="998"/>
        <v>-135128.41495038616</v>
      </c>
      <c r="AZ499" s="1">
        <f t="shared" si="999"/>
        <v>227514.49999999659</v>
      </c>
    </row>
    <row r="500" spans="1:52" x14ac:dyDescent="0.25">
      <c r="A500" s="4">
        <v>45366</v>
      </c>
      <c r="B500">
        <f t="shared" ref="B500:N500" si="1097">(B1050-B1049)*100</f>
        <v>0</v>
      </c>
      <c r="C500">
        <f t="shared" si="1097"/>
        <v>0</v>
      </c>
      <c r="D500">
        <f t="shared" si="1097"/>
        <v>0</v>
      </c>
      <c r="E500">
        <f t="shared" si="1097"/>
        <v>0.99999999999997868</v>
      </c>
      <c r="F500">
        <f t="shared" si="1097"/>
        <v>0</v>
      </c>
      <c r="G500">
        <f t="shared" si="1097"/>
        <v>-0.99999999999997868</v>
      </c>
      <c r="H500">
        <f t="shared" si="1097"/>
        <v>-4.0000000000000036</v>
      </c>
      <c r="I500">
        <f t="shared" si="1097"/>
        <v>-4.9999999999999822</v>
      </c>
      <c r="J500">
        <f t="shared" si="1097"/>
        <v>-4.0000000000000036</v>
      </c>
      <c r="K500">
        <f t="shared" si="1097"/>
        <v>-3.0000000000000249</v>
      </c>
      <c r="L500">
        <f t="shared" si="1097"/>
        <v>-1.9999999999999574</v>
      </c>
      <c r="M500">
        <f t="shared" si="1097"/>
        <v>-0.99999999999997868</v>
      </c>
      <c r="N500">
        <f t="shared" si="1097"/>
        <v>1.0000000000000675</v>
      </c>
      <c r="O500" s="5">
        <f t="shared" si="1087"/>
        <v>3.3902077627036135E-3</v>
      </c>
      <c r="P500" s="5">
        <f t="shared" si="1087"/>
        <v>-2.9986573565965709E-3</v>
      </c>
      <c r="Q500" s="5">
        <f t="shared" si="1087"/>
        <v>-3.5049971483400908E-3</v>
      </c>
      <c r="R500" s="5">
        <f t="shared" si="1087"/>
        <v>2.7133360633154537E-4</v>
      </c>
      <c r="S500" s="5">
        <f t="shared" si="1087"/>
        <v>9.879264229580428E-4</v>
      </c>
      <c r="T500" s="5">
        <f t="shared" ref="T500:X500" si="1098">LN(T1049/T1050)</f>
        <v>6.5843245573115562E-3</v>
      </c>
      <c r="U500" s="5">
        <f t="shared" si="1098"/>
        <v>4.4069492209895316E-3</v>
      </c>
      <c r="V500" s="5">
        <f t="shared" si="1098"/>
        <v>4.5621184690605842E-3</v>
      </c>
      <c r="W500" s="5">
        <f t="shared" si="1098"/>
        <v>7.3145775412297043E-3</v>
      </c>
      <c r="X500" s="5">
        <f t="shared" si="1098"/>
        <v>6.6831573675682513E-3</v>
      </c>
      <c r="Z500" s="4">
        <v>45366</v>
      </c>
      <c r="AA500">
        <f>B500*B$3</f>
        <v>0</v>
      </c>
      <c r="AB500">
        <f>C500*C$3</f>
        <v>0</v>
      </c>
      <c r="AC500">
        <f>D500*D$3</f>
        <v>0</v>
      </c>
      <c r="AD500">
        <f>E500*E$3</f>
        <v>2427.9999999999482</v>
      </c>
      <c r="AE500">
        <f>F500*F$3</f>
        <v>0</v>
      </c>
      <c r="AF500">
        <f>G500*G$3</f>
        <v>15627.999999999667</v>
      </c>
      <c r="AG500">
        <f>H500*H$3</f>
        <v>112864.0000000001</v>
      </c>
      <c r="AH500">
        <f>I500*I$3</f>
        <v>92279.999999999665</v>
      </c>
      <c r="AI500">
        <f>J500*J$3</f>
        <v>204206.00000000017</v>
      </c>
      <c r="AJ500">
        <f>K500*K$3</f>
        <v>235185.00000000195</v>
      </c>
      <c r="AK500">
        <f>L500*L$3</f>
        <v>-62007.999999998676</v>
      </c>
      <c r="AL500">
        <f>M500*M$3</f>
        <v>-32072.999999999316</v>
      </c>
      <c r="AM500">
        <f>N500*N$3</f>
        <v>0</v>
      </c>
      <c r="AN500">
        <f>O500*O$3</f>
        <v>0</v>
      </c>
      <c r="AO500">
        <f>P500*P$3</f>
        <v>14993.286782982854</v>
      </c>
      <c r="AP500">
        <f>Q500*Q$3</f>
        <v>-42059.965780081089</v>
      </c>
      <c r="AQ500">
        <f>R500*R$3</f>
        <v>-4070.0040949731806</v>
      </c>
      <c r="AR500" s="1">
        <f>S500*S$3</f>
        <v>-6915.4849607062997</v>
      </c>
      <c r="AS500" s="1">
        <f t="shared" si="1067"/>
        <v>26337.298229246226</v>
      </c>
      <c r="AT500" s="1">
        <f t="shared" si="1067"/>
        <v>35255.593767916253</v>
      </c>
      <c r="AU500" s="1">
        <f t="shared" si="1067"/>
        <v>0</v>
      </c>
      <c r="AV500" s="1">
        <f t="shared" si="1067"/>
        <v>0</v>
      </c>
      <c r="AW500" s="1">
        <f t="shared" si="1067"/>
        <v>0</v>
      </c>
      <c r="AX500" s="1">
        <f t="shared" si="997"/>
        <v>592050.72394438821</v>
      </c>
      <c r="AY500" s="1">
        <f t="shared" si="998"/>
        <v>23540.723944384765</v>
      </c>
      <c r="AZ500" s="1">
        <f t="shared" si="999"/>
        <v>568510.00000000349</v>
      </c>
    </row>
    <row r="501" spans="1:52" x14ac:dyDescent="0.25">
      <c r="A501" s="4">
        <v>45365</v>
      </c>
      <c r="B501">
        <f t="shared" ref="B501:N501" si="1099">(B1051-B1050)*100</f>
        <v>0</v>
      </c>
      <c r="C501">
        <f t="shared" si="1099"/>
        <v>-1.0000000000000675</v>
      </c>
      <c r="D501">
        <f t="shared" si="1099"/>
        <v>0</v>
      </c>
      <c r="E501">
        <f t="shared" si="1099"/>
        <v>-0.99999999999997868</v>
      </c>
      <c r="F501">
        <f t="shared" si="1099"/>
        <v>-0.99999999999997868</v>
      </c>
      <c r="G501">
        <f t="shared" si="1099"/>
        <v>-3.0000000000000249</v>
      </c>
      <c r="H501">
        <f t="shared" si="1099"/>
        <v>-6.9999999999999396</v>
      </c>
      <c r="I501">
        <f t="shared" si="1099"/>
        <v>-8.9999999999999858</v>
      </c>
      <c r="J501">
        <f t="shared" si="1099"/>
        <v>-9.9999999999999645</v>
      </c>
      <c r="K501">
        <f t="shared" si="1099"/>
        <v>-9.9999999999999645</v>
      </c>
      <c r="L501">
        <f t="shared" si="1099"/>
        <v>-9.9999999999999645</v>
      </c>
      <c r="M501">
        <f t="shared" si="1099"/>
        <v>-8.9999999999999858</v>
      </c>
      <c r="N501">
        <f t="shared" si="1099"/>
        <v>-9.0000000000000746</v>
      </c>
      <c r="O501" s="5">
        <f t="shared" si="1087"/>
        <v>-7.0305833258050925E-4</v>
      </c>
      <c r="P501" s="5">
        <f t="shared" si="1087"/>
        <v>-3.1024327254490173E-3</v>
      </c>
      <c r="Q501" s="5">
        <f t="shared" si="1087"/>
        <v>-1.7032270721097722E-2</v>
      </c>
      <c r="R501" s="5">
        <f t="shared" si="1087"/>
        <v>3.5340528830559567E-3</v>
      </c>
      <c r="S501" s="5">
        <f t="shared" si="1087"/>
        <v>1.0488683672927681E-3</v>
      </c>
      <c r="T501" s="5">
        <f t="shared" ref="T501:X501" si="1100">LN(T1050/T1051)</f>
        <v>-2.5165550941543546E-3</v>
      </c>
      <c r="U501" s="5">
        <f t="shared" si="1100"/>
        <v>-4.8628083168185035E-4</v>
      </c>
      <c r="V501" s="5">
        <f t="shared" si="1100"/>
        <v>1.3540857131967335E-5</v>
      </c>
      <c r="W501" s="5">
        <f t="shared" si="1100"/>
        <v>-3.0678528823938722E-3</v>
      </c>
      <c r="X501" s="5">
        <f t="shared" si="1100"/>
        <v>1.1276803162161056E-3</v>
      </c>
      <c r="Z501" s="4">
        <v>45365</v>
      </c>
      <c r="AA501">
        <f>B501*B$3</f>
        <v>0</v>
      </c>
      <c r="AB501">
        <f>C501*C$3</f>
        <v>2584.0000000001746</v>
      </c>
      <c r="AC501">
        <f>D501*D$3</f>
        <v>0</v>
      </c>
      <c r="AD501">
        <f>E501*E$3</f>
        <v>-2427.9999999999482</v>
      </c>
      <c r="AE501">
        <f>F501*F$3</f>
        <v>12427.999999999734</v>
      </c>
      <c r="AF501">
        <f>G501*G$3</f>
        <v>46884.000000000386</v>
      </c>
      <c r="AG501">
        <f>H501*H$3</f>
        <v>197511.99999999828</v>
      </c>
      <c r="AH501">
        <f>I501*I$3</f>
        <v>166103.99999999974</v>
      </c>
      <c r="AI501">
        <f>J501*J$3</f>
        <v>510514.9999999982</v>
      </c>
      <c r="AJ501">
        <f>K501*K$3</f>
        <v>783949.99999999721</v>
      </c>
      <c r="AK501">
        <f>L501*L$3</f>
        <v>-310039.99999999889</v>
      </c>
      <c r="AL501">
        <f>M501*M$3</f>
        <v>-288656.99999999953</v>
      </c>
      <c r="AM501">
        <f>N501*N$3</f>
        <v>0</v>
      </c>
      <c r="AN501">
        <f>O501*O$3</f>
        <v>0</v>
      </c>
      <c r="AO501">
        <f>P501*P$3</f>
        <v>15512.163627245087</v>
      </c>
      <c r="AP501">
        <f>Q501*Q$3</f>
        <v>-204387.24865317266</v>
      </c>
      <c r="AQ501">
        <f>R501*R$3</f>
        <v>-53010.793245839348</v>
      </c>
      <c r="AR501" s="1">
        <f>S501*S$3</f>
        <v>-7342.0785710493774</v>
      </c>
      <c r="AS501" s="1">
        <f t="shared" ref="AS501:AW516" si="1101">T501*T$3</f>
        <v>-10066.220376617419</v>
      </c>
      <c r="AT501" s="1">
        <f t="shared" si="1101"/>
        <v>-3890.246653454803</v>
      </c>
      <c r="AU501" s="1">
        <f t="shared" si="1101"/>
        <v>0</v>
      </c>
      <c r="AV501" s="1">
        <f t="shared" si="1101"/>
        <v>0</v>
      </c>
      <c r="AW501" s="1">
        <f t="shared" si="1101"/>
        <v>0</v>
      </c>
      <c r="AX501" s="1">
        <f t="shared" si="997"/>
        <v>855667.57612710679</v>
      </c>
      <c r="AY501" s="1">
        <f t="shared" si="998"/>
        <v>-263184.42387288855</v>
      </c>
      <c r="AZ501" s="1">
        <f t="shared" si="999"/>
        <v>1118851.9999999953</v>
      </c>
    </row>
    <row r="502" spans="1:52" x14ac:dyDescent="0.25">
      <c r="A502" s="4">
        <v>45364</v>
      </c>
      <c r="B502">
        <f t="shared" ref="B502:N502" si="1102">(B1052-B1051)*100</f>
        <v>0</v>
      </c>
      <c r="C502">
        <f t="shared" si="1102"/>
        <v>1.0000000000000675</v>
      </c>
      <c r="D502">
        <f t="shared" si="1102"/>
        <v>0</v>
      </c>
      <c r="E502">
        <f t="shared" si="1102"/>
        <v>0</v>
      </c>
      <c r="F502">
        <f t="shared" si="1102"/>
        <v>0</v>
      </c>
      <c r="G502">
        <f t="shared" si="1102"/>
        <v>-0.99999999999997868</v>
      </c>
      <c r="H502">
        <f t="shared" si="1102"/>
        <v>-3.0000000000000249</v>
      </c>
      <c r="I502">
        <f t="shared" si="1102"/>
        <v>-4.0000000000000036</v>
      </c>
      <c r="J502">
        <f t="shared" si="1102"/>
        <v>-4.0000000000000036</v>
      </c>
      <c r="K502">
        <f t="shared" si="1102"/>
        <v>-4.0000000000000036</v>
      </c>
      <c r="L502">
        <f t="shared" si="1102"/>
        <v>-3.0000000000000249</v>
      </c>
      <c r="M502">
        <f t="shared" si="1102"/>
        <v>-3.0000000000000249</v>
      </c>
      <c r="N502">
        <f t="shared" si="1102"/>
        <v>-4.0000000000000036</v>
      </c>
      <c r="O502" s="5">
        <f t="shared" si="1087"/>
        <v>-2.0078305458467636E-4</v>
      </c>
      <c r="P502" s="5">
        <f t="shared" si="1087"/>
        <v>-5.6871174099919191E-3</v>
      </c>
      <c r="Q502" s="5">
        <f t="shared" si="1087"/>
        <v>-1.1493837566208137E-3</v>
      </c>
      <c r="R502" s="5">
        <f t="shared" si="1087"/>
        <v>-2.1762794225955173E-3</v>
      </c>
      <c r="S502" s="5">
        <f t="shared" si="1087"/>
        <v>-7.3845607028670502E-3</v>
      </c>
      <c r="T502" s="5">
        <f t="shared" ref="T502:X502" si="1103">LN(T1051/T1052)</f>
        <v>3.2786603029085409E-4</v>
      </c>
      <c r="U502" s="5">
        <f t="shared" si="1103"/>
        <v>1.8660638455267377E-3</v>
      </c>
      <c r="V502" s="5">
        <f t="shared" si="1103"/>
        <v>6.0268954967362016E-3</v>
      </c>
      <c r="W502" s="5">
        <f t="shared" si="1103"/>
        <v>1.2416054400983644E-3</v>
      </c>
      <c r="X502" s="5">
        <f t="shared" si="1103"/>
        <v>1.5958978190447605E-4</v>
      </c>
      <c r="Z502" s="4">
        <v>45364</v>
      </c>
      <c r="AA502">
        <f>B502*B$3</f>
        <v>0</v>
      </c>
      <c r="AB502">
        <f>C502*C$3</f>
        <v>-2584.0000000001746</v>
      </c>
      <c r="AC502">
        <f>D502*D$3</f>
        <v>0</v>
      </c>
      <c r="AD502">
        <f>E502*E$3</f>
        <v>0</v>
      </c>
      <c r="AE502">
        <f>F502*F$3</f>
        <v>0</v>
      </c>
      <c r="AF502">
        <f>G502*G$3</f>
        <v>15627.999999999667</v>
      </c>
      <c r="AG502">
        <f>H502*H$3</f>
        <v>84648.000000000698</v>
      </c>
      <c r="AH502">
        <f>I502*I$3</f>
        <v>73824.000000000073</v>
      </c>
      <c r="AI502">
        <f>J502*J$3</f>
        <v>204206.00000000017</v>
      </c>
      <c r="AJ502">
        <f>K502*K$3</f>
        <v>313580.00000000029</v>
      </c>
      <c r="AK502">
        <f>L502*L$3</f>
        <v>-93012.000000000771</v>
      </c>
      <c r="AL502">
        <f>M502*M$3</f>
        <v>-96219.0000000008</v>
      </c>
      <c r="AM502">
        <f>N502*N$3</f>
        <v>0</v>
      </c>
      <c r="AN502">
        <f>O502*O$3</f>
        <v>0</v>
      </c>
      <c r="AO502">
        <f>P502*P$3</f>
        <v>28435.587049959595</v>
      </c>
      <c r="AP502">
        <f>Q502*Q$3</f>
        <v>-13792.605079449764</v>
      </c>
      <c r="AQ502">
        <f>R502*R$3</f>
        <v>32644.19133893276</v>
      </c>
      <c r="AR502" s="1">
        <f>S502*S$3</f>
        <v>51691.924920069352</v>
      </c>
      <c r="AS502" s="1">
        <f t="shared" si="1101"/>
        <v>1311.4641211634164</v>
      </c>
      <c r="AT502" s="1">
        <f t="shared" si="1101"/>
        <v>14928.510764213901</v>
      </c>
      <c r="AU502" s="1">
        <f t="shared" si="1101"/>
        <v>0</v>
      </c>
      <c r="AV502" s="1">
        <f t="shared" si="1101"/>
        <v>0</v>
      </c>
      <c r="AW502" s="1">
        <f t="shared" si="1101"/>
        <v>0</v>
      </c>
      <c r="AX502" s="1">
        <f t="shared" si="997"/>
        <v>615290.07311488839</v>
      </c>
      <c r="AY502" s="1">
        <f t="shared" si="998"/>
        <v>115219.07311488925</v>
      </c>
      <c r="AZ502" s="1">
        <f t="shared" si="999"/>
        <v>500070.99999999913</v>
      </c>
    </row>
    <row r="503" spans="1:52" x14ac:dyDescent="0.25">
      <c r="A503" s="4">
        <v>45363</v>
      </c>
      <c r="B503">
        <f t="shared" ref="B503:N503" si="1104">(B1053-B1052)*100</f>
        <v>-1.9999999999999574</v>
      </c>
      <c r="C503">
        <f t="shared" si="1104"/>
        <v>-1.0000000000000675</v>
      </c>
      <c r="D503">
        <f t="shared" si="1104"/>
        <v>0</v>
      </c>
      <c r="E503">
        <f t="shared" si="1104"/>
        <v>0</v>
      </c>
      <c r="F503">
        <f t="shared" si="1104"/>
        <v>-2.0000000000000462</v>
      </c>
      <c r="G503">
        <f t="shared" si="1104"/>
        <v>-4.9999999999999822</v>
      </c>
      <c r="H503">
        <f t="shared" si="1104"/>
        <v>-7.0000000000000284</v>
      </c>
      <c r="I503">
        <f t="shared" si="1104"/>
        <v>-7.0000000000000284</v>
      </c>
      <c r="J503">
        <f t="shared" si="1104"/>
        <v>-7.0000000000000284</v>
      </c>
      <c r="K503">
        <f t="shared" si="1104"/>
        <v>-7.0000000000000284</v>
      </c>
      <c r="L503">
        <f t="shared" si="1104"/>
        <v>-6.0000000000000497</v>
      </c>
      <c r="M503">
        <f t="shared" si="1104"/>
        <v>-5.9999999999999609</v>
      </c>
      <c r="N503">
        <f t="shared" si="1104"/>
        <v>-4.9999999999999822</v>
      </c>
      <c r="O503" s="5">
        <f t="shared" si="1087"/>
        <v>7.2300774357763914E-4</v>
      </c>
      <c r="P503" s="5">
        <f t="shared" si="1087"/>
        <v>2.5764005884516398E-3</v>
      </c>
      <c r="Q503" s="5">
        <f t="shared" si="1087"/>
        <v>1.3877096736198173E-3</v>
      </c>
      <c r="R503" s="5">
        <f t="shared" si="1087"/>
        <v>-1.9003670711677562E-3</v>
      </c>
      <c r="S503" s="5">
        <f t="shared" si="1087"/>
        <v>-4.7619331076501873E-5</v>
      </c>
      <c r="T503" s="5">
        <f t="shared" ref="T503:X503" si="1105">LN(T1052/T1053)</f>
        <v>1.0609555545410842E-3</v>
      </c>
      <c r="U503" s="5">
        <f t="shared" si="1105"/>
        <v>2.7510857417120138E-3</v>
      </c>
      <c r="V503" s="5">
        <f t="shared" si="1105"/>
        <v>-2.8624591693219263E-4</v>
      </c>
      <c r="W503" s="5">
        <f t="shared" si="1105"/>
        <v>1.3305883175230334E-3</v>
      </c>
      <c r="X503" s="5">
        <f t="shared" si="1105"/>
        <v>-2.9633164469475298E-4</v>
      </c>
      <c r="Z503" s="4">
        <v>45363</v>
      </c>
      <c r="AA503">
        <f>B503*B$3</f>
        <v>1965.9999999999582</v>
      </c>
      <c r="AB503">
        <f>C503*C$3</f>
        <v>2584.0000000001746</v>
      </c>
      <c r="AC503">
        <f>D503*D$3</f>
        <v>0</v>
      </c>
      <c r="AD503">
        <f>E503*E$3</f>
        <v>0</v>
      </c>
      <c r="AE503">
        <f>F503*F$3</f>
        <v>24856.000000000575</v>
      </c>
      <c r="AF503">
        <f>G503*G$3</f>
        <v>78139.999999999724</v>
      </c>
      <c r="AG503">
        <f>H503*H$3</f>
        <v>197512.00000000081</v>
      </c>
      <c r="AH503">
        <f>I503*I$3</f>
        <v>129192.00000000052</v>
      </c>
      <c r="AI503">
        <f>J503*J$3</f>
        <v>357360.50000000146</v>
      </c>
      <c r="AJ503">
        <f>K503*K$3</f>
        <v>548765.00000000221</v>
      </c>
      <c r="AK503">
        <f>L503*L$3</f>
        <v>-186024.00000000154</v>
      </c>
      <c r="AL503">
        <f>M503*M$3</f>
        <v>-192437.99999999875</v>
      </c>
      <c r="AM503">
        <f>N503*N$3</f>
        <v>0</v>
      </c>
      <c r="AN503">
        <f>O503*O$3</f>
        <v>0</v>
      </c>
      <c r="AO503">
        <f>P503*P$3</f>
        <v>-12882.002942258199</v>
      </c>
      <c r="AP503">
        <f>Q503*Q$3</f>
        <v>16652.516083437808</v>
      </c>
      <c r="AQ503">
        <f>R503*R$3</f>
        <v>28505.506067516344</v>
      </c>
      <c r="AR503" s="1">
        <f>S503*S$3</f>
        <v>333.33531753551313</v>
      </c>
      <c r="AS503" s="1">
        <f t="shared" si="1101"/>
        <v>4243.8222181643368</v>
      </c>
      <c r="AT503" s="1">
        <f t="shared" si="1101"/>
        <v>22008.68593369611</v>
      </c>
      <c r="AU503" s="1">
        <f t="shared" si="1101"/>
        <v>0</v>
      </c>
      <c r="AV503" s="1">
        <f t="shared" si="1101"/>
        <v>0</v>
      </c>
      <c r="AW503" s="1">
        <f t="shared" si="1101"/>
        <v>0</v>
      </c>
      <c r="AX503" s="1">
        <f t="shared" si="997"/>
        <v>1020775.3626780973</v>
      </c>
      <c r="AY503" s="1">
        <f t="shared" si="998"/>
        <v>58861.862678091915</v>
      </c>
      <c r="AZ503" s="1">
        <f t="shared" si="999"/>
        <v>961913.50000000536</v>
      </c>
    </row>
    <row r="504" spans="1:52" x14ac:dyDescent="0.25">
      <c r="A504" s="4">
        <v>45362</v>
      </c>
      <c r="B504">
        <f t="shared" ref="B504:N504" si="1106">(B1054-B1053)*100</f>
        <v>0.99999999999997868</v>
      </c>
      <c r="C504">
        <f t="shared" si="1106"/>
        <v>1.0000000000000675</v>
      </c>
      <c r="D504">
        <f t="shared" si="1106"/>
        <v>-2.0000000000000462</v>
      </c>
      <c r="E504">
        <f t="shared" si="1106"/>
        <v>-0.99999999999997868</v>
      </c>
      <c r="F504">
        <f t="shared" si="1106"/>
        <v>-0.99999999999997868</v>
      </c>
      <c r="G504">
        <f t="shared" si="1106"/>
        <v>-3.0000000000000249</v>
      </c>
      <c r="H504">
        <f t="shared" si="1106"/>
        <v>-2.9999999999999361</v>
      </c>
      <c r="I504">
        <f t="shared" si="1106"/>
        <v>-0.99999999999997868</v>
      </c>
      <c r="J504">
        <f t="shared" si="1106"/>
        <v>-2.0000000000000462</v>
      </c>
      <c r="K504">
        <f t="shared" si="1106"/>
        <v>-0.99999999999997868</v>
      </c>
      <c r="L504">
        <f t="shared" si="1106"/>
        <v>-0.99999999999997868</v>
      </c>
      <c r="M504">
        <f t="shared" si="1106"/>
        <v>0</v>
      </c>
      <c r="N504">
        <f t="shared" si="1106"/>
        <v>0</v>
      </c>
      <c r="O504" s="5">
        <f t="shared" si="1087"/>
        <v>5.2249755011981723E-4</v>
      </c>
      <c r="P504" s="5">
        <f t="shared" si="1087"/>
        <v>2.7239087644495862E-3</v>
      </c>
      <c r="Q504" s="5">
        <f t="shared" si="1087"/>
        <v>-1.9346337836120275E-2</v>
      </c>
      <c r="R504" s="5">
        <f t="shared" si="1087"/>
        <v>2.7126000437589662E-4</v>
      </c>
      <c r="S504" s="5">
        <f t="shared" si="1087"/>
        <v>-4.4037134727384505E-4</v>
      </c>
      <c r="T504" s="5">
        <f t="shared" ref="T504:X504" si="1107">LN(T1053/T1054)</f>
        <v>6.5678343041433024E-4</v>
      </c>
      <c r="U504" s="5">
        <f t="shared" si="1107"/>
        <v>-3.0805048008861313E-3</v>
      </c>
      <c r="V504" s="5">
        <f t="shared" si="1107"/>
        <v>-7.425955392019473E-3</v>
      </c>
      <c r="W504" s="5">
        <f t="shared" si="1107"/>
        <v>-4.5494520135236268E-4</v>
      </c>
      <c r="X504" s="5">
        <f t="shared" si="1107"/>
        <v>4.6736352624975362E-4</v>
      </c>
      <c r="Z504" s="4">
        <v>45362</v>
      </c>
      <c r="AA504">
        <f>B504*B$3</f>
        <v>-982.99999999997908</v>
      </c>
      <c r="AB504">
        <f>C504*C$3</f>
        <v>-2584.0000000001746</v>
      </c>
      <c r="AC504">
        <f>D504*D$3</f>
        <v>-32286.000000000746</v>
      </c>
      <c r="AD504">
        <f>E504*E$3</f>
        <v>-2427.9999999999482</v>
      </c>
      <c r="AE504">
        <f>F504*F$3</f>
        <v>12427.999999999734</v>
      </c>
      <c r="AF504">
        <f>G504*G$3</f>
        <v>46884.000000000386</v>
      </c>
      <c r="AG504">
        <f>H504*H$3</f>
        <v>84647.999999998196</v>
      </c>
      <c r="AH504">
        <f>I504*I$3</f>
        <v>18455.999999999607</v>
      </c>
      <c r="AI504">
        <f>J504*J$3</f>
        <v>102103.00000000236</v>
      </c>
      <c r="AJ504">
        <f>K504*K$3</f>
        <v>78394.999999998327</v>
      </c>
      <c r="AK504">
        <f>L504*L$3</f>
        <v>-31003.999999999338</v>
      </c>
      <c r="AL504">
        <f>M504*M$3</f>
        <v>0</v>
      </c>
      <c r="AM504">
        <f>N504*N$3</f>
        <v>0</v>
      </c>
      <c r="AN504">
        <f>O504*O$3</f>
        <v>0</v>
      </c>
      <c r="AO504">
        <f>P504*P$3</f>
        <v>-13619.543822247932</v>
      </c>
      <c r="AP504">
        <f>Q504*Q$3</f>
        <v>-232156.0540334433</v>
      </c>
      <c r="AQ504">
        <f>R504*R$3</f>
        <v>-4068.9000656384492</v>
      </c>
      <c r="AR504" s="1">
        <f>S504*S$3</f>
        <v>3082.5994309169155</v>
      </c>
      <c r="AS504" s="1">
        <f t="shared" si="1101"/>
        <v>2627.1337216573211</v>
      </c>
      <c r="AT504" s="1">
        <f t="shared" si="1101"/>
        <v>-24644.03840708905</v>
      </c>
      <c r="AU504" s="1">
        <f t="shared" si="1101"/>
        <v>0</v>
      </c>
      <c r="AV504" s="1">
        <f t="shared" si="1101"/>
        <v>0</v>
      </c>
      <c r="AW504" s="1">
        <f t="shared" si="1101"/>
        <v>0</v>
      </c>
      <c r="AX504" s="1">
        <f t="shared" si="997"/>
        <v>4850.1968241538634</v>
      </c>
      <c r="AY504" s="1">
        <f t="shared" si="998"/>
        <v>-268778.80317584448</v>
      </c>
      <c r="AZ504" s="1">
        <f t="shared" si="999"/>
        <v>273628.99999999837</v>
      </c>
    </row>
    <row r="505" spans="1:52" x14ac:dyDescent="0.25">
      <c r="A505" s="4">
        <v>45359</v>
      </c>
      <c r="B505">
        <f t="shared" ref="B505:N505" si="1108">(B1055-B1054)*100</f>
        <v>0</v>
      </c>
      <c r="C505">
        <f t="shared" si="1108"/>
        <v>0</v>
      </c>
      <c r="D505">
        <f t="shared" si="1108"/>
        <v>0.99999999999997868</v>
      </c>
      <c r="E505">
        <f t="shared" si="1108"/>
        <v>0</v>
      </c>
      <c r="F505">
        <f t="shared" si="1108"/>
        <v>0</v>
      </c>
      <c r="G505">
        <f t="shared" si="1108"/>
        <v>0.99999999999997868</v>
      </c>
      <c r="H505">
        <f t="shared" si="1108"/>
        <v>1.9999999999999574</v>
      </c>
      <c r="I505">
        <f t="shared" si="1108"/>
        <v>3.0000000000000249</v>
      </c>
      <c r="J505">
        <f t="shared" si="1108"/>
        <v>1.0000000000000675</v>
      </c>
      <c r="K505">
        <f t="shared" si="1108"/>
        <v>0.99999999999997868</v>
      </c>
      <c r="L505">
        <f t="shared" si="1108"/>
        <v>0</v>
      </c>
      <c r="M505">
        <f t="shared" si="1108"/>
        <v>-1.0000000000000675</v>
      </c>
      <c r="N505">
        <f t="shared" si="1108"/>
        <v>-0.99999999999997868</v>
      </c>
      <c r="O505" s="5">
        <f t="shared" ref="O505:S514" si="1109">LN(O1054/O1055)</f>
        <v>7.8096230802925937E-3</v>
      </c>
      <c r="P505" s="5">
        <f t="shared" si="1109"/>
        <v>-3.6940266587895012E-3</v>
      </c>
      <c r="Q505" s="5">
        <f t="shared" si="1109"/>
        <v>2.5851642337474147E-3</v>
      </c>
      <c r="R505" s="5">
        <f t="shared" si="1109"/>
        <v>-6.2204392598222465E-3</v>
      </c>
      <c r="S505" s="5">
        <f t="shared" si="1109"/>
        <v>-3.4626464125424648E-3</v>
      </c>
      <c r="T505" s="5">
        <f t="shared" ref="T505:X505" si="1110">LN(T1054/T1055)</f>
        <v>-4.6321610049914023E-3</v>
      </c>
      <c r="U505" s="5">
        <f t="shared" si="1110"/>
        <v>-6.2727423183009424E-3</v>
      </c>
      <c r="V505" s="5">
        <f t="shared" si="1110"/>
        <v>-9.4300702354208482E-3</v>
      </c>
      <c r="W505" s="5">
        <f t="shared" si="1110"/>
        <v>-8.3416972886899265E-3</v>
      </c>
      <c r="X505" s="5">
        <f t="shared" si="1110"/>
        <v>-5.6844119608480542E-3</v>
      </c>
      <c r="Z505" s="4">
        <v>45359</v>
      </c>
      <c r="AA505">
        <f>B505*B$3</f>
        <v>0</v>
      </c>
      <c r="AB505">
        <f>C505*C$3</f>
        <v>0</v>
      </c>
      <c r="AC505">
        <f>D505*D$3</f>
        <v>16142.999999999656</v>
      </c>
      <c r="AD505">
        <f>E505*E$3</f>
        <v>0</v>
      </c>
      <c r="AE505">
        <f>F505*F$3</f>
        <v>0</v>
      </c>
      <c r="AF505">
        <f>G505*G$3</f>
        <v>-15627.999999999667</v>
      </c>
      <c r="AG505">
        <f>H505*H$3</f>
        <v>-56431.999999998799</v>
      </c>
      <c r="AH505">
        <f>I505*I$3</f>
        <v>-55368.000000000458</v>
      </c>
      <c r="AI505">
        <f>J505*J$3</f>
        <v>-51051.500000003449</v>
      </c>
      <c r="AJ505">
        <f>K505*K$3</f>
        <v>-78394.999999998327</v>
      </c>
      <c r="AK505">
        <f>L505*L$3</f>
        <v>0</v>
      </c>
      <c r="AL505">
        <f>M505*M$3</f>
        <v>-32073.000000002165</v>
      </c>
      <c r="AM505">
        <f>N505*N$3</f>
        <v>0</v>
      </c>
      <c r="AN505">
        <f>O505*O$3</f>
        <v>0</v>
      </c>
      <c r="AO505">
        <f>P505*P$3</f>
        <v>18470.133293947507</v>
      </c>
      <c r="AP505">
        <f>Q505*Q$3</f>
        <v>31021.970804968976</v>
      </c>
      <c r="AQ505">
        <f>R505*R$3</f>
        <v>93306.588897333699</v>
      </c>
      <c r="AR505" s="1">
        <f>S505*S$3</f>
        <v>24238.524887797255</v>
      </c>
      <c r="AS505" s="1">
        <f t="shared" si="1101"/>
        <v>-18528.64401996561</v>
      </c>
      <c r="AT505" s="1">
        <f t="shared" si="1101"/>
        <v>-50181.938546407539</v>
      </c>
      <c r="AU505" s="1">
        <f t="shared" si="1101"/>
        <v>0</v>
      </c>
      <c r="AV505" s="1">
        <f t="shared" si="1101"/>
        <v>0</v>
      </c>
      <c r="AW505" s="1">
        <f t="shared" si="1101"/>
        <v>0</v>
      </c>
      <c r="AX505" s="1">
        <f t="shared" si="997"/>
        <v>-174477.86468232892</v>
      </c>
      <c r="AY505" s="1">
        <f t="shared" si="998"/>
        <v>98326.635317674285</v>
      </c>
      <c r="AZ505" s="1">
        <f t="shared" si="999"/>
        <v>-272804.5000000032</v>
      </c>
    </row>
    <row r="506" spans="1:52" x14ac:dyDescent="0.25">
      <c r="A506" s="4">
        <v>45358</v>
      </c>
      <c r="B506">
        <f t="shared" ref="B506:N506" si="1111">(B1056-B1055)*100</f>
        <v>-0.99999999999997868</v>
      </c>
      <c r="C506">
        <f t="shared" si="1111"/>
        <v>-1.0000000000000675</v>
      </c>
      <c r="D506">
        <f t="shared" si="1111"/>
        <v>0</v>
      </c>
      <c r="E506">
        <f t="shared" si="1111"/>
        <v>0</v>
      </c>
      <c r="F506">
        <f t="shared" si="1111"/>
        <v>0.99999999999997868</v>
      </c>
      <c r="G506">
        <f t="shared" si="1111"/>
        <v>2.0000000000000462</v>
      </c>
      <c r="H506">
        <f t="shared" si="1111"/>
        <v>4.9999999999999822</v>
      </c>
      <c r="I506">
        <f t="shared" si="1111"/>
        <v>4.0000000000000036</v>
      </c>
      <c r="J506">
        <f t="shared" si="1111"/>
        <v>4.9999999999999822</v>
      </c>
      <c r="K506">
        <f t="shared" si="1111"/>
        <v>3.0000000000000249</v>
      </c>
      <c r="L506">
        <f t="shared" si="1111"/>
        <v>2.0000000000000462</v>
      </c>
      <c r="M506">
        <f t="shared" si="1111"/>
        <v>1.0000000000000675</v>
      </c>
      <c r="N506">
        <f t="shared" si="1111"/>
        <v>-0.99999999999997868</v>
      </c>
      <c r="O506" s="5">
        <f t="shared" si="1109"/>
        <v>-6.8856578523532059E-4</v>
      </c>
      <c r="P506" s="5">
        <f t="shared" si="1109"/>
        <v>-4.2094253480474167E-4</v>
      </c>
      <c r="Q506" s="5">
        <f t="shared" si="1109"/>
        <v>5.0060892647282385E-3</v>
      </c>
      <c r="R506" s="5">
        <f t="shared" si="1109"/>
        <v>-6.4499014249929931E-3</v>
      </c>
      <c r="S506" s="5">
        <f t="shared" si="1109"/>
        <v>-1.4870948408258462E-3</v>
      </c>
      <c r="T506" s="5">
        <f t="shared" ref="T506:X506" si="1112">LN(T1055/T1056)</f>
        <v>-4.0029938605658996E-3</v>
      </c>
      <c r="U506" s="5">
        <f t="shared" si="1112"/>
        <v>-2.4041193384417704E-3</v>
      </c>
      <c r="V506" s="5">
        <f t="shared" si="1112"/>
        <v>-5.2118520284680546E-3</v>
      </c>
      <c r="W506" s="5">
        <f t="shared" si="1112"/>
        <v>-9.5482538636658797E-3</v>
      </c>
      <c r="X506" s="5">
        <f t="shared" si="1112"/>
        <v>-1.6764569666190114E-3</v>
      </c>
      <c r="Z506" s="4">
        <v>45358</v>
      </c>
      <c r="AA506">
        <f>B506*B$3</f>
        <v>982.99999999997908</v>
      </c>
      <c r="AB506">
        <f>C506*C$3</f>
        <v>2584.0000000001746</v>
      </c>
      <c r="AC506">
        <f>D506*D$3</f>
        <v>0</v>
      </c>
      <c r="AD506">
        <f>E506*E$3</f>
        <v>0</v>
      </c>
      <c r="AE506">
        <f>F506*F$3</f>
        <v>-12427.999999999734</v>
      </c>
      <c r="AF506">
        <f>G506*G$3</f>
        <v>-31256.00000000072</v>
      </c>
      <c r="AG506">
        <f>H506*H$3</f>
        <v>-141079.99999999951</v>
      </c>
      <c r="AH506">
        <f>I506*I$3</f>
        <v>-73824.000000000073</v>
      </c>
      <c r="AI506">
        <f>J506*J$3</f>
        <v>-255257.4999999991</v>
      </c>
      <c r="AJ506">
        <f>K506*K$3</f>
        <v>-235185.00000000195</v>
      </c>
      <c r="AK506">
        <f>L506*L$3</f>
        <v>62008.000000001433</v>
      </c>
      <c r="AL506">
        <f>M506*M$3</f>
        <v>32073.000000002165</v>
      </c>
      <c r="AM506">
        <f>N506*N$3</f>
        <v>0</v>
      </c>
      <c r="AN506">
        <f>O506*O$3</f>
        <v>0</v>
      </c>
      <c r="AO506">
        <f>P506*P$3</f>
        <v>2104.7126740237081</v>
      </c>
      <c r="AP506">
        <f>Q506*Q$3</f>
        <v>60073.071176738864</v>
      </c>
      <c r="AQ506">
        <f>R506*R$3</f>
        <v>96748.521374894903</v>
      </c>
      <c r="AR506" s="1">
        <f>S506*S$3</f>
        <v>10409.663885780923</v>
      </c>
      <c r="AS506" s="1">
        <f t="shared" si="1101"/>
        <v>-16011.975442263598</v>
      </c>
      <c r="AT506" s="1">
        <f t="shared" si="1101"/>
        <v>-19232.954707534162</v>
      </c>
      <c r="AU506" s="1">
        <f t="shared" si="1101"/>
        <v>0</v>
      </c>
      <c r="AV506" s="1">
        <f t="shared" si="1101"/>
        <v>0</v>
      </c>
      <c r="AW506" s="1">
        <f t="shared" si="1101"/>
        <v>0</v>
      </c>
      <c r="AX506" s="1">
        <f t="shared" si="997"/>
        <v>-517291.46103835676</v>
      </c>
      <c r="AY506" s="1">
        <f t="shared" si="998"/>
        <v>134091.03896164065</v>
      </c>
      <c r="AZ506" s="1">
        <f t="shared" si="999"/>
        <v>-651382.49999999744</v>
      </c>
    </row>
    <row r="507" spans="1:52" x14ac:dyDescent="0.25">
      <c r="A507" s="4">
        <v>45357</v>
      </c>
      <c r="B507">
        <f t="shared" ref="B507:N507" si="1113">(B1057-B1056)*100</f>
        <v>0</v>
      </c>
      <c r="C507">
        <f t="shared" si="1113"/>
        <v>0</v>
      </c>
      <c r="D507">
        <f t="shared" si="1113"/>
        <v>0</v>
      </c>
      <c r="E507">
        <f t="shared" si="1113"/>
        <v>0</v>
      </c>
      <c r="F507">
        <f t="shared" si="1113"/>
        <v>0</v>
      </c>
      <c r="G507">
        <f t="shared" si="1113"/>
        <v>-0.99999999999997868</v>
      </c>
      <c r="H507">
        <f t="shared" si="1113"/>
        <v>-0.99999999999997868</v>
      </c>
      <c r="I507">
        <f t="shared" si="1113"/>
        <v>0</v>
      </c>
      <c r="J507">
        <f t="shared" si="1113"/>
        <v>0.99999999999997868</v>
      </c>
      <c r="K507">
        <f t="shared" si="1113"/>
        <v>3.0000000000000249</v>
      </c>
      <c r="L507">
        <f t="shared" si="1113"/>
        <v>1.9999999999999574</v>
      </c>
      <c r="M507">
        <f t="shared" si="1113"/>
        <v>2.9999999999999361</v>
      </c>
      <c r="N507">
        <f t="shared" si="1113"/>
        <v>2.9999999999999361</v>
      </c>
      <c r="O507" s="5">
        <f t="shared" si="1109"/>
        <v>-1.8203888522171619E-3</v>
      </c>
      <c r="P507" s="5">
        <f t="shared" si="1109"/>
        <v>-6.2042509836507387E-3</v>
      </c>
      <c r="Q507" s="5">
        <f t="shared" si="1109"/>
        <v>4.5578743162771763E-3</v>
      </c>
      <c r="R507" s="5">
        <f t="shared" si="1109"/>
        <v>-3.20941703673605E-3</v>
      </c>
      <c r="S507" s="5">
        <f t="shared" si="1109"/>
        <v>-3.4160789721358158E-3</v>
      </c>
      <c r="T507" s="5">
        <f t="shared" ref="T507:X507" si="1114">LN(T1056/T1057)</f>
        <v>-7.5991154754436111E-5</v>
      </c>
      <c r="U507" s="5">
        <f t="shared" si="1114"/>
        <v>-1.0158462453857889E-3</v>
      </c>
      <c r="V507" s="5">
        <f t="shared" si="1114"/>
        <v>-2.7752871889444217E-3</v>
      </c>
      <c r="W507" s="5">
        <f t="shared" si="1114"/>
        <v>5.7188118121107847E-4</v>
      </c>
      <c r="X507" s="5">
        <f t="shared" si="1114"/>
        <v>-1.8317654486047585E-3</v>
      </c>
      <c r="Z507" s="4">
        <v>45357</v>
      </c>
      <c r="AA507">
        <f>B507*B$3</f>
        <v>0</v>
      </c>
      <c r="AB507">
        <f>C507*C$3</f>
        <v>0</v>
      </c>
      <c r="AC507">
        <f>D507*D$3</f>
        <v>0</v>
      </c>
      <c r="AD507">
        <f>E507*E$3</f>
        <v>0</v>
      </c>
      <c r="AE507">
        <f>F507*F$3</f>
        <v>0</v>
      </c>
      <c r="AF507">
        <f>G507*G$3</f>
        <v>15627.999999999667</v>
      </c>
      <c r="AG507">
        <f>H507*H$3</f>
        <v>28215.9999999994</v>
      </c>
      <c r="AH507">
        <f>I507*I$3</f>
        <v>0</v>
      </c>
      <c r="AI507">
        <f>J507*J$3</f>
        <v>-51051.499999998909</v>
      </c>
      <c r="AJ507">
        <f>K507*K$3</f>
        <v>-235185.00000000195</v>
      </c>
      <c r="AK507">
        <f>L507*L$3</f>
        <v>62007.999999998676</v>
      </c>
      <c r="AL507">
        <f>M507*M$3</f>
        <v>96218.999999997948</v>
      </c>
      <c r="AM507">
        <f>N507*N$3</f>
        <v>0</v>
      </c>
      <c r="AN507">
        <f>O507*O$3</f>
        <v>0</v>
      </c>
      <c r="AO507">
        <f>P507*P$3</f>
        <v>31021.254918253693</v>
      </c>
      <c r="AP507">
        <f>Q507*Q$3</f>
        <v>54694.491795326117</v>
      </c>
      <c r="AQ507">
        <f>R507*R$3</f>
        <v>48141.255551040747</v>
      </c>
      <c r="AR507" s="1">
        <f>S507*S$3</f>
        <v>23912.552804950712</v>
      </c>
      <c r="AS507" s="1">
        <f t="shared" si="1101"/>
        <v>-303.96461901774444</v>
      </c>
      <c r="AT507" s="1">
        <f t="shared" si="1101"/>
        <v>-8126.7699630863108</v>
      </c>
      <c r="AU507" s="1">
        <f t="shared" si="1101"/>
        <v>0</v>
      </c>
      <c r="AV507" s="1">
        <f t="shared" si="1101"/>
        <v>0</v>
      </c>
      <c r="AW507" s="1">
        <f t="shared" si="1101"/>
        <v>0</v>
      </c>
      <c r="AX507" s="1">
        <f t="shared" si="997"/>
        <v>65173.320487462006</v>
      </c>
      <c r="AY507" s="1">
        <f t="shared" si="998"/>
        <v>149338.82048746722</v>
      </c>
      <c r="AZ507" s="1">
        <f t="shared" si="999"/>
        <v>-84165.50000000521</v>
      </c>
    </row>
    <row r="508" spans="1:52" x14ac:dyDescent="0.25">
      <c r="A508" s="4">
        <v>45356</v>
      </c>
      <c r="B508">
        <f t="shared" ref="B508:N508" si="1115">(B1058-B1057)*100</f>
        <v>0.99999999999997868</v>
      </c>
      <c r="C508">
        <f t="shared" si="1115"/>
        <v>2.0000000000000462</v>
      </c>
      <c r="D508">
        <f t="shared" si="1115"/>
        <v>1.0000000000000675</v>
      </c>
      <c r="E508">
        <f t="shared" si="1115"/>
        <v>1.9999999999999574</v>
      </c>
      <c r="F508">
        <f t="shared" si="1115"/>
        <v>2.0000000000000462</v>
      </c>
      <c r="G508">
        <f t="shared" si="1115"/>
        <v>4.0000000000000036</v>
      </c>
      <c r="H508">
        <f t="shared" si="1115"/>
        <v>7.0000000000000284</v>
      </c>
      <c r="I508">
        <f t="shared" si="1115"/>
        <v>6.9999999999999396</v>
      </c>
      <c r="J508">
        <f t="shared" si="1115"/>
        <v>8.0000000000000071</v>
      </c>
      <c r="K508">
        <f t="shared" si="1115"/>
        <v>8.0000000000000071</v>
      </c>
      <c r="L508">
        <f t="shared" si="1115"/>
        <v>8.9999999999999858</v>
      </c>
      <c r="M508">
        <f t="shared" si="1115"/>
        <v>9.0000000000000746</v>
      </c>
      <c r="N508">
        <f t="shared" si="1115"/>
        <v>9.0000000000000746</v>
      </c>
      <c r="O508" s="5">
        <f t="shared" si="1109"/>
        <v>2.6274038369779947E-4</v>
      </c>
      <c r="P508" s="5">
        <f t="shared" si="1109"/>
        <v>1.0652059137011768E-3</v>
      </c>
      <c r="Q508" s="5">
        <f t="shared" si="1109"/>
        <v>5.6853217373538864E-3</v>
      </c>
      <c r="R508" s="5">
        <f t="shared" si="1109"/>
        <v>-6.3880973158156173E-3</v>
      </c>
      <c r="S508" s="5">
        <f t="shared" si="1109"/>
        <v>-7.6671742553081174E-4</v>
      </c>
      <c r="T508" s="5">
        <f t="shared" ref="T508:X508" si="1116">LN(T1057/T1058)</f>
        <v>-1.1500159935801096E-3</v>
      </c>
      <c r="U508" s="5">
        <f t="shared" si="1116"/>
        <v>-2.497293938283472E-3</v>
      </c>
      <c r="V508" s="5">
        <f t="shared" si="1116"/>
        <v>2.4021470138447165E-3</v>
      </c>
      <c r="W508" s="5">
        <f t="shared" si="1116"/>
        <v>3.1088349121003458E-3</v>
      </c>
      <c r="X508" s="5">
        <f t="shared" si="1116"/>
        <v>2.103456189436637E-3</v>
      </c>
      <c r="Z508" s="4">
        <v>45356</v>
      </c>
      <c r="AA508">
        <f>B508*B$3</f>
        <v>-982.99999999997908</v>
      </c>
      <c r="AB508">
        <f>C508*C$3</f>
        <v>-5168.0000000001191</v>
      </c>
      <c r="AC508">
        <f>D508*D$3</f>
        <v>16143.00000000109</v>
      </c>
      <c r="AD508">
        <f>E508*E$3</f>
        <v>4855.9999999998963</v>
      </c>
      <c r="AE508">
        <f>F508*F$3</f>
        <v>-24856.000000000575</v>
      </c>
      <c r="AF508">
        <f>G508*G$3</f>
        <v>-62512.000000000058</v>
      </c>
      <c r="AG508">
        <f>H508*H$3</f>
        <v>-197512.00000000081</v>
      </c>
      <c r="AH508">
        <f>I508*I$3</f>
        <v>-129191.99999999888</v>
      </c>
      <c r="AI508">
        <f>J508*J$3</f>
        <v>-408412.00000000035</v>
      </c>
      <c r="AJ508">
        <f>K508*K$3</f>
        <v>-627160.00000000058</v>
      </c>
      <c r="AK508">
        <f>L508*L$3</f>
        <v>279035.99999999953</v>
      </c>
      <c r="AL508">
        <f>M508*M$3</f>
        <v>288657.00000000239</v>
      </c>
      <c r="AM508">
        <f>N508*N$3</f>
        <v>0</v>
      </c>
      <c r="AN508">
        <f>O508*O$3</f>
        <v>0</v>
      </c>
      <c r="AO508">
        <f>P508*P$3</f>
        <v>-5326.0295685058845</v>
      </c>
      <c r="AP508">
        <f>Q508*Q$3</f>
        <v>68223.860848246637</v>
      </c>
      <c r="AQ508">
        <f>R508*R$3</f>
        <v>95821.459737234254</v>
      </c>
      <c r="AR508" s="1">
        <f>S508*S$3</f>
        <v>5367.0219787156821</v>
      </c>
      <c r="AS508" s="1">
        <f t="shared" si="1101"/>
        <v>-4600.0639743204383</v>
      </c>
      <c r="AT508" s="1">
        <f t="shared" si="1101"/>
        <v>-19978.351506267776</v>
      </c>
      <c r="AU508" s="1">
        <f t="shared" si="1101"/>
        <v>0</v>
      </c>
      <c r="AV508" s="1">
        <f t="shared" si="1101"/>
        <v>0</v>
      </c>
      <c r="AW508" s="1">
        <f t="shared" si="1101"/>
        <v>0</v>
      </c>
      <c r="AX508" s="1">
        <f t="shared" si="997"/>
        <v>-727595.1024848962</v>
      </c>
      <c r="AY508" s="1">
        <f t="shared" si="998"/>
        <v>139507.89751510246</v>
      </c>
      <c r="AZ508" s="1">
        <f t="shared" si="999"/>
        <v>-867102.9999999986</v>
      </c>
    </row>
    <row r="509" spans="1:52" x14ac:dyDescent="0.25">
      <c r="A509" s="4">
        <v>45355</v>
      </c>
      <c r="B509">
        <f t="shared" ref="B509:N509" si="1117">(B1059-B1058)*100</f>
        <v>3.0000000000000249</v>
      </c>
      <c r="C509">
        <f t="shared" si="1117"/>
        <v>0</v>
      </c>
      <c r="D509">
        <f t="shared" si="1117"/>
        <v>-6.0000000000000497</v>
      </c>
      <c r="E509">
        <f t="shared" si="1117"/>
        <v>-0.99999999999997868</v>
      </c>
      <c r="F509">
        <f t="shared" si="1117"/>
        <v>-10.000000000000053</v>
      </c>
      <c r="G509">
        <f t="shared" si="1117"/>
        <v>-4.0000000000000036</v>
      </c>
      <c r="H509">
        <f t="shared" si="1117"/>
        <v>-7.0000000000000284</v>
      </c>
      <c r="I509">
        <f t="shared" si="1117"/>
        <v>-6.9999999999999396</v>
      </c>
      <c r="J509">
        <f t="shared" si="1117"/>
        <v>-4.0000000000000036</v>
      </c>
      <c r="K509">
        <f t="shared" si="1117"/>
        <v>-3.0000000000000249</v>
      </c>
      <c r="L509">
        <f t="shared" si="1117"/>
        <v>-2.9999999999999361</v>
      </c>
      <c r="M509">
        <f t="shared" si="1117"/>
        <v>-2.0000000000000462</v>
      </c>
      <c r="N509">
        <f t="shared" si="1117"/>
        <v>-3.0000000000000249</v>
      </c>
      <c r="O509" s="5">
        <f t="shared" si="1109"/>
        <v>-2.4428417740280438E-3</v>
      </c>
      <c r="P509" s="5">
        <f t="shared" si="1109"/>
        <v>-1.6353855357244954E-3</v>
      </c>
      <c r="Q509" s="5">
        <f t="shared" si="1109"/>
        <v>-3.6151088784853939E-3</v>
      </c>
      <c r="R509" s="5">
        <f t="shared" si="1109"/>
        <v>5.3078557509439776E-4</v>
      </c>
      <c r="S509" s="5">
        <f t="shared" si="1109"/>
        <v>-3.6074671829073811E-3</v>
      </c>
      <c r="T509" s="5">
        <f t="shared" ref="T509:X509" si="1118">LN(T1058/T1059)</f>
        <v>-3.4852552521657549E-3</v>
      </c>
      <c r="U509" s="5">
        <f t="shared" si="1118"/>
        <v>-2.756086889250373E-3</v>
      </c>
      <c r="V509" s="5">
        <f t="shared" si="1118"/>
        <v>6.6585655837979668E-5</v>
      </c>
      <c r="W509" s="5">
        <f t="shared" si="1118"/>
        <v>-4.526585553277911E-3</v>
      </c>
      <c r="X509" s="5">
        <f t="shared" si="1118"/>
        <v>-1.1992817077271318E-3</v>
      </c>
      <c r="Z509" s="4">
        <v>45355</v>
      </c>
      <c r="AA509">
        <f>B509*B$3</f>
        <v>-2949.0000000000246</v>
      </c>
      <c r="AB509">
        <f>C509*C$3</f>
        <v>0</v>
      </c>
      <c r="AC509">
        <f>D509*D$3</f>
        <v>-96858.0000000008</v>
      </c>
      <c r="AD509">
        <f>E509*E$3</f>
        <v>-2427.9999999999482</v>
      </c>
      <c r="AE509">
        <f>F509*F$3</f>
        <v>124280.00000000067</v>
      </c>
      <c r="AF509">
        <f>G509*G$3</f>
        <v>62512.000000000058</v>
      </c>
      <c r="AG509">
        <f>H509*H$3</f>
        <v>197512.00000000081</v>
      </c>
      <c r="AH509">
        <f>I509*I$3</f>
        <v>129191.99999999888</v>
      </c>
      <c r="AI509">
        <f>J509*J$3</f>
        <v>204206.00000000017</v>
      </c>
      <c r="AJ509">
        <f>K509*K$3</f>
        <v>235185.00000000195</v>
      </c>
      <c r="AK509">
        <f>L509*L$3</f>
        <v>-93011.999999998021</v>
      </c>
      <c r="AL509">
        <f>M509*M$3</f>
        <v>-64146.000000001484</v>
      </c>
      <c r="AM509">
        <f>N509*N$3</f>
        <v>0</v>
      </c>
      <c r="AN509">
        <f>O509*O$3</f>
        <v>0</v>
      </c>
      <c r="AO509">
        <f>P509*P$3</f>
        <v>8176.9276786224773</v>
      </c>
      <c r="AP509">
        <f>Q509*Q$3</f>
        <v>-43381.306541824728</v>
      </c>
      <c r="AQ509">
        <f>R509*R$3</f>
        <v>-7961.783626415966</v>
      </c>
      <c r="AR509" s="1">
        <f>S509*S$3</f>
        <v>25252.270280351669</v>
      </c>
      <c r="AS509" s="1">
        <f t="shared" si="1101"/>
        <v>-13941.02100866302</v>
      </c>
      <c r="AT509" s="1">
        <f t="shared" si="1101"/>
        <v>-22048.695114002985</v>
      </c>
      <c r="AU509" s="1">
        <f t="shared" si="1101"/>
        <v>0</v>
      </c>
      <c r="AV509" s="1">
        <f t="shared" si="1101"/>
        <v>0</v>
      </c>
      <c r="AW509" s="1">
        <f t="shared" si="1101"/>
        <v>0</v>
      </c>
      <c r="AX509" s="1">
        <f t="shared" si="997"/>
        <v>639590.39166806953</v>
      </c>
      <c r="AY509" s="1">
        <f t="shared" si="998"/>
        <v>-53903.608331932548</v>
      </c>
      <c r="AZ509" s="1">
        <f t="shared" si="999"/>
        <v>693494.0000000021</v>
      </c>
    </row>
    <row r="510" spans="1:52" x14ac:dyDescent="0.25">
      <c r="A510" s="4">
        <v>45352</v>
      </c>
      <c r="B510">
        <f t="shared" ref="B510:N510" si="1119">(B1060-B1059)*100</f>
        <v>-0.99999999999997868</v>
      </c>
      <c r="C510">
        <f t="shared" si="1119"/>
        <v>0.99999999999997868</v>
      </c>
      <c r="D510">
        <f t="shared" si="1119"/>
        <v>3.0000000000000249</v>
      </c>
      <c r="E510">
        <f t="shared" si="1119"/>
        <v>1.9999999999999574</v>
      </c>
      <c r="F510">
        <f t="shared" si="1119"/>
        <v>3.0000000000000249</v>
      </c>
      <c r="G510">
        <f t="shared" si="1119"/>
        <v>6.9999999999999396</v>
      </c>
      <c r="H510">
        <f t="shared" si="1119"/>
        <v>9.9999999999999645</v>
      </c>
      <c r="I510">
        <f t="shared" si="1119"/>
        <v>10.999999999999943</v>
      </c>
      <c r="J510">
        <f t="shared" si="1119"/>
        <v>8.9999999999999858</v>
      </c>
      <c r="K510">
        <f t="shared" si="1119"/>
        <v>8.0000000000000071</v>
      </c>
      <c r="L510">
        <f t="shared" si="1119"/>
        <v>5.9999999999999609</v>
      </c>
      <c r="M510">
        <f t="shared" si="1119"/>
        <v>4.9999999999999822</v>
      </c>
      <c r="N510">
        <f t="shared" si="1119"/>
        <v>4.9999999999999822</v>
      </c>
      <c r="O510" s="5">
        <f t="shared" si="1109"/>
        <v>-4.7675175543283798E-3</v>
      </c>
      <c r="P510" s="5">
        <f t="shared" si="1109"/>
        <v>5.1433583239883533E-3</v>
      </c>
      <c r="Q510" s="5">
        <f t="shared" si="1109"/>
        <v>-1.0543146736196378E-2</v>
      </c>
      <c r="R510" s="5">
        <f t="shared" si="1109"/>
        <v>-3.1804956574479309E-3</v>
      </c>
      <c r="S510" s="5">
        <f t="shared" si="1109"/>
        <v>-1.8252517722399191E-3</v>
      </c>
      <c r="T510" s="5">
        <f t="shared" ref="T510:X510" si="1120">LN(T1059/T1060)</f>
        <v>3.1275423260022561E-3</v>
      </c>
      <c r="U510" s="5">
        <f t="shared" si="1120"/>
        <v>2.971407279430965E-3</v>
      </c>
      <c r="V510" s="5">
        <f t="shared" si="1120"/>
        <v>-3.730695998625075E-3</v>
      </c>
      <c r="W510" s="5">
        <f t="shared" si="1120"/>
        <v>-5.6966421767293946E-4</v>
      </c>
      <c r="X510" s="5">
        <f t="shared" si="1120"/>
        <v>6.4545695014354551E-3</v>
      </c>
      <c r="Z510" s="4">
        <v>45352</v>
      </c>
      <c r="AA510">
        <f>B510*B$3</f>
        <v>982.99999999997908</v>
      </c>
      <c r="AB510">
        <f>C510*C$3</f>
        <v>-2583.999999999945</v>
      </c>
      <c r="AC510">
        <f>D510*D$3</f>
        <v>48429.0000000004</v>
      </c>
      <c r="AD510">
        <f>E510*E$3</f>
        <v>4855.9999999998963</v>
      </c>
      <c r="AE510">
        <f>F510*F$3</f>
        <v>-37284.000000000306</v>
      </c>
      <c r="AF510">
        <f>G510*G$3</f>
        <v>-109395.99999999905</v>
      </c>
      <c r="AG510">
        <f>H510*H$3</f>
        <v>-282159.99999999901</v>
      </c>
      <c r="AH510">
        <f>I510*I$3</f>
        <v>-203015.99999999895</v>
      </c>
      <c r="AI510">
        <f>J510*J$3</f>
        <v>-459463.4999999993</v>
      </c>
      <c r="AJ510">
        <f>K510*K$3</f>
        <v>-627160.00000000058</v>
      </c>
      <c r="AK510">
        <f>L510*L$3</f>
        <v>186023.99999999878</v>
      </c>
      <c r="AL510">
        <f>M510*M$3</f>
        <v>160364.99999999942</v>
      </c>
      <c r="AM510">
        <f>N510*N$3</f>
        <v>0</v>
      </c>
      <c r="AN510">
        <f>O510*O$3</f>
        <v>0</v>
      </c>
      <c r="AO510">
        <f>P510*P$3</f>
        <v>-25716.791619941767</v>
      </c>
      <c r="AP510">
        <f>Q510*Q$3</f>
        <v>-126517.76083435654</v>
      </c>
      <c r="AQ510">
        <f>R510*R$3</f>
        <v>47707.434861718961</v>
      </c>
      <c r="AR510" s="1">
        <f>S510*S$3</f>
        <v>12776.762405679434</v>
      </c>
      <c r="AS510" s="1">
        <f t="shared" si="1101"/>
        <v>12510.169304009025</v>
      </c>
      <c r="AT510" s="1">
        <f t="shared" si="1101"/>
        <v>23771.25823544772</v>
      </c>
      <c r="AU510" s="1">
        <f t="shared" si="1101"/>
        <v>0</v>
      </c>
      <c r="AV510" s="1">
        <f t="shared" si="1101"/>
        <v>0</v>
      </c>
      <c r="AW510" s="1">
        <f t="shared" si="1101"/>
        <v>0</v>
      </c>
      <c r="AX510" s="1">
        <f t="shared" si="997"/>
        <v>-1375875.4276474419</v>
      </c>
      <c r="AY510" s="1">
        <f t="shared" si="998"/>
        <v>-55468.927647443168</v>
      </c>
      <c r="AZ510" s="1">
        <f t="shared" si="999"/>
        <v>-1320406.4999999986</v>
      </c>
    </row>
    <row r="511" spans="1:52" x14ac:dyDescent="0.25">
      <c r="A511" s="4">
        <v>45351</v>
      </c>
      <c r="B511">
        <f t="shared" ref="B511:N511" si="1121">(B1061-B1060)*100</f>
        <v>-3.0000000000000249</v>
      </c>
      <c r="C511">
        <f t="shared" si="1121"/>
        <v>0.99999999999997868</v>
      </c>
      <c r="D511">
        <f t="shared" si="1121"/>
        <v>0</v>
      </c>
      <c r="E511">
        <f t="shared" si="1121"/>
        <v>0</v>
      </c>
      <c r="F511">
        <f t="shared" si="1121"/>
        <v>0.99999999999997868</v>
      </c>
      <c r="G511">
        <f t="shared" si="1121"/>
        <v>-0.99999999999997868</v>
      </c>
      <c r="H511">
        <f t="shared" si="1121"/>
        <v>0</v>
      </c>
      <c r="I511">
        <f t="shared" si="1121"/>
        <v>1.0000000000000675</v>
      </c>
      <c r="J511">
        <f t="shared" si="1121"/>
        <v>0</v>
      </c>
      <c r="K511">
        <f t="shared" si="1121"/>
        <v>0</v>
      </c>
      <c r="L511">
        <f t="shared" si="1121"/>
        <v>1.9999999999999574</v>
      </c>
      <c r="M511">
        <f t="shared" si="1121"/>
        <v>2.0000000000000462</v>
      </c>
      <c r="N511">
        <f t="shared" si="1121"/>
        <v>2.0000000000000462</v>
      </c>
      <c r="O511" s="5">
        <f t="shared" si="1109"/>
        <v>5.5542282366781697E-3</v>
      </c>
      <c r="P511" s="5">
        <f t="shared" si="1109"/>
        <v>5.8586040367987165E-4</v>
      </c>
      <c r="Q511" s="5">
        <f t="shared" si="1109"/>
        <v>-4.4179395120690287E-3</v>
      </c>
      <c r="R511" s="5">
        <f t="shared" si="1109"/>
        <v>-3.9614471454705253E-3</v>
      </c>
      <c r="S511" s="5">
        <f t="shared" si="1109"/>
        <v>-3.3542247517361363E-3</v>
      </c>
      <c r="T511" s="5">
        <f t="shared" ref="T511:X511" si="1122">LN(T1060/T1061)</f>
        <v>5.529550220351409E-4</v>
      </c>
      <c r="U511" s="5">
        <f t="shared" si="1122"/>
        <v>1.4699441178290631E-3</v>
      </c>
      <c r="V511" s="5">
        <f t="shared" si="1122"/>
        <v>1.0693024894996223E-3</v>
      </c>
      <c r="W511" s="5">
        <f t="shared" si="1122"/>
        <v>7.5465935766446867E-3</v>
      </c>
      <c r="X511" s="5">
        <f t="shared" si="1122"/>
        <v>-1.0242105753356578E-4</v>
      </c>
      <c r="Z511" s="4">
        <v>45351</v>
      </c>
      <c r="AA511">
        <f>B511*B$3</f>
        <v>2949.0000000000246</v>
      </c>
      <c r="AB511">
        <f>C511*C$3</f>
        <v>-2583.999999999945</v>
      </c>
      <c r="AC511">
        <f>D511*D$3</f>
        <v>0</v>
      </c>
      <c r="AD511">
        <f>E511*E$3</f>
        <v>0</v>
      </c>
      <c r="AE511">
        <f>F511*F$3</f>
        <v>-12427.999999999734</v>
      </c>
      <c r="AF511">
        <f>G511*G$3</f>
        <v>15627.999999999667</v>
      </c>
      <c r="AG511">
        <f>H511*H$3</f>
        <v>0</v>
      </c>
      <c r="AH511">
        <f>I511*I$3</f>
        <v>-18456.000000001244</v>
      </c>
      <c r="AI511">
        <f>J511*J$3</f>
        <v>0</v>
      </c>
      <c r="AJ511">
        <f>K511*K$3</f>
        <v>0</v>
      </c>
      <c r="AK511">
        <f>L511*L$3</f>
        <v>62007.999999998676</v>
      </c>
      <c r="AL511">
        <f>M511*M$3</f>
        <v>64146.000000001484</v>
      </c>
      <c r="AM511">
        <f>N511*N$3</f>
        <v>0</v>
      </c>
      <c r="AN511">
        <f>O511*O$3</f>
        <v>0</v>
      </c>
      <c r="AO511">
        <f>P511*P$3</f>
        <v>-2929.3020183993581</v>
      </c>
      <c r="AP511">
        <f>Q511*Q$3</f>
        <v>-53015.274144828341</v>
      </c>
      <c r="AQ511">
        <f>R511*R$3</f>
        <v>59421.707182057879</v>
      </c>
      <c r="AR511" s="1">
        <f>S511*S$3</f>
        <v>23479.573262152953</v>
      </c>
      <c r="AS511" s="1">
        <f t="shared" si="1101"/>
        <v>2211.8200881405637</v>
      </c>
      <c r="AT511" s="1">
        <f t="shared" si="1101"/>
        <v>11759.552942632505</v>
      </c>
      <c r="AU511" s="1">
        <f t="shared" si="1101"/>
        <v>0</v>
      </c>
      <c r="AV511" s="1">
        <f t="shared" si="1101"/>
        <v>0</v>
      </c>
      <c r="AW511" s="1">
        <f t="shared" si="1101"/>
        <v>0</v>
      </c>
      <c r="AX511" s="1">
        <f t="shared" si="997"/>
        <v>152191.0773117551</v>
      </c>
      <c r="AY511" s="1">
        <f t="shared" si="998"/>
        <v>40928.077311756206</v>
      </c>
      <c r="AZ511" s="1">
        <f t="shared" si="999"/>
        <v>111262.99999999889</v>
      </c>
    </row>
    <row r="512" spans="1:52" x14ac:dyDescent="0.25">
      <c r="A512" s="4">
        <v>45350</v>
      </c>
      <c r="B512">
        <f t="shared" ref="B512:N512" si="1123">(B1062-B1061)*100</f>
        <v>0</v>
      </c>
      <c r="C512">
        <f t="shared" si="1123"/>
        <v>0.99999999999997868</v>
      </c>
      <c r="D512">
        <f t="shared" si="1123"/>
        <v>0</v>
      </c>
      <c r="E512">
        <f t="shared" si="1123"/>
        <v>4.0000000000000036</v>
      </c>
      <c r="F512">
        <f t="shared" si="1123"/>
        <v>2.0000000000000462</v>
      </c>
      <c r="G512">
        <f t="shared" si="1123"/>
        <v>3.0000000000000249</v>
      </c>
      <c r="H512">
        <f t="shared" si="1123"/>
        <v>6.0000000000000497</v>
      </c>
      <c r="I512">
        <f t="shared" si="1123"/>
        <v>5.9999999999999609</v>
      </c>
      <c r="J512">
        <f t="shared" si="1123"/>
        <v>6.0000000000000497</v>
      </c>
      <c r="K512">
        <f t="shared" si="1123"/>
        <v>5.9999999999999609</v>
      </c>
      <c r="L512">
        <f t="shared" si="1123"/>
        <v>4.0000000000000036</v>
      </c>
      <c r="M512">
        <f t="shared" si="1123"/>
        <v>4.0000000000000036</v>
      </c>
      <c r="N512">
        <f t="shared" si="1123"/>
        <v>4.0000000000000036</v>
      </c>
      <c r="O512" s="5">
        <f t="shared" si="1109"/>
        <v>-3.6317414599290165E-4</v>
      </c>
      <c r="P512" s="5">
        <f t="shared" si="1109"/>
        <v>-2.2396995949673596E-3</v>
      </c>
      <c r="Q512" s="5">
        <f t="shared" si="1109"/>
        <v>-2.353682264233067E-3</v>
      </c>
      <c r="R512" s="5">
        <f t="shared" si="1109"/>
        <v>1.8467225931647112E-3</v>
      </c>
      <c r="S512" s="5">
        <f t="shared" si="1109"/>
        <v>3.084534424948839E-3</v>
      </c>
      <c r="T512" s="5">
        <f t="shared" ref="T512:X512" si="1124">LN(T1061/T1062)</f>
        <v>5.6407503000983829E-4</v>
      </c>
      <c r="U512" s="5">
        <f t="shared" si="1124"/>
        <v>2.2830308917853217E-4</v>
      </c>
      <c r="V512" s="5">
        <f t="shared" si="1124"/>
        <v>-4.7165955954954643E-4</v>
      </c>
      <c r="W512" s="5">
        <f t="shared" si="1124"/>
        <v>-6.5738928626552287E-4</v>
      </c>
      <c r="X512" s="5">
        <f t="shared" si="1124"/>
        <v>-1.2509284037316606E-3</v>
      </c>
      <c r="Z512" s="4">
        <v>45350</v>
      </c>
      <c r="AA512">
        <f>B512*B$3</f>
        <v>0</v>
      </c>
      <c r="AB512">
        <f>C512*C$3</f>
        <v>-2583.999999999945</v>
      </c>
      <c r="AC512">
        <f>D512*D$3</f>
        <v>0</v>
      </c>
      <c r="AD512">
        <f>E512*E$3</f>
        <v>9712.0000000000091</v>
      </c>
      <c r="AE512">
        <f>F512*F$3</f>
        <v>-24856.000000000575</v>
      </c>
      <c r="AF512">
        <f>G512*G$3</f>
        <v>-46884.000000000386</v>
      </c>
      <c r="AG512">
        <f>H512*H$3</f>
        <v>-169296.0000000014</v>
      </c>
      <c r="AH512">
        <f>I512*I$3</f>
        <v>-110735.99999999927</v>
      </c>
      <c r="AI512">
        <f>J512*J$3</f>
        <v>-306309.00000000256</v>
      </c>
      <c r="AJ512">
        <f>K512*K$3</f>
        <v>-470369.99999999691</v>
      </c>
      <c r="AK512">
        <f>L512*L$3</f>
        <v>124016.00000000012</v>
      </c>
      <c r="AL512">
        <f>M512*M$3</f>
        <v>128292.00000000012</v>
      </c>
      <c r="AM512">
        <f>N512*N$3</f>
        <v>0</v>
      </c>
      <c r="AN512">
        <f>O512*O$3</f>
        <v>0</v>
      </c>
      <c r="AO512">
        <f>P512*P$3</f>
        <v>11198.497974836799</v>
      </c>
      <c r="AP512">
        <f>Q512*Q$3</f>
        <v>-28244.187170796806</v>
      </c>
      <c r="AQ512">
        <f>R512*R$3</f>
        <v>-27700.838897470669</v>
      </c>
      <c r="AR512" s="1">
        <f>S512*S$3</f>
        <v>-21591.740974641874</v>
      </c>
      <c r="AS512" s="1">
        <f t="shared" si="1101"/>
        <v>2256.3001200393533</v>
      </c>
      <c r="AT512" s="1">
        <f t="shared" si="1101"/>
        <v>1826.4247134282573</v>
      </c>
      <c r="AU512" s="1">
        <f t="shared" si="1101"/>
        <v>0</v>
      </c>
      <c r="AV512" s="1">
        <f t="shared" si="1101"/>
        <v>0</v>
      </c>
      <c r="AW512" s="1">
        <f t="shared" si="1101"/>
        <v>0</v>
      </c>
      <c r="AX512" s="1">
        <f t="shared" si="997"/>
        <v>-931270.54423460574</v>
      </c>
      <c r="AY512" s="1">
        <f t="shared" si="998"/>
        <v>-62255.544234604939</v>
      </c>
      <c r="AZ512" s="1">
        <f t="shared" si="999"/>
        <v>-869015.00000000081</v>
      </c>
    </row>
    <row r="513" spans="1:52" x14ac:dyDescent="0.25">
      <c r="A513" s="4">
        <v>45349</v>
      </c>
      <c r="B513">
        <f t="shared" ref="B513:N513" si="1125">(B1063-B1062)*100</f>
        <v>0</v>
      </c>
      <c r="C513">
        <f t="shared" si="1125"/>
        <v>0</v>
      </c>
      <c r="D513">
        <f t="shared" si="1125"/>
        <v>1.9999999999999574</v>
      </c>
      <c r="E513">
        <f t="shared" si="1125"/>
        <v>0</v>
      </c>
      <c r="F513">
        <f t="shared" si="1125"/>
        <v>0.99999999999997868</v>
      </c>
      <c r="G513">
        <f t="shared" si="1125"/>
        <v>0</v>
      </c>
      <c r="H513">
        <f t="shared" si="1125"/>
        <v>-0.99999999999997868</v>
      </c>
      <c r="I513">
        <f t="shared" si="1125"/>
        <v>-1.9999999999999574</v>
      </c>
      <c r="J513">
        <f t="shared" si="1125"/>
        <v>-3.0000000000000249</v>
      </c>
      <c r="K513">
        <f t="shared" si="1125"/>
        <v>-1.9999999999999574</v>
      </c>
      <c r="L513">
        <f t="shared" si="1125"/>
        <v>-2.9999999999999361</v>
      </c>
      <c r="M513">
        <f t="shared" si="1125"/>
        <v>-4.0000000000000036</v>
      </c>
      <c r="N513">
        <f t="shared" si="1125"/>
        <v>-4.0000000000000036</v>
      </c>
      <c r="O513" s="5">
        <f t="shared" si="1109"/>
        <v>-4.9100593675230212E-3</v>
      </c>
      <c r="P513" s="5">
        <f t="shared" si="1109"/>
        <v>-6.1056393570999724E-3</v>
      </c>
      <c r="Q513" s="5">
        <f t="shared" si="1109"/>
        <v>3.1360873359247568E-3</v>
      </c>
      <c r="R513" s="5">
        <f t="shared" si="1109"/>
        <v>-2.637132330007523E-3</v>
      </c>
      <c r="S513" s="5">
        <f t="shared" si="1109"/>
        <v>-1.7863265878748614E-3</v>
      </c>
      <c r="T513" s="5">
        <f t="shared" ref="T513:X513" si="1126">LN(T1062/T1063)</f>
        <v>-2.8497835192916672E-3</v>
      </c>
      <c r="U513" s="5">
        <f t="shared" si="1126"/>
        <v>-9.3817078259760835E-4</v>
      </c>
      <c r="V513" s="5">
        <f t="shared" si="1126"/>
        <v>4.516857961537516E-4</v>
      </c>
      <c r="W513" s="5">
        <f t="shared" si="1126"/>
        <v>3.9354176659373661E-3</v>
      </c>
      <c r="X513" s="5">
        <f t="shared" si="1126"/>
        <v>-1.5331408076583485E-3</v>
      </c>
      <c r="Z513" s="4">
        <v>45349</v>
      </c>
      <c r="AA513">
        <f>B513*B$3</f>
        <v>0</v>
      </c>
      <c r="AB513">
        <f>C513*C$3</f>
        <v>0</v>
      </c>
      <c r="AC513">
        <f>D513*D$3</f>
        <v>32285.999999999312</v>
      </c>
      <c r="AD513">
        <f>E513*E$3</f>
        <v>0</v>
      </c>
      <c r="AE513">
        <f>F513*F$3</f>
        <v>-12427.999999999734</v>
      </c>
      <c r="AF513">
        <f>G513*G$3</f>
        <v>0</v>
      </c>
      <c r="AG513">
        <f>H513*H$3</f>
        <v>28215.9999999994</v>
      </c>
      <c r="AH513">
        <f>I513*I$3</f>
        <v>36911.999999999214</v>
      </c>
      <c r="AI513">
        <f>J513*J$3</f>
        <v>153154.50000000128</v>
      </c>
      <c r="AJ513">
        <f>K513*K$3</f>
        <v>156789.99999999665</v>
      </c>
      <c r="AK513">
        <f>L513*L$3</f>
        <v>-93011.999999998021</v>
      </c>
      <c r="AL513">
        <f>M513*M$3</f>
        <v>-128292.00000000012</v>
      </c>
      <c r="AM513">
        <f>N513*N$3</f>
        <v>0</v>
      </c>
      <c r="AN513">
        <f>O513*O$3</f>
        <v>0</v>
      </c>
      <c r="AO513">
        <f>P513*P$3</f>
        <v>30528.196785499862</v>
      </c>
      <c r="AP513">
        <f>Q513*Q$3</f>
        <v>37633.048031097082</v>
      </c>
      <c r="AQ513">
        <f>R513*R$3</f>
        <v>39556.984950112841</v>
      </c>
      <c r="AR513" s="1">
        <f>S513*S$3</f>
        <v>12504.28611512403</v>
      </c>
      <c r="AS513" s="1">
        <f t="shared" si="1101"/>
        <v>-11399.134077166669</v>
      </c>
      <c r="AT513" s="1">
        <f t="shared" si="1101"/>
        <v>-7505.3662607808665</v>
      </c>
      <c r="AU513" s="1">
        <f t="shared" si="1101"/>
        <v>0</v>
      </c>
      <c r="AV513" s="1">
        <f t="shared" si="1101"/>
        <v>0</v>
      </c>
      <c r="AW513" s="1">
        <f t="shared" si="1101"/>
        <v>0</v>
      </c>
      <c r="AX513" s="1">
        <f t="shared" si="997"/>
        <v>274944.51554388425</v>
      </c>
      <c r="AY513" s="1">
        <f t="shared" si="998"/>
        <v>101318.01554388629</v>
      </c>
      <c r="AZ513" s="1">
        <f t="shared" si="999"/>
        <v>173626.49999999796</v>
      </c>
    </row>
    <row r="514" spans="1:52" x14ac:dyDescent="0.25">
      <c r="A514" s="4">
        <v>45348</v>
      </c>
      <c r="B514">
        <f t="shared" ref="B514:N514" si="1127">(B1064-B1063)*100</f>
        <v>-0.99999999999997868</v>
      </c>
      <c r="C514">
        <f t="shared" si="1127"/>
        <v>-0.99999999999997868</v>
      </c>
      <c r="D514">
        <f t="shared" si="1127"/>
        <v>-0.99999999999997868</v>
      </c>
      <c r="E514">
        <f t="shared" si="1127"/>
        <v>-0.99999999999997868</v>
      </c>
      <c r="F514">
        <f t="shared" si="1127"/>
        <v>-1.9999999999999574</v>
      </c>
      <c r="G514">
        <f t="shared" si="1127"/>
        <v>-3.0000000000000249</v>
      </c>
      <c r="H514">
        <f t="shared" si="1127"/>
        <v>-2.0000000000000462</v>
      </c>
      <c r="I514">
        <f t="shared" si="1127"/>
        <v>-3.0000000000000249</v>
      </c>
      <c r="J514">
        <f t="shared" si="1127"/>
        <v>-0.99999999999997868</v>
      </c>
      <c r="K514">
        <f t="shared" si="1127"/>
        <v>-4.0000000000000036</v>
      </c>
      <c r="L514">
        <f t="shared" si="1127"/>
        <v>-2.0000000000000462</v>
      </c>
      <c r="M514">
        <f t="shared" si="1127"/>
        <v>-2.0000000000000462</v>
      </c>
      <c r="N514">
        <f t="shared" si="1127"/>
        <v>-3.0000000000000249</v>
      </c>
      <c r="O514" s="5">
        <f t="shared" si="1109"/>
        <v>-6.4215767176996558E-4</v>
      </c>
      <c r="P514" s="5">
        <f t="shared" si="1109"/>
        <v>-1.6763828400569959E-3</v>
      </c>
      <c r="Q514" s="5">
        <f t="shared" si="1109"/>
        <v>1.1234292943604812E-2</v>
      </c>
      <c r="R514" s="5">
        <f t="shared" si="1109"/>
        <v>5.2687040207209494E-4</v>
      </c>
      <c r="S514" s="5">
        <f t="shared" si="1109"/>
        <v>-1.818187633845558E-3</v>
      </c>
      <c r="T514" s="5">
        <f t="shared" ref="T514:X514" si="1128">LN(T1063/T1064)</f>
        <v>5.1955774766426863E-4</v>
      </c>
      <c r="U514" s="5">
        <f t="shared" si="1128"/>
        <v>-7.0943061502088181E-4</v>
      </c>
      <c r="V514" s="5">
        <f t="shared" si="1128"/>
        <v>9.9670009206428452E-5</v>
      </c>
      <c r="W514" s="5">
        <f t="shared" si="1128"/>
        <v>-9.574356970349858E-4</v>
      </c>
      <c r="X514" s="5">
        <f t="shared" si="1128"/>
        <v>1.4763083526676253E-3</v>
      </c>
      <c r="Z514" s="4">
        <v>45348</v>
      </c>
      <c r="AA514">
        <f>B514*B$3</f>
        <v>982.99999999997908</v>
      </c>
      <c r="AB514">
        <f>C514*C$3</f>
        <v>2583.999999999945</v>
      </c>
      <c r="AC514">
        <f>D514*D$3</f>
        <v>-16142.999999999656</v>
      </c>
      <c r="AD514">
        <f>E514*E$3</f>
        <v>-2427.9999999999482</v>
      </c>
      <c r="AE514">
        <f>F514*F$3</f>
        <v>24855.999999999469</v>
      </c>
      <c r="AF514">
        <f>G514*G$3</f>
        <v>46884.000000000386</v>
      </c>
      <c r="AG514">
        <f>H514*H$3</f>
        <v>56432.000000001302</v>
      </c>
      <c r="AH514">
        <f>I514*I$3</f>
        <v>55368.000000000458</v>
      </c>
      <c r="AI514">
        <f>J514*J$3</f>
        <v>51051.499999998909</v>
      </c>
      <c r="AJ514">
        <f>K514*K$3</f>
        <v>313580.00000000029</v>
      </c>
      <c r="AK514">
        <f>L514*L$3</f>
        <v>-62008.000000001433</v>
      </c>
      <c r="AL514">
        <f>M514*M$3</f>
        <v>-64146.000000001484</v>
      </c>
      <c r="AM514">
        <f>N514*N$3</f>
        <v>0</v>
      </c>
      <c r="AN514">
        <f>O514*O$3</f>
        <v>0</v>
      </c>
      <c r="AO514">
        <f>P514*P$3</f>
        <v>8381.9142002849803</v>
      </c>
      <c r="AP514">
        <f>Q514*Q$3</f>
        <v>134811.51532325774</v>
      </c>
      <c r="AQ514">
        <f>R514*R$3</f>
        <v>-7903.0560310814244</v>
      </c>
      <c r="AR514" s="1">
        <f>S514*S$3</f>
        <v>12727.313436918907</v>
      </c>
      <c r="AS514" s="1">
        <f t="shared" si="1101"/>
        <v>2078.2309906570745</v>
      </c>
      <c r="AT514" s="1">
        <f t="shared" si="1101"/>
        <v>-5675.4449201670541</v>
      </c>
      <c r="AU514" s="1">
        <f t="shared" si="1101"/>
        <v>0</v>
      </c>
      <c r="AV514" s="1">
        <f t="shared" si="1101"/>
        <v>0</v>
      </c>
      <c r="AW514" s="1">
        <f t="shared" si="1101"/>
        <v>0</v>
      </c>
      <c r="AX514" s="1">
        <f t="shared" si="997"/>
        <v>551433.97299986845</v>
      </c>
      <c r="AY514" s="1">
        <f t="shared" si="998"/>
        <v>144420.47299987025</v>
      </c>
      <c r="AZ514" s="1">
        <f t="shared" si="999"/>
        <v>407013.4999999982</v>
      </c>
    </row>
    <row r="515" spans="1:52" x14ac:dyDescent="0.25">
      <c r="A515" s="4">
        <v>45345</v>
      </c>
      <c r="B515">
        <f t="shared" ref="B515:N515" si="1129">(B1065-B1064)*100</f>
        <v>0</v>
      </c>
      <c r="C515">
        <f t="shared" si="1129"/>
        <v>0</v>
      </c>
      <c r="D515">
        <f t="shared" si="1129"/>
        <v>-0.99999999999997868</v>
      </c>
      <c r="E515">
        <f t="shared" si="1129"/>
        <v>-0.99999999999997868</v>
      </c>
      <c r="F515">
        <f t="shared" si="1129"/>
        <v>0</v>
      </c>
      <c r="G515">
        <f t="shared" si="1129"/>
        <v>1.9999999999999574</v>
      </c>
      <c r="H515">
        <f t="shared" si="1129"/>
        <v>2.0000000000000462</v>
      </c>
      <c r="I515">
        <f t="shared" si="1129"/>
        <v>4.0000000000000036</v>
      </c>
      <c r="J515">
        <f t="shared" si="1129"/>
        <v>4.9999999999999822</v>
      </c>
      <c r="K515">
        <f t="shared" si="1129"/>
        <v>6.9999999999999396</v>
      </c>
      <c r="L515">
        <f t="shared" si="1129"/>
        <v>7.0000000000000284</v>
      </c>
      <c r="M515">
        <f t="shared" si="1129"/>
        <v>7.0000000000000284</v>
      </c>
      <c r="N515">
        <f t="shared" si="1129"/>
        <v>9.9999999999999645</v>
      </c>
      <c r="O515" s="5">
        <f t="shared" ref="O515:S524" si="1130">LN(O1064/O1065)</f>
        <v>8.7041168483228005E-3</v>
      </c>
      <c r="P515" s="5">
        <f t="shared" si="1130"/>
        <v>8.9266964079942716E-3</v>
      </c>
      <c r="Q515" s="5">
        <f t="shared" si="1130"/>
        <v>5.4115753956843222E-3</v>
      </c>
      <c r="R515" s="5">
        <f t="shared" si="1130"/>
        <v>2.6385239581810205E-3</v>
      </c>
      <c r="S515" s="5">
        <f t="shared" si="1130"/>
        <v>5.7842139317860195E-4</v>
      </c>
      <c r="T515" s="5">
        <f t="shared" ref="T515:X515" si="1131">LN(T1064/T1065)</f>
        <v>-4.8705682179912634E-4</v>
      </c>
      <c r="U515" s="5">
        <f t="shared" si="1131"/>
        <v>-2.0241570433186203E-3</v>
      </c>
      <c r="V515" s="5">
        <f t="shared" si="1131"/>
        <v>8.5099615248646098E-4</v>
      </c>
      <c r="W515" s="5">
        <f t="shared" si="1131"/>
        <v>-9.0023130985654963E-4</v>
      </c>
      <c r="X515" s="5">
        <f t="shared" si="1131"/>
        <v>7.9581286308391306E-4</v>
      </c>
      <c r="Z515" s="4">
        <v>45345</v>
      </c>
      <c r="AA515">
        <f>B515*B$3</f>
        <v>0</v>
      </c>
      <c r="AB515">
        <f>C515*C$3</f>
        <v>0</v>
      </c>
      <c r="AC515">
        <f>D515*D$3</f>
        <v>-16142.999999999656</v>
      </c>
      <c r="AD515">
        <f>E515*E$3</f>
        <v>-2427.9999999999482</v>
      </c>
      <c r="AE515">
        <f>F515*F$3</f>
        <v>0</v>
      </c>
      <c r="AF515">
        <f>G515*G$3</f>
        <v>-31255.999999999334</v>
      </c>
      <c r="AG515">
        <f>H515*H$3</f>
        <v>-56432.000000001302</v>
      </c>
      <c r="AH515">
        <f>I515*I$3</f>
        <v>-73824.000000000073</v>
      </c>
      <c r="AI515">
        <f>J515*J$3</f>
        <v>-255257.4999999991</v>
      </c>
      <c r="AJ515">
        <f>K515*K$3</f>
        <v>-548764.99999999523</v>
      </c>
      <c r="AK515">
        <f>L515*L$3</f>
        <v>217028.00000000087</v>
      </c>
      <c r="AL515">
        <f>M515*M$3</f>
        <v>224511.0000000009</v>
      </c>
      <c r="AM515">
        <f>N515*N$3</f>
        <v>0</v>
      </c>
      <c r="AN515">
        <f>O515*O$3</f>
        <v>0</v>
      </c>
      <c r="AO515">
        <f>P515*P$3</f>
        <v>-44633.482039971357</v>
      </c>
      <c r="AP515">
        <f>Q515*Q$3</f>
        <v>64938.904748211869</v>
      </c>
      <c r="AQ515">
        <f>R515*R$3</f>
        <v>-39577.859372715306</v>
      </c>
      <c r="AR515" s="1">
        <f>S515*S$3</f>
        <v>-4048.9497522502138</v>
      </c>
      <c r="AS515" s="1">
        <f t="shared" si="1101"/>
        <v>-1948.2272871965054</v>
      </c>
      <c r="AT515" s="1">
        <f t="shared" si="1101"/>
        <v>-16193.256346548962</v>
      </c>
      <c r="AU515" s="1">
        <f t="shared" si="1101"/>
        <v>0</v>
      </c>
      <c r="AV515" s="1">
        <f t="shared" si="1101"/>
        <v>0</v>
      </c>
      <c r="AW515" s="1">
        <f t="shared" si="1101"/>
        <v>0</v>
      </c>
      <c r="AX515" s="1">
        <f t="shared" si="997"/>
        <v>-584029.37005046336</v>
      </c>
      <c r="AY515" s="1">
        <f t="shared" si="998"/>
        <v>-41462.870050470476</v>
      </c>
      <c r="AZ515" s="1">
        <f t="shared" si="999"/>
        <v>-542566.4999999929</v>
      </c>
    </row>
    <row r="516" spans="1:52" x14ac:dyDescent="0.25">
      <c r="A516" s="4">
        <v>45344</v>
      </c>
      <c r="B516">
        <f t="shared" ref="B516:N516" si="1132">(B1066-B1065)*100</f>
        <v>0.99999999999997868</v>
      </c>
      <c r="C516">
        <f t="shared" si="1132"/>
        <v>-0.99999999999997868</v>
      </c>
      <c r="D516">
        <f t="shared" si="1132"/>
        <v>-0.99999999999997868</v>
      </c>
      <c r="E516">
        <f t="shared" si="1132"/>
        <v>0</v>
      </c>
      <c r="F516">
        <f t="shared" si="1132"/>
        <v>0</v>
      </c>
      <c r="G516">
        <f t="shared" si="1132"/>
        <v>-3.9999999999999147</v>
      </c>
      <c r="H516">
        <f t="shared" si="1132"/>
        <v>-5.0000000000000711</v>
      </c>
      <c r="I516">
        <f t="shared" si="1132"/>
        <v>-6.0000000000000497</v>
      </c>
      <c r="J516">
        <f t="shared" si="1132"/>
        <v>-3.0000000000000249</v>
      </c>
      <c r="K516">
        <f t="shared" si="1132"/>
        <v>-1.9999999999999574</v>
      </c>
      <c r="L516">
        <f t="shared" si="1132"/>
        <v>-0.99999999999997868</v>
      </c>
      <c r="M516">
        <f t="shared" si="1132"/>
        <v>0.99999999999997868</v>
      </c>
      <c r="N516">
        <f t="shared" si="1132"/>
        <v>2.0000000000000462</v>
      </c>
      <c r="O516" s="5">
        <f t="shared" si="1130"/>
        <v>2.350177344953673E-3</v>
      </c>
      <c r="P516" s="5">
        <f t="shared" si="1130"/>
        <v>9.9056425695033426E-4</v>
      </c>
      <c r="Q516" s="5">
        <f t="shared" si="1130"/>
        <v>3.9768072294918315E-3</v>
      </c>
      <c r="R516" s="5">
        <f t="shared" si="1130"/>
        <v>-2.6385239581810604E-3</v>
      </c>
      <c r="S516" s="5">
        <f t="shared" si="1130"/>
        <v>3.6476624878087026E-3</v>
      </c>
      <c r="T516" s="5">
        <f t="shared" ref="T516:X516" si="1133">LN(T1065/T1066)</f>
        <v>-6.7061437124249013E-4</v>
      </c>
      <c r="U516" s="5">
        <f t="shared" si="1133"/>
        <v>-8.463638779772503E-4</v>
      </c>
      <c r="V516" s="5">
        <f t="shared" si="1133"/>
        <v>2.7706224211559789E-3</v>
      </c>
      <c r="W516" s="5">
        <f t="shared" si="1133"/>
        <v>4.5931231854058194E-5</v>
      </c>
      <c r="X516" s="5">
        <f t="shared" si="1133"/>
        <v>-2.9073640843009911E-3</v>
      </c>
      <c r="Z516" s="4">
        <v>45344</v>
      </c>
      <c r="AA516">
        <f>B516*B$3</f>
        <v>-982.99999999997908</v>
      </c>
      <c r="AB516">
        <f>C516*C$3</f>
        <v>2583.999999999945</v>
      </c>
      <c r="AC516">
        <f>D516*D$3</f>
        <v>-16142.999999999656</v>
      </c>
      <c r="AD516">
        <f>E516*E$3</f>
        <v>0</v>
      </c>
      <c r="AE516">
        <f>F516*F$3</f>
        <v>0</v>
      </c>
      <c r="AF516">
        <f>G516*G$3</f>
        <v>62511.999999998668</v>
      </c>
      <c r="AG516">
        <f>H516*H$3</f>
        <v>141080.00000000201</v>
      </c>
      <c r="AH516">
        <f>I516*I$3</f>
        <v>110736.00000000092</v>
      </c>
      <c r="AI516">
        <f>J516*J$3</f>
        <v>153154.50000000128</v>
      </c>
      <c r="AJ516">
        <f>K516*K$3</f>
        <v>156789.99999999665</v>
      </c>
      <c r="AK516">
        <f>L516*L$3</f>
        <v>-31003.999999999338</v>
      </c>
      <c r="AL516">
        <f>M516*M$3</f>
        <v>32072.999999999316</v>
      </c>
      <c r="AM516">
        <f>N516*N$3</f>
        <v>0</v>
      </c>
      <c r="AN516">
        <f>O516*O$3</f>
        <v>0</v>
      </c>
      <c r="AO516">
        <f>P516*P$3</f>
        <v>-4952.8212847516716</v>
      </c>
      <c r="AP516">
        <f>Q516*Q$3</f>
        <v>47721.68675390198</v>
      </c>
      <c r="AQ516">
        <f>R516*R$3</f>
        <v>39577.859372715902</v>
      </c>
      <c r="AR516" s="1">
        <f>S516*S$3</f>
        <v>-25533.63741466092</v>
      </c>
      <c r="AS516" s="1">
        <f t="shared" si="1101"/>
        <v>-2682.4574849699607</v>
      </c>
      <c r="AT516" s="1">
        <f t="shared" si="1101"/>
        <v>-6770.9110238180019</v>
      </c>
      <c r="AU516" s="1">
        <f t="shared" si="1101"/>
        <v>0</v>
      </c>
      <c r="AV516" s="1">
        <f t="shared" si="1101"/>
        <v>0</v>
      </c>
      <c r="AW516" s="1">
        <f t="shared" si="1101"/>
        <v>0</v>
      </c>
      <c r="AX516" s="1">
        <f t="shared" si="997"/>
        <v>658159.21891841735</v>
      </c>
      <c r="AY516" s="1">
        <f t="shared" si="998"/>
        <v>47359.718918417326</v>
      </c>
      <c r="AZ516" s="1">
        <f t="shared" si="999"/>
        <v>610799.5</v>
      </c>
    </row>
    <row r="517" spans="1:52" x14ac:dyDescent="0.25">
      <c r="A517" s="4">
        <v>45343</v>
      </c>
      <c r="B517">
        <f t="shared" ref="B517:N517" si="1134">(B1067-B1066)*100</f>
        <v>-0.99999999999997868</v>
      </c>
      <c r="C517">
        <f t="shared" si="1134"/>
        <v>-0.99999999999997868</v>
      </c>
      <c r="D517">
        <f t="shared" si="1134"/>
        <v>0</v>
      </c>
      <c r="E517">
        <f t="shared" si="1134"/>
        <v>0</v>
      </c>
      <c r="F517">
        <f t="shared" si="1134"/>
        <v>0</v>
      </c>
      <c r="G517">
        <f t="shared" si="1134"/>
        <v>-1.0000000000000675</v>
      </c>
      <c r="H517">
        <f t="shared" si="1134"/>
        <v>-4.9999999999999822</v>
      </c>
      <c r="I517">
        <f t="shared" si="1134"/>
        <v>-4.9999999999999822</v>
      </c>
      <c r="J517">
        <f t="shared" si="1134"/>
        <v>-4.9999999999999822</v>
      </c>
      <c r="K517">
        <f t="shared" si="1134"/>
        <v>-4.9999999999999822</v>
      </c>
      <c r="L517">
        <f t="shared" si="1134"/>
        <v>-5.0000000000000711</v>
      </c>
      <c r="M517">
        <f t="shared" si="1134"/>
        <v>-3.0000000000000249</v>
      </c>
      <c r="N517">
        <f t="shared" si="1134"/>
        <v>-4.9999999999999822</v>
      </c>
      <c r="O517" s="5">
        <f t="shared" si="1130"/>
        <v>-2.1275525982817913E-3</v>
      </c>
      <c r="P517" s="5">
        <f t="shared" si="1130"/>
        <v>-4.8139927650017739E-4</v>
      </c>
      <c r="Q517" s="5">
        <f t="shared" si="1130"/>
        <v>-2.6426118150295469E-3</v>
      </c>
      <c r="R517" s="5">
        <f t="shared" si="1130"/>
        <v>3.4314406113274756E-3</v>
      </c>
      <c r="S517" s="5">
        <f t="shared" si="1130"/>
        <v>-1.4536334597625036E-3</v>
      </c>
      <c r="T517" s="5">
        <f t="shared" ref="T517:X517" si="1135">LN(T1066/T1067)</f>
        <v>-3.497449835177266E-3</v>
      </c>
      <c r="U517" s="5">
        <f t="shared" si="1135"/>
        <v>-3.1518719550778116E-3</v>
      </c>
      <c r="V517" s="5">
        <f t="shared" si="1135"/>
        <v>-2.205190688309989E-3</v>
      </c>
      <c r="W517" s="5">
        <f t="shared" si="1135"/>
        <v>-3.4725227641619178E-3</v>
      </c>
      <c r="X517" s="5">
        <f t="shared" si="1135"/>
        <v>-1.0620060466435563E-3</v>
      </c>
      <c r="Z517" s="4">
        <v>45343</v>
      </c>
      <c r="AA517">
        <f>B517*B$3</f>
        <v>982.99999999997908</v>
      </c>
      <c r="AB517">
        <f>C517*C$3</f>
        <v>2583.999999999945</v>
      </c>
      <c r="AC517">
        <f>D517*D$3</f>
        <v>0</v>
      </c>
      <c r="AD517">
        <f>E517*E$3</f>
        <v>0</v>
      </c>
      <c r="AE517">
        <f>F517*F$3</f>
        <v>0</v>
      </c>
      <c r="AF517">
        <f>G517*G$3</f>
        <v>15628.000000001055</v>
      </c>
      <c r="AG517">
        <f>H517*H$3</f>
        <v>141079.99999999951</v>
      </c>
      <c r="AH517">
        <f>I517*I$3</f>
        <v>92279.999999999665</v>
      </c>
      <c r="AI517">
        <f>J517*J$3</f>
        <v>255257.4999999991</v>
      </c>
      <c r="AJ517">
        <f>K517*K$3</f>
        <v>391974.9999999986</v>
      </c>
      <c r="AK517">
        <f>L517*L$3</f>
        <v>-155020.00000000221</v>
      </c>
      <c r="AL517">
        <f>M517*M$3</f>
        <v>-96219.0000000008</v>
      </c>
      <c r="AM517">
        <f>N517*N$3</f>
        <v>0</v>
      </c>
      <c r="AN517">
        <f>O517*O$3</f>
        <v>0</v>
      </c>
      <c r="AO517">
        <f>P517*P$3</f>
        <v>2406.9963825008867</v>
      </c>
      <c r="AP517">
        <f>Q517*Q$3</f>
        <v>-31711.341780354564</v>
      </c>
      <c r="AQ517">
        <f>R517*R$3</f>
        <v>-51471.609169912132</v>
      </c>
      <c r="AR517" s="1">
        <f>S517*S$3</f>
        <v>10175.434218337525</v>
      </c>
      <c r="AS517" s="1">
        <f t="shared" ref="AS517:AW532" si="1136">T517*T$3</f>
        <v>-13989.799340709063</v>
      </c>
      <c r="AT517" s="1">
        <f t="shared" si="1136"/>
        <v>-25214.975640622491</v>
      </c>
      <c r="AU517" s="1">
        <f t="shared" si="1136"/>
        <v>0</v>
      </c>
      <c r="AV517" s="1">
        <f t="shared" si="1136"/>
        <v>0</v>
      </c>
      <c r="AW517" s="1">
        <f t="shared" si="1136"/>
        <v>0</v>
      </c>
      <c r="AX517" s="1">
        <f t="shared" si="997"/>
        <v>538743.20466923481</v>
      </c>
      <c r="AY517" s="1">
        <f t="shared" si="998"/>
        <v>-109805.29533075985</v>
      </c>
      <c r="AZ517" s="1">
        <f t="shared" si="999"/>
        <v>648548.49999999464</v>
      </c>
    </row>
    <row r="518" spans="1:52" x14ac:dyDescent="0.25">
      <c r="A518" s="4">
        <v>45342</v>
      </c>
      <c r="B518">
        <f t="shared" ref="B518:N518" si="1137">(B1068-B1067)*100</f>
        <v>-0.99999999999997868</v>
      </c>
      <c r="C518">
        <f t="shared" si="1137"/>
        <v>1.9999999999999574</v>
      </c>
      <c r="D518">
        <f t="shared" si="1137"/>
        <v>0</v>
      </c>
      <c r="E518">
        <f t="shared" si="1137"/>
        <v>0</v>
      </c>
      <c r="F518">
        <f t="shared" si="1137"/>
        <v>-1.0000000000000675</v>
      </c>
      <c r="G518">
        <f t="shared" si="1137"/>
        <v>1.0000000000000675</v>
      </c>
      <c r="H518">
        <f t="shared" si="1137"/>
        <v>4.9999999999999822</v>
      </c>
      <c r="I518">
        <f t="shared" si="1137"/>
        <v>4.9999999999999822</v>
      </c>
      <c r="J518">
        <f t="shared" si="1137"/>
        <v>4.0000000000000036</v>
      </c>
      <c r="K518">
        <f t="shared" si="1137"/>
        <v>2.9999999999999361</v>
      </c>
      <c r="L518">
        <f t="shared" si="1137"/>
        <v>3.0000000000000249</v>
      </c>
      <c r="M518">
        <f t="shared" si="1137"/>
        <v>2.0000000000000462</v>
      </c>
      <c r="N518">
        <f t="shared" si="1137"/>
        <v>0.99999999999997868</v>
      </c>
      <c r="O518" s="5">
        <f t="shared" si="1130"/>
        <v>-7.1196210501954559E-3</v>
      </c>
      <c r="P518" s="5">
        <f t="shared" si="1130"/>
        <v>4.5686071219894564E-3</v>
      </c>
      <c r="Q518" s="5">
        <f t="shared" si="1130"/>
        <v>4.4498224521970367E-3</v>
      </c>
      <c r="R518" s="5">
        <f t="shared" si="1130"/>
        <v>-9.4737550672901547E-3</v>
      </c>
      <c r="S518" s="5">
        <f t="shared" si="1130"/>
        <v>1.4125744902783216E-3</v>
      </c>
      <c r="T518" s="5">
        <f t="shared" ref="T518:X518" si="1138">LN(T1067/T1068)</f>
        <v>-1.4006865156988933E-4</v>
      </c>
      <c r="U518" s="5">
        <f t="shared" si="1138"/>
        <v>9.1933704785457664E-4</v>
      </c>
      <c r="V518" s="5">
        <f t="shared" si="1138"/>
        <v>2.158480887495992E-3</v>
      </c>
      <c r="W518" s="5">
        <f t="shared" si="1138"/>
        <v>-8.0950276246317553E-4</v>
      </c>
      <c r="X518" s="5">
        <f t="shared" si="1138"/>
        <v>3.343996575586991E-3</v>
      </c>
      <c r="Z518" s="4">
        <v>45342</v>
      </c>
      <c r="AA518">
        <f>B518*B$3</f>
        <v>982.99999999997908</v>
      </c>
      <c r="AB518">
        <f>C518*C$3</f>
        <v>-5167.99999999989</v>
      </c>
      <c r="AC518">
        <f>D518*D$3</f>
        <v>0</v>
      </c>
      <c r="AD518">
        <f>E518*E$3</f>
        <v>0</v>
      </c>
      <c r="AE518">
        <f>F518*F$3</f>
        <v>12428.000000000839</v>
      </c>
      <c r="AF518">
        <f>G518*G$3</f>
        <v>-15628.000000001055</v>
      </c>
      <c r="AG518">
        <f>H518*H$3</f>
        <v>-141079.99999999951</v>
      </c>
      <c r="AH518">
        <f>I518*I$3</f>
        <v>-92279.999999999665</v>
      </c>
      <c r="AI518">
        <f>J518*J$3</f>
        <v>-204206.00000000017</v>
      </c>
      <c r="AJ518">
        <f>K518*K$3</f>
        <v>-235184.99999999499</v>
      </c>
      <c r="AK518">
        <f>L518*L$3</f>
        <v>93012.000000000771</v>
      </c>
      <c r="AL518">
        <f>M518*M$3</f>
        <v>64146.000000001484</v>
      </c>
      <c r="AM518">
        <f>N518*N$3</f>
        <v>0</v>
      </c>
      <c r="AN518">
        <f>O518*O$3</f>
        <v>0</v>
      </c>
      <c r="AO518">
        <f>P518*P$3</f>
        <v>-22843.035609947281</v>
      </c>
      <c r="AP518">
        <f>Q518*Q$3</f>
        <v>53397.869426364443</v>
      </c>
      <c r="AQ518">
        <f>R518*R$3</f>
        <v>142106.32600935231</v>
      </c>
      <c r="AR518" s="1">
        <f>S518*S$3</f>
        <v>-9888.0214319482511</v>
      </c>
      <c r="AS518" s="1">
        <f t="shared" si="1136"/>
        <v>-560.27460627955725</v>
      </c>
      <c r="AT518" s="1">
        <f t="shared" si="1136"/>
        <v>7354.6963828366133</v>
      </c>
      <c r="AU518" s="1">
        <f t="shared" si="1136"/>
        <v>0</v>
      </c>
      <c r="AV518" s="1">
        <f t="shared" si="1136"/>
        <v>0</v>
      </c>
      <c r="AW518" s="1">
        <f t="shared" si="1136"/>
        <v>0</v>
      </c>
      <c r="AX518" s="1">
        <f t="shared" ref="AX518:AX550" si="1139">SUM(AA518:AW518)</f>
        <v>-353410.43982961378</v>
      </c>
      <c r="AY518" s="1">
        <f t="shared" ref="AY518:AY550" si="1140">SUM(AN518:AW518)</f>
        <v>169567.56017037827</v>
      </c>
      <c r="AZ518" s="1">
        <f t="shared" ref="AZ518:AZ551" si="1141">AX518-AY518</f>
        <v>-522977.99999999208</v>
      </c>
    </row>
    <row r="519" spans="1:52" x14ac:dyDescent="0.25">
      <c r="A519" s="4">
        <v>45338</v>
      </c>
      <c r="B519">
        <f t="shared" ref="B519:N519" si="1142">(B1069-B1068)*100</f>
        <v>0.99999999999997868</v>
      </c>
      <c r="C519">
        <f t="shared" si="1142"/>
        <v>0</v>
      </c>
      <c r="D519">
        <f t="shared" si="1142"/>
        <v>-1.0000000000000675</v>
      </c>
      <c r="E519">
        <f t="shared" si="1142"/>
        <v>0</v>
      </c>
      <c r="F519">
        <f t="shared" si="1142"/>
        <v>-0.99999999999997868</v>
      </c>
      <c r="G519">
        <f t="shared" si="1142"/>
        <v>-5.0000000000000711</v>
      </c>
      <c r="H519">
        <f t="shared" si="1142"/>
        <v>-8.0000000000000071</v>
      </c>
      <c r="I519">
        <f t="shared" si="1142"/>
        <v>-6.9999999999999396</v>
      </c>
      <c r="J519">
        <f t="shared" si="1142"/>
        <v>-7.0000000000000284</v>
      </c>
      <c r="K519">
        <f t="shared" si="1142"/>
        <v>-5.9999999999999609</v>
      </c>
      <c r="L519">
        <f t="shared" si="1142"/>
        <v>-5.9999999999999609</v>
      </c>
      <c r="M519">
        <f t="shared" si="1142"/>
        <v>-4.0000000000000036</v>
      </c>
      <c r="N519">
        <f t="shared" si="1142"/>
        <v>-3.0000000000000249</v>
      </c>
      <c r="O519" s="5">
        <f t="shared" si="1130"/>
        <v>1.0254864418517673E-3</v>
      </c>
      <c r="P519" s="5">
        <f t="shared" si="1130"/>
        <v>-2.3020552339139114E-4</v>
      </c>
      <c r="Q519" s="5">
        <f t="shared" si="1130"/>
        <v>2.1646381644090662E-3</v>
      </c>
      <c r="R519" s="5">
        <f t="shared" si="1130"/>
        <v>-5.7456412960795135E-3</v>
      </c>
      <c r="S519" s="5">
        <f t="shared" si="1130"/>
        <v>2.1117837611914469E-4</v>
      </c>
      <c r="T519" s="5">
        <f t="shared" ref="T519:X519" si="1143">LN(T1068/T1069)</f>
        <v>-3.8817004079955701E-3</v>
      </c>
      <c r="U519" s="5">
        <f t="shared" si="1143"/>
        <v>-2.4538571495236004E-3</v>
      </c>
      <c r="V519" s="5">
        <f t="shared" si="1143"/>
        <v>-3.9802188471700015E-3</v>
      </c>
      <c r="W519" s="5">
        <f t="shared" si="1143"/>
        <v>-4.1001114408633233E-3</v>
      </c>
      <c r="X519" s="5">
        <f t="shared" si="1143"/>
        <v>-6.006007427481341E-3</v>
      </c>
      <c r="Z519" s="4">
        <v>45338</v>
      </c>
      <c r="AA519">
        <f>B519*B$3</f>
        <v>-982.99999999997908</v>
      </c>
      <c r="AB519">
        <f>C519*C$3</f>
        <v>0</v>
      </c>
      <c r="AC519">
        <f>D519*D$3</f>
        <v>-16143.00000000109</v>
      </c>
      <c r="AD519">
        <f>E519*E$3</f>
        <v>0</v>
      </c>
      <c r="AE519">
        <f>F519*F$3</f>
        <v>12427.999999999734</v>
      </c>
      <c r="AF519">
        <f>G519*G$3</f>
        <v>78140.000000001106</v>
      </c>
      <c r="AG519">
        <f>H519*H$3</f>
        <v>225728.0000000002</v>
      </c>
      <c r="AH519">
        <f>I519*I$3</f>
        <v>129191.99999999888</v>
      </c>
      <c r="AI519">
        <f>J519*J$3</f>
        <v>357360.50000000146</v>
      </c>
      <c r="AJ519">
        <f>K519*K$3</f>
        <v>470369.99999999691</v>
      </c>
      <c r="AK519">
        <f>L519*L$3</f>
        <v>-186023.99999999878</v>
      </c>
      <c r="AL519">
        <f>M519*M$3</f>
        <v>-128292.00000000012</v>
      </c>
      <c r="AM519">
        <f>N519*N$3</f>
        <v>0</v>
      </c>
      <c r="AN519">
        <f>O519*O$3</f>
        <v>0</v>
      </c>
      <c r="AO519">
        <f>P519*P$3</f>
        <v>1151.0276169569556</v>
      </c>
      <c r="AP519">
        <f>Q519*Q$3</f>
        <v>25975.657972908793</v>
      </c>
      <c r="AQ519">
        <f>R519*R$3</f>
        <v>86184.619441192699</v>
      </c>
      <c r="AR519" s="1">
        <f>S519*S$3</f>
        <v>-1478.2486328340128</v>
      </c>
      <c r="AS519" s="1">
        <f t="shared" si="1136"/>
        <v>-15526.80163198228</v>
      </c>
      <c r="AT519" s="1">
        <f t="shared" si="1136"/>
        <v>-19630.857196188805</v>
      </c>
      <c r="AU519" s="1">
        <f t="shared" si="1136"/>
        <v>0</v>
      </c>
      <c r="AV519" s="1">
        <f t="shared" si="1136"/>
        <v>0</v>
      </c>
      <c r="AW519" s="1">
        <f t="shared" si="1136"/>
        <v>0</v>
      </c>
      <c r="AX519" s="1">
        <f t="shared" si="1139"/>
        <v>1018451.8975700516</v>
      </c>
      <c r="AY519" s="1">
        <f t="shared" si="1140"/>
        <v>76675.397570053348</v>
      </c>
      <c r="AZ519" s="1">
        <f t="shared" si="1141"/>
        <v>941776.49999999825</v>
      </c>
    </row>
    <row r="520" spans="1:52" x14ac:dyDescent="0.25">
      <c r="A520" s="4">
        <v>45337</v>
      </c>
      <c r="B520">
        <f t="shared" ref="B520:N520" si="1144">(B1070-B1069)*100</f>
        <v>-0.99999999999997868</v>
      </c>
      <c r="C520">
        <f t="shared" si="1144"/>
        <v>0</v>
      </c>
      <c r="D520">
        <f t="shared" si="1144"/>
        <v>0</v>
      </c>
      <c r="E520">
        <f t="shared" si="1144"/>
        <v>0</v>
      </c>
      <c r="F520">
        <f t="shared" si="1144"/>
        <v>0.99999999999997868</v>
      </c>
      <c r="G520">
        <f t="shared" si="1144"/>
        <v>1.0000000000000675</v>
      </c>
      <c r="H520">
        <f t="shared" si="1144"/>
        <v>0</v>
      </c>
      <c r="I520">
        <f t="shared" si="1144"/>
        <v>1.9999999999999574</v>
      </c>
      <c r="J520">
        <f t="shared" si="1144"/>
        <v>3.0000000000000249</v>
      </c>
      <c r="K520">
        <f t="shared" si="1144"/>
        <v>1.9999999999999574</v>
      </c>
      <c r="L520">
        <f t="shared" si="1144"/>
        <v>2.9999999999999361</v>
      </c>
      <c r="M520">
        <f t="shared" si="1144"/>
        <v>3.0000000000000249</v>
      </c>
      <c r="N520">
        <f t="shared" si="1144"/>
        <v>3.0000000000000249</v>
      </c>
      <c r="O520" s="5">
        <f t="shared" si="1130"/>
        <v>-2.6149838724063543E-4</v>
      </c>
      <c r="P520" s="5">
        <f t="shared" si="1130"/>
        <v>-2.0439455250745803E-3</v>
      </c>
      <c r="Q520" s="5">
        <f t="shared" si="1130"/>
        <v>-1.211558658127399E-2</v>
      </c>
      <c r="R520" s="5">
        <f t="shared" si="1130"/>
        <v>-8.8151983851687092E-3</v>
      </c>
      <c r="S520" s="5">
        <f t="shared" si="1130"/>
        <v>-3.3676671660465862E-3</v>
      </c>
      <c r="T520" s="5">
        <f t="shared" ref="T520:X520" si="1145">LN(T1069/T1070)</f>
        <v>-2.1655643173118123E-3</v>
      </c>
      <c r="U520" s="5">
        <f t="shared" si="1145"/>
        <v>1.7737123715402187E-3</v>
      </c>
      <c r="V520" s="5">
        <f t="shared" si="1145"/>
        <v>-1.1949008456788074E-3</v>
      </c>
      <c r="W520" s="5">
        <f t="shared" si="1145"/>
        <v>-7.0102786469228582E-3</v>
      </c>
      <c r="X520" s="5">
        <f t="shared" si="1145"/>
        <v>-2.6064499791693362E-3</v>
      </c>
      <c r="Z520" s="4">
        <v>45337</v>
      </c>
      <c r="AA520">
        <f>B520*B$3</f>
        <v>982.99999999997908</v>
      </c>
      <c r="AB520">
        <f>C520*C$3</f>
        <v>0</v>
      </c>
      <c r="AC520">
        <f>D520*D$3</f>
        <v>0</v>
      </c>
      <c r="AD520">
        <f>E520*E$3</f>
        <v>0</v>
      </c>
      <c r="AE520">
        <f>F520*F$3</f>
        <v>-12427.999999999734</v>
      </c>
      <c r="AF520">
        <f>G520*G$3</f>
        <v>-15628.000000001055</v>
      </c>
      <c r="AG520">
        <f>H520*H$3</f>
        <v>0</v>
      </c>
      <c r="AH520">
        <f>I520*I$3</f>
        <v>-36911.999999999214</v>
      </c>
      <c r="AI520">
        <f>J520*J$3</f>
        <v>-153154.50000000128</v>
      </c>
      <c r="AJ520">
        <f>K520*K$3</f>
        <v>-156789.99999999665</v>
      </c>
      <c r="AK520">
        <f>L520*L$3</f>
        <v>93011.999999998021</v>
      </c>
      <c r="AL520">
        <f>M520*M$3</f>
        <v>96219.0000000008</v>
      </c>
      <c r="AM520">
        <f>N520*N$3</f>
        <v>0</v>
      </c>
      <c r="AN520">
        <f>O520*O$3</f>
        <v>0</v>
      </c>
      <c r="AO520">
        <f>P520*P$3</f>
        <v>10219.727625372901</v>
      </c>
      <c r="AP520">
        <f>Q520*Q$3</f>
        <v>-145387.03897528787</v>
      </c>
      <c r="AQ520">
        <f>R520*R$3</f>
        <v>132227.97577753064</v>
      </c>
      <c r="AR520" s="1">
        <f>S520*S$3</f>
        <v>23573.670162326103</v>
      </c>
      <c r="AS520" s="1">
        <f t="shared" si="1136"/>
        <v>-8662.2572692472495</v>
      </c>
      <c r="AT520" s="1">
        <f t="shared" si="1136"/>
        <v>14189.69897232175</v>
      </c>
      <c r="AU520" s="1">
        <f t="shared" si="1136"/>
        <v>0</v>
      </c>
      <c r="AV520" s="1">
        <f t="shared" si="1136"/>
        <v>0</v>
      </c>
      <c r="AW520" s="1">
        <f t="shared" si="1136"/>
        <v>0</v>
      </c>
      <c r="AX520" s="1">
        <f t="shared" si="1139"/>
        <v>-158536.72370698283</v>
      </c>
      <c r="AY520" s="1">
        <f t="shared" si="1140"/>
        <v>26161.776293016279</v>
      </c>
      <c r="AZ520" s="1">
        <f t="shared" si="1141"/>
        <v>-184698.4999999991</v>
      </c>
    </row>
    <row r="521" spans="1:52" x14ac:dyDescent="0.25">
      <c r="A521" s="4">
        <v>45336</v>
      </c>
      <c r="B521">
        <f t="shared" ref="B521:N521" si="1146">(B1071-B1070)*100</f>
        <v>0</v>
      </c>
      <c r="C521">
        <f t="shared" si="1146"/>
        <v>0.99999999999997868</v>
      </c>
      <c r="D521">
        <f t="shared" si="1146"/>
        <v>2.0000000000000462</v>
      </c>
      <c r="E521">
        <f t="shared" si="1146"/>
        <v>0.99999999999997868</v>
      </c>
      <c r="F521">
        <f t="shared" si="1146"/>
        <v>1.0000000000000675</v>
      </c>
      <c r="G521">
        <f t="shared" si="1146"/>
        <v>4.9999999999999822</v>
      </c>
      <c r="H521">
        <f t="shared" si="1146"/>
        <v>8.0000000000000071</v>
      </c>
      <c r="I521">
        <f t="shared" si="1146"/>
        <v>6.0000000000000497</v>
      </c>
      <c r="J521">
        <f t="shared" si="1146"/>
        <v>5.9999999999999609</v>
      </c>
      <c r="K521">
        <f t="shared" si="1146"/>
        <v>6.0000000000000497</v>
      </c>
      <c r="L521">
        <f t="shared" si="1146"/>
        <v>4.0000000000000036</v>
      </c>
      <c r="M521">
        <f t="shared" si="1146"/>
        <v>1.9999999999999574</v>
      </c>
      <c r="N521">
        <f t="shared" si="1146"/>
        <v>0.99999999999997868</v>
      </c>
      <c r="O521" s="5">
        <f t="shared" si="1130"/>
        <v>1.2068306630093743E-4</v>
      </c>
      <c r="P521" s="5">
        <f t="shared" si="1130"/>
        <v>-1.5939306508302642E-3</v>
      </c>
      <c r="Q521" s="5">
        <f t="shared" si="1130"/>
        <v>-6.7908922343472126E-4</v>
      </c>
      <c r="R521" s="5">
        <f t="shared" si="1130"/>
        <v>-2.3204857647260951E-3</v>
      </c>
      <c r="S521" s="5">
        <f t="shared" si="1130"/>
        <v>-7.0441085170257619E-3</v>
      </c>
      <c r="T521" s="5">
        <f t="shared" ref="T521:X521" si="1147">LN(T1070/T1071)</f>
        <v>5.8965528437573992E-3</v>
      </c>
      <c r="U521" s="5">
        <f t="shared" si="1147"/>
        <v>2.9253299304708739E-3</v>
      </c>
      <c r="V521" s="5">
        <f t="shared" si="1147"/>
        <v>8.7896121044684222E-3</v>
      </c>
      <c r="W521" s="5">
        <f t="shared" si="1147"/>
        <v>1.1631264240329597E-2</v>
      </c>
      <c r="X521" s="5">
        <f t="shared" si="1147"/>
        <v>1.3169321097392467E-2</v>
      </c>
      <c r="Z521" s="4">
        <v>45336</v>
      </c>
      <c r="AA521">
        <f t="shared" ref="AA521:AA550" si="1148">B521*B$3</f>
        <v>0</v>
      </c>
      <c r="AB521">
        <f t="shared" ref="AB521:AB550" si="1149">C521*C$3</f>
        <v>-2583.999999999945</v>
      </c>
      <c r="AC521">
        <f t="shared" ref="AC521:AC550" si="1150">D521*D$3</f>
        <v>32286.000000000746</v>
      </c>
      <c r="AD521">
        <f t="shared" ref="AD521:AD550" si="1151">E521*E$3</f>
        <v>2427.9999999999482</v>
      </c>
      <c r="AE521">
        <f t="shared" ref="AE521:AE550" si="1152">F521*F$3</f>
        <v>-12428.000000000839</v>
      </c>
      <c r="AF521">
        <f t="shared" ref="AF521:AF550" si="1153">G521*G$3</f>
        <v>-78139.999999999724</v>
      </c>
      <c r="AG521">
        <f t="shared" ref="AG521:AG550" si="1154">H521*H$3</f>
        <v>-225728.0000000002</v>
      </c>
      <c r="AH521">
        <f t="shared" ref="AH521:AH550" si="1155">I521*I$3</f>
        <v>-110736.00000000092</v>
      </c>
      <c r="AI521">
        <f t="shared" ref="AI521:AI550" si="1156">J521*J$3</f>
        <v>-306308.99999999802</v>
      </c>
      <c r="AJ521">
        <f t="shared" ref="AJ521:AJ550" si="1157">K521*K$3</f>
        <v>-470370.0000000039</v>
      </c>
      <c r="AK521">
        <f t="shared" ref="AK521:AK550" si="1158">L521*L$3</f>
        <v>124016.00000000012</v>
      </c>
      <c r="AL521">
        <f t="shared" ref="AL521:AL550" si="1159">M521*M$3</f>
        <v>64145.999999998632</v>
      </c>
      <c r="AM521">
        <f t="shared" ref="AM521:AM550" si="1160">N521*N$3</f>
        <v>0</v>
      </c>
      <c r="AN521">
        <f t="shared" ref="AN521:AN550" si="1161">O521*O$3</f>
        <v>0</v>
      </c>
      <c r="AO521">
        <f t="shared" ref="AO521:AO550" si="1162">P521*P$3</f>
        <v>7969.6532541513207</v>
      </c>
      <c r="AP521">
        <f t="shared" ref="AP521:AP550" si="1163">Q521*Q$3</f>
        <v>-8149.0706812166554</v>
      </c>
      <c r="AQ521">
        <f t="shared" ref="AQ521:AQ550" si="1164">R521*R$3</f>
        <v>34807.286470891428</v>
      </c>
      <c r="AR521" s="1">
        <f t="shared" ref="AR521:AR550" si="1165">S521*S$3</f>
        <v>49308.759619180331</v>
      </c>
      <c r="AS521" s="1">
        <f t="shared" si="1136"/>
        <v>23586.211375029598</v>
      </c>
      <c r="AT521" s="1">
        <f t="shared" si="1136"/>
        <v>23402.639443766991</v>
      </c>
      <c r="AU521" s="1">
        <f t="shared" si="1136"/>
        <v>0</v>
      </c>
      <c r="AV521" s="1">
        <f t="shared" si="1136"/>
        <v>0</v>
      </c>
      <c r="AW521" s="1">
        <f t="shared" si="1136"/>
        <v>0</v>
      </c>
      <c r="AX521" s="1">
        <f t="shared" si="1139"/>
        <v>-852493.52051820094</v>
      </c>
      <c r="AY521" s="1">
        <f t="shared" si="1140"/>
        <v>130925.47948180302</v>
      </c>
      <c r="AZ521" s="1">
        <f t="shared" si="1141"/>
        <v>-983419.00000000396</v>
      </c>
    </row>
    <row r="522" spans="1:52" x14ac:dyDescent="0.25">
      <c r="A522" s="4">
        <v>45335</v>
      </c>
      <c r="B522">
        <f t="shared" ref="B522:N522" si="1166">(B1072-B1071)*100</f>
        <v>0.99999999999997868</v>
      </c>
      <c r="C522">
        <f t="shared" si="1166"/>
        <v>-0.99999999999997868</v>
      </c>
      <c r="D522">
        <f t="shared" si="1166"/>
        <v>-2.0000000000000462</v>
      </c>
      <c r="E522">
        <f t="shared" si="1166"/>
        <v>-3.0000000000000249</v>
      </c>
      <c r="F522">
        <f t="shared" si="1166"/>
        <v>-5.0000000000000711</v>
      </c>
      <c r="G522">
        <f t="shared" si="1166"/>
        <v>-12.000000000000011</v>
      </c>
      <c r="H522">
        <f t="shared" si="1166"/>
        <v>-17.999999999999972</v>
      </c>
      <c r="I522">
        <f t="shared" si="1166"/>
        <v>-19.000000000000039</v>
      </c>
      <c r="J522">
        <f t="shared" si="1166"/>
        <v>-17.999999999999972</v>
      </c>
      <c r="K522">
        <f t="shared" si="1166"/>
        <v>-16.999999999999993</v>
      </c>
      <c r="L522">
        <f t="shared" si="1166"/>
        <v>-13.999999999999968</v>
      </c>
      <c r="M522">
        <f t="shared" si="1166"/>
        <v>-10.999999999999943</v>
      </c>
      <c r="N522">
        <f t="shared" si="1166"/>
        <v>-8.9999999999999858</v>
      </c>
      <c r="O522" s="5">
        <f t="shared" si="1130"/>
        <v>0</v>
      </c>
      <c r="P522" s="5">
        <f t="shared" si="1130"/>
        <v>2.5515099636840106E-3</v>
      </c>
      <c r="Q522" s="5">
        <f t="shared" si="1130"/>
        <v>3.5961810053907217E-3</v>
      </c>
      <c r="R522" s="5">
        <f t="shared" si="1130"/>
        <v>4.1290381243702804E-3</v>
      </c>
      <c r="S522" s="5">
        <f t="shared" si="1130"/>
        <v>7.4066858610837933E-3</v>
      </c>
      <c r="T522" s="5">
        <f t="shared" ref="T522:X522" si="1167">LN(T1071/T1072)</f>
        <v>2.4050255479935796E-3</v>
      </c>
      <c r="U522" s="5">
        <f t="shared" si="1167"/>
        <v>7.7051352047874876E-4</v>
      </c>
      <c r="V522" s="5">
        <f t="shared" si="1167"/>
        <v>1.5941975700902999E-3</v>
      </c>
      <c r="W522" s="5">
        <f t="shared" si="1167"/>
        <v>-5.0790379556354568E-4</v>
      </c>
      <c r="X522" s="5">
        <f t="shared" si="1167"/>
        <v>1.8743540151633898E-3</v>
      </c>
      <c r="Z522" s="4">
        <v>45335</v>
      </c>
      <c r="AA522">
        <f t="shared" si="1148"/>
        <v>-982.99999999997908</v>
      </c>
      <c r="AB522">
        <f t="shared" si="1149"/>
        <v>2583.999999999945</v>
      </c>
      <c r="AC522">
        <f t="shared" si="1150"/>
        <v>-32286.000000000746</v>
      </c>
      <c r="AD522">
        <f t="shared" si="1151"/>
        <v>-7284.00000000006</v>
      </c>
      <c r="AE522">
        <f t="shared" si="1152"/>
        <v>62140.00000000088</v>
      </c>
      <c r="AF522">
        <f t="shared" si="1153"/>
        <v>187536.00000000017</v>
      </c>
      <c r="AG522">
        <f t="shared" si="1154"/>
        <v>507887.99999999919</v>
      </c>
      <c r="AH522">
        <f t="shared" si="1155"/>
        <v>350664.0000000007</v>
      </c>
      <c r="AI522">
        <f t="shared" si="1156"/>
        <v>918926.9999999986</v>
      </c>
      <c r="AJ522">
        <f t="shared" si="1157"/>
        <v>1332714.9999999995</v>
      </c>
      <c r="AK522">
        <f t="shared" si="1158"/>
        <v>-434055.99999999901</v>
      </c>
      <c r="AL522">
        <f t="shared" si="1159"/>
        <v>-352802.9999999982</v>
      </c>
      <c r="AM522">
        <f t="shared" si="1160"/>
        <v>0</v>
      </c>
      <c r="AN522">
        <f t="shared" si="1161"/>
        <v>0</v>
      </c>
      <c r="AO522">
        <f t="shared" si="1162"/>
        <v>-12757.549818420053</v>
      </c>
      <c r="AP522">
        <f t="shared" si="1163"/>
        <v>43154.172064688661</v>
      </c>
      <c r="AQ522">
        <f t="shared" si="1164"/>
        <v>-61935.571865554208</v>
      </c>
      <c r="AR522" s="1">
        <f t="shared" si="1165"/>
        <v>-51846.801027586553</v>
      </c>
      <c r="AS522" s="1">
        <f t="shared" si="1136"/>
        <v>9620.102191974318</v>
      </c>
      <c r="AT522" s="1">
        <f t="shared" si="1136"/>
        <v>6164.1081638299902</v>
      </c>
      <c r="AU522" s="1">
        <f t="shared" si="1136"/>
        <v>0</v>
      </c>
      <c r="AV522" s="1">
        <f t="shared" si="1136"/>
        <v>0</v>
      </c>
      <c r="AW522" s="1">
        <f t="shared" si="1136"/>
        <v>0</v>
      </c>
      <c r="AX522" s="1">
        <f t="shared" si="1139"/>
        <v>2467440.4597089328</v>
      </c>
      <c r="AY522" s="1">
        <f t="shared" si="1140"/>
        <v>-67601.540291067839</v>
      </c>
      <c r="AZ522" s="1">
        <f t="shared" si="1141"/>
        <v>2535042.0000000005</v>
      </c>
    </row>
    <row r="523" spans="1:52" x14ac:dyDescent="0.25">
      <c r="A523" s="4">
        <v>45334</v>
      </c>
      <c r="B523">
        <f t="shared" ref="B523:N523" si="1168">(B1073-B1072)*100</f>
        <v>0</v>
      </c>
      <c r="C523">
        <f t="shared" si="1168"/>
        <v>0</v>
      </c>
      <c r="D523">
        <f t="shared" si="1168"/>
        <v>1.0000000000000675</v>
      </c>
      <c r="E523">
        <f t="shared" si="1168"/>
        <v>0</v>
      </c>
      <c r="F523">
        <f t="shared" si="1168"/>
        <v>-0.99999999999997868</v>
      </c>
      <c r="G523">
        <f t="shared" si="1168"/>
        <v>-0.99999999999997868</v>
      </c>
      <c r="H523">
        <f t="shared" si="1168"/>
        <v>2.0000000000000462</v>
      </c>
      <c r="I523">
        <f t="shared" si="1168"/>
        <v>0</v>
      </c>
      <c r="J523">
        <f t="shared" si="1168"/>
        <v>0.99999999999997868</v>
      </c>
      <c r="K523">
        <f t="shared" si="1168"/>
        <v>0.99999999999997868</v>
      </c>
      <c r="L523">
        <f t="shared" si="1168"/>
        <v>0</v>
      </c>
      <c r="M523">
        <f t="shared" si="1168"/>
        <v>0</v>
      </c>
      <c r="N523">
        <f t="shared" si="1168"/>
        <v>0</v>
      </c>
      <c r="O523" s="5">
        <f t="shared" si="1130"/>
        <v>0</v>
      </c>
      <c r="P523" s="5">
        <f t="shared" si="1130"/>
        <v>-2.1386069951115755E-3</v>
      </c>
      <c r="Q523" s="5">
        <f t="shared" si="1130"/>
        <v>1.1284305788514774E-2</v>
      </c>
      <c r="R523" s="5">
        <f t="shared" si="1130"/>
        <v>1.2938286188372927E-3</v>
      </c>
      <c r="S523" s="5">
        <f t="shared" si="1130"/>
        <v>4.6803607072237833E-4</v>
      </c>
      <c r="T523" s="5">
        <f t="shared" ref="T523:X523" si="1169">LN(T1072/T1073)</f>
        <v>-1.9417861621714098E-3</v>
      </c>
      <c r="U523" s="5">
        <f t="shared" si="1169"/>
        <v>-1.3260478172416777E-3</v>
      </c>
      <c r="V523" s="5">
        <f t="shared" si="1169"/>
        <v>-6.1653635439097793E-4</v>
      </c>
      <c r="W523" s="5">
        <f t="shared" si="1169"/>
        <v>-4.2975405140748806E-3</v>
      </c>
      <c r="X523" s="5">
        <f t="shared" si="1169"/>
        <v>8.1255037292859566E-4</v>
      </c>
      <c r="Z523" s="4">
        <v>45334</v>
      </c>
      <c r="AA523">
        <f t="shared" si="1148"/>
        <v>0</v>
      </c>
      <c r="AB523">
        <f t="shared" si="1149"/>
        <v>0</v>
      </c>
      <c r="AC523">
        <f t="shared" si="1150"/>
        <v>16143.00000000109</v>
      </c>
      <c r="AD523">
        <f t="shared" si="1151"/>
        <v>0</v>
      </c>
      <c r="AE523">
        <f t="shared" si="1152"/>
        <v>12427.999999999734</v>
      </c>
      <c r="AF523">
        <f t="shared" si="1153"/>
        <v>15627.999999999667</v>
      </c>
      <c r="AG523">
        <f t="shared" si="1154"/>
        <v>-56432.000000001302</v>
      </c>
      <c r="AH523">
        <f t="shared" si="1155"/>
        <v>0</v>
      </c>
      <c r="AI523">
        <f t="shared" si="1156"/>
        <v>-51051.499999998909</v>
      </c>
      <c r="AJ523">
        <f t="shared" si="1157"/>
        <v>-78394.999999998327</v>
      </c>
      <c r="AK523">
        <f t="shared" si="1158"/>
        <v>0</v>
      </c>
      <c r="AL523">
        <f t="shared" si="1159"/>
        <v>0</v>
      </c>
      <c r="AM523">
        <f t="shared" si="1160"/>
        <v>0</v>
      </c>
      <c r="AN523">
        <f t="shared" si="1161"/>
        <v>0</v>
      </c>
      <c r="AO523">
        <f t="shared" si="1162"/>
        <v>10693.034975557877</v>
      </c>
      <c r="AP523">
        <f t="shared" si="1163"/>
        <v>135411.66946217729</v>
      </c>
      <c r="AQ523">
        <f t="shared" si="1164"/>
        <v>-19407.429282559391</v>
      </c>
      <c r="AR523" s="1">
        <f t="shared" si="1165"/>
        <v>-3276.2524950566485</v>
      </c>
      <c r="AS523" s="1">
        <f t="shared" si="1136"/>
        <v>-7767.1446486856394</v>
      </c>
      <c r="AT523" s="1">
        <f t="shared" si="1136"/>
        <v>-10608.382537933421</v>
      </c>
      <c r="AU523" s="1">
        <f t="shared" si="1136"/>
        <v>0</v>
      </c>
      <c r="AV523" s="1">
        <f t="shared" si="1136"/>
        <v>0</v>
      </c>
      <c r="AW523" s="1">
        <f t="shared" si="1136"/>
        <v>0</v>
      </c>
      <c r="AX523" s="1">
        <f t="shared" si="1139"/>
        <v>-36634.004526497978</v>
      </c>
      <c r="AY523" s="1">
        <f t="shared" si="1140"/>
        <v>105045.49547350008</v>
      </c>
      <c r="AZ523" s="1">
        <f t="shared" si="1141"/>
        <v>-141679.49999999805</v>
      </c>
    </row>
    <row r="524" spans="1:52" x14ac:dyDescent="0.25">
      <c r="A524" s="4">
        <v>45331</v>
      </c>
      <c r="B524">
        <f t="shared" ref="B524:N524" si="1170">(B1074-B1073)*100</f>
        <v>0</v>
      </c>
      <c r="C524">
        <f t="shared" si="1170"/>
        <v>0</v>
      </c>
      <c r="D524">
        <f t="shared" si="1170"/>
        <v>0</v>
      </c>
      <c r="E524">
        <f t="shared" si="1170"/>
        <v>-0.99999999999997868</v>
      </c>
      <c r="F524">
        <f t="shared" si="1170"/>
        <v>-1.9999999999999574</v>
      </c>
      <c r="G524">
        <f t="shared" si="1170"/>
        <v>-3.0000000000000249</v>
      </c>
      <c r="H524">
        <f t="shared" si="1170"/>
        <v>-2.0000000000000462</v>
      </c>
      <c r="I524">
        <f t="shared" si="1170"/>
        <v>-3.0000000000000249</v>
      </c>
      <c r="J524">
        <f t="shared" si="1170"/>
        <v>-1.9999999999999574</v>
      </c>
      <c r="K524">
        <f t="shared" si="1170"/>
        <v>-1.9999999999999574</v>
      </c>
      <c r="L524">
        <f t="shared" si="1170"/>
        <v>-1.9999999999999574</v>
      </c>
      <c r="M524">
        <f t="shared" si="1170"/>
        <v>-1.0000000000000675</v>
      </c>
      <c r="N524">
        <f t="shared" si="1170"/>
        <v>-0.99999999999997868</v>
      </c>
      <c r="O524" s="5">
        <f t="shared" si="1130"/>
        <v>-1.7484805740760085E-3</v>
      </c>
      <c r="P524" s="5">
        <f t="shared" si="1130"/>
        <v>-6.7000350999054997E-3</v>
      </c>
      <c r="Q524" s="5">
        <f t="shared" si="1130"/>
        <v>1.0452618045641378E-2</v>
      </c>
      <c r="R524" s="5">
        <f t="shared" si="1130"/>
        <v>5.1800052958334084E-4</v>
      </c>
      <c r="S524" s="5">
        <f t="shared" si="1130"/>
        <v>-4.4316970465661963E-3</v>
      </c>
      <c r="T524" s="5">
        <f t="shared" ref="T524:X524" si="1171">LN(T1073/T1074)</f>
        <v>-1.400444958830289E-4</v>
      </c>
      <c r="U524" s="5">
        <f t="shared" si="1171"/>
        <v>5.4288405149863E-4</v>
      </c>
      <c r="V524" s="5">
        <f t="shared" si="1171"/>
        <v>7.8898937635979941E-3</v>
      </c>
      <c r="W524" s="5">
        <f t="shared" si="1171"/>
        <v>3.7299757117568388E-3</v>
      </c>
      <c r="X524" s="5">
        <f t="shared" si="1171"/>
        <v>-5.2654136680991182E-4</v>
      </c>
      <c r="Z524" s="4">
        <v>45331</v>
      </c>
      <c r="AA524">
        <f t="shared" si="1148"/>
        <v>0</v>
      </c>
      <c r="AB524">
        <f t="shared" si="1149"/>
        <v>0</v>
      </c>
      <c r="AC524">
        <f t="shared" si="1150"/>
        <v>0</v>
      </c>
      <c r="AD524">
        <f t="shared" si="1151"/>
        <v>-2427.9999999999482</v>
      </c>
      <c r="AE524">
        <f t="shared" si="1152"/>
        <v>24855.999999999469</v>
      </c>
      <c r="AF524">
        <f t="shared" si="1153"/>
        <v>46884.000000000386</v>
      </c>
      <c r="AG524">
        <f t="shared" si="1154"/>
        <v>56432.000000001302</v>
      </c>
      <c r="AH524">
        <f t="shared" si="1155"/>
        <v>55368.000000000458</v>
      </c>
      <c r="AI524">
        <f t="shared" si="1156"/>
        <v>102102.99999999782</v>
      </c>
      <c r="AJ524">
        <f t="shared" si="1157"/>
        <v>156789.99999999665</v>
      </c>
      <c r="AK524">
        <f t="shared" si="1158"/>
        <v>-62007.999999998676</v>
      </c>
      <c r="AL524">
        <f t="shared" si="1159"/>
        <v>-32073.000000002165</v>
      </c>
      <c r="AM524">
        <f t="shared" si="1160"/>
        <v>0</v>
      </c>
      <c r="AN524">
        <f t="shared" si="1161"/>
        <v>0</v>
      </c>
      <c r="AO524">
        <f t="shared" si="1162"/>
        <v>33500.175499527497</v>
      </c>
      <c r="AP524">
        <f t="shared" si="1163"/>
        <v>125431.41654769654</v>
      </c>
      <c r="AQ524">
        <f t="shared" si="1164"/>
        <v>-7770.0079437501126</v>
      </c>
      <c r="AR524" s="1">
        <f t="shared" si="1165"/>
        <v>31021.879325963375</v>
      </c>
      <c r="AS524" s="1">
        <f t="shared" si="1136"/>
        <v>-560.1779835321156</v>
      </c>
      <c r="AT524" s="1">
        <f t="shared" si="1136"/>
        <v>4343.0724119890401</v>
      </c>
      <c r="AU524" s="1">
        <f t="shared" si="1136"/>
        <v>0</v>
      </c>
      <c r="AV524" s="1">
        <f t="shared" si="1136"/>
        <v>0</v>
      </c>
      <c r="AW524" s="1">
        <f t="shared" si="1136"/>
        <v>0</v>
      </c>
      <c r="AX524" s="1">
        <f t="shared" si="1139"/>
        <v>531890.35785788961</v>
      </c>
      <c r="AY524" s="1">
        <f t="shared" si="1140"/>
        <v>185966.35785789424</v>
      </c>
      <c r="AZ524" s="1">
        <f t="shared" si="1141"/>
        <v>345923.99999999534</v>
      </c>
    </row>
    <row r="525" spans="1:52" x14ac:dyDescent="0.25">
      <c r="A525" s="4">
        <v>45330</v>
      </c>
      <c r="B525">
        <f t="shared" ref="B525:N525" si="1172">(B1075-B1074)*100</f>
        <v>-2.0000000000000462</v>
      </c>
      <c r="C525">
        <f t="shared" si="1172"/>
        <v>-1.9999999999999574</v>
      </c>
      <c r="D525">
        <f t="shared" si="1172"/>
        <v>-1.0000000000000675</v>
      </c>
      <c r="E525">
        <f t="shared" si="1172"/>
        <v>-1.9999999999999574</v>
      </c>
      <c r="F525">
        <f t="shared" si="1172"/>
        <v>-0.99999999999997868</v>
      </c>
      <c r="G525">
        <f t="shared" si="1172"/>
        <v>0</v>
      </c>
      <c r="H525">
        <f t="shared" si="1172"/>
        <v>-4.9999999999999822</v>
      </c>
      <c r="I525">
        <f t="shared" si="1172"/>
        <v>-5.9999999999999609</v>
      </c>
      <c r="J525">
        <f t="shared" si="1172"/>
        <v>-6.0000000000000497</v>
      </c>
      <c r="K525">
        <f t="shared" si="1172"/>
        <v>-6.0000000000000497</v>
      </c>
      <c r="L525">
        <f t="shared" si="1172"/>
        <v>-6.0000000000000497</v>
      </c>
      <c r="M525">
        <f t="shared" si="1172"/>
        <v>-5.9999999999999609</v>
      </c>
      <c r="N525">
        <f t="shared" si="1172"/>
        <v>-5.0000000000000711</v>
      </c>
      <c r="O525" s="5">
        <f t="shared" ref="O525:S534" si="1173">LN(O1074/O1075)</f>
        <v>3.9434290484196373E-3</v>
      </c>
      <c r="P525" s="5">
        <f t="shared" si="1173"/>
        <v>-2.7816429618768026E-3</v>
      </c>
      <c r="Q525" s="5">
        <f t="shared" si="1173"/>
        <v>-2.0129531329235203E-3</v>
      </c>
      <c r="R525" s="5">
        <f t="shared" si="1173"/>
        <v>4.9344341129716274E-3</v>
      </c>
      <c r="S525" s="5">
        <f t="shared" si="1173"/>
        <v>5.3859989418227625E-3</v>
      </c>
      <c r="T525" s="5">
        <f t="shared" ref="T525:X525" si="1174">LN(T1074/T1075)</f>
        <v>-1.7226241286983953E-3</v>
      </c>
      <c r="U525" s="5">
        <f t="shared" si="1174"/>
        <v>-1.6527990014040693E-3</v>
      </c>
      <c r="V525" s="5">
        <f t="shared" si="1174"/>
        <v>1.8114351404235646E-3</v>
      </c>
      <c r="W525" s="5">
        <f t="shared" si="1174"/>
        <v>1.19432576174498E-3</v>
      </c>
      <c r="X525" s="5">
        <f t="shared" si="1174"/>
        <v>5.0590944020640089E-3</v>
      </c>
      <c r="Z525" s="4">
        <v>45330</v>
      </c>
      <c r="AA525">
        <f t="shared" si="1148"/>
        <v>1966.0000000000455</v>
      </c>
      <c r="AB525">
        <f t="shared" si="1149"/>
        <v>5167.99999999989</v>
      </c>
      <c r="AC525">
        <f t="shared" si="1150"/>
        <v>-16143.00000000109</v>
      </c>
      <c r="AD525">
        <f t="shared" si="1151"/>
        <v>-4855.9999999998963</v>
      </c>
      <c r="AE525">
        <f t="shared" si="1152"/>
        <v>12427.999999999734</v>
      </c>
      <c r="AF525">
        <f t="shared" si="1153"/>
        <v>0</v>
      </c>
      <c r="AG525">
        <f t="shared" si="1154"/>
        <v>141079.99999999951</v>
      </c>
      <c r="AH525">
        <f t="shared" si="1155"/>
        <v>110735.99999999927</v>
      </c>
      <c r="AI525">
        <f t="shared" si="1156"/>
        <v>306309.00000000256</v>
      </c>
      <c r="AJ525">
        <f t="shared" si="1157"/>
        <v>470370.0000000039</v>
      </c>
      <c r="AK525">
        <f t="shared" si="1158"/>
        <v>-186024.00000000154</v>
      </c>
      <c r="AL525">
        <f t="shared" si="1159"/>
        <v>-192437.99999999875</v>
      </c>
      <c r="AM525">
        <f t="shared" si="1160"/>
        <v>0</v>
      </c>
      <c r="AN525">
        <f t="shared" si="1161"/>
        <v>0</v>
      </c>
      <c r="AO525">
        <f t="shared" si="1162"/>
        <v>13908.214809384013</v>
      </c>
      <c r="AP525">
        <f t="shared" si="1163"/>
        <v>-24155.437595082243</v>
      </c>
      <c r="AQ525">
        <f t="shared" si="1164"/>
        <v>-74016.511694574408</v>
      </c>
      <c r="AR525" s="1">
        <f t="shared" si="1165"/>
        <v>-37701.992592759336</v>
      </c>
      <c r="AS525" s="1">
        <f t="shared" si="1136"/>
        <v>-6890.4965147935809</v>
      </c>
      <c r="AT525" s="1">
        <f t="shared" si="1136"/>
        <v>-13222.392011232554</v>
      </c>
      <c r="AU525" s="1">
        <f t="shared" si="1136"/>
        <v>0</v>
      </c>
      <c r="AV525" s="1">
        <f t="shared" si="1136"/>
        <v>0</v>
      </c>
      <c r="AW525" s="1">
        <f t="shared" si="1136"/>
        <v>0</v>
      </c>
      <c r="AX525" s="1">
        <f t="shared" si="1139"/>
        <v>506517.38440094562</v>
      </c>
      <c r="AY525" s="1">
        <f t="shared" si="1140"/>
        <v>-142078.6155990581</v>
      </c>
      <c r="AZ525" s="1">
        <f t="shared" si="1141"/>
        <v>648596.00000000373</v>
      </c>
    </row>
    <row r="526" spans="1:52" x14ac:dyDescent="0.25">
      <c r="A526" s="4">
        <v>45329</v>
      </c>
      <c r="B526">
        <f t="shared" ref="B526:N526" si="1175">(B1076-B1075)*100</f>
        <v>1.0000000000000675</v>
      </c>
      <c r="C526">
        <f t="shared" si="1175"/>
        <v>0.99999999999997868</v>
      </c>
      <c r="D526">
        <f t="shared" si="1175"/>
        <v>1.0000000000000675</v>
      </c>
      <c r="E526">
        <f t="shared" si="1175"/>
        <v>0.99999999999997868</v>
      </c>
      <c r="F526">
        <f t="shared" si="1175"/>
        <v>0</v>
      </c>
      <c r="G526">
        <f t="shared" si="1175"/>
        <v>-0.99999999999997868</v>
      </c>
      <c r="H526">
        <f t="shared" si="1175"/>
        <v>-2.0000000000000462</v>
      </c>
      <c r="I526">
        <f t="shared" si="1175"/>
        <v>-2.0000000000000462</v>
      </c>
      <c r="J526">
        <f t="shared" si="1175"/>
        <v>-2.9999999999999361</v>
      </c>
      <c r="K526">
        <f t="shared" si="1175"/>
        <v>-1.9999999999999574</v>
      </c>
      <c r="L526">
        <f t="shared" si="1175"/>
        <v>0</v>
      </c>
      <c r="M526">
        <f t="shared" si="1175"/>
        <v>-2.0000000000000462</v>
      </c>
      <c r="N526">
        <f t="shared" si="1175"/>
        <v>-1.9999999999999574</v>
      </c>
      <c r="O526" s="5">
        <f t="shared" si="1173"/>
        <v>-1.5913145800815552E-3</v>
      </c>
      <c r="P526" s="5">
        <f t="shared" si="1173"/>
        <v>1.0106115059234598E-3</v>
      </c>
      <c r="Q526" s="5">
        <f t="shared" si="1173"/>
        <v>-6.2134817912858084E-3</v>
      </c>
      <c r="R526" s="5">
        <f t="shared" si="1173"/>
        <v>-5.1934679183315412E-3</v>
      </c>
      <c r="S526" s="5">
        <f t="shared" si="1173"/>
        <v>9.6107647955031021E-4</v>
      </c>
      <c r="T526" s="5">
        <f t="shared" ref="T526:X526" si="1176">LN(T1075/T1076)</f>
        <v>-1.4296890422365322E-3</v>
      </c>
      <c r="U526" s="5">
        <f t="shared" si="1176"/>
        <v>-5.7321719350387646E-3</v>
      </c>
      <c r="V526" s="5">
        <f t="shared" si="1176"/>
        <v>-5.545529908597518E-3</v>
      </c>
      <c r="W526" s="5">
        <f t="shared" si="1176"/>
        <v>-7.5913321222571403E-3</v>
      </c>
      <c r="X526" s="5">
        <f t="shared" si="1176"/>
        <v>-1.3791753995159844E-3</v>
      </c>
      <c r="Z526" s="4">
        <v>45329</v>
      </c>
      <c r="AA526">
        <f t="shared" si="1148"/>
        <v>-983.00000000006639</v>
      </c>
      <c r="AB526">
        <f t="shared" si="1149"/>
        <v>-2583.999999999945</v>
      </c>
      <c r="AC526">
        <f t="shared" si="1150"/>
        <v>16143.00000000109</v>
      </c>
      <c r="AD526">
        <f t="shared" si="1151"/>
        <v>2427.9999999999482</v>
      </c>
      <c r="AE526">
        <f t="shared" si="1152"/>
        <v>0</v>
      </c>
      <c r="AF526">
        <f t="shared" si="1153"/>
        <v>15627.999999999667</v>
      </c>
      <c r="AG526">
        <f t="shared" si="1154"/>
        <v>56432.000000001302</v>
      </c>
      <c r="AH526">
        <f t="shared" si="1155"/>
        <v>36912.000000000851</v>
      </c>
      <c r="AI526">
        <f t="shared" si="1156"/>
        <v>153154.49999999674</v>
      </c>
      <c r="AJ526">
        <f t="shared" si="1157"/>
        <v>156789.99999999665</v>
      </c>
      <c r="AK526">
        <f t="shared" si="1158"/>
        <v>0</v>
      </c>
      <c r="AL526">
        <f t="shared" si="1159"/>
        <v>-64146.000000001484</v>
      </c>
      <c r="AM526">
        <f t="shared" si="1160"/>
        <v>0</v>
      </c>
      <c r="AN526">
        <f t="shared" si="1161"/>
        <v>0</v>
      </c>
      <c r="AO526">
        <f t="shared" si="1162"/>
        <v>-5053.0575296172992</v>
      </c>
      <c r="AP526">
        <f t="shared" si="1163"/>
        <v>-74561.781495429706</v>
      </c>
      <c r="AQ526">
        <f t="shared" si="1164"/>
        <v>77902.018774973112</v>
      </c>
      <c r="AR526" s="1">
        <f t="shared" si="1165"/>
        <v>-6727.5353568521714</v>
      </c>
      <c r="AS526" s="1">
        <f t="shared" si="1136"/>
        <v>-5718.756168946129</v>
      </c>
      <c r="AT526" s="1">
        <f t="shared" si="1136"/>
        <v>-45857.375480310118</v>
      </c>
      <c r="AU526" s="1">
        <f t="shared" si="1136"/>
        <v>0</v>
      </c>
      <c r="AV526" s="1">
        <f t="shared" si="1136"/>
        <v>0</v>
      </c>
      <c r="AW526" s="1">
        <f t="shared" si="1136"/>
        <v>0</v>
      </c>
      <c r="AX526" s="1">
        <f t="shared" si="1139"/>
        <v>309758.01274381246</v>
      </c>
      <c r="AY526" s="1">
        <f t="shared" si="1140"/>
        <v>-60016.487256182314</v>
      </c>
      <c r="AZ526" s="1">
        <f t="shared" si="1141"/>
        <v>369774.49999999476</v>
      </c>
    </row>
    <row r="527" spans="1:52" x14ac:dyDescent="0.25">
      <c r="A527" s="4">
        <v>45328</v>
      </c>
      <c r="B527">
        <f t="shared" ref="B527:N527" si="1177">(B1077-B1076)*100</f>
        <v>0.99999999999997868</v>
      </c>
      <c r="C527">
        <f t="shared" si="1177"/>
        <v>0</v>
      </c>
      <c r="D527">
        <f t="shared" si="1177"/>
        <v>-2.0000000000000462</v>
      </c>
      <c r="E527">
        <f t="shared" si="1177"/>
        <v>0.99999999999997868</v>
      </c>
      <c r="F527">
        <f t="shared" si="1177"/>
        <v>1.9999999999999574</v>
      </c>
      <c r="G527">
        <f t="shared" si="1177"/>
        <v>4.9999999999999822</v>
      </c>
      <c r="H527">
        <f t="shared" si="1177"/>
        <v>7.0000000000000284</v>
      </c>
      <c r="I527">
        <f t="shared" si="1177"/>
        <v>12.999999999999989</v>
      </c>
      <c r="J527">
        <f t="shared" si="1177"/>
        <v>9.9999999999999645</v>
      </c>
      <c r="K527">
        <f t="shared" si="1177"/>
        <v>8.9999999999999858</v>
      </c>
      <c r="L527">
        <f t="shared" si="1177"/>
        <v>8.0000000000000071</v>
      </c>
      <c r="M527">
        <f t="shared" si="1177"/>
        <v>7.0000000000000284</v>
      </c>
      <c r="N527">
        <f t="shared" si="1177"/>
        <v>5.9999999999999609</v>
      </c>
      <c r="O527" s="5">
        <f t="shared" si="1173"/>
        <v>-7.3395560792822792E-3</v>
      </c>
      <c r="P527" s="5">
        <f t="shared" si="1173"/>
        <v>-2.5274864282154747E-4</v>
      </c>
      <c r="Q527" s="5">
        <f t="shared" si="1173"/>
        <v>1.2518786128440092E-2</v>
      </c>
      <c r="R527" s="5">
        <f t="shared" si="1173"/>
        <v>0</v>
      </c>
      <c r="S527" s="5">
        <f t="shared" si="1173"/>
        <v>-5.315351272322643E-3</v>
      </c>
      <c r="T527" s="5">
        <f t="shared" ref="T527:X527" si="1178">LN(T1076/T1077)</f>
        <v>3.5510454839930931E-3</v>
      </c>
      <c r="U527" s="5">
        <f t="shared" si="1178"/>
        <v>6.9557118125805608E-3</v>
      </c>
      <c r="V527" s="5">
        <f t="shared" si="1178"/>
        <v>9.355310554994853E-4</v>
      </c>
      <c r="W527" s="5">
        <f t="shared" si="1178"/>
        <v>3.8177134039058449E-3</v>
      </c>
      <c r="X527" s="5">
        <f t="shared" si="1178"/>
        <v>4.281560620454883E-3</v>
      </c>
      <c r="Z527" s="4">
        <v>45328</v>
      </c>
      <c r="AA527">
        <f t="shared" si="1148"/>
        <v>-982.99999999997908</v>
      </c>
      <c r="AB527">
        <f t="shared" si="1149"/>
        <v>0</v>
      </c>
      <c r="AC527">
        <f t="shared" si="1150"/>
        <v>-32286.000000000746</v>
      </c>
      <c r="AD527">
        <f t="shared" si="1151"/>
        <v>2427.9999999999482</v>
      </c>
      <c r="AE527">
        <f t="shared" si="1152"/>
        <v>-24855.999999999469</v>
      </c>
      <c r="AF527">
        <f t="shared" si="1153"/>
        <v>-78139.999999999724</v>
      </c>
      <c r="AG527">
        <f t="shared" si="1154"/>
        <v>-197512.00000000081</v>
      </c>
      <c r="AH527">
        <f t="shared" si="1155"/>
        <v>-239927.9999999998</v>
      </c>
      <c r="AI527">
        <f t="shared" si="1156"/>
        <v>-510514.9999999982</v>
      </c>
      <c r="AJ527">
        <f t="shared" si="1157"/>
        <v>-705554.99999999884</v>
      </c>
      <c r="AK527">
        <f t="shared" si="1158"/>
        <v>248032.00000000023</v>
      </c>
      <c r="AL527">
        <f t="shared" si="1159"/>
        <v>224511.0000000009</v>
      </c>
      <c r="AM527">
        <f t="shared" si="1160"/>
        <v>0</v>
      </c>
      <c r="AN527">
        <f t="shared" si="1161"/>
        <v>0</v>
      </c>
      <c r="AO527">
        <f t="shared" si="1162"/>
        <v>1263.7432141077375</v>
      </c>
      <c r="AP527">
        <f t="shared" si="1163"/>
        <v>150225.43354128112</v>
      </c>
      <c r="AQ527">
        <f t="shared" si="1164"/>
        <v>0</v>
      </c>
      <c r="AR527" s="1">
        <f t="shared" si="1165"/>
        <v>37207.4589062585</v>
      </c>
      <c r="AS527" s="1">
        <f t="shared" si="1136"/>
        <v>14204.181935972372</v>
      </c>
      <c r="AT527" s="1">
        <f t="shared" si="1136"/>
        <v>55645.694500644488</v>
      </c>
      <c r="AU527" s="1">
        <f t="shared" si="1136"/>
        <v>0</v>
      </c>
      <c r="AV527" s="1">
        <f t="shared" si="1136"/>
        <v>0</v>
      </c>
      <c r="AW527" s="1">
        <f t="shared" si="1136"/>
        <v>0</v>
      </c>
      <c r="AX527" s="1">
        <f t="shared" si="1139"/>
        <v>-1056257.4879017323</v>
      </c>
      <c r="AY527" s="1">
        <f t="shared" si="1140"/>
        <v>258546.51209826421</v>
      </c>
      <c r="AZ527" s="1">
        <f t="shared" si="1141"/>
        <v>-1314803.9999999965</v>
      </c>
    </row>
    <row r="528" spans="1:52" x14ac:dyDescent="0.25">
      <c r="A528" s="4">
        <v>45327</v>
      </c>
      <c r="B528">
        <f t="shared" ref="B528:N528" si="1179">(B1078-B1077)*100</f>
        <v>0</v>
      </c>
      <c r="C528">
        <f t="shared" si="1179"/>
        <v>0.99999999999997868</v>
      </c>
      <c r="D528">
        <f t="shared" si="1179"/>
        <v>0.99999999999997868</v>
      </c>
      <c r="E528">
        <f t="shared" si="1179"/>
        <v>0</v>
      </c>
      <c r="F528">
        <f t="shared" si="1179"/>
        <v>-3.0000000000000249</v>
      </c>
      <c r="G528">
        <f t="shared" si="1179"/>
        <v>-6.0000000000000497</v>
      </c>
      <c r="H528">
        <f t="shared" si="1179"/>
        <v>-9.9999999999999645</v>
      </c>
      <c r="I528">
        <f t="shared" si="1179"/>
        <v>-12.999999999999989</v>
      </c>
      <c r="J528">
        <f t="shared" si="1179"/>
        <v>-13.999999999999968</v>
      </c>
      <c r="K528">
        <f t="shared" si="1179"/>
        <v>-14.000000000000057</v>
      </c>
      <c r="L528">
        <f t="shared" si="1179"/>
        <v>-13.999999999999968</v>
      </c>
      <c r="M528">
        <f t="shared" si="1179"/>
        <v>-12.999999999999989</v>
      </c>
      <c r="N528">
        <f t="shared" si="1179"/>
        <v>-12.999999999999989</v>
      </c>
      <c r="O528" s="5">
        <f t="shared" si="1173"/>
        <v>1.1696509881419046E-2</v>
      </c>
      <c r="P528" s="5">
        <f t="shared" si="1173"/>
        <v>4.5618171331509635E-3</v>
      </c>
      <c r="Q528" s="5">
        <f t="shared" si="1173"/>
        <v>8.3305000735604488E-3</v>
      </c>
      <c r="R528" s="5">
        <f t="shared" si="1173"/>
        <v>8.0614140895446211E-3</v>
      </c>
      <c r="S528" s="5">
        <f t="shared" si="1173"/>
        <v>0</v>
      </c>
      <c r="T528" s="5">
        <f t="shared" ref="T528:X528" si="1180">LN(T1077/T1078)</f>
        <v>8.7376071109124299E-3</v>
      </c>
      <c r="U528" s="5">
        <f t="shared" si="1180"/>
        <v>9.8812548173314481E-3</v>
      </c>
      <c r="V528" s="5">
        <f t="shared" si="1180"/>
        <v>1.3900810878057513E-2</v>
      </c>
      <c r="W528" s="5">
        <f t="shared" si="1180"/>
        <v>1.0675638651845301E-2</v>
      </c>
      <c r="X528" s="5">
        <f t="shared" si="1180"/>
        <v>1.0854815266954674E-2</v>
      </c>
      <c r="Z528" s="4">
        <v>45327</v>
      </c>
      <c r="AA528">
        <f t="shared" si="1148"/>
        <v>0</v>
      </c>
      <c r="AB528">
        <f t="shared" si="1149"/>
        <v>-2583.999999999945</v>
      </c>
      <c r="AC528">
        <f t="shared" si="1150"/>
        <v>16142.999999999656</v>
      </c>
      <c r="AD528">
        <f t="shared" si="1151"/>
        <v>0</v>
      </c>
      <c r="AE528">
        <f t="shared" si="1152"/>
        <v>37284.000000000306</v>
      </c>
      <c r="AF528">
        <f t="shared" si="1153"/>
        <v>93768.000000000771</v>
      </c>
      <c r="AG528">
        <f t="shared" si="1154"/>
        <v>282159.99999999901</v>
      </c>
      <c r="AH528">
        <f t="shared" si="1155"/>
        <v>239927.9999999998</v>
      </c>
      <c r="AI528">
        <f t="shared" si="1156"/>
        <v>714720.99999999837</v>
      </c>
      <c r="AJ528">
        <f t="shared" si="1157"/>
        <v>1097530.0000000044</v>
      </c>
      <c r="AK528">
        <f t="shared" si="1158"/>
        <v>-434055.99999999901</v>
      </c>
      <c r="AL528">
        <f t="shared" si="1159"/>
        <v>-416948.99999999965</v>
      </c>
      <c r="AM528">
        <f t="shared" si="1160"/>
        <v>0</v>
      </c>
      <c r="AN528">
        <f t="shared" si="1161"/>
        <v>0</v>
      </c>
      <c r="AO528">
        <f t="shared" si="1162"/>
        <v>-22809.085665754817</v>
      </c>
      <c r="AP528">
        <f t="shared" si="1163"/>
        <v>99966.000882725391</v>
      </c>
      <c r="AQ528">
        <f t="shared" si="1164"/>
        <v>-120921.21134316931</v>
      </c>
      <c r="AR528" s="1">
        <f t="shared" si="1165"/>
        <v>0</v>
      </c>
      <c r="AS528" s="1">
        <f t="shared" si="1136"/>
        <v>34950.428443649718</v>
      </c>
      <c r="AT528" s="1">
        <f t="shared" si="1136"/>
        <v>79050.038538651585</v>
      </c>
      <c r="AU528" s="1">
        <f t="shared" si="1136"/>
        <v>0</v>
      </c>
      <c r="AV528" s="1">
        <f t="shared" si="1136"/>
        <v>0</v>
      </c>
      <c r="AW528" s="1">
        <f t="shared" si="1136"/>
        <v>0</v>
      </c>
      <c r="AX528" s="1">
        <f t="shared" si="1139"/>
        <v>1698181.1708561066</v>
      </c>
      <c r="AY528" s="1">
        <f t="shared" si="1140"/>
        <v>70236.170856102573</v>
      </c>
      <c r="AZ528" s="1">
        <f t="shared" si="1141"/>
        <v>1627945.000000004</v>
      </c>
    </row>
    <row r="529" spans="1:52" x14ac:dyDescent="0.25">
      <c r="A529" s="4">
        <v>45324</v>
      </c>
      <c r="B529">
        <f t="shared" ref="B529:N529" si="1181">(B1079-B1078)*100</f>
        <v>0</v>
      </c>
      <c r="C529">
        <f t="shared" si="1181"/>
        <v>0</v>
      </c>
      <c r="D529">
        <f t="shared" si="1181"/>
        <v>-0.99999999999997868</v>
      </c>
      <c r="E529">
        <f t="shared" si="1181"/>
        <v>-4.0000000000000036</v>
      </c>
      <c r="F529">
        <f t="shared" si="1181"/>
        <v>-6.9999999999999396</v>
      </c>
      <c r="G529">
        <f t="shared" si="1181"/>
        <v>-12.999999999999989</v>
      </c>
      <c r="H529">
        <f t="shared" si="1181"/>
        <v>-16.000000000000014</v>
      </c>
      <c r="I529">
        <f t="shared" si="1181"/>
        <v>-17.999999999999972</v>
      </c>
      <c r="J529">
        <f t="shared" si="1181"/>
        <v>-19.000000000000039</v>
      </c>
      <c r="K529">
        <f t="shared" si="1181"/>
        <v>-18.99999999999995</v>
      </c>
      <c r="L529">
        <f t="shared" si="1181"/>
        <v>-16.000000000000014</v>
      </c>
      <c r="M529">
        <f t="shared" si="1181"/>
        <v>-12.000000000000011</v>
      </c>
      <c r="N529">
        <f t="shared" si="1181"/>
        <v>-12.000000000000011</v>
      </c>
      <c r="O529" s="5">
        <f t="shared" si="1173"/>
        <v>2.449022121679665E-3</v>
      </c>
      <c r="P529" s="5">
        <f t="shared" si="1173"/>
        <v>1.2774861454936079E-2</v>
      </c>
      <c r="Q529" s="5">
        <f t="shared" si="1173"/>
        <v>4.0144144434151353E-3</v>
      </c>
      <c r="R529" s="5">
        <f t="shared" si="1173"/>
        <v>5.2356140539449427E-3</v>
      </c>
      <c r="S529" s="5">
        <f t="shared" si="1173"/>
        <v>3.2361353537762277E-3</v>
      </c>
      <c r="T529" s="5">
        <f t="shared" ref="T529:X529" si="1182">LN(T1078/T1079)</f>
        <v>-6.5251832253097808E-3</v>
      </c>
      <c r="U529" s="5">
        <f t="shared" si="1182"/>
        <v>-5.4157301058593331E-3</v>
      </c>
      <c r="V529" s="5">
        <f t="shared" si="1182"/>
        <v>-3.7144614462190813E-3</v>
      </c>
      <c r="W529" s="5">
        <f t="shared" si="1182"/>
        <v>-2.0387287344194585E-3</v>
      </c>
      <c r="X529" s="5">
        <f t="shared" si="1182"/>
        <v>-5.4884817431877161E-3</v>
      </c>
      <c r="Z529" s="4">
        <v>45324</v>
      </c>
      <c r="AA529">
        <f t="shared" si="1148"/>
        <v>0</v>
      </c>
      <c r="AB529">
        <f t="shared" si="1149"/>
        <v>0</v>
      </c>
      <c r="AC529">
        <f t="shared" si="1150"/>
        <v>-16142.999999999656</v>
      </c>
      <c r="AD529">
        <f t="shared" si="1151"/>
        <v>-9712.0000000000091</v>
      </c>
      <c r="AE529">
        <f t="shared" si="1152"/>
        <v>86995.999999999243</v>
      </c>
      <c r="AF529">
        <f t="shared" si="1153"/>
        <v>203163.99999999983</v>
      </c>
      <c r="AG529">
        <f t="shared" si="1154"/>
        <v>451456.00000000041</v>
      </c>
      <c r="AH529">
        <f t="shared" si="1155"/>
        <v>332207.99999999948</v>
      </c>
      <c r="AI529">
        <f t="shared" si="1156"/>
        <v>969978.50000000198</v>
      </c>
      <c r="AJ529">
        <f t="shared" si="1157"/>
        <v>1489504.999999996</v>
      </c>
      <c r="AK529">
        <f t="shared" si="1158"/>
        <v>-496064.00000000047</v>
      </c>
      <c r="AL529">
        <f t="shared" si="1159"/>
        <v>-384876.00000000035</v>
      </c>
      <c r="AM529">
        <f t="shared" si="1160"/>
        <v>0</v>
      </c>
      <c r="AN529">
        <f t="shared" si="1161"/>
        <v>0</v>
      </c>
      <c r="AO529">
        <f t="shared" si="1162"/>
        <v>-63874.307274680395</v>
      </c>
      <c r="AP529">
        <f t="shared" si="1163"/>
        <v>48172.973320981626</v>
      </c>
      <c r="AQ529">
        <f t="shared" si="1164"/>
        <v>-78534.210809174139</v>
      </c>
      <c r="AR529" s="1">
        <f t="shared" si="1165"/>
        <v>-22652.947476433594</v>
      </c>
      <c r="AS529" s="1">
        <f t="shared" si="1136"/>
        <v>-26100.732901239124</v>
      </c>
      <c r="AT529" s="1">
        <f t="shared" si="1136"/>
        <v>-43325.840846874664</v>
      </c>
      <c r="AU529" s="1">
        <f t="shared" si="1136"/>
        <v>0</v>
      </c>
      <c r="AV529" s="1">
        <f t="shared" si="1136"/>
        <v>0</v>
      </c>
      <c r="AW529" s="1">
        <f t="shared" si="1136"/>
        <v>0</v>
      </c>
      <c r="AX529" s="1">
        <f t="shared" si="1139"/>
        <v>2440197.4340125755</v>
      </c>
      <c r="AY529" s="1">
        <f t="shared" si="1140"/>
        <v>-186315.0659874203</v>
      </c>
      <c r="AZ529" s="1">
        <f t="shared" si="1141"/>
        <v>2626512.4999999958</v>
      </c>
    </row>
    <row r="530" spans="1:52" x14ac:dyDescent="0.25">
      <c r="A530" s="4">
        <v>45323</v>
      </c>
      <c r="B530">
        <f t="shared" ref="B530:N530" si="1183">(B1080-B1079)*100</f>
        <v>4.0000000000000036</v>
      </c>
      <c r="C530">
        <f t="shared" si="1183"/>
        <v>-4.9999999999999822</v>
      </c>
      <c r="D530">
        <f t="shared" si="1183"/>
        <v>0</v>
      </c>
      <c r="E530">
        <f t="shared" si="1183"/>
        <v>2.0000000000000462</v>
      </c>
      <c r="F530">
        <f t="shared" si="1183"/>
        <v>2.9999999999999361</v>
      </c>
      <c r="G530">
        <f t="shared" si="1183"/>
        <v>5.0000000000000711</v>
      </c>
      <c r="H530">
        <f t="shared" si="1183"/>
        <v>6.9999999999999396</v>
      </c>
      <c r="I530">
        <f t="shared" si="1183"/>
        <v>8.9999999999999858</v>
      </c>
      <c r="J530">
        <f t="shared" si="1183"/>
        <v>11.000000000000032</v>
      </c>
      <c r="K530">
        <f t="shared" si="1183"/>
        <v>12.000000000000011</v>
      </c>
      <c r="L530">
        <f t="shared" si="1183"/>
        <v>12.000000000000011</v>
      </c>
      <c r="M530">
        <f t="shared" si="1183"/>
        <v>12.999999999999989</v>
      </c>
      <c r="N530">
        <f t="shared" si="1183"/>
        <v>12.000000000000011</v>
      </c>
      <c r="O530" s="5">
        <f t="shared" si="1173"/>
        <v>-3.7419515947212643E-3</v>
      </c>
      <c r="P530" s="5">
        <f t="shared" si="1173"/>
        <v>-5.7970136407828332E-3</v>
      </c>
      <c r="Q530" s="5">
        <f t="shared" si="1173"/>
        <v>-4.2897283114979988E-4</v>
      </c>
      <c r="R530" s="5">
        <f t="shared" si="1173"/>
        <v>5.2507220949071418E-4</v>
      </c>
      <c r="S530" s="5">
        <f t="shared" si="1173"/>
        <v>-2.4601839722428764E-3</v>
      </c>
      <c r="T530" s="5">
        <f t="shared" ref="T530:X530" si="1184">LN(T1079/T1080)</f>
        <v>3.6475440526974423E-3</v>
      </c>
      <c r="U530" s="5">
        <f t="shared" si="1184"/>
        <v>1.3448770071329311E-3</v>
      </c>
      <c r="V530" s="5">
        <f t="shared" si="1184"/>
        <v>-2.5342774535534063E-3</v>
      </c>
      <c r="W530" s="5">
        <f t="shared" si="1184"/>
        <v>5.0612126375193947E-3</v>
      </c>
      <c r="X530" s="5">
        <f t="shared" si="1184"/>
        <v>5.5677558346227483E-4</v>
      </c>
      <c r="Z530" s="4">
        <v>45323</v>
      </c>
      <c r="AA530">
        <f t="shared" si="1148"/>
        <v>-3932.0000000000036</v>
      </c>
      <c r="AB530">
        <f t="shared" si="1149"/>
        <v>12919.999999999955</v>
      </c>
      <c r="AC530">
        <f t="shared" si="1150"/>
        <v>0</v>
      </c>
      <c r="AD530">
        <f t="shared" si="1151"/>
        <v>4856.0000000001119</v>
      </c>
      <c r="AE530">
        <f t="shared" si="1152"/>
        <v>-37283.999999999207</v>
      </c>
      <c r="AF530">
        <f t="shared" si="1153"/>
        <v>-78140.000000001106</v>
      </c>
      <c r="AG530">
        <f t="shared" si="1154"/>
        <v>-197511.99999999828</v>
      </c>
      <c r="AH530">
        <f t="shared" si="1155"/>
        <v>-166103.99999999974</v>
      </c>
      <c r="AI530">
        <f t="shared" si="1156"/>
        <v>-561566.50000000163</v>
      </c>
      <c r="AJ530">
        <f t="shared" si="1157"/>
        <v>-940740.00000000081</v>
      </c>
      <c r="AK530">
        <f t="shared" si="1158"/>
        <v>372048.00000000035</v>
      </c>
      <c r="AL530">
        <f t="shared" si="1159"/>
        <v>416948.99999999965</v>
      </c>
      <c r="AM530">
        <f t="shared" si="1160"/>
        <v>0</v>
      </c>
      <c r="AN530">
        <f t="shared" si="1161"/>
        <v>0</v>
      </c>
      <c r="AO530">
        <f t="shared" si="1162"/>
        <v>28985.068203914165</v>
      </c>
      <c r="AP530">
        <f t="shared" si="1163"/>
        <v>-5147.6739737975986</v>
      </c>
      <c r="AQ530">
        <f t="shared" si="1164"/>
        <v>-7876.0831423607124</v>
      </c>
      <c r="AR530" s="1">
        <f t="shared" si="1165"/>
        <v>17221.287805700136</v>
      </c>
      <c r="AS530" s="1">
        <f t="shared" si="1136"/>
        <v>14590.176210789768</v>
      </c>
      <c r="AT530" s="1">
        <f t="shared" si="1136"/>
        <v>10759.016057063449</v>
      </c>
      <c r="AU530" s="1">
        <f t="shared" si="1136"/>
        <v>0</v>
      </c>
      <c r="AV530" s="1">
        <f t="shared" si="1136"/>
        <v>0</v>
      </c>
      <c r="AW530" s="1">
        <f t="shared" si="1136"/>
        <v>0</v>
      </c>
      <c r="AX530" s="1">
        <f t="shared" si="1139"/>
        <v>-1119973.7088386917</v>
      </c>
      <c r="AY530" s="1">
        <f t="shared" si="1140"/>
        <v>58531.7911613092</v>
      </c>
      <c r="AZ530" s="1">
        <f t="shared" si="1141"/>
        <v>-1178505.5000000009</v>
      </c>
    </row>
    <row r="531" spans="1:52" x14ac:dyDescent="0.25">
      <c r="A531" s="4">
        <v>45322</v>
      </c>
      <c r="B531">
        <f t="shared" ref="B531:N531" si="1185">(B1081-B1080)*100</f>
        <v>0</v>
      </c>
      <c r="C531">
        <f t="shared" si="1185"/>
        <v>0.99999999999997868</v>
      </c>
      <c r="D531">
        <f t="shared" si="1185"/>
        <v>0</v>
      </c>
      <c r="E531">
        <f t="shared" si="1185"/>
        <v>-2.0000000000000462</v>
      </c>
      <c r="F531">
        <f t="shared" si="1185"/>
        <v>1.0000000000000675</v>
      </c>
      <c r="G531">
        <f t="shared" si="1185"/>
        <v>6.9999999999999396</v>
      </c>
      <c r="H531">
        <f t="shared" si="1185"/>
        <v>9.0000000000000746</v>
      </c>
      <c r="I531">
        <f t="shared" si="1185"/>
        <v>8.9999999999999858</v>
      </c>
      <c r="J531">
        <f t="shared" si="1185"/>
        <v>8.9999999999999858</v>
      </c>
      <c r="K531">
        <f t="shared" si="1185"/>
        <v>8.0000000000000071</v>
      </c>
      <c r="L531">
        <f t="shared" si="1185"/>
        <v>6.9999999999999396</v>
      </c>
      <c r="M531">
        <f t="shared" si="1185"/>
        <v>6.0000000000000497</v>
      </c>
      <c r="N531">
        <f t="shared" si="1185"/>
        <v>6.0000000000000497</v>
      </c>
      <c r="O531" s="5">
        <f t="shared" si="1173"/>
        <v>-2.0773046888330139E-3</v>
      </c>
      <c r="P531" s="5">
        <f t="shared" si="1173"/>
        <v>-1.724149368039041E-3</v>
      </c>
      <c r="Q531" s="5">
        <f t="shared" si="1173"/>
        <v>5.4077721840186639E-3</v>
      </c>
      <c r="R531" s="5">
        <f t="shared" si="1173"/>
        <v>2.6263952875854341E-4</v>
      </c>
      <c r="S531" s="5">
        <f t="shared" si="1173"/>
        <v>-8.6925835571413353E-4</v>
      </c>
      <c r="T531" s="5">
        <f t="shared" ref="T531:X531" si="1186">LN(T1080/T1081)</f>
        <v>-8.2376875432619082E-4</v>
      </c>
      <c r="U531" s="5">
        <f t="shared" si="1186"/>
        <v>1.3973636844076508E-3</v>
      </c>
      <c r="V531" s="5">
        <f t="shared" si="1186"/>
        <v>-6.7155089267689272E-4</v>
      </c>
      <c r="W531" s="5">
        <f t="shared" si="1186"/>
        <v>2.9364196940411228E-3</v>
      </c>
      <c r="X531" s="5">
        <f t="shared" si="1186"/>
        <v>6.2670004983999357E-4</v>
      </c>
      <c r="Z531" s="4">
        <v>45322</v>
      </c>
      <c r="AA531">
        <f t="shared" si="1148"/>
        <v>0</v>
      </c>
      <c r="AB531">
        <f t="shared" si="1149"/>
        <v>-2583.999999999945</v>
      </c>
      <c r="AC531">
        <f t="shared" si="1150"/>
        <v>0</v>
      </c>
      <c r="AD531">
        <f t="shared" si="1151"/>
        <v>-4856.0000000001119</v>
      </c>
      <c r="AE531">
        <f t="shared" si="1152"/>
        <v>-12428.000000000839</v>
      </c>
      <c r="AF531">
        <f t="shared" si="1153"/>
        <v>-109395.99999999905</v>
      </c>
      <c r="AG531">
        <f t="shared" si="1154"/>
        <v>-253944.0000000021</v>
      </c>
      <c r="AH531">
        <f t="shared" si="1155"/>
        <v>-166103.99999999974</v>
      </c>
      <c r="AI531">
        <f t="shared" si="1156"/>
        <v>-459463.4999999993</v>
      </c>
      <c r="AJ531">
        <f t="shared" si="1157"/>
        <v>-627160.00000000058</v>
      </c>
      <c r="AK531">
        <f t="shared" si="1158"/>
        <v>217027.99999999814</v>
      </c>
      <c r="AL531">
        <f t="shared" si="1159"/>
        <v>192438.0000000016</v>
      </c>
      <c r="AM531">
        <f t="shared" si="1160"/>
        <v>0</v>
      </c>
      <c r="AN531">
        <f t="shared" si="1161"/>
        <v>0</v>
      </c>
      <c r="AO531">
        <f t="shared" si="1162"/>
        <v>8620.7468401952046</v>
      </c>
      <c r="AP531">
        <f t="shared" si="1163"/>
        <v>64893.266208223969</v>
      </c>
      <c r="AQ531">
        <f t="shared" si="1164"/>
        <v>-3939.5929313781512</v>
      </c>
      <c r="AR531" s="1">
        <f t="shared" si="1165"/>
        <v>6084.8084899989344</v>
      </c>
      <c r="AS531" s="1">
        <f t="shared" si="1136"/>
        <v>-3295.0750173047632</v>
      </c>
      <c r="AT531" s="1">
        <f t="shared" si="1136"/>
        <v>11178.909475261205</v>
      </c>
      <c r="AU531" s="1">
        <f t="shared" si="1136"/>
        <v>0</v>
      </c>
      <c r="AV531" s="1">
        <f t="shared" si="1136"/>
        <v>0</v>
      </c>
      <c r="AW531" s="1">
        <f t="shared" si="1136"/>
        <v>0</v>
      </c>
      <c r="AX531" s="1">
        <f t="shared" si="1139"/>
        <v>-1142926.4369350055</v>
      </c>
      <c r="AY531" s="1">
        <f t="shared" si="1140"/>
        <v>83543.0630649964</v>
      </c>
      <c r="AZ531" s="1">
        <f t="shared" si="1141"/>
        <v>-1226469.5000000019</v>
      </c>
    </row>
    <row r="532" spans="1:52" x14ac:dyDescent="0.25">
      <c r="A532" s="4">
        <v>45321</v>
      </c>
      <c r="B532">
        <f t="shared" ref="B532:N532" si="1187">(B1082-B1081)*100</f>
        <v>0</v>
      </c>
      <c r="C532">
        <f t="shared" si="1187"/>
        <v>-0.99999999999997868</v>
      </c>
      <c r="D532">
        <f t="shared" si="1187"/>
        <v>0</v>
      </c>
      <c r="E532">
        <f t="shared" si="1187"/>
        <v>-0.99999999999997868</v>
      </c>
      <c r="F532">
        <f t="shared" si="1187"/>
        <v>0</v>
      </c>
      <c r="G532">
        <f t="shared" si="1187"/>
        <v>-4.0000000000000036</v>
      </c>
      <c r="H532">
        <f t="shared" si="1187"/>
        <v>-7.0000000000000284</v>
      </c>
      <c r="I532">
        <f t="shared" si="1187"/>
        <v>-4.0000000000000036</v>
      </c>
      <c r="J532">
        <f t="shared" si="1187"/>
        <v>-2.9999999999999805</v>
      </c>
      <c r="K532">
        <f t="shared" si="1187"/>
        <v>-1.0000000000000675</v>
      </c>
      <c r="L532">
        <f t="shared" si="1187"/>
        <v>2.0000000000000462</v>
      </c>
      <c r="M532">
        <f t="shared" si="1187"/>
        <v>1.9999999999999574</v>
      </c>
      <c r="N532">
        <f t="shared" si="1187"/>
        <v>2.9999999999999361</v>
      </c>
      <c r="O532" s="5">
        <f t="shared" si="1173"/>
        <v>8.3555520156462278E-3</v>
      </c>
      <c r="P532" s="5">
        <f t="shared" si="1173"/>
        <v>-3.2231996157012538E-3</v>
      </c>
      <c r="Q532" s="5">
        <f t="shared" si="1173"/>
        <v>1.2441924475170603E-2</v>
      </c>
      <c r="R532" s="5">
        <f t="shared" si="1173"/>
        <v>-5.2521009610679995E-4</v>
      </c>
      <c r="S532" s="5">
        <f t="shared" si="1173"/>
        <v>-4.009794145770895E-3</v>
      </c>
      <c r="T532" s="5">
        <f t="shared" ref="T532:X532" si="1188">LN(T1081/T1082)</f>
        <v>8.3465247686710165E-4</v>
      </c>
      <c r="U532" s="5">
        <f t="shared" si="1188"/>
        <v>-1.2323032736126693E-3</v>
      </c>
      <c r="V532" s="5">
        <f t="shared" si="1188"/>
        <v>-4.5465496468630679E-3</v>
      </c>
      <c r="W532" s="5">
        <f t="shared" si="1188"/>
        <v>-5.39591415553662E-3</v>
      </c>
      <c r="X532" s="5">
        <f t="shared" si="1188"/>
        <v>-3.2686447339319359E-3</v>
      </c>
      <c r="Z532" s="4">
        <v>45321</v>
      </c>
      <c r="AA532">
        <f t="shared" si="1148"/>
        <v>0</v>
      </c>
      <c r="AB532">
        <f t="shared" si="1149"/>
        <v>2583.999999999945</v>
      </c>
      <c r="AC532">
        <f t="shared" si="1150"/>
        <v>0</v>
      </c>
      <c r="AD532">
        <f t="shared" si="1151"/>
        <v>-2427.9999999999482</v>
      </c>
      <c r="AE532">
        <f t="shared" si="1152"/>
        <v>0</v>
      </c>
      <c r="AF532">
        <f t="shared" si="1153"/>
        <v>62512.000000000058</v>
      </c>
      <c r="AG532">
        <f t="shared" si="1154"/>
        <v>197512.00000000081</v>
      </c>
      <c r="AH532">
        <f t="shared" si="1155"/>
        <v>73824.000000000073</v>
      </c>
      <c r="AI532">
        <f t="shared" si="1156"/>
        <v>153154.49999999901</v>
      </c>
      <c r="AJ532">
        <f t="shared" si="1157"/>
        <v>78395.000000005297</v>
      </c>
      <c r="AK532">
        <f t="shared" si="1158"/>
        <v>62008.000000001433</v>
      </c>
      <c r="AL532">
        <f t="shared" si="1159"/>
        <v>64145.999999998632</v>
      </c>
      <c r="AM532">
        <f t="shared" si="1160"/>
        <v>0</v>
      </c>
      <c r="AN532">
        <f t="shared" si="1161"/>
        <v>0</v>
      </c>
      <c r="AO532">
        <f t="shared" si="1162"/>
        <v>16115.998078506269</v>
      </c>
      <c r="AP532">
        <f t="shared" si="1163"/>
        <v>149303.09370204722</v>
      </c>
      <c r="AQ532">
        <f t="shared" si="1164"/>
        <v>7878.1514416019991</v>
      </c>
      <c r="AR532" s="1">
        <f t="shared" si="1165"/>
        <v>28068.559020396264</v>
      </c>
      <c r="AS532" s="1">
        <f t="shared" si="1136"/>
        <v>3338.6099074684066</v>
      </c>
      <c r="AT532" s="1">
        <f t="shared" si="1136"/>
        <v>-9858.4261889013542</v>
      </c>
      <c r="AU532" s="1">
        <f t="shared" si="1136"/>
        <v>0</v>
      </c>
      <c r="AV532" s="1">
        <f t="shared" si="1136"/>
        <v>0</v>
      </c>
      <c r="AW532" s="1">
        <f t="shared" si="1136"/>
        <v>0</v>
      </c>
      <c r="AX532" s="1">
        <f t="shared" si="1139"/>
        <v>886553.48596112418</v>
      </c>
      <c r="AY532" s="1">
        <f t="shared" si="1140"/>
        <v>194845.9859611188</v>
      </c>
      <c r="AZ532" s="1">
        <f t="shared" si="1141"/>
        <v>691707.50000000536</v>
      </c>
    </row>
    <row r="533" spans="1:52" x14ac:dyDescent="0.25">
      <c r="A533" s="4">
        <v>45320</v>
      </c>
      <c r="B533">
        <f t="shared" ref="B533:N533" si="1189">(B1083-B1082)*100</f>
        <v>0.99999999999997868</v>
      </c>
      <c r="C533">
        <f t="shared" si="1189"/>
        <v>-0.99999999999997868</v>
      </c>
      <c r="D533">
        <f t="shared" si="1189"/>
        <v>2.0000000000000462</v>
      </c>
      <c r="E533">
        <f t="shared" si="1189"/>
        <v>1.9999999999999574</v>
      </c>
      <c r="F533">
        <f t="shared" si="1189"/>
        <v>0</v>
      </c>
      <c r="G533">
        <f t="shared" si="1189"/>
        <v>2.0000000000000462</v>
      </c>
      <c r="H533">
        <f t="shared" si="1189"/>
        <v>4.9999999999999822</v>
      </c>
      <c r="I533">
        <f t="shared" si="1189"/>
        <v>5.0000000000000711</v>
      </c>
      <c r="J533">
        <f t="shared" si="1189"/>
        <v>6.999999999999984</v>
      </c>
      <c r="K533">
        <f t="shared" si="1189"/>
        <v>8.0000000000000071</v>
      </c>
      <c r="L533">
        <f t="shared" si="1189"/>
        <v>7.0000000000000284</v>
      </c>
      <c r="M533">
        <f t="shared" si="1189"/>
        <v>7.0000000000000284</v>
      </c>
      <c r="N533">
        <f t="shared" si="1189"/>
        <v>7.0000000000000284</v>
      </c>
      <c r="O533" s="5">
        <f t="shared" si="1173"/>
        <v>2.0336784036726137E-3</v>
      </c>
      <c r="P533" s="5">
        <f t="shared" si="1173"/>
        <v>6.6360631480739543E-3</v>
      </c>
      <c r="Q533" s="5">
        <f t="shared" si="1173"/>
        <v>5.6810560372491043E-3</v>
      </c>
      <c r="R533" s="5">
        <f t="shared" si="1173"/>
        <v>4.4731031036916056E-3</v>
      </c>
      <c r="S533" s="5">
        <f t="shared" si="1173"/>
        <v>4.2547435241241998E-3</v>
      </c>
      <c r="T533" s="5">
        <f t="shared" ref="T533:X533" si="1190">LN(T1082/T1083)</f>
        <v>3.2535760495026758E-4</v>
      </c>
      <c r="U533" s="5">
        <f t="shared" si="1190"/>
        <v>8.3840157944150586E-4</v>
      </c>
      <c r="V533" s="5">
        <f t="shared" si="1190"/>
        <v>2.818821240365824E-3</v>
      </c>
      <c r="W533" s="5">
        <f t="shared" si="1190"/>
        <v>1.1058423045187207E-3</v>
      </c>
      <c r="X533" s="5">
        <f t="shared" si="1190"/>
        <v>-3.1888980248169765E-3</v>
      </c>
      <c r="Z533" s="4">
        <v>45320</v>
      </c>
      <c r="AA533">
        <f t="shared" si="1148"/>
        <v>-982.99999999997908</v>
      </c>
      <c r="AB533">
        <f t="shared" si="1149"/>
        <v>2583.999999999945</v>
      </c>
      <c r="AC533">
        <f t="shared" si="1150"/>
        <v>32286.000000000746</v>
      </c>
      <c r="AD533">
        <f t="shared" si="1151"/>
        <v>4855.9999999998963</v>
      </c>
      <c r="AE533">
        <f t="shared" si="1152"/>
        <v>0</v>
      </c>
      <c r="AF533">
        <f t="shared" si="1153"/>
        <v>-31256.00000000072</v>
      </c>
      <c r="AG533">
        <f t="shared" si="1154"/>
        <v>-141079.99999999951</v>
      </c>
      <c r="AH533">
        <f t="shared" si="1155"/>
        <v>-92280.00000000131</v>
      </c>
      <c r="AI533">
        <f t="shared" si="1156"/>
        <v>-357360.49999999919</v>
      </c>
      <c r="AJ533">
        <f t="shared" si="1157"/>
        <v>-627160.00000000058</v>
      </c>
      <c r="AK533">
        <f t="shared" si="1158"/>
        <v>217028.00000000087</v>
      </c>
      <c r="AL533">
        <f t="shared" si="1159"/>
        <v>224511.0000000009</v>
      </c>
      <c r="AM533">
        <f t="shared" si="1160"/>
        <v>0</v>
      </c>
      <c r="AN533">
        <f t="shared" si="1161"/>
        <v>0</v>
      </c>
      <c r="AO533">
        <f t="shared" si="1162"/>
        <v>-33180.31574036977</v>
      </c>
      <c r="AP533">
        <f t="shared" si="1163"/>
        <v>68172.672446989251</v>
      </c>
      <c r="AQ533">
        <f t="shared" si="1164"/>
        <v>-67096.54655537408</v>
      </c>
      <c r="AR533" s="1">
        <f t="shared" si="1165"/>
        <v>-29783.204668869399</v>
      </c>
      <c r="AS533" s="1">
        <f t="shared" ref="AS533:AS550" si="1191">T533*T$3</f>
        <v>1301.4304198010702</v>
      </c>
      <c r="AT533" s="1">
        <f t="shared" ref="AT533:AT550" si="1192">U533*U$3</f>
        <v>6707.212635532047</v>
      </c>
      <c r="AU533" s="1">
        <f t="shared" ref="AU533:AU550" si="1193">V533*V$3</f>
        <v>0</v>
      </c>
      <c r="AV533" s="1">
        <f t="shared" ref="AV533:AV550" si="1194">W533*W$3</f>
        <v>0</v>
      </c>
      <c r="AW533" s="1">
        <f t="shared" ref="AW533:AW550" si="1195">X533*X$3</f>
        <v>0</v>
      </c>
      <c r="AX533" s="1">
        <f t="shared" si="1139"/>
        <v>-822733.25146228971</v>
      </c>
      <c r="AY533" s="1">
        <f t="shared" si="1140"/>
        <v>-53878.751462290878</v>
      </c>
      <c r="AZ533" s="1">
        <f t="shared" si="1141"/>
        <v>-768854.49999999884</v>
      </c>
    </row>
    <row r="534" spans="1:52" x14ac:dyDescent="0.25">
      <c r="A534" s="4">
        <v>45317</v>
      </c>
      <c r="B534">
        <f t="shared" ref="B534:N534" si="1196">(B1084-B1083)*100</f>
        <v>0</v>
      </c>
      <c r="C534">
        <f t="shared" si="1196"/>
        <v>3.0000000000000249</v>
      </c>
      <c r="D534">
        <f t="shared" si="1196"/>
        <v>0</v>
      </c>
      <c r="E534">
        <f t="shared" si="1196"/>
        <v>0</v>
      </c>
      <c r="F534">
        <f t="shared" si="1196"/>
        <v>0</v>
      </c>
      <c r="G534">
        <f t="shared" si="1196"/>
        <v>-2.0000000000000462</v>
      </c>
      <c r="H534">
        <f t="shared" si="1196"/>
        <v>-5.9999999999999609</v>
      </c>
      <c r="I534">
        <f t="shared" si="1196"/>
        <v>-3.0000000000000249</v>
      </c>
      <c r="J534">
        <f t="shared" si="1196"/>
        <v>-3.0000000000000249</v>
      </c>
      <c r="K534">
        <f t="shared" si="1196"/>
        <v>-2.9999999999999361</v>
      </c>
      <c r="L534">
        <f t="shared" si="1196"/>
        <v>-1.0000000000000675</v>
      </c>
      <c r="M534">
        <f t="shared" si="1196"/>
        <v>0</v>
      </c>
      <c r="N534">
        <f t="shared" si="1196"/>
        <v>0</v>
      </c>
      <c r="O534" s="5">
        <f t="shared" si="1173"/>
        <v>-2.1758811240472219E-3</v>
      </c>
      <c r="P534" s="5">
        <f t="shared" si="1173"/>
        <v>-9.6992883280354221E-3</v>
      </c>
      <c r="Q534" s="5">
        <f t="shared" si="1173"/>
        <v>2.7040709422030997E-3</v>
      </c>
      <c r="R534" s="5">
        <f t="shared" si="1173"/>
        <v>7.6770727814752032E-3</v>
      </c>
      <c r="S534" s="5">
        <f t="shared" si="1173"/>
        <v>-3.853905826071845E-3</v>
      </c>
      <c r="T534" s="5">
        <f t="shared" ref="T534:X534" si="1197">LN(T1083/T1084)</f>
        <v>3.1940891678825449E-3</v>
      </c>
      <c r="U534" s="5">
        <f t="shared" si="1197"/>
        <v>8.2635833536888372E-4</v>
      </c>
      <c r="V534" s="5">
        <f t="shared" si="1197"/>
        <v>8.9398936877013203E-4</v>
      </c>
      <c r="W534" s="5">
        <f t="shared" si="1197"/>
        <v>-1.395182188879851E-3</v>
      </c>
      <c r="X534" s="5">
        <f t="shared" si="1197"/>
        <v>4.4857917083752754E-3</v>
      </c>
      <c r="Z534" s="4">
        <v>45317</v>
      </c>
      <c r="AA534">
        <f t="shared" si="1148"/>
        <v>0</v>
      </c>
      <c r="AB534">
        <f t="shared" si="1149"/>
        <v>-7752.0000000000646</v>
      </c>
      <c r="AC534">
        <f t="shared" si="1150"/>
        <v>0</v>
      </c>
      <c r="AD534">
        <f t="shared" si="1151"/>
        <v>0</v>
      </c>
      <c r="AE534">
        <f t="shared" si="1152"/>
        <v>0</v>
      </c>
      <c r="AF534">
        <f t="shared" si="1153"/>
        <v>31256.00000000072</v>
      </c>
      <c r="AG534">
        <f t="shared" si="1154"/>
        <v>169295.99999999889</v>
      </c>
      <c r="AH534">
        <f t="shared" si="1155"/>
        <v>55368.000000000458</v>
      </c>
      <c r="AI534">
        <f t="shared" si="1156"/>
        <v>153154.50000000128</v>
      </c>
      <c r="AJ534">
        <f t="shared" si="1157"/>
        <v>235184.99999999499</v>
      </c>
      <c r="AK534">
        <f t="shared" si="1158"/>
        <v>-31004.000000002092</v>
      </c>
      <c r="AL534">
        <f t="shared" si="1159"/>
        <v>0</v>
      </c>
      <c r="AM534">
        <f t="shared" si="1160"/>
        <v>0</v>
      </c>
      <c r="AN534">
        <f t="shared" si="1161"/>
        <v>0</v>
      </c>
      <c r="AO534">
        <f t="shared" si="1162"/>
        <v>48496.441640177109</v>
      </c>
      <c r="AP534">
        <f t="shared" si="1163"/>
        <v>32448.851306437195</v>
      </c>
      <c r="AQ534">
        <f t="shared" si="1164"/>
        <v>-115156.09172212805</v>
      </c>
      <c r="AR534" s="1">
        <f t="shared" si="1165"/>
        <v>26977.340782502913</v>
      </c>
      <c r="AS534" s="1">
        <f t="shared" si="1191"/>
        <v>12776.35667153018</v>
      </c>
      <c r="AT534" s="1">
        <f t="shared" si="1192"/>
        <v>6610.8666829510694</v>
      </c>
      <c r="AU534" s="1">
        <f t="shared" si="1193"/>
        <v>0</v>
      </c>
      <c r="AV534" s="1">
        <f t="shared" si="1194"/>
        <v>0</v>
      </c>
      <c r="AW534" s="1">
        <f t="shared" si="1195"/>
        <v>0</v>
      </c>
      <c r="AX534" s="1">
        <f t="shared" si="1139"/>
        <v>617657.26536146458</v>
      </c>
      <c r="AY534" s="1">
        <f t="shared" si="1140"/>
        <v>12153.765361470405</v>
      </c>
      <c r="AZ534" s="1">
        <f t="shared" si="1141"/>
        <v>605503.49999999418</v>
      </c>
    </row>
    <row r="535" spans="1:52" x14ac:dyDescent="0.25">
      <c r="A535" s="4">
        <v>45316</v>
      </c>
      <c r="B535">
        <f t="shared" ref="B535:N535" si="1198">(B1085-B1084)*100</f>
        <v>-2.0000000000000462</v>
      </c>
      <c r="C535">
        <f t="shared" si="1198"/>
        <v>-4.0000000000000036</v>
      </c>
      <c r="D535">
        <f t="shared" si="1198"/>
        <v>0</v>
      </c>
      <c r="E535">
        <f t="shared" si="1198"/>
        <v>1.0000000000000675</v>
      </c>
      <c r="F535">
        <f t="shared" si="1198"/>
        <v>2.9999999999999361</v>
      </c>
      <c r="G535">
        <f t="shared" si="1198"/>
        <v>7.0000000000000284</v>
      </c>
      <c r="H535">
        <f t="shared" si="1198"/>
        <v>5.9999999999999609</v>
      </c>
      <c r="I535">
        <f t="shared" si="1198"/>
        <v>7.0000000000000284</v>
      </c>
      <c r="J535">
        <f t="shared" si="1198"/>
        <v>4.9999999999999822</v>
      </c>
      <c r="K535">
        <f t="shared" si="1198"/>
        <v>6.9999999999999396</v>
      </c>
      <c r="L535">
        <f t="shared" si="1198"/>
        <v>4.0000000000000036</v>
      </c>
      <c r="M535">
        <f t="shared" si="1198"/>
        <v>2.9999999999999361</v>
      </c>
      <c r="N535">
        <f t="shared" si="1198"/>
        <v>3.0000000000000249</v>
      </c>
      <c r="O535" s="5">
        <f t="shared" ref="O535:S544" si="1199">LN(O1084/O1085)</f>
        <v>8.1285948103954422E-4</v>
      </c>
      <c r="P535" s="5">
        <f t="shared" si="1199"/>
        <v>7.9083194471137423E-3</v>
      </c>
      <c r="Q535" s="5">
        <f t="shared" si="1199"/>
        <v>-3.961747182302916E-4</v>
      </c>
      <c r="R535" s="5">
        <f t="shared" si="1199"/>
        <v>1.0635470292591983E-3</v>
      </c>
      <c r="S535" s="5">
        <f t="shared" si="1199"/>
        <v>-1.3363041913026766E-4</v>
      </c>
      <c r="T535" s="5">
        <f t="shared" ref="T535:X535" si="1200">LN(T1084/T1085)</f>
        <v>-2.1957045258727517E-3</v>
      </c>
      <c r="U535" s="5">
        <f t="shared" si="1200"/>
        <v>-2.1091142603388395E-3</v>
      </c>
      <c r="V535" s="5">
        <f t="shared" si="1200"/>
        <v>-4.4618731191134187E-3</v>
      </c>
      <c r="W535" s="5">
        <f t="shared" si="1200"/>
        <v>1.4590757541689794E-3</v>
      </c>
      <c r="X535" s="5">
        <f t="shared" si="1200"/>
        <v>-7.5954644250155303E-3</v>
      </c>
      <c r="Z535" s="4">
        <v>45316</v>
      </c>
      <c r="AA535">
        <f t="shared" si="1148"/>
        <v>1966.0000000000455</v>
      </c>
      <c r="AB535">
        <f t="shared" si="1149"/>
        <v>10336.000000000009</v>
      </c>
      <c r="AC535">
        <f t="shared" si="1150"/>
        <v>0</v>
      </c>
      <c r="AD535">
        <f t="shared" si="1151"/>
        <v>2428.0000000001637</v>
      </c>
      <c r="AE535">
        <f t="shared" si="1152"/>
        <v>-37283.999999999207</v>
      </c>
      <c r="AF535">
        <f t="shared" si="1153"/>
        <v>-109396.00000000045</v>
      </c>
      <c r="AG535">
        <f t="shared" si="1154"/>
        <v>-169295.99999999889</v>
      </c>
      <c r="AH535">
        <f t="shared" si="1155"/>
        <v>-129192.00000000052</v>
      </c>
      <c r="AI535">
        <f t="shared" si="1156"/>
        <v>-255257.4999999991</v>
      </c>
      <c r="AJ535">
        <f t="shared" si="1157"/>
        <v>-548764.99999999523</v>
      </c>
      <c r="AK535">
        <f t="shared" si="1158"/>
        <v>124016.00000000012</v>
      </c>
      <c r="AL535">
        <f t="shared" si="1159"/>
        <v>96218.999999997948</v>
      </c>
      <c r="AM535">
        <f t="shared" si="1160"/>
        <v>0</v>
      </c>
      <c r="AN535">
        <f t="shared" si="1161"/>
        <v>0</v>
      </c>
      <c r="AO535">
        <f t="shared" si="1162"/>
        <v>-39541.597235568712</v>
      </c>
      <c r="AP535">
        <f t="shared" si="1163"/>
        <v>-4754.0966187634995</v>
      </c>
      <c r="AQ535">
        <f t="shared" si="1164"/>
        <v>-15953.205438887975</v>
      </c>
      <c r="AR535" s="1">
        <f t="shared" si="1165"/>
        <v>935.41293391187367</v>
      </c>
      <c r="AS535" s="1">
        <f t="shared" si="1191"/>
        <v>-8782.8181034910067</v>
      </c>
      <c r="AT535" s="1">
        <f t="shared" si="1192"/>
        <v>-16872.914082710715</v>
      </c>
      <c r="AU535" s="1">
        <f t="shared" si="1193"/>
        <v>0</v>
      </c>
      <c r="AV535" s="1">
        <f t="shared" si="1194"/>
        <v>0</v>
      </c>
      <c r="AW535" s="1">
        <f t="shared" si="1195"/>
        <v>0</v>
      </c>
      <c r="AX535" s="1">
        <f t="shared" si="1139"/>
        <v>-1099194.7185455051</v>
      </c>
      <c r="AY535" s="1">
        <f t="shared" si="1140"/>
        <v>-84969.218545510041</v>
      </c>
      <c r="AZ535" s="1">
        <f t="shared" si="1141"/>
        <v>-1014225.499999995</v>
      </c>
    </row>
    <row r="536" spans="1:52" x14ac:dyDescent="0.25">
      <c r="A536" s="4">
        <v>45315</v>
      </c>
      <c r="B536">
        <f t="shared" ref="B536:N536" si="1201">(B1086-B1085)*100</f>
        <v>1.0000000000000675</v>
      </c>
      <c r="C536">
        <f t="shared" si="1201"/>
        <v>1.9999999999999574</v>
      </c>
      <c r="D536">
        <f t="shared" si="1201"/>
        <v>0.99999999999997868</v>
      </c>
      <c r="E536">
        <f t="shared" si="1201"/>
        <v>-2.0000000000000462</v>
      </c>
      <c r="F536">
        <f t="shared" si="1201"/>
        <v>-0.99999999999997868</v>
      </c>
      <c r="G536">
        <f t="shared" si="1201"/>
        <v>-2.0000000000000462</v>
      </c>
      <c r="H536">
        <f t="shared" si="1201"/>
        <v>-3.0000000000000249</v>
      </c>
      <c r="I536">
        <f t="shared" si="1201"/>
        <v>-3.0000000000000249</v>
      </c>
      <c r="J536">
        <f t="shared" si="1201"/>
        <v>0</v>
      </c>
      <c r="K536">
        <f t="shared" si="1201"/>
        <v>-2.9999999999999361</v>
      </c>
      <c r="L536">
        <f t="shared" si="1201"/>
        <v>-4.0000000000000036</v>
      </c>
      <c r="M536">
        <f t="shared" si="1201"/>
        <v>-3.9999999999999147</v>
      </c>
      <c r="N536">
        <f t="shared" si="1201"/>
        <v>-3.0000000000000249</v>
      </c>
      <c r="O536" s="5">
        <f t="shared" si="1199"/>
        <v>-1.057633138531755E-2</v>
      </c>
      <c r="P536" s="5">
        <f t="shared" si="1199"/>
        <v>-1.2561367689175033E-2</v>
      </c>
      <c r="Q536" s="5">
        <f t="shared" si="1199"/>
        <v>3.5712355398232619E-3</v>
      </c>
      <c r="R536" s="5">
        <f t="shared" si="1199"/>
        <v>-2.12596412786311E-3</v>
      </c>
      <c r="S536" s="5">
        <f t="shared" si="1199"/>
        <v>-6.0873555733132892E-3</v>
      </c>
      <c r="T536" s="5">
        <f t="shared" ref="T536:X536" si="1202">LN(T1085/T1086)</f>
        <v>2.0542657846884314E-3</v>
      </c>
      <c r="U536" s="5">
        <f t="shared" si="1202"/>
        <v>1.1809727636354903E-3</v>
      </c>
      <c r="V536" s="5">
        <f t="shared" si="1202"/>
        <v>7.3556927459579266E-4</v>
      </c>
      <c r="W536" s="5">
        <f t="shared" si="1202"/>
        <v>-2.3867419370575157E-3</v>
      </c>
      <c r="X536" s="5">
        <f t="shared" si="1202"/>
        <v>5.5212595084618097E-4</v>
      </c>
      <c r="Z536" s="4">
        <v>45315</v>
      </c>
      <c r="AA536">
        <f t="shared" si="1148"/>
        <v>-983.00000000006639</v>
      </c>
      <c r="AB536">
        <f t="shared" si="1149"/>
        <v>-5167.99999999989</v>
      </c>
      <c r="AC536">
        <f t="shared" si="1150"/>
        <v>16142.999999999656</v>
      </c>
      <c r="AD536">
        <f t="shared" si="1151"/>
        <v>-4856.0000000001119</v>
      </c>
      <c r="AE536">
        <f t="shared" si="1152"/>
        <v>12427.999999999734</v>
      </c>
      <c r="AF536">
        <f t="shared" si="1153"/>
        <v>31256.00000000072</v>
      </c>
      <c r="AG536">
        <f t="shared" si="1154"/>
        <v>84648.000000000698</v>
      </c>
      <c r="AH536">
        <f t="shared" si="1155"/>
        <v>55368.000000000458</v>
      </c>
      <c r="AI536">
        <f t="shared" si="1156"/>
        <v>0</v>
      </c>
      <c r="AJ536">
        <f t="shared" si="1157"/>
        <v>235184.99999999499</v>
      </c>
      <c r="AK536">
        <f t="shared" si="1158"/>
        <v>-124016.00000000012</v>
      </c>
      <c r="AL536">
        <f t="shared" si="1159"/>
        <v>-128291.99999999726</v>
      </c>
      <c r="AM536">
        <f t="shared" si="1160"/>
        <v>0</v>
      </c>
      <c r="AN536">
        <f t="shared" si="1161"/>
        <v>0</v>
      </c>
      <c r="AO536">
        <f t="shared" si="1162"/>
        <v>62806.838445875168</v>
      </c>
      <c r="AP536">
        <f t="shared" si="1163"/>
        <v>42854.826477879142</v>
      </c>
      <c r="AQ536">
        <f t="shared" si="1164"/>
        <v>31889.46191794665</v>
      </c>
      <c r="AR536" s="1">
        <f t="shared" si="1165"/>
        <v>42611.489013193022</v>
      </c>
      <c r="AS536" s="1">
        <f t="shared" si="1191"/>
        <v>8217.0631387537251</v>
      </c>
      <c r="AT536" s="1">
        <f t="shared" si="1192"/>
        <v>9447.7821090839225</v>
      </c>
      <c r="AU536" s="1">
        <f t="shared" si="1193"/>
        <v>0</v>
      </c>
      <c r="AV536" s="1">
        <f t="shared" si="1194"/>
        <v>0</v>
      </c>
      <c r="AW536" s="1">
        <f t="shared" si="1195"/>
        <v>0</v>
      </c>
      <c r="AX536" s="1">
        <f t="shared" si="1139"/>
        <v>369540.46110273036</v>
      </c>
      <c r="AY536" s="1">
        <f t="shared" si="1140"/>
        <v>197827.46110273164</v>
      </c>
      <c r="AZ536" s="1">
        <f t="shared" si="1141"/>
        <v>171712.99999999872</v>
      </c>
    </row>
    <row r="537" spans="1:52" x14ac:dyDescent="0.25">
      <c r="A537" s="4">
        <v>45314</v>
      </c>
      <c r="B537">
        <f t="shared" ref="B537:N537" si="1203">(B1087-B1086)*100</f>
        <v>0</v>
      </c>
      <c r="C537">
        <f t="shared" si="1203"/>
        <v>0.99999999999997868</v>
      </c>
      <c r="D537">
        <f t="shared" si="1203"/>
        <v>0.99999999999997868</v>
      </c>
      <c r="E537">
        <f t="shared" si="1203"/>
        <v>0.99999999999997868</v>
      </c>
      <c r="F537">
        <f t="shared" si="1203"/>
        <v>0.99999999999997868</v>
      </c>
      <c r="G537">
        <f t="shared" si="1203"/>
        <v>2.0000000000000462</v>
      </c>
      <c r="H537">
        <f t="shared" si="1203"/>
        <v>6.0000000000000497</v>
      </c>
      <c r="I537">
        <f t="shared" si="1203"/>
        <v>-2.0000000000000462</v>
      </c>
      <c r="J537">
        <f t="shared" si="1203"/>
        <v>-2.9999999999999361</v>
      </c>
      <c r="K537">
        <f t="shared" si="1203"/>
        <v>-4.0000000000000036</v>
      </c>
      <c r="L537">
        <f t="shared" si="1203"/>
        <v>-2.9999999999999361</v>
      </c>
      <c r="M537">
        <f t="shared" si="1203"/>
        <v>-4.0000000000000036</v>
      </c>
      <c r="N537">
        <f t="shared" si="1203"/>
        <v>-5.9999999999999609</v>
      </c>
      <c r="O537" s="5">
        <f t="shared" si="1199"/>
        <v>4.5363438309894309E-3</v>
      </c>
      <c r="P537" s="5">
        <f t="shared" si="1199"/>
        <v>1.44803857411533E-2</v>
      </c>
      <c r="Q537" s="5">
        <f t="shared" si="1199"/>
        <v>-5.6156416157051199E-3</v>
      </c>
      <c r="R537" s="5">
        <f t="shared" si="1199"/>
        <v>7.4607327149274587E-3</v>
      </c>
      <c r="S537" s="5">
        <f t="shared" si="1199"/>
        <v>7.7677497274309506E-3</v>
      </c>
      <c r="T537" s="5">
        <f t="shared" ref="T537:X537" si="1204">LN(T1086/T1087)</f>
        <v>1.1103749904407673E-3</v>
      </c>
      <c r="U537" s="5">
        <f t="shared" si="1204"/>
        <v>-5.589131780619381E-4</v>
      </c>
      <c r="V537" s="5">
        <f t="shared" si="1204"/>
        <v>1.4173956079924479E-4</v>
      </c>
      <c r="W537" s="5">
        <f t="shared" si="1204"/>
        <v>3.7793491184501802E-3</v>
      </c>
      <c r="X537" s="5">
        <f t="shared" si="1204"/>
        <v>7.3661957802579833E-4</v>
      </c>
      <c r="Z537" s="4">
        <v>45314</v>
      </c>
      <c r="AA537">
        <f t="shared" si="1148"/>
        <v>0</v>
      </c>
      <c r="AB537">
        <f t="shared" si="1149"/>
        <v>-2583.999999999945</v>
      </c>
      <c r="AC537">
        <f t="shared" si="1150"/>
        <v>16142.999999999656</v>
      </c>
      <c r="AD537">
        <f t="shared" si="1151"/>
        <v>2427.9999999999482</v>
      </c>
      <c r="AE537">
        <f t="shared" si="1152"/>
        <v>-12427.999999999734</v>
      </c>
      <c r="AF537">
        <f t="shared" si="1153"/>
        <v>-31256.00000000072</v>
      </c>
      <c r="AG537">
        <f t="shared" si="1154"/>
        <v>-169296.0000000014</v>
      </c>
      <c r="AH537">
        <f t="shared" si="1155"/>
        <v>36912.000000000851</v>
      </c>
      <c r="AI537">
        <f t="shared" si="1156"/>
        <v>153154.49999999674</v>
      </c>
      <c r="AJ537">
        <f t="shared" si="1157"/>
        <v>313580.00000000029</v>
      </c>
      <c r="AK537">
        <f t="shared" si="1158"/>
        <v>-93011.999999998021</v>
      </c>
      <c r="AL537">
        <f t="shared" si="1159"/>
        <v>-128292.00000000012</v>
      </c>
      <c r="AM537">
        <f t="shared" si="1160"/>
        <v>0</v>
      </c>
      <c r="AN537">
        <f t="shared" si="1161"/>
        <v>0</v>
      </c>
      <c r="AO537">
        <f t="shared" si="1162"/>
        <v>-72401.928705766506</v>
      </c>
      <c r="AP537">
        <f t="shared" si="1163"/>
        <v>-67387.699388461435</v>
      </c>
      <c r="AQ537">
        <f t="shared" si="1164"/>
        <v>-111910.99072391188</v>
      </c>
      <c r="AR537" s="1">
        <f t="shared" si="1165"/>
        <v>-54374.248092016656</v>
      </c>
      <c r="AS537" s="1">
        <f t="shared" si="1191"/>
        <v>4441.4999617630692</v>
      </c>
      <c r="AT537" s="1">
        <f t="shared" si="1192"/>
        <v>-4471.3054244955047</v>
      </c>
      <c r="AU537" s="1">
        <f t="shared" si="1193"/>
        <v>0</v>
      </c>
      <c r="AV537" s="1">
        <f t="shared" si="1194"/>
        <v>0</v>
      </c>
      <c r="AW537" s="1">
        <f t="shared" si="1195"/>
        <v>0</v>
      </c>
      <c r="AX537" s="1">
        <f t="shared" si="1139"/>
        <v>-220755.17237289139</v>
      </c>
      <c r="AY537" s="1">
        <f t="shared" si="1140"/>
        <v>-306104.67237288883</v>
      </c>
      <c r="AZ537" s="1">
        <f t="shared" si="1141"/>
        <v>85349.499999997439</v>
      </c>
    </row>
    <row r="538" spans="1:52" x14ac:dyDescent="0.25">
      <c r="A538" s="4">
        <v>45313</v>
      </c>
      <c r="B538">
        <f t="shared" ref="B538:N538" si="1205">(B1088-B1087)*100</f>
        <v>0.99999999999997868</v>
      </c>
      <c r="C538">
        <f t="shared" si="1205"/>
        <v>0</v>
      </c>
      <c r="D538">
        <f t="shared" si="1205"/>
        <v>-0.99999999999997868</v>
      </c>
      <c r="E538">
        <f t="shared" si="1205"/>
        <v>0</v>
      </c>
      <c r="F538">
        <f t="shared" si="1205"/>
        <v>-0.99999999999997868</v>
      </c>
      <c r="G538">
        <f t="shared" si="1205"/>
        <v>0.99999999999997868</v>
      </c>
      <c r="H538">
        <f t="shared" si="1205"/>
        <v>1.9999999999999574</v>
      </c>
      <c r="I538">
        <f t="shared" si="1205"/>
        <v>4.0000000000000036</v>
      </c>
      <c r="J538">
        <f t="shared" si="1205"/>
        <v>4.9999999999999822</v>
      </c>
      <c r="K538">
        <f t="shared" si="1205"/>
        <v>4.9999999999999822</v>
      </c>
      <c r="L538">
        <f t="shared" si="1205"/>
        <v>4.0000000000000036</v>
      </c>
      <c r="M538">
        <f t="shared" si="1205"/>
        <v>2.9999999999999361</v>
      </c>
      <c r="N538">
        <f t="shared" si="1205"/>
        <v>4.0000000000000036</v>
      </c>
      <c r="O538" s="5">
        <f t="shared" si="1199"/>
        <v>5.4099638567924697E-3</v>
      </c>
      <c r="P538" s="5">
        <f t="shared" si="1199"/>
        <v>-2.11582894929156E-3</v>
      </c>
      <c r="Q538" s="5">
        <f t="shared" si="1199"/>
        <v>-8.6260681924085394E-3</v>
      </c>
      <c r="R538" s="5">
        <f t="shared" si="1199"/>
        <v>-2.6741543146398912E-4</v>
      </c>
      <c r="S538" s="5">
        <f t="shared" si="1199"/>
        <v>5.0874365137052475E-3</v>
      </c>
      <c r="T538" s="5">
        <f t="shared" ref="T538:X538" si="1206">LN(T1087/T1088)</f>
        <v>-1.2083311258924109E-3</v>
      </c>
      <c r="U538" s="5">
        <f t="shared" si="1206"/>
        <v>7.8769969080509487E-4</v>
      </c>
      <c r="V538" s="5">
        <f t="shared" si="1206"/>
        <v>-4.728308948181344E-5</v>
      </c>
      <c r="W538" s="5">
        <f t="shared" si="1206"/>
        <v>-1.9173612223421605E-3</v>
      </c>
      <c r="X538" s="5">
        <f t="shared" si="1206"/>
        <v>4.6068868039310769E-4</v>
      </c>
      <c r="Z538" s="4">
        <v>45313</v>
      </c>
      <c r="AA538">
        <f t="shared" si="1148"/>
        <v>-982.99999999997908</v>
      </c>
      <c r="AB538">
        <f t="shared" si="1149"/>
        <v>0</v>
      </c>
      <c r="AC538">
        <f t="shared" si="1150"/>
        <v>-16142.999999999656</v>
      </c>
      <c r="AD538">
        <f t="shared" si="1151"/>
        <v>0</v>
      </c>
      <c r="AE538">
        <f t="shared" si="1152"/>
        <v>12427.999999999734</v>
      </c>
      <c r="AF538">
        <f t="shared" si="1153"/>
        <v>-15627.999999999667</v>
      </c>
      <c r="AG538">
        <f t="shared" si="1154"/>
        <v>-56431.999999998799</v>
      </c>
      <c r="AH538">
        <f t="shared" si="1155"/>
        <v>-73824.000000000073</v>
      </c>
      <c r="AI538">
        <f t="shared" si="1156"/>
        <v>-255257.4999999991</v>
      </c>
      <c r="AJ538">
        <f t="shared" si="1157"/>
        <v>-391974.9999999986</v>
      </c>
      <c r="AK538">
        <f t="shared" si="1158"/>
        <v>124016.00000000012</v>
      </c>
      <c r="AL538">
        <f t="shared" si="1159"/>
        <v>96218.999999997948</v>
      </c>
      <c r="AM538">
        <f t="shared" si="1160"/>
        <v>0</v>
      </c>
      <c r="AN538">
        <f t="shared" si="1161"/>
        <v>0</v>
      </c>
      <c r="AO538">
        <f t="shared" si="1162"/>
        <v>10579.1447464578</v>
      </c>
      <c r="AP538">
        <f t="shared" si="1163"/>
        <v>-103512.81830890247</v>
      </c>
      <c r="AQ538">
        <f t="shared" si="1164"/>
        <v>4011.2314719598367</v>
      </c>
      <c r="AR538" s="1">
        <f t="shared" si="1165"/>
        <v>-35612.055595936734</v>
      </c>
      <c r="AS538" s="1">
        <f t="shared" si="1191"/>
        <v>-4833.3245035696436</v>
      </c>
      <c r="AT538" s="1">
        <f t="shared" si="1192"/>
        <v>6301.5975264407589</v>
      </c>
      <c r="AU538" s="1">
        <f t="shared" si="1193"/>
        <v>0</v>
      </c>
      <c r="AV538" s="1">
        <f t="shared" si="1194"/>
        <v>0</v>
      </c>
      <c r="AW538" s="1">
        <f t="shared" si="1195"/>
        <v>0</v>
      </c>
      <c r="AX538" s="1">
        <f t="shared" si="1139"/>
        <v>-700645.72466354852</v>
      </c>
      <c r="AY538" s="1">
        <f t="shared" si="1140"/>
        <v>-123066.22466355046</v>
      </c>
      <c r="AZ538" s="1">
        <f t="shared" si="1141"/>
        <v>-577579.49999999802</v>
      </c>
    </row>
    <row r="539" spans="1:52" x14ac:dyDescent="0.25">
      <c r="A539" s="4">
        <v>45310</v>
      </c>
      <c r="B539">
        <f t="shared" ref="B539:N539" si="1207">(B1089-B1088)*100</f>
        <v>-0.99999999999997868</v>
      </c>
      <c r="C539">
        <f t="shared" si="1207"/>
        <v>1.0000000000000675</v>
      </c>
      <c r="D539">
        <f t="shared" si="1207"/>
        <v>0</v>
      </c>
      <c r="E539">
        <f t="shared" si="1207"/>
        <v>0</v>
      </c>
      <c r="F539">
        <f t="shared" si="1207"/>
        <v>-0.99999999999997868</v>
      </c>
      <c r="G539">
        <f t="shared" si="1207"/>
        <v>-4.0000000000000036</v>
      </c>
      <c r="H539">
        <f t="shared" si="1207"/>
        <v>-4.9999999999999822</v>
      </c>
      <c r="I539">
        <f t="shared" si="1207"/>
        <v>-4.9999999999999822</v>
      </c>
      <c r="J539">
        <f t="shared" si="1207"/>
        <v>-4.0000000000000036</v>
      </c>
      <c r="K539">
        <f t="shared" si="1207"/>
        <v>-2.0000000000000462</v>
      </c>
      <c r="L539">
        <f t="shared" si="1207"/>
        <v>-1.0000000000000675</v>
      </c>
      <c r="M539">
        <f t="shared" si="1207"/>
        <v>1.0000000000000675</v>
      </c>
      <c r="N539">
        <f t="shared" si="1207"/>
        <v>0.99999999999997868</v>
      </c>
      <c r="O539" s="5">
        <f t="shared" si="1199"/>
        <v>-3.6503792309671729E-3</v>
      </c>
      <c r="P539" s="5">
        <f t="shared" si="1199"/>
        <v>1.9681089731332603E-4</v>
      </c>
      <c r="Q539" s="5">
        <f t="shared" si="1199"/>
        <v>-8.8328786742549893E-3</v>
      </c>
      <c r="R539" s="5">
        <f t="shared" si="1199"/>
        <v>-1.3360055427422512E-3</v>
      </c>
      <c r="S539" s="5">
        <f t="shared" si="1199"/>
        <v>-5.4481742845341472E-3</v>
      </c>
      <c r="T539" s="5">
        <f t="shared" ref="T539:X539" si="1208">LN(T1088/T1089)</f>
        <v>6.0938550841711141E-4</v>
      </c>
      <c r="U539" s="5">
        <f t="shared" si="1208"/>
        <v>-2.6020962639322852E-3</v>
      </c>
      <c r="V539" s="5">
        <f t="shared" si="1208"/>
        <v>6.7577388755142614E-5</v>
      </c>
      <c r="W539" s="5">
        <f t="shared" si="1208"/>
        <v>-4.6971013375415828E-3</v>
      </c>
      <c r="X539" s="5">
        <f t="shared" si="1208"/>
        <v>4.3385069807915727E-3</v>
      </c>
      <c r="Z539" s="4">
        <v>45310</v>
      </c>
      <c r="AA539">
        <f t="shared" si="1148"/>
        <v>982.99999999997908</v>
      </c>
      <c r="AB539">
        <f t="shared" si="1149"/>
        <v>-2584.0000000001746</v>
      </c>
      <c r="AC539">
        <f t="shared" si="1150"/>
        <v>0</v>
      </c>
      <c r="AD539">
        <f t="shared" si="1151"/>
        <v>0</v>
      </c>
      <c r="AE539">
        <f t="shared" si="1152"/>
        <v>12427.999999999734</v>
      </c>
      <c r="AF539">
        <f t="shared" si="1153"/>
        <v>62512.000000000058</v>
      </c>
      <c r="AG539">
        <f t="shared" si="1154"/>
        <v>141079.99999999951</v>
      </c>
      <c r="AH539">
        <f t="shared" si="1155"/>
        <v>92279.999999999665</v>
      </c>
      <c r="AI539">
        <f t="shared" si="1156"/>
        <v>204206.00000000017</v>
      </c>
      <c r="AJ539">
        <f t="shared" si="1157"/>
        <v>156790.00000000361</v>
      </c>
      <c r="AK539">
        <f t="shared" si="1158"/>
        <v>-31004.000000002092</v>
      </c>
      <c r="AL539">
        <f t="shared" si="1159"/>
        <v>32073.000000002165</v>
      </c>
      <c r="AM539">
        <f t="shared" si="1160"/>
        <v>0</v>
      </c>
      <c r="AN539">
        <f t="shared" si="1161"/>
        <v>0</v>
      </c>
      <c r="AO539">
        <f t="shared" si="1162"/>
        <v>-984.05448656663009</v>
      </c>
      <c r="AP539">
        <f t="shared" si="1163"/>
        <v>-105994.54409105987</v>
      </c>
      <c r="AQ539">
        <f t="shared" si="1164"/>
        <v>20040.083141133768</v>
      </c>
      <c r="AR539" s="1">
        <f t="shared" si="1165"/>
        <v>38137.219991739032</v>
      </c>
      <c r="AS539" s="1">
        <f t="shared" si="1191"/>
        <v>2437.5420336684456</v>
      </c>
      <c r="AT539" s="1">
        <f t="shared" si="1192"/>
        <v>-20816.770111458281</v>
      </c>
      <c r="AU539" s="1">
        <f t="shared" si="1193"/>
        <v>0</v>
      </c>
      <c r="AV539" s="1">
        <f t="shared" si="1194"/>
        <v>0</v>
      </c>
      <c r="AW539" s="1">
        <f t="shared" si="1195"/>
        <v>0</v>
      </c>
      <c r="AX539" s="1">
        <f t="shared" si="1139"/>
        <v>601583.47647745931</v>
      </c>
      <c r="AY539" s="1">
        <f t="shared" si="1140"/>
        <v>-67180.523522543532</v>
      </c>
      <c r="AZ539" s="1">
        <f t="shared" si="1141"/>
        <v>668764.00000000279</v>
      </c>
    </row>
    <row r="540" spans="1:52" x14ac:dyDescent="0.25">
      <c r="A540" s="4">
        <v>45309</v>
      </c>
      <c r="B540">
        <f t="shared" ref="B540:N540" si="1209">(B1090-B1089)*100</f>
        <v>0.99999999999997868</v>
      </c>
      <c r="C540">
        <f t="shared" si="1209"/>
        <v>-1.0000000000000675</v>
      </c>
      <c r="D540">
        <f t="shared" si="1209"/>
        <v>1.9999999999999574</v>
      </c>
      <c r="E540">
        <f t="shared" si="1209"/>
        <v>1.0000000000000675</v>
      </c>
      <c r="F540">
        <f t="shared" si="1209"/>
        <v>0</v>
      </c>
      <c r="G540">
        <f t="shared" si="1209"/>
        <v>0</v>
      </c>
      <c r="H540">
        <f t="shared" si="1209"/>
        <v>0</v>
      </c>
      <c r="I540">
        <f t="shared" si="1209"/>
        <v>-0.99999999999997868</v>
      </c>
      <c r="J540">
        <f t="shared" si="1209"/>
        <v>-2.0000000000000462</v>
      </c>
      <c r="K540">
        <f t="shared" si="1209"/>
        <v>-2.9999999999999361</v>
      </c>
      <c r="L540">
        <f t="shared" si="1209"/>
        <v>-4.0000000000000036</v>
      </c>
      <c r="M540">
        <f t="shared" si="1209"/>
        <v>-6.0000000000000497</v>
      </c>
      <c r="N540">
        <f t="shared" si="1209"/>
        <v>-6.0000000000000497</v>
      </c>
      <c r="O540" s="5">
        <f t="shared" si="1199"/>
        <v>1.1545123468248784E-3</v>
      </c>
      <c r="P540" s="5">
        <f t="shared" si="1199"/>
        <v>-1.3835341587349646E-2</v>
      </c>
      <c r="Q540" s="5">
        <f t="shared" si="1199"/>
        <v>5.0951252299171849E-3</v>
      </c>
      <c r="R540" s="5">
        <f t="shared" si="1199"/>
        <v>5.3418804689101635E-4</v>
      </c>
      <c r="S540" s="5">
        <f t="shared" si="1199"/>
        <v>-2.3416288789818371E-3</v>
      </c>
      <c r="T540" s="5">
        <f t="shared" ref="T540:X540" si="1210">LN(T1089/T1090)</f>
        <v>-6.4193010643573661E-4</v>
      </c>
      <c r="U540" s="5">
        <f t="shared" si="1210"/>
        <v>-3.0252296442910549E-3</v>
      </c>
      <c r="V540" s="5">
        <f t="shared" si="1210"/>
        <v>5.904555441120023E-3</v>
      </c>
      <c r="W540" s="5">
        <f t="shared" si="1210"/>
        <v>5.6164389036906983E-3</v>
      </c>
      <c r="X540" s="5">
        <f t="shared" si="1210"/>
        <v>3.5025262625818995E-3</v>
      </c>
      <c r="Z540" s="4">
        <v>45309</v>
      </c>
      <c r="AA540">
        <f t="shared" si="1148"/>
        <v>-982.99999999997908</v>
      </c>
      <c r="AB540">
        <f t="shared" si="1149"/>
        <v>2584.0000000001746</v>
      </c>
      <c r="AC540">
        <f t="shared" si="1150"/>
        <v>32285.999999999312</v>
      </c>
      <c r="AD540">
        <f t="shared" si="1151"/>
        <v>2428.0000000001637</v>
      </c>
      <c r="AE540">
        <f t="shared" si="1152"/>
        <v>0</v>
      </c>
      <c r="AF540">
        <f t="shared" si="1153"/>
        <v>0</v>
      </c>
      <c r="AG540">
        <f t="shared" si="1154"/>
        <v>0</v>
      </c>
      <c r="AH540">
        <f t="shared" si="1155"/>
        <v>18455.999999999607</v>
      </c>
      <c r="AI540">
        <f t="shared" si="1156"/>
        <v>102103.00000000236</v>
      </c>
      <c r="AJ540">
        <f t="shared" si="1157"/>
        <v>235184.99999999499</v>
      </c>
      <c r="AK540">
        <f t="shared" si="1158"/>
        <v>-124016.00000000012</v>
      </c>
      <c r="AL540">
        <f t="shared" si="1159"/>
        <v>-192438.0000000016</v>
      </c>
      <c r="AM540">
        <f t="shared" si="1160"/>
        <v>0</v>
      </c>
      <c r="AN540">
        <f t="shared" si="1161"/>
        <v>0</v>
      </c>
      <c r="AO540">
        <f t="shared" si="1162"/>
        <v>69176.707936748222</v>
      </c>
      <c r="AP540">
        <f t="shared" si="1163"/>
        <v>61141.502759006216</v>
      </c>
      <c r="AQ540">
        <f t="shared" si="1164"/>
        <v>-8012.8207033652452</v>
      </c>
      <c r="AR540" s="1">
        <f t="shared" si="1165"/>
        <v>16391.402152872859</v>
      </c>
      <c r="AS540" s="1">
        <f t="shared" si="1191"/>
        <v>-2567.7204257429466</v>
      </c>
      <c r="AT540" s="1">
        <f t="shared" si="1192"/>
        <v>-24201.837154328437</v>
      </c>
      <c r="AU540" s="1">
        <f t="shared" si="1193"/>
        <v>0</v>
      </c>
      <c r="AV540" s="1">
        <f t="shared" si="1194"/>
        <v>0</v>
      </c>
      <c r="AW540" s="1">
        <f t="shared" si="1195"/>
        <v>0</v>
      </c>
      <c r="AX540" s="1">
        <f t="shared" si="1139"/>
        <v>187532.23456518556</v>
      </c>
      <c r="AY540" s="1">
        <f t="shared" si="1140"/>
        <v>111927.23456519068</v>
      </c>
      <c r="AZ540" s="1">
        <f t="shared" si="1141"/>
        <v>75604.999999994878</v>
      </c>
    </row>
    <row r="541" spans="1:52" x14ac:dyDescent="0.25">
      <c r="A541" s="4">
        <v>45308</v>
      </c>
      <c r="B541">
        <f t="shared" ref="B541:N541" si="1211">(B1091-B1090)*100</f>
        <v>0</v>
      </c>
      <c r="C541">
        <f t="shared" si="1211"/>
        <v>0</v>
      </c>
      <c r="D541">
        <f t="shared" si="1211"/>
        <v>-1.9999999999999574</v>
      </c>
      <c r="E541">
        <f t="shared" si="1211"/>
        <v>-3.0000000000000249</v>
      </c>
      <c r="F541">
        <f t="shared" si="1211"/>
        <v>-2.0000000000000462</v>
      </c>
      <c r="G541">
        <f t="shared" si="1211"/>
        <v>-9.9999999999999645</v>
      </c>
      <c r="H541">
        <f t="shared" si="1211"/>
        <v>-12.000000000000011</v>
      </c>
      <c r="I541">
        <f t="shared" si="1211"/>
        <v>-10.000000000000053</v>
      </c>
      <c r="J541">
        <f t="shared" si="1211"/>
        <v>-6.9999999999999396</v>
      </c>
      <c r="K541">
        <f t="shared" si="1211"/>
        <v>-6.0000000000000497</v>
      </c>
      <c r="L541">
        <f t="shared" si="1211"/>
        <v>-2.9999999999999361</v>
      </c>
      <c r="M541">
        <f t="shared" si="1211"/>
        <v>0.99999999999997868</v>
      </c>
      <c r="N541">
        <f t="shared" si="1211"/>
        <v>-0.99999999999997868</v>
      </c>
      <c r="O541" s="5">
        <f t="shared" si="1199"/>
        <v>6.2615830027681956E-3</v>
      </c>
      <c r="P541" s="5">
        <f t="shared" si="1199"/>
        <v>5.9422388644303692E-3</v>
      </c>
      <c r="Q541" s="5">
        <f t="shared" si="1199"/>
        <v>1.0948377702719021E-2</v>
      </c>
      <c r="R541" s="5">
        <f t="shared" si="1199"/>
        <v>6.1637606372366548E-3</v>
      </c>
      <c r="S541" s="5">
        <f t="shared" si="1199"/>
        <v>2.4987083644331153E-3</v>
      </c>
      <c r="T541" s="5">
        <f t="shared" ref="T541:X541" si="1212">LN(T1090/T1091)</f>
        <v>6.1325154846099874E-3</v>
      </c>
      <c r="U541" s="5">
        <f t="shared" si="1212"/>
        <v>6.123084891184816E-3</v>
      </c>
      <c r="V541" s="5">
        <f t="shared" si="1212"/>
        <v>9.9099623962980912E-3</v>
      </c>
      <c r="W541" s="5">
        <f t="shared" si="1212"/>
        <v>9.2905093756024768E-3</v>
      </c>
      <c r="X541" s="5">
        <f t="shared" si="1212"/>
        <v>6.1958791571342098E-3</v>
      </c>
      <c r="Z541" s="4">
        <v>45308</v>
      </c>
      <c r="AA541">
        <f t="shared" si="1148"/>
        <v>0</v>
      </c>
      <c r="AB541">
        <f t="shared" si="1149"/>
        <v>0</v>
      </c>
      <c r="AC541">
        <f t="shared" si="1150"/>
        <v>-32285.999999999312</v>
      </c>
      <c r="AD541">
        <f t="shared" si="1151"/>
        <v>-7284.00000000006</v>
      </c>
      <c r="AE541">
        <f t="shared" si="1152"/>
        <v>24856.000000000575</v>
      </c>
      <c r="AF541">
        <f t="shared" si="1153"/>
        <v>156279.99999999945</v>
      </c>
      <c r="AG541">
        <f t="shared" si="1154"/>
        <v>338592.00000000029</v>
      </c>
      <c r="AH541">
        <f t="shared" si="1155"/>
        <v>184560.00000000099</v>
      </c>
      <c r="AI541">
        <f t="shared" si="1156"/>
        <v>357360.49999999691</v>
      </c>
      <c r="AJ541">
        <f t="shared" si="1157"/>
        <v>470370.0000000039</v>
      </c>
      <c r="AK541">
        <f t="shared" si="1158"/>
        <v>-93011.999999998021</v>
      </c>
      <c r="AL541">
        <f t="shared" si="1159"/>
        <v>32072.999999999316</v>
      </c>
      <c r="AM541">
        <f t="shared" si="1160"/>
        <v>0</v>
      </c>
      <c r="AN541">
        <f t="shared" si="1161"/>
        <v>0</v>
      </c>
      <c r="AO541">
        <f t="shared" si="1162"/>
        <v>-29711.194322151845</v>
      </c>
      <c r="AP541">
        <f t="shared" si="1163"/>
        <v>131380.53243262824</v>
      </c>
      <c r="AQ541">
        <f t="shared" si="1164"/>
        <v>-92456.409558549829</v>
      </c>
      <c r="AR541" s="1">
        <f t="shared" si="1165"/>
        <v>-17490.958551031807</v>
      </c>
      <c r="AS541" s="1">
        <f t="shared" si="1191"/>
        <v>24530.061938439951</v>
      </c>
      <c r="AT541" s="1">
        <f t="shared" si="1192"/>
        <v>48984.679129478529</v>
      </c>
      <c r="AU541" s="1">
        <f t="shared" si="1193"/>
        <v>0</v>
      </c>
      <c r="AV541" s="1">
        <f t="shared" si="1194"/>
        <v>0</v>
      </c>
      <c r="AW541" s="1">
        <f t="shared" si="1195"/>
        <v>0</v>
      </c>
      <c r="AX541" s="1">
        <f t="shared" si="1139"/>
        <v>1496746.2110688174</v>
      </c>
      <c r="AY541" s="1">
        <f t="shared" si="1140"/>
        <v>65236.711068813238</v>
      </c>
      <c r="AZ541" s="1">
        <f t="shared" si="1141"/>
        <v>1431509.5000000042</v>
      </c>
    </row>
    <row r="542" spans="1:52" x14ac:dyDescent="0.25">
      <c r="A542" s="4">
        <v>45307</v>
      </c>
      <c r="B542">
        <f t="shared" ref="B542:N542" si="1213">(B1092-B1091)*100</f>
        <v>0.99999999999997868</v>
      </c>
      <c r="C542">
        <f t="shared" si="1213"/>
        <v>0</v>
      </c>
      <c r="D542">
        <f t="shared" si="1213"/>
        <v>0</v>
      </c>
      <c r="E542">
        <f t="shared" si="1213"/>
        <v>0</v>
      </c>
      <c r="F542">
        <f t="shared" si="1213"/>
        <v>-1.9999999999999574</v>
      </c>
      <c r="G542">
        <f t="shared" si="1213"/>
        <v>-4.9999999999999822</v>
      </c>
      <c r="H542">
        <f t="shared" si="1213"/>
        <v>-8.0000000000000071</v>
      </c>
      <c r="I542">
        <f t="shared" si="1213"/>
        <v>-9.9999999999999645</v>
      </c>
      <c r="J542">
        <f t="shared" si="1213"/>
        <v>-11.000000000000032</v>
      </c>
      <c r="K542">
        <f t="shared" si="1213"/>
        <v>-9.9999999999999645</v>
      </c>
      <c r="L542">
        <f t="shared" si="1213"/>
        <v>-11.000000000000032</v>
      </c>
      <c r="M542">
        <f t="shared" si="1213"/>
        <v>-10.999999999999943</v>
      </c>
      <c r="N542">
        <f t="shared" si="1213"/>
        <v>-9.9999999999999645</v>
      </c>
      <c r="O542" s="5">
        <f t="shared" si="1199"/>
        <v>1.0146128545828316E-2</v>
      </c>
      <c r="P542" s="5">
        <f t="shared" si="1199"/>
        <v>8.6602680846724397E-3</v>
      </c>
      <c r="Q542" s="5">
        <f t="shared" si="1199"/>
        <v>7.1295776277516037E-4</v>
      </c>
      <c r="R542" s="5">
        <f t="shared" si="1199"/>
        <v>6.7431138848901007E-3</v>
      </c>
      <c r="S542" s="5">
        <f t="shared" si="1199"/>
        <v>1.9137709987345933E-2</v>
      </c>
      <c r="T542" s="5">
        <f t="shared" ref="T542:X542" si="1214">LN(T1091/T1092)</f>
        <v>3.2781369315884388E-3</v>
      </c>
      <c r="U542" s="5">
        <f t="shared" si="1214"/>
        <v>4.8311457095626103E-3</v>
      </c>
      <c r="V542" s="5">
        <f t="shared" si="1214"/>
        <v>5.1437403247756829E-3</v>
      </c>
      <c r="W542" s="5">
        <f t="shared" si="1214"/>
        <v>7.2064036147917489E-3</v>
      </c>
      <c r="X542" s="5">
        <f t="shared" si="1214"/>
        <v>5.8230786633196681E-3</v>
      </c>
      <c r="Z542" s="4">
        <v>45307</v>
      </c>
      <c r="AA542">
        <f t="shared" si="1148"/>
        <v>-982.99999999997908</v>
      </c>
      <c r="AB542">
        <f t="shared" si="1149"/>
        <v>0</v>
      </c>
      <c r="AC542">
        <f t="shared" si="1150"/>
        <v>0</v>
      </c>
      <c r="AD542">
        <f t="shared" si="1151"/>
        <v>0</v>
      </c>
      <c r="AE542">
        <f t="shared" si="1152"/>
        <v>24855.999999999469</v>
      </c>
      <c r="AF542">
        <f t="shared" si="1153"/>
        <v>78139.999999999724</v>
      </c>
      <c r="AG542">
        <f t="shared" si="1154"/>
        <v>225728.0000000002</v>
      </c>
      <c r="AH542">
        <f t="shared" si="1155"/>
        <v>184559.99999999933</v>
      </c>
      <c r="AI542">
        <f t="shared" si="1156"/>
        <v>561566.50000000163</v>
      </c>
      <c r="AJ542">
        <f t="shared" si="1157"/>
        <v>783949.99999999721</v>
      </c>
      <c r="AK542">
        <f t="shared" si="1158"/>
        <v>-341044.00000000099</v>
      </c>
      <c r="AL542">
        <f t="shared" si="1159"/>
        <v>-352802.9999999982</v>
      </c>
      <c r="AM542">
        <f t="shared" si="1160"/>
        <v>0</v>
      </c>
      <c r="AN542">
        <f t="shared" si="1161"/>
        <v>0</v>
      </c>
      <c r="AO542">
        <f t="shared" si="1162"/>
        <v>-43301.340423362199</v>
      </c>
      <c r="AP542">
        <f t="shared" si="1163"/>
        <v>8555.4931533019244</v>
      </c>
      <c r="AQ542">
        <f t="shared" si="1164"/>
        <v>-101146.70827335151</v>
      </c>
      <c r="AR542" s="1">
        <f t="shared" si="1165"/>
        <v>-133963.96991142153</v>
      </c>
      <c r="AS542" s="1">
        <f t="shared" si="1191"/>
        <v>13112.547726353756</v>
      </c>
      <c r="AT542" s="1">
        <f t="shared" si="1192"/>
        <v>38649.165676500881</v>
      </c>
      <c r="AU542" s="1">
        <f t="shared" si="1193"/>
        <v>0</v>
      </c>
      <c r="AV542" s="1">
        <f t="shared" si="1194"/>
        <v>0</v>
      </c>
      <c r="AW542" s="1">
        <f t="shared" si="1195"/>
        <v>0</v>
      </c>
      <c r="AX542" s="1">
        <f t="shared" si="1139"/>
        <v>945875.68794802006</v>
      </c>
      <c r="AY542" s="1">
        <f t="shared" si="1140"/>
        <v>-218094.81205197866</v>
      </c>
      <c r="AZ542" s="1">
        <f t="shared" si="1141"/>
        <v>1163970.4999999986</v>
      </c>
    </row>
    <row r="543" spans="1:52" x14ac:dyDescent="0.25">
      <c r="A543" s="4">
        <v>45303</v>
      </c>
      <c r="B543">
        <f t="shared" ref="B543:N543" si="1215">(B1093-B1092)*100</f>
        <v>-0.99999999999997868</v>
      </c>
      <c r="C543">
        <f t="shared" si="1215"/>
        <v>0</v>
      </c>
      <c r="D543">
        <f t="shared" si="1215"/>
        <v>0.99999999999997868</v>
      </c>
      <c r="E543">
        <f t="shared" si="1215"/>
        <v>0.99999999999997868</v>
      </c>
      <c r="F543">
        <f t="shared" si="1215"/>
        <v>5.9999999999999609</v>
      </c>
      <c r="G543">
        <f t="shared" si="1215"/>
        <v>9.9999999999999645</v>
      </c>
      <c r="H543">
        <f t="shared" si="1215"/>
        <v>12.000000000000011</v>
      </c>
      <c r="I543">
        <f t="shared" si="1215"/>
        <v>9.9999999999999645</v>
      </c>
      <c r="J543">
        <f t="shared" si="1215"/>
        <v>6.0000000000000053</v>
      </c>
      <c r="K543">
        <f t="shared" si="1215"/>
        <v>4.0000000000000036</v>
      </c>
      <c r="L543">
        <f t="shared" si="1215"/>
        <v>2.0000000000000018</v>
      </c>
      <c r="M543">
        <f t="shared" si="1215"/>
        <v>0</v>
      </c>
      <c r="N543">
        <f t="shared" si="1215"/>
        <v>-2.0000000000000462</v>
      </c>
      <c r="O543" s="5">
        <f t="shared" si="1199"/>
        <v>-5.1576693225296871E-3</v>
      </c>
      <c r="P543" s="5">
        <f t="shared" si="1199"/>
        <v>-4.7215043368214003E-3</v>
      </c>
      <c r="Q543" s="5">
        <f t="shared" si="1199"/>
        <v>-8.4133273089845861E-3</v>
      </c>
      <c r="R543" s="5">
        <f t="shared" si="1199"/>
        <v>-1.0819584501518147E-3</v>
      </c>
      <c r="S543" s="5">
        <f t="shared" si="1199"/>
        <v>-3.6229778798750746E-3</v>
      </c>
      <c r="T543" s="5">
        <f t="shared" ref="T543:X543" si="1216">LN(T1092/T1093)</f>
        <v>-5.927674404055997E-4</v>
      </c>
      <c r="U543" s="5">
        <f t="shared" si="1216"/>
        <v>-2.5522433172646929E-3</v>
      </c>
      <c r="V543" s="5">
        <f t="shared" si="1216"/>
        <v>-4.7320281169889308E-3</v>
      </c>
      <c r="W543" s="5">
        <f t="shared" si="1216"/>
        <v>8.2087881153571724E-4</v>
      </c>
      <c r="X543" s="5">
        <f t="shared" si="1216"/>
        <v>5.9951097199221158E-4</v>
      </c>
      <c r="Z543" s="4">
        <v>45303</v>
      </c>
      <c r="AA543">
        <f t="shared" si="1148"/>
        <v>982.99999999997908</v>
      </c>
      <c r="AB543">
        <f t="shared" si="1149"/>
        <v>0</v>
      </c>
      <c r="AC543">
        <f t="shared" si="1150"/>
        <v>16142.999999999656</v>
      </c>
      <c r="AD543">
        <f t="shared" si="1151"/>
        <v>2427.9999999999482</v>
      </c>
      <c r="AE543">
        <f t="shared" si="1152"/>
        <v>-74567.99999999952</v>
      </c>
      <c r="AF543">
        <f t="shared" si="1153"/>
        <v>-156279.99999999945</v>
      </c>
      <c r="AG543">
        <f t="shared" si="1154"/>
        <v>-338592.00000000029</v>
      </c>
      <c r="AH543">
        <f t="shared" si="1155"/>
        <v>-184559.99999999933</v>
      </c>
      <c r="AI543">
        <f t="shared" si="1156"/>
        <v>-306309.00000000029</v>
      </c>
      <c r="AJ543">
        <f t="shared" si="1157"/>
        <v>-313580.00000000029</v>
      </c>
      <c r="AK543">
        <f t="shared" si="1158"/>
        <v>62008.000000000058</v>
      </c>
      <c r="AL543">
        <f t="shared" si="1159"/>
        <v>0</v>
      </c>
      <c r="AM543">
        <f t="shared" si="1160"/>
        <v>0</v>
      </c>
      <c r="AN543">
        <f t="shared" si="1161"/>
        <v>0</v>
      </c>
      <c r="AO543">
        <f t="shared" si="1162"/>
        <v>23607.521684107</v>
      </c>
      <c r="AP543">
        <f t="shared" si="1163"/>
        <v>-100959.92770781503</v>
      </c>
      <c r="AQ543">
        <f t="shared" si="1164"/>
        <v>16229.376752277221</v>
      </c>
      <c r="AR543" s="1">
        <f t="shared" si="1165"/>
        <v>25360.845159125522</v>
      </c>
      <c r="AS543" s="1">
        <f t="shared" si="1191"/>
        <v>-2371.0697616223988</v>
      </c>
      <c r="AT543" s="1">
        <f t="shared" si="1192"/>
        <v>-20417.946538117543</v>
      </c>
      <c r="AU543" s="1">
        <f t="shared" si="1193"/>
        <v>0</v>
      </c>
      <c r="AV543" s="1">
        <f t="shared" si="1194"/>
        <v>0</v>
      </c>
      <c r="AW543" s="1">
        <f t="shared" si="1195"/>
        <v>0</v>
      </c>
      <c r="AX543" s="1">
        <f t="shared" si="1139"/>
        <v>-1350878.200412045</v>
      </c>
      <c r="AY543" s="1">
        <f t="shared" si="1140"/>
        <v>-58551.200412045218</v>
      </c>
      <c r="AZ543" s="1">
        <f t="shared" si="1141"/>
        <v>-1292326.9999999998</v>
      </c>
    </row>
    <row r="544" spans="1:52" x14ac:dyDescent="0.25">
      <c r="A544" s="4">
        <v>45302</v>
      </c>
      <c r="B544">
        <f t="shared" ref="B544:N544" si="1217">(B1094-B1093)*100</f>
        <v>-0.99999999999997868</v>
      </c>
      <c r="C544">
        <f t="shared" si="1217"/>
        <v>-0.99999999999997868</v>
      </c>
      <c r="D544">
        <f t="shared" si="1217"/>
        <v>0</v>
      </c>
      <c r="E544">
        <f t="shared" si="1217"/>
        <v>0.99999999999997868</v>
      </c>
      <c r="F544">
        <f t="shared" si="1217"/>
        <v>1.0000000000000675</v>
      </c>
      <c r="G544">
        <f t="shared" si="1217"/>
        <v>7.0000000000000284</v>
      </c>
      <c r="H544">
        <f t="shared" si="1217"/>
        <v>11.000000000000032</v>
      </c>
      <c r="I544">
        <f t="shared" si="1217"/>
        <v>8.0000000000000071</v>
      </c>
      <c r="J544">
        <f t="shared" si="1217"/>
        <v>9.0000000000000302</v>
      </c>
      <c r="K544">
        <f t="shared" si="1217"/>
        <v>5.9999999999999609</v>
      </c>
      <c r="L544">
        <f t="shared" si="1217"/>
        <v>6.0000000000000053</v>
      </c>
      <c r="M544">
        <f t="shared" si="1217"/>
        <v>2.9999999999999361</v>
      </c>
      <c r="N544">
        <f t="shared" si="1217"/>
        <v>2.0000000000000462</v>
      </c>
      <c r="O544" s="5">
        <f t="shared" si="1199"/>
        <v>-2.1906262279208812E-3</v>
      </c>
      <c r="P544" s="5">
        <f t="shared" si="1199"/>
        <v>-1.6536288192281084E-3</v>
      </c>
      <c r="Q544" s="5">
        <f t="shared" si="1199"/>
        <v>4.7552140558980915E-3</v>
      </c>
      <c r="R544" s="5">
        <f t="shared" si="1199"/>
        <v>5.4083289582210149E-4</v>
      </c>
      <c r="S544" s="5">
        <f t="shared" si="1199"/>
        <v>-3.9807678529307925E-3</v>
      </c>
      <c r="T544" s="5">
        <f t="shared" ref="T544:X544" si="1218">LN(T1093/T1094)</f>
        <v>-3.8995772423961882E-3</v>
      </c>
      <c r="U544" s="5">
        <f t="shared" si="1218"/>
        <v>-2.5330806181684952E-3</v>
      </c>
      <c r="V544" s="5">
        <f t="shared" si="1218"/>
        <v>9.0019274216665435E-3</v>
      </c>
      <c r="W544" s="5">
        <f t="shared" si="1218"/>
        <v>-2.8825824089910527E-3</v>
      </c>
      <c r="X544" s="5">
        <f t="shared" si="1218"/>
        <v>-2.1963354389699544E-3</v>
      </c>
      <c r="Z544" s="4">
        <v>45302</v>
      </c>
      <c r="AA544">
        <f t="shared" si="1148"/>
        <v>982.99999999997908</v>
      </c>
      <c r="AB544">
        <f t="shared" si="1149"/>
        <v>2583.999999999945</v>
      </c>
      <c r="AC544">
        <f t="shared" si="1150"/>
        <v>0</v>
      </c>
      <c r="AD544">
        <f t="shared" si="1151"/>
        <v>2427.9999999999482</v>
      </c>
      <c r="AE544">
        <f t="shared" si="1152"/>
        <v>-12428.000000000839</v>
      </c>
      <c r="AF544">
        <f t="shared" si="1153"/>
        <v>-109396.00000000045</v>
      </c>
      <c r="AG544">
        <f t="shared" si="1154"/>
        <v>-310376.00000000087</v>
      </c>
      <c r="AH544">
        <f t="shared" si="1155"/>
        <v>-147648.00000000015</v>
      </c>
      <c r="AI544">
        <f t="shared" si="1156"/>
        <v>-459463.50000000151</v>
      </c>
      <c r="AJ544">
        <f t="shared" si="1157"/>
        <v>-470369.99999999691</v>
      </c>
      <c r="AK544">
        <f t="shared" si="1158"/>
        <v>186024.00000000017</v>
      </c>
      <c r="AL544">
        <f t="shared" si="1159"/>
        <v>96218.999999997948</v>
      </c>
      <c r="AM544">
        <f t="shared" si="1160"/>
        <v>0</v>
      </c>
      <c r="AN544">
        <f t="shared" si="1161"/>
        <v>0</v>
      </c>
      <c r="AO544">
        <f t="shared" si="1162"/>
        <v>8268.1440961405424</v>
      </c>
      <c r="AP544">
        <f t="shared" si="1163"/>
        <v>57062.568670777095</v>
      </c>
      <c r="AQ544">
        <f t="shared" si="1164"/>
        <v>-8112.4934373315227</v>
      </c>
      <c r="AR544" s="1">
        <f t="shared" si="1165"/>
        <v>27865.374970515546</v>
      </c>
      <c r="AS544" s="1">
        <f t="shared" si="1191"/>
        <v>-15598.308969584752</v>
      </c>
      <c r="AT544" s="1">
        <f t="shared" si="1192"/>
        <v>-20264.644945347962</v>
      </c>
      <c r="AU544" s="1">
        <f t="shared" si="1193"/>
        <v>0</v>
      </c>
      <c r="AV544" s="1">
        <f t="shared" si="1194"/>
        <v>0</v>
      </c>
      <c r="AW544" s="1">
        <f t="shared" si="1195"/>
        <v>0</v>
      </c>
      <c r="AX544" s="1">
        <f t="shared" si="1139"/>
        <v>-1172222.859614834</v>
      </c>
      <c r="AY544" s="1">
        <f t="shared" si="1140"/>
        <v>49220.640385168968</v>
      </c>
      <c r="AZ544" s="1">
        <f t="shared" si="1141"/>
        <v>-1221443.500000003</v>
      </c>
    </row>
    <row r="545" spans="1:52" x14ac:dyDescent="0.25">
      <c r="A545" s="4">
        <v>45301</v>
      </c>
      <c r="B545">
        <f t="shared" ref="B545:N545" si="1219">(B1095-B1094)*100</f>
        <v>0</v>
      </c>
      <c r="C545">
        <f t="shared" si="1219"/>
        <v>0</v>
      </c>
      <c r="D545">
        <f t="shared" si="1219"/>
        <v>0.99999999999997868</v>
      </c>
      <c r="E545">
        <f t="shared" si="1219"/>
        <v>-0.99999999999997868</v>
      </c>
      <c r="F545">
        <f t="shared" si="1219"/>
        <v>0.99999999999997868</v>
      </c>
      <c r="G545">
        <f t="shared" si="1219"/>
        <v>0</v>
      </c>
      <c r="H545">
        <f t="shared" si="1219"/>
        <v>-0.99999999999997868</v>
      </c>
      <c r="I545">
        <f t="shared" si="1219"/>
        <v>-0.99999999999997868</v>
      </c>
      <c r="J545">
        <f t="shared" si="1219"/>
        <v>-2.0000000000000018</v>
      </c>
      <c r="K545">
        <f t="shared" si="1219"/>
        <v>-0.99999999999997868</v>
      </c>
      <c r="L545">
        <f t="shared" si="1219"/>
        <v>-2.0000000000000462</v>
      </c>
      <c r="M545">
        <f t="shared" si="1219"/>
        <v>-1.9999999999999574</v>
      </c>
      <c r="N545">
        <f t="shared" si="1219"/>
        <v>-2.0000000000000462</v>
      </c>
      <c r="O545" s="5">
        <f t="shared" ref="O545:S550" si="1220">LN(O1094/O1095)</f>
        <v>-7.3595554879569665E-4</v>
      </c>
      <c r="P545" s="5">
        <f t="shared" si="1220"/>
        <v>-2.0314887636611332E-3</v>
      </c>
      <c r="Q545" s="5">
        <f t="shared" si="1220"/>
        <v>1.4757814563057543E-2</v>
      </c>
      <c r="R545" s="5">
        <f t="shared" si="1220"/>
        <v>-2.4314479086731751E-3</v>
      </c>
      <c r="S545" s="5">
        <f t="shared" si="1220"/>
        <v>1.9264820571159558E-3</v>
      </c>
      <c r="T545" s="5">
        <f t="shared" ref="T545:X545" si="1221">LN(T1094/T1095)</f>
        <v>1.7616554045900993E-3</v>
      </c>
      <c r="U545" s="5">
        <f t="shared" si="1221"/>
        <v>2.5330806181683829E-3</v>
      </c>
      <c r="V545" s="5">
        <f t="shared" si="1221"/>
        <v>1.3718524006141532E-3</v>
      </c>
      <c r="W545" s="5">
        <f t="shared" si="1221"/>
        <v>5.2666805005757355E-3</v>
      </c>
      <c r="X545" s="5">
        <f t="shared" si="1221"/>
        <v>5.2580597683817747E-3</v>
      </c>
      <c r="Z545" s="4">
        <v>45301</v>
      </c>
      <c r="AA545">
        <f t="shared" si="1148"/>
        <v>0</v>
      </c>
      <c r="AB545">
        <f t="shared" si="1149"/>
        <v>0</v>
      </c>
      <c r="AC545">
        <f t="shared" si="1150"/>
        <v>16142.999999999656</v>
      </c>
      <c r="AD545">
        <f t="shared" si="1151"/>
        <v>-2427.9999999999482</v>
      </c>
      <c r="AE545">
        <f t="shared" si="1152"/>
        <v>-12427.999999999734</v>
      </c>
      <c r="AF545">
        <f t="shared" si="1153"/>
        <v>0</v>
      </c>
      <c r="AG545">
        <f t="shared" si="1154"/>
        <v>28215.9999999994</v>
      </c>
      <c r="AH545">
        <f t="shared" si="1155"/>
        <v>18455.999999999607</v>
      </c>
      <c r="AI545">
        <f t="shared" si="1156"/>
        <v>102103.00000000009</v>
      </c>
      <c r="AJ545">
        <f t="shared" si="1157"/>
        <v>78394.999999998327</v>
      </c>
      <c r="AK545">
        <f t="shared" si="1158"/>
        <v>-62008.000000001433</v>
      </c>
      <c r="AL545">
        <f t="shared" si="1159"/>
        <v>-64145.999999998632</v>
      </c>
      <c r="AM545">
        <f t="shared" si="1160"/>
        <v>0</v>
      </c>
      <c r="AN545">
        <f t="shared" si="1161"/>
        <v>0</v>
      </c>
      <c r="AO545">
        <f t="shared" si="1162"/>
        <v>10157.443818305666</v>
      </c>
      <c r="AP545">
        <f t="shared" si="1163"/>
        <v>177093.77475669052</v>
      </c>
      <c r="AQ545">
        <f t="shared" si="1164"/>
        <v>36471.718630097625</v>
      </c>
      <c r="AR545" s="1">
        <f t="shared" si="1165"/>
        <v>-13485.374399811692</v>
      </c>
      <c r="AS545" s="1">
        <f t="shared" si="1191"/>
        <v>7046.6216183603974</v>
      </c>
      <c r="AT545" s="1">
        <f t="shared" si="1192"/>
        <v>20264.644945347063</v>
      </c>
      <c r="AU545" s="1">
        <f t="shared" si="1193"/>
        <v>0</v>
      </c>
      <c r="AV545" s="1">
        <f t="shared" si="1194"/>
        <v>0</v>
      </c>
      <c r="AW545" s="1">
        <f t="shared" si="1195"/>
        <v>0</v>
      </c>
      <c r="AX545" s="1">
        <f t="shared" si="1139"/>
        <v>339851.82936898689</v>
      </c>
      <c r="AY545" s="1">
        <f t="shared" si="1140"/>
        <v>237548.82936898959</v>
      </c>
      <c r="AZ545" s="1">
        <f t="shared" si="1141"/>
        <v>102302.99999999729</v>
      </c>
    </row>
    <row r="546" spans="1:52" x14ac:dyDescent="0.25">
      <c r="A546" s="4">
        <v>45300</v>
      </c>
      <c r="B546">
        <f t="shared" ref="B546:N546" si="1222">(B1096-B1095)*100</f>
        <v>0.99999999999997868</v>
      </c>
      <c r="C546">
        <f t="shared" si="1222"/>
        <v>2.0000000000000462</v>
      </c>
      <c r="D546">
        <f t="shared" si="1222"/>
        <v>2.0000000000000462</v>
      </c>
      <c r="E546">
        <f t="shared" si="1222"/>
        <v>0.99999999999997868</v>
      </c>
      <c r="F546">
        <f t="shared" si="1222"/>
        <v>0</v>
      </c>
      <c r="G546">
        <f t="shared" si="1222"/>
        <v>0</v>
      </c>
      <c r="H546">
        <f t="shared" si="1222"/>
        <v>0</v>
      </c>
      <c r="I546">
        <f t="shared" si="1222"/>
        <v>2.0000000000000462</v>
      </c>
      <c r="J546">
        <f t="shared" si="1222"/>
        <v>0</v>
      </c>
      <c r="K546">
        <f t="shared" si="1222"/>
        <v>-0.99999999999997868</v>
      </c>
      <c r="L546">
        <f t="shared" si="1222"/>
        <v>-0.99999999999997868</v>
      </c>
      <c r="M546">
        <f t="shared" si="1222"/>
        <v>0</v>
      </c>
      <c r="N546">
        <f t="shared" si="1222"/>
        <v>-0.99999999999997868</v>
      </c>
      <c r="O546" s="5">
        <f t="shared" si="1220"/>
        <v>1.7794872819395292E-3</v>
      </c>
      <c r="P546" s="5">
        <f t="shared" si="1220"/>
        <v>1.7658808197913243E-2</v>
      </c>
      <c r="Q546" s="5">
        <f t="shared" si="1220"/>
        <v>9.1842953233217638E-3</v>
      </c>
      <c r="R546" s="5">
        <f t="shared" si="1220"/>
        <v>2.7019740837302621E-3</v>
      </c>
      <c r="S546" s="5">
        <f t="shared" si="1220"/>
        <v>8.7421634958658942E-3</v>
      </c>
      <c r="T546" s="5">
        <f t="shared" ref="T546:X546" si="1223">LN(T1095/T1096)</f>
        <v>-8.6475168934551305E-4</v>
      </c>
      <c r="U546" s="5">
        <f t="shared" si="1223"/>
        <v>-2.1516969013112516E-3</v>
      </c>
      <c r="V546" s="5">
        <f t="shared" si="1223"/>
        <v>-3.3640067707693434E-3</v>
      </c>
      <c r="W546" s="5">
        <f t="shared" si="1223"/>
        <v>-5.3410079502690349E-4</v>
      </c>
      <c r="X546" s="5">
        <f t="shared" si="1223"/>
        <v>-3.3321337708235614E-3</v>
      </c>
      <c r="Z546" s="4">
        <v>45300</v>
      </c>
      <c r="AA546">
        <f t="shared" si="1148"/>
        <v>-982.99999999997908</v>
      </c>
      <c r="AB546">
        <f t="shared" si="1149"/>
        <v>-5168.0000000001191</v>
      </c>
      <c r="AC546">
        <f t="shared" si="1150"/>
        <v>32286.000000000746</v>
      </c>
      <c r="AD546">
        <f t="shared" si="1151"/>
        <v>2427.9999999999482</v>
      </c>
      <c r="AE546">
        <f t="shared" si="1152"/>
        <v>0</v>
      </c>
      <c r="AF546">
        <f t="shared" si="1153"/>
        <v>0</v>
      </c>
      <c r="AG546">
        <f t="shared" si="1154"/>
        <v>0</v>
      </c>
      <c r="AH546">
        <f t="shared" si="1155"/>
        <v>-36912.000000000851</v>
      </c>
      <c r="AI546">
        <f t="shared" si="1156"/>
        <v>0</v>
      </c>
      <c r="AJ546">
        <f t="shared" si="1157"/>
        <v>78394.999999998327</v>
      </c>
      <c r="AK546">
        <f t="shared" si="1158"/>
        <v>-31003.999999999338</v>
      </c>
      <c r="AL546">
        <f t="shared" si="1159"/>
        <v>0</v>
      </c>
      <c r="AM546">
        <f t="shared" si="1160"/>
        <v>0</v>
      </c>
      <c r="AN546">
        <f t="shared" si="1161"/>
        <v>0</v>
      </c>
      <c r="AO546">
        <f t="shared" si="1162"/>
        <v>-88294.040989566216</v>
      </c>
      <c r="AP546">
        <f t="shared" si="1163"/>
        <v>110211.54387986117</v>
      </c>
      <c r="AQ546">
        <f t="shared" si="1164"/>
        <v>-40529.611255953932</v>
      </c>
      <c r="AR546" s="1">
        <f t="shared" si="1165"/>
        <v>-61195.144471061256</v>
      </c>
      <c r="AS546" s="1">
        <f t="shared" si="1191"/>
        <v>-3459.006757382052</v>
      </c>
      <c r="AT546" s="1">
        <f t="shared" si="1192"/>
        <v>-17213.575210490013</v>
      </c>
      <c r="AU546" s="1">
        <f t="shared" si="1193"/>
        <v>0</v>
      </c>
      <c r="AV546" s="1">
        <f t="shared" si="1194"/>
        <v>0</v>
      </c>
      <c r="AW546" s="1">
        <f t="shared" si="1195"/>
        <v>0</v>
      </c>
      <c r="AX546" s="1">
        <f t="shared" si="1139"/>
        <v>-61437.834804593556</v>
      </c>
      <c r="AY546" s="1">
        <f t="shared" si="1140"/>
        <v>-100479.8348045923</v>
      </c>
      <c r="AZ546" s="1">
        <f t="shared" si="1141"/>
        <v>39041.999999998749</v>
      </c>
    </row>
    <row r="547" spans="1:52" x14ac:dyDescent="0.25">
      <c r="A547" s="4">
        <v>45299</v>
      </c>
      <c r="B547">
        <f t="shared" ref="B547:N547" si="1224">(B1097-B1096)*100</f>
        <v>0</v>
      </c>
      <c r="C547">
        <f t="shared" si="1224"/>
        <v>0</v>
      </c>
      <c r="D547">
        <f t="shared" si="1224"/>
        <v>-2.0000000000000462</v>
      </c>
      <c r="E547">
        <f t="shared" si="1224"/>
        <v>2.0000000000000462</v>
      </c>
      <c r="F547">
        <f t="shared" si="1224"/>
        <v>0</v>
      </c>
      <c r="G547">
        <f t="shared" si="1224"/>
        <v>1.9999999999999574</v>
      </c>
      <c r="H547">
        <f t="shared" si="1224"/>
        <v>4.0000000000000036</v>
      </c>
      <c r="I547">
        <f t="shared" si="1224"/>
        <v>5.9999999999999609</v>
      </c>
      <c r="J547">
        <f t="shared" si="1224"/>
        <v>4.9999999999999378</v>
      </c>
      <c r="K547">
        <f t="shared" si="1224"/>
        <v>4.9999999999999822</v>
      </c>
      <c r="L547">
        <f t="shared" si="1224"/>
        <v>4.0000000000000036</v>
      </c>
      <c r="M547">
        <f t="shared" si="1224"/>
        <v>4.0000000000000036</v>
      </c>
      <c r="N547">
        <f t="shared" si="1224"/>
        <v>4.0000000000000036</v>
      </c>
      <c r="O547" s="5">
        <f t="shared" si="1220"/>
        <v>-1.0026294282932775E-3</v>
      </c>
      <c r="P547" s="5">
        <f t="shared" si="1220"/>
        <v>0</v>
      </c>
      <c r="Q547" s="5">
        <f t="shared" si="1220"/>
        <v>9.6989823728530367E-3</v>
      </c>
      <c r="R547" s="5">
        <f t="shared" si="1220"/>
        <v>-5.3966671721543879E-3</v>
      </c>
      <c r="S547" s="5">
        <f t="shared" si="1220"/>
        <v>-4.3450972402247351E-3</v>
      </c>
      <c r="T547" s="5">
        <f t="shared" ref="T547:X547" si="1225">LN(T1096/T1097)</f>
        <v>4.7063701385837505E-4</v>
      </c>
      <c r="U547" s="5">
        <f t="shared" si="1225"/>
        <v>-2.6544186673552891E-3</v>
      </c>
      <c r="V547" s="5">
        <f t="shared" si="1225"/>
        <v>-3.3850906741831694E-4</v>
      </c>
      <c r="W547" s="5">
        <f t="shared" si="1225"/>
        <v>-1.4631397801014409E-3</v>
      </c>
      <c r="X547" s="5">
        <f t="shared" si="1225"/>
        <v>8.5842916668909695E-4</v>
      </c>
      <c r="Z547" s="4">
        <v>45299</v>
      </c>
      <c r="AA547">
        <f t="shared" si="1148"/>
        <v>0</v>
      </c>
      <c r="AB547">
        <f t="shared" si="1149"/>
        <v>0</v>
      </c>
      <c r="AC547">
        <f t="shared" si="1150"/>
        <v>-32286.000000000746</v>
      </c>
      <c r="AD547">
        <f t="shared" si="1151"/>
        <v>4856.0000000001119</v>
      </c>
      <c r="AE547">
        <f t="shared" si="1152"/>
        <v>0</v>
      </c>
      <c r="AF547">
        <f t="shared" si="1153"/>
        <v>-31255.999999999334</v>
      </c>
      <c r="AG547">
        <f t="shared" si="1154"/>
        <v>-112864.0000000001</v>
      </c>
      <c r="AH547">
        <f t="shared" si="1155"/>
        <v>-110735.99999999927</v>
      </c>
      <c r="AI547">
        <f t="shared" si="1156"/>
        <v>-255257.49999999683</v>
      </c>
      <c r="AJ547">
        <f t="shared" si="1157"/>
        <v>-391974.9999999986</v>
      </c>
      <c r="AK547">
        <f t="shared" si="1158"/>
        <v>124016.00000000012</v>
      </c>
      <c r="AL547">
        <f t="shared" si="1159"/>
        <v>128292.00000000012</v>
      </c>
      <c r="AM547">
        <f t="shared" si="1160"/>
        <v>0</v>
      </c>
      <c r="AN547">
        <f t="shared" si="1161"/>
        <v>0</v>
      </c>
      <c r="AO547">
        <f t="shared" si="1162"/>
        <v>0</v>
      </c>
      <c r="AP547">
        <f t="shared" si="1163"/>
        <v>116387.78847423644</v>
      </c>
      <c r="AQ547">
        <f t="shared" si="1164"/>
        <v>80950.007582315826</v>
      </c>
      <c r="AR547" s="1">
        <f t="shared" si="1165"/>
        <v>30415.680681573147</v>
      </c>
      <c r="AS547" s="1">
        <f t="shared" si="1191"/>
        <v>1882.5480554335002</v>
      </c>
      <c r="AT547" s="1">
        <f t="shared" si="1192"/>
        <v>-21235.349338842312</v>
      </c>
      <c r="AU547" s="1">
        <f t="shared" si="1193"/>
        <v>0</v>
      </c>
      <c r="AV547" s="1">
        <f t="shared" si="1194"/>
        <v>0</v>
      </c>
      <c r="AW547" s="1">
        <f t="shared" si="1195"/>
        <v>0</v>
      </c>
      <c r="AX547" s="1">
        <f t="shared" si="1139"/>
        <v>-468809.82454527786</v>
      </c>
      <c r="AY547" s="1">
        <f t="shared" si="1140"/>
        <v>208400.67545471658</v>
      </c>
      <c r="AZ547" s="1">
        <f t="shared" si="1141"/>
        <v>-677210.49999999441</v>
      </c>
    </row>
    <row r="548" spans="1:52" x14ac:dyDescent="0.25">
      <c r="A548" s="4">
        <v>45296</v>
      </c>
      <c r="B548">
        <f t="shared" ref="B548:N548" si="1226">(B1098-B1097)*100</f>
        <v>1.9999999999999574</v>
      </c>
      <c r="C548">
        <f t="shared" si="1226"/>
        <v>0</v>
      </c>
      <c r="D548">
        <f t="shared" si="1226"/>
        <v>1.0000000000000675</v>
      </c>
      <c r="E548">
        <f t="shared" si="1226"/>
        <v>0</v>
      </c>
      <c r="F548">
        <f t="shared" si="1226"/>
        <v>0.99999999999997868</v>
      </c>
      <c r="G548">
        <f t="shared" si="1226"/>
        <v>0.99999999999997868</v>
      </c>
      <c r="H548">
        <f t="shared" si="1226"/>
        <v>-2.0000000000000462</v>
      </c>
      <c r="I548">
        <f t="shared" si="1226"/>
        <v>-3.0000000000000249</v>
      </c>
      <c r="J548">
        <f t="shared" si="1226"/>
        <v>-4.9999999999999378</v>
      </c>
      <c r="K548">
        <f t="shared" si="1226"/>
        <v>-4.9999999999999822</v>
      </c>
      <c r="L548">
        <f t="shared" si="1226"/>
        <v>-5.9999999999999609</v>
      </c>
      <c r="M548">
        <f t="shared" si="1226"/>
        <v>-7.0000000000000284</v>
      </c>
      <c r="N548">
        <f t="shared" si="1226"/>
        <v>-8.0000000000000071</v>
      </c>
      <c r="O548" s="5">
        <f t="shared" si="1220"/>
        <v>-5.8931054206660489E-3</v>
      </c>
      <c r="P548" s="5">
        <f t="shared" si="1220"/>
        <v>-1.5823029819091946E-2</v>
      </c>
      <c r="Q548" s="5">
        <f t="shared" si="1220"/>
        <v>6.7841071010564023E-5</v>
      </c>
      <c r="R548" s="5">
        <f t="shared" si="1220"/>
        <v>-2.4190308799306882E-3</v>
      </c>
      <c r="S548" s="5">
        <f t="shared" si="1220"/>
        <v>-8.9392658490661074E-3</v>
      </c>
      <c r="T548" s="5">
        <f t="shared" ref="T548:X548" si="1227">LN(T1097/T1098)</f>
        <v>-1.7937674187860459E-3</v>
      </c>
      <c r="U548" s="5">
        <f t="shared" si="1227"/>
        <v>-7.734065142375676E-4</v>
      </c>
      <c r="V548" s="5">
        <f t="shared" si="1227"/>
        <v>1.2274146093978207E-2</v>
      </c>
      <c r="W548" s="5">
        <f t="shared" si="1227"/>
        <v>4.3755797724664633E-3</v>
      </c>
      <c r="X548" s="5">
        <f t="shared" si="1227"/>
        <v>1.2949600854451533E-3</v>
      </c>
      <c r="Z548" s="4">
        <v>45296</v>
      </c>
      <c r="AA548">
        <f t="shared" si="1148"/>
        <v>-1965.9999999999582</v>
      </c>
      <c r="AB548">
        <f t="shared" si="1149"/>
        <v>0</v>
      </c>
      <c r="AC548">
        <f t="shared" si="1150"/>
        <v>16143.00000000109</v>
      </c>
      <c r="AD548">
        <f t="shared" si="1151"/>
        <v>0</v>
      </c>
      <c r="AE548">
        <f t="shared" si="1152"/>
        <v>-12427.999999999734</v>
      </c>
      <c r="AF548">
        <f t="shared" si="1153"/>
        <v>-15627.999999999667</v>
      </c>
      <c r="AG548">
        <f t="shared" si="1154"/>
        <v>56432.000000001302</v>
      </c>
      <c r="AH548">
        <f t="shared" si="1155"/>
        <v>55368.000000000458</v>
      </c>
      <c r="AI548">
        <f t="shared" si="1156"/>
        <v>255257.49999999683</v>
      </c>
      <c r="AJ548">
        <f t="shared" si="1157"/>
        <v>391974.9999999986</v>
      </c>
      <c r="AK548">
        <f t="shared" si="1158"/>
        <v>-186023.99999999878</v>
      </c>
      <c r="AL548">
        <f t="shared" si="1159"/>
        <v>-224511.0000000009</v>
      </c>
      <c r="AM548">
        <f t="shared" si="1160"/>
        <v>0</v>
      </c>
      <c r="AN548">
        <f t="shared" si="1161"/>
        <v>0</v>
      </c>
      <c r="AO548">
        <f t="shared" si="1162"/>
        <v>79115.149095459725</v>
      </c>
      <c r="AP548">
        <f t="shared" si="1163"/>
        <v>814.09285212676832</v>
      </c>
      <c r="AQ548">
        <f t="shared" si="1164"/>
        <v>36285.463198960322</v>
      </c>
      <c r="AR548" s="1">
        <f t="shared" si="1165"/>
        <v>62574.860943462751</v>
      </c>
      <c r="AS548" s="1">
        <f t="shared" si="1191"/>
        <v>-7175.0696751441837</v>
      </c>
      <c r="AT548" s="1">
        <f t="shared" si="1192"/>
        <v>-6187.2521139005412</v>
      </c>
      <c r="AU548" s="1">
        <f t="shared" si="1193"/>
        <v>0</v>
      </c>
      <c r="AV548" s="1">
        <f t="shared" si="1194"/>
        <v>0</v>
      </c>
      <c r="AW548" s="1">
        <f t="shared" si="1195"/>
        <v>0</v>
      </c>
      <c r="AX548" s="1">
        <f t="shared" si="1139"/>
        <v>500045.74430096417</v>
      </c>
      <c r="AY548" s="1">
        <f t="shared" si="1140"/>
        <v>165427.24430096481</v>
      </c>
      <c r="AZ548" s="1">
        <f t="shared" si="1141"/>
        <v>334618.49999999936</v>
      </c>
    </row>
    <row r="549" spans="1:52" x14ac:dyDescent="0.25">
      <c r="A549" s="4">
        <v>45295</v>
      </c>
      <c r="B549">
        <f t="shared" ref="B549:N549" si="1228">(B1099-B1098)*100</f>
        <v>-1.9999999999999574</v>
      </c>
      <c r="C549">
        <f t="shared" si="1228"/>
        <v>5.9999999999999609</v>
      </c>
      <c r="D549">
        <f t="shared" si="1228"/>
        <v>0</v>
      </c>
      <c r="E549">
        <f t="shared" si="1228"/>
        <v>0</v>
      </c>
      <c r="F549">
        <f t="shared" si="1228"/>
        <v>0</v>
      </c>
      <c r="G549">
        <f t="shared" si="1228"/>
        <v>-4.0000000000000036</v>
      </c>
      <c r="H549">
        <f t="shared" si="1228"/>
        <v>-4.9999999999999822</v>
      </c>
      <c r="I549">
        <f t="shared" si="1228"/>
        <v>-6.9999999999999396</v>
      </c>
      <c r="J549">
        <f t="shared" si="1228"/>
        <v>-7.0000000000000284</v>
      </c>
      <c r="K549">
        <f t="shared" si="1228"/>
        <v>-7.0000000000000284</v>
      </c>
      <c r="L549">
        <f t="shared" si="1228"/>
        <v>-8.0000000000000071</v>
      </c>
      <c r="M549">
        <f t="shared" si="1228"/>
        <v>-8.9999999999999858</v>
      </c>
      <c r="N549">
        <f t="shared" si="1228"/>
        <v>-8.0000000000000071</v>
      </c>
      <c r="O549" s="5">
        <f t="shared" si="1220"/>
        <v>-4.8783463373701841E-4</v>
      </c>
      <c r="P549" s="5">
        <f t="shared" si="1220"/>
        <v>3.1232247266563596E-3</v>
      </c>
      <c r="Q549" s="5">
        <f t="shared" si="1220"/>
        <v>3.9313259078158341E-3</v>
      </c>
      <c r="R549" s="5">
        <f t="shared" si="1220"/>
        <v>-2.1453481009238991E-3</v>
      </c>
      <c r="S549" s="5">
        <f t="shared" si="1220"/>
        <v>-9.3920965576602759E-5</v>
      </c>
      <c r="T549" s="5">
        <f t="shared" ref="T549:X549" si="1229">LN(T1098/T1099)</f>
        <v>1.2793338874625411E-3</v>
      </c>
      <c r="U549" s="5">
        <f t="shared" si="1229"/>
        <v>-4.0477032922902872E-3</v>
      </c>
      <c r="V549" s="5">
        <f t="shared" si="1229"/>
        <v>5.9195847139395415E-3</v>
      </c>
      <c r="W549" s="5">
        <f t="shared" si="1229"/>
        <v>4.3988055263088841E-3</v>
      </c>
      <c r="X549" s="5">
        <f t="shared" si="1229"/>
        <v>-1.4361079431087647E-3</v>
      </c>
      <c r="Z549" s="4">
        <v>45295</v>
      </c>
      <c r="AA549">
        <f t="shared" si="1148"/>
        <v>1965.9999999999582</v>
      </c>
      <c r="AB549">
        <f t="shared" si="1149"/>
        <v>-15503.999999999898</v>
      </c>
      <c r="AC549">
        <f t="shared" si="1150"/>
        <v>0</v>
      </c>
      <c r="AD549">
        <f t="shared" si="1151"/>
        <v>0</v>
      </c>
      <c r="AE549">
        <f t="shared" si="1152"/>
        <v>0</v>
      </c>
      <c r="AF549">
        <f t="shared" si="1153"/>
        <v>62512.000000000058</v>
      </c>
      <c r="AG549">
        <f t="shared" si="1154"/>
        <v>141079.99999999951</v>
      </c>
      <c r="AH549">
        <f t="shared" si="1155"/>
        <v>129191.99999999888</v>
      </c>
      <c r="AI549">
        <f t="shared" si="1156"/>
        <v>357360.50000000146</v>
      </c>
      <c r="AJ549">
        <f t="shared" si="1157"/>
        <v>548765.00000000221</v>
      </c>
      <c r="AK549">
        <f t="shared" si="1158"/>
        <v>-248032.00000000023</v>
      </c>
      <c r="AL549">
        <f t="shared" si="1159"/>
        <v>-288656.99999999953</v>
      </c>
      <c r="AM549">
        <f t="shared" si="1160"/>
        <v>0</v>
      </c>
      <c r="AN549">
        <f t="shared" si="1161"/>
        <v>0</v>
      </c>
      <c r="AO549">
        <f t="shared" si="1162"/>
        <v>-15616.123633281799</v>
      </c>
      <c r="AP549">
        <f t="shared" si="1163"/>
        <v>47175.910893790009</v>
      </c>
      <c r="AQ549">
        <f t="shared" si="1164"/>
        <v>32180.221513858487</v>
      </c>
      <c r="AR549" s="1">
        <f t="shared" si="1165"/>
        <v>657.44675903621931</v>
      </c>
      <c r="AS549" s="1">
        <f t="shared" si="1191"/>
        <v>5117.3355498501642</v>
      </c>
      <c r="AT549" s="1">
        <f t="shared" si="1192"/>
        <v>-32381.626338322298</v>
      </c>
      <c r="AU549" s="1">
        <f t="shared" si="1193"/>
        <v>0</v>
      </c>
      <c r="AV549" s="1">
        <f t="shared" si="1194"/>
        <v>0</v>
      </c>
      <c r="AW549" s="1">
        <f t="shared" si="1195"/>
        <v>0</v>
      </c>
      <c r="AX549" s="1">
        <f t="shared" si="1139"/>
        <v>725815.66474493337</v>
      </c>
      <c r="AY549" s="1">
        <f t="shared" si="1140"/>
        <v>37133.164744930778</v>
      </c>
      <c r="AZ549" s="1">
        <f t="shared" si="1141"/>
        <v>688682.50000000256</v>
      </c>
    </row>
    <row r="550" spans="1:52" x14ac:dyDescent="0.25">
      <c r="A550" s="4">
        <v>45294</v>
      </c>
      <c r="B550">
        <f>(B1100-B1099)*100</f>
        <v>0.99999999999997868</v>
      </c>
      <c r="C550">
        <f t="shared" ref="C550:N550" si="1230">(C1100-C1099)*100</f>
        <v>0</v>
      </c>
      <c r="D550">
        <f t="shared" si="1230"/>
        <v>-2.0000000000000462</v>
      </c>
      <c r="E550">
        <f t="shared" si="1230"/>
        <v>0</v>
      </c>
      <c r="F550">
        <f t="shared" si="1230"/>
        <v>-0.99999999999997868</v>
      </c>
      <c r="G550">
        <f t="shared" si="1230"/>
        <v>-0.99999999999997868</v>
      </c>
      <c r="H550">
        <f t="shared" si="1230"/>
        <v>0</v>
      </c>
      <c r="I550">
        <f t="shared" si="1230"/>
        <v>1.9999999999999574</v>
      </c>
      <c r="J550">
        <f t="shared" si="1230"/>
        <v>3.0000000000000249</v>
      </c>
      <c r="K550">
        <f t="shared" si="1230"/>
        <v>3.0000000000000249</v>
      </c>
      <c r="L550">
        <f t="shared" si="1230"/>
        <v>4.0000000000000036</v>
      </c>
      <c r="M550">
        <f t="shared" si="1230"/>
        <v>4.0000000000000036</v>
      </c>
      <c r="N550">
        <f t="shared" si="1230"/>
        <v>3.0000000000000249</v>
      </c>
      <c r="O550" s="5">
        <f t="shared" si="1220"/>
        <v>6.0333237783713953E-3</v>
      </c>
      <c r="P550" s="5">
        <f t="shared" si="1220"/>
        <v>1.0894051989868495E-2</v>
      </c>
      <c r="Q550" s="5">
        <f t="shared" si="1220"/>
        <v>4.3230027962691819E-3</v>
      </c>
      <c r="R550" s="5">
        <f t="shared" si="1220"/>
        <v>7.7988831485138986E-3</v>
      </c>
      <c r="S550" s="5">
        <f t="shared" si="1220"/>
        <v>-4.4600416227404469E-4</v>
      </c>
      <c r="T550" s="5">
        <f t="shared" ref="T550:X550" si="1231">LN(T1099/T1100)</f>
        <v>8.8250309089555647E-3</v>
      </c>
      <c r="U550" s="5">
        <f t="shared" si="1231"/>
        <v>8.3407899855651307E-3</v>
      </c>
      <c r="V550" s="5">
        <f t="shared" si="1231"/>
        <v>7.2648444731859335E-3</v>
      </c>
      <c r="W550" s="5">
        <f t="shared" si="1231"/>
        <v>6.6006921456695355E-3</v>
      </c>
      <c r="X550" s="5">
        <f t="shared" si="1231"/>
        <v>9.728187792298457E-3</v>
      </c>
      <c r="Z550" s="4">
        <v>45294</v>
      </c>
      <c r="AA550">
        <f t="shared" si="1148"/>
        <v>-982.99999999997908</v>
      </c>
      <c r="AB550">
        <f t="shared" si="1149"/>
        <v>0</v>
      </c>
      <c r="AC550">
        <f t="shared" si="1150"/>
        <v>-32286.000000000746</v>
      </c>
      <c r="AD550">
        <f t="shared" si="1151"/>
        <v>0</v>
      </c>
      <c r="AE550">
        <f t="shared" si="1152"/>
        <v>12427.999999999734</v>
      </c>
      <c r="AF550">
        <f t="shared" si="1153"/>
        <v>15627.999999999667</v>
      </c>
      <c r="AG550">
        <f t="shared" si="1154"/>
        <v>0</v>
      </c>
      <c r="AH550">
        <f t="shared" si="1155"/>
        <v>-36911.999999999214</v>
      </c>
      <c r="AI550">
        <f t="shared" si="1156"/>
        <v>-153154.50000000128</v>
      </c>
      <c r="AJ550">
        <f t="shared" si="1157"/>
        <v>-235185.00000000195</v>
      </c>
      <c r="AK550">
        <f t="shared" si="1158"/>
        <v>124016.00000000012</v>
      </c>
      <c r="AL550">
        <f t="shared" si="1159"/>
        <v>128292.00000000012</v>
      </c>
      <c r="AM550">
        <f t="shared" si="1160"/>
        <v>0</v>
      </c>
      <c r="AN550">
        <f t="shared" si="1161"/>
        <v>0</v>
      </c>
      <c r="AO550">
        <f t="shared" si="1162"/>
        <v>-54470.259949342471</v>
      </c>
      <c r="AP550">
        <f t="shared" si="1163"/>
        <v>51876.033555230184</v>
      </c>
      <c r="AQ550">
        <f t="shared" si="1164"/>
        <v>-116983.24722770847</v>
      </c>
      <c r="AR550" s="1">
        <f t="shared" si="1165"/>
        <v>3122.0291359183129</v>
      </c>
      <c r="AS550" s="1">
        <f t="shared" si="1191"/>
        <v>35300.12363582226</v>
      </c>
      <c r="AT550" s="1">
        <f t="shared" si="1192"/>
        <v>66726.319884521043</v>
      </c>
      <c r="AU550" s="1">
        <f t="shared" si="1193"/>
        <v>0</v>
      </c>
      <c r="AV550" s="1">
        <f t="shared" si="1194"/>
        <v>0</v>
      </c>
      <c r="AW550" s="1">
        <f t="shared" si="1195"/>
        <v>0</v>
      </c>
      <c r="AX550" s="1">
        <f t="shared" si="1139"/>
        <v>-192585.50096556262</v>
      </c>
      <c r="AY550" s="1">
        <f t="shared" si="1140"/>
        <v>-14429.000965559157</v>
      </c>
      <c r="AZ550" s="1">
        <f t="shared" si="1141"/>
        <v>-178156.50000000346</v>
      </c>
    </row>
    <row r="551" spans="1:52" x14ac:dyDescent="0.25">
      <c r="A551" s="4">
        <v>45293</v>
      </c>
      <c r="Z551" s="4">
        <v>45293</v>
      </c>
      <c r="AR551" s="1"/>
      <c r="AS551" s="1"/>
      <c r="AT551" s="1"/>
      <c r="AU551" s="1"/>
      <c r="AV551" s="1"/>
      <c r="AW551" s="1"/>
      <c r="AX551" s="1"/>
      <c r="AZ551" s="1">
        <f t="shared" si="1141"/>
        <v>0</v>
      </c>
    </row>
    <row r="553" spans="1:52" x14ac:dyDescent="0.25">
      <c r="A553" t="s">
        <v>29</v>
      </c>
      <c r="B553" t="s">
        <v>11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17</v>
      </c>
      <c r="I553" t="s">
        <v>18</v>
      </c>
      <c r="J553" t="s">
        <v>19</v>
      </c>
      <c r="K553" t="s">
        <v>20</v>
      </c>
      <c r="L553" t="s">
        <v>21</v>
      </c>
      <c r="M553" t="s">
        <v>22</v>
      </c>
      <c r="N553" t="s">
        <v>23</v>
      </c>
      <c r="O553" t="s">
        <v>24</v>
      </c>
      <c r="P553" t="s">
        <v>25</v>
      </c>
      <c r="Q553" t="s">
        <v>26</v>
      </c>
      <c r="R553" t="s">
        <v>27</v>
      </c>
      <c r="S553" t="s">
        <v>28</v>
      </c>
      <c r="T553" t="s">
        <v>49</v>
      </c>
      <c r="U553" t="s">
        <v>50</v>
      </c>
      <c r="V553" t="s">
        <v>51</v>
      </c>
      <c r="W553" t="s">
        <v>52</v>
      </c>
      <c r="X553" t="s">
        <v>53</v>
      </c>
    </row>
    <row r="554" spans="1:52" x14ac:dyDescent="0.25">
      <c r="A554" s="4">
        <v>46093</v>
      </c>
      <c r="B554">
        <v>3.76</v>
      </c>
      <c r="C554">
        <v>3.72</v>
      </c>
      <c r="D554">
        <v>3.72</v>
      </c>
      <c r="E554">
        <v>3.69</v>
      </c>
      <c r="F554">
        <v>3.7</v>
      </c>
      <c r="G554">
        <v>3.66</v>
      </c>
      <c r="H554">
        <v>3.76</v>
      </c>
      <c r="I554">
        <v>3.75</v>
      </c>
      <c r="J554">
        <v>3.88</v>
      </c>
      <c r="K554">
        <v>4.0599999999999996</v>
      </c>
      <c r="L554">
        <v>4.2699999999999996</v>
      </c>
      <c r="M554">
        <v>4.8600000000000003</v>
      </c>
      <c r="N554">
        <v>4.88</v>
      </c>
      <c r="O554">
        <v>5.2047999999999996</v>
      </c>
      <c r="P554">
        <v>3683</v>
      </c>
      <c r="Q554">
        <v>895.86</v>
      </c>
      <c r="R554">
        <v>3.4449999999999998</v>
      </c>
      <c r="S554">
        <v>17.844899999999999</v>
      </c>
      <c r="T554">
        <v>0.866310005795635</v>
      </c>
      <c r="U554">
        <v>0.74727999285912905</v>
      </c>
      <c r="V554">
        <v>159.07499694824199</v>
      </c>
      <c r="W554">
        <v>1.40268003162657</v>
      </c>
      <c r="X554">
        <v>0.78174000978469804</v>
      </c>
    </row>
    <row r="555" spans="1:52" x14ac:dyDescent="0.25">
      <c r="A555" s="4">
        <v>46092</v>
      </c>
      <c r="B555">
        <v>3.75</v>
      </c>
      <c r="C555">
        <v>3.7</v>
      </c>
      <c r="D555">
        <v>3.71</v>
      </c>
      <c r="E555">
        <v>3.69</v>
      </c>
      <c r="F555">
        <v>3.68</v>
      </c>
      <c r="G555">
        <v>3.6</v>
      </c>
      <c r="H555">
        <v>3.64</v>
      </c>
      <c r="I555">
        <v>3.64</v>
      </c>
      <c r="J555">
        <v>3.79</v>
      </c>
      <c r="K555">
        <v>3.98</v>
      </c>
      <c r="L555">
        <v>4.21</v>
      </c>
      <c r="M555">
        <v>4.82</v>
      </c>
      <c r="N555">
        <v>4.8600000000000003</v>
      </c>
      <c r="O555">
        <v>5.1593</v>
      </c>
      <c r="P555">
        <v>3704.9</v>
      </c>
      <c r="Q555">
        <v>893.69</v>
      </c>
      <c r="R555">
        <v>3.419</v>
      </c>
      <c r="S555">
        <v>17.669799999999999</v>
      </c>
      <c r="T555">
        <v>0.86123004468872699</v>
      </c>
      <c r="U555">
        <v>0.74520996554586405</v>
      </c>
      <c r="V555">
        <v>158.113998413085</v>
      </c>
      <c r="W555">
        <v>1.40429697456034</v>
      </c>
      <c r="X555">
        <v>0.77857798337936401</v>
      </c>
    </row>
    <row r="556" spans="1:52" x14ac:dyDescent="0.25">
      <c r="A556" s="4">
        <v>46091</v>
      </c>
      <c r="B556">
        <v>3.75</v>
      </c>
      <c r="C556">
        <v>3.71</v>
      </c>
      <c r="D556">
        <v>3.71</v>
      </c>
      <c r="E556">
        <v>3.69</v>
      </c>
      <c r="F556">
        <v>3.68</v>
      </c>
      <c r="G556">
        <v>3.56</v>
      </c>
      <c r="H556">
        <v>3.57</v>
      </c>
      <c r="I556">
        <v>3.58</v>
      </c>
      <c r="J556">
        <v>3.73</v>
      </c>
      <c r="K556">
        <v>3.93</v>
      </c>
      <c r="L556">
        <v>4.1500000000000004</v>
      </c>
      <c r="M556">
        <v>4.74</v>
      </c>
      <c r="N556">
        <v>4.78</v>
      </c>
      <c r="O556">
        <v>5.1619000000000002</v>
      </c>
      <c r="P556">
        <v>3697.05</v>
      </c>
      <c r="Q556">
        <v>916.36</v>
      </c>
      <c r="R556">
        <v>3.423</v>
      </c>
      <c r="S556">
        <v>17.590299999999999</v>
      </c>
      <c r="T556">
        <v>0.86079002852981701</v>
      </c>
      <c r="U556">
        <v>0.74488003132744696</v>
      </c>
      <c r="V556">
        <v>157.84800720214801</v>
      </c>
      <c r="W556">
        <v>1.4147100290746699</v>
      </c>
      <c r="X556">
        <v>0.77788001298904397</v>
      </c>
    </row>
    <row r="557" spans="1:52" x14ac:dyDescent="0.25">
      <c r="A557" s="4">
        <v>46090</v>
      </c>
      <c r="B557">
        <v>3.75</v>
      </c>
      <c r="C557">
        <v>3.72</v>
      </c>
      <c r="D557">
        <v>3.71</v>
      </c>
      <c r="E557">
        <v>3.68</v>
      </c>
      <c r="F557">
        <v>3.68</v>
      </c>
      <c r="G557">
        <v>3.56</v>
      </c>
      <c r="H557">
        <v>3.56</v>
      </c>
      <c r="I557">
        <v>3.58</v>
      </c>
      <c r="J557">
        <v>3.71</v>
      </c>
      <c r="K557">
        <v>3.9</v>
      </c>
      <c r="L557">
        <v>4.12</v>
      </c>
      <c r="M557">
        <v>4.7</v>
      </c>
      <c r="N557">
        <v>4.72</v>
      </c>
      <c r="O557">
        <v>5.2135999999999996</v>
      </c>
      <c r="P557">
        <v>3767</v>
      </c>
      <c r="Q557">
        <v>921.76</v>
      </c>
      <c r="R557">
        <v>3.488</v>
      </c>
      <c r="S557">
        <v>17.671099999999999</v>
      </c>
      <c r="T557">
        <v>0.86780998656067898</v>
      </c>
      <c r="U557">
        <v>0.75182003801130204</v>
      </c>
      <c r="V557">
        <v>158.427001953125</v>
      </c>
      <c r="W557">
        <v>1.43550300525962</v>
      </c>
      <c r="X557">
        <v>0.78122001886367798</v>
      </c>
    </row>
    <row r="558" spans="1:52" x14ac:dyDescent="0.25">
      <c r="A558" s="4">
        <v>46087</v>
      </c>
      <c r="B558">
        <v>3.75</v>
      </c>
      <c r="C558">
        <v>3.72</v>
      </c>
      <c r="D558">
        <v>3.69</v>
      </c>
      <c r="E558">
        <v>3.67</v>
      </c>
      <c r="F558">
        <v>3.66</v>
      </c>
      <c r="G558">
        <v>3.55</v>
      </c>
      <c r="H558">
        <v>3.56</v>
      </c>
      <c r="I558">
        <v>3.59</v>
      </c>
      <c r="J558">
        <v>3.72</v>
      </c>
      <c r="K558">
        <v>3.93</v>
      </c>
      <c r="L558">
        <v>4.1500000000000004</v>
      </c>
      <c r="M558">
        <v>4.74</v>
      </c>
      <c r="N558">
        <v>4.7699999999999996</v>
      </c>
      <c r="O558">
        <v>5.2874999999999996</v>
      </c>
      <c r="P558">
        <v>3770</v>
      </c>
      <c r="Q558">
        <v>907.66</v>
      </c>
      <c r="R558">
        <v>3.4780000000000002</v>
      </c>
      <c r="S558">
        <v>17.8034</v>
      </c>
      <c r="T558">
        <v>0.86146999384136702</v>
      </c>
      <c r="U558">
        <v>0.74865004209289399</v>
      </c>
      <c r="V558">
        <v>157.53399658203099</v>
      </c>
      <c r="W558">
        <v>1.4262690779204501</v>
      </c>
      <c r="X558">
        <v>0.78065997362136796</v>
      </c>
    </row>
    <row r="559" spans="1:52" x14ac:dyDescent="0.25">
      <c r="A559" s="4">
        <v>46086</v>
      </c>
      <c r="B559">
        <v>3.75</v>
      </c>
      <c r="C559">
        <v>3.72</v>
      </c>
      <c r="D559">
        <v>3.7</v>
      </c>
      <c r="E559">
        <v>3.68</v>
      </c>
      <c r="F559">
        <v>3.68</v>
      </c>
      <c r="G559">
        <v>3.59</v>
      </c>
      <c r="H559">
        <v>3.57</v>
      </c>
      <c r="I559">
        <v>3.59</v>
      </c>
      <c r="J559">
        <v>3.72</v>
      </c>
      <c r="K559">
        <v>3.92</v>
      </c>
      <c r="L559">
        <v>4.13</v>
      </c>
      <c r="M559">
        <v>4.71</v>
      </c>
      <c r="N559">
        <v>4.74</v>
      </c>
      <c r="O559">
        <v>5.2443999999999997</v>
      </c>
      <c r="P559">
        <v>3775</v>
      </c>
      <c r="Q559">
        <v>895.14</v>
      </c>
      <c r="R559">
        <v>3.4390000000000001</v>
      </c>
      <c r="S559">
        <v>17.79</v>
      </c>
      <c r="T559">
        <v>0.85943005516837701</v>
      </c>
      <c r="U559">
        <v>0.74796995889584095</v>
      </c>
      <c r="V559">
        <v>156.98300170898401</v>
      </c>
      <c r="W559">
        <v>1.4132280553619001</v>
      </c>
      <c r="X559">
        <v>0.77915000915527299</v>
      </c>
    </row>
    <row r="560" spans="1:52" x14ac:dyDescent="0.25">
      <c r="A560" s="4">
        <v>46085</v>
      </c>
      <c r="B560">
        <v>3.75</v>
      </c>
      <c r="C560">
        <v>3.75</v>
      </c>
      <c r="D560">
        <v>3.71</v>
      </c>
      <c r="E560">
        <v>3.68</v>
      </c>
      <c r="F560">
        <v>3.68</v>
      </c>
      <c r="G560">
        <v>3.58</v>
      </c>
      <c r="H560">
        <v>3.54</v>
      </c>
      <c r="I560">
        <v>3.55</v>
      </c>
      <c r="J560">
        <v>3.67</v>
      </c>
      <c r="K560">
        <v>3.87</v>
      </c>
      <c r="L560">
        <v>4.09</v>
      </c>
      <c r="M560">
        <v>4.67</v>
      </c>
      <c r="N560">
        <v>4.72</v>
      </c>
      <c r="O560">
        <v>5.2088000000000001</v>
      </c>
      <c r="P560">
        <v>3747</v>
      </c>
      <c r="Q560">
        <v>906.32</v>
      </c>
      <c r="R560">
        <v>3.411</v>
      </c>
      <c r="S560">
        <v>17.559200000000001</v>
      </c>
      <c r="T560">
        <v>0.86116002207563502</v>
      </c>
      <c r="U560">
        <v>0.74886003072531704</v>
      </c>
      <c r="V560">
        <v>157.77299499511699</v>
      </c>
      <c r="W560">
        <v>1.42031301680607</v>
      </c>
      <c r="X560">
        <v>0.78192001581192005</v>
      </c>
    </row>
    <row r="561" spans="1:24" x14ac:dyDescent="0.25">
      <c r="A561" s="4">
        <v>46084</v>
      </c>
      <c r="B561">
        <v>3.75</v>
      </c>
      <c r="C561">
        <v>3.74</v>
      </c>
      <c r="D561">
        <v>3.71</v>
      </c>
      <c r="E561">
        <v>3.67</v>
      </c>
      <c r="F561">
        <v>3.68</v>
      </c>
      <c r="G561">
        <v>3.55</v>
      </c>
      <c r="H561">
        <v>3.51</v>
      </c>
      <c r="I561">
        <v>3.5</v>
      </c>
      <c r="J561">
        <v>3.63</v>
      </c>
      <c r="K561">
        <v>3.83</v>
      </c>
      <c r="L561">
        <v>4.0599999999999996</v>
      </c>
      <c r="M561">
        <v>4.6500000000000004</v>
      </c>
      <c r="N561">
        <v>4.7</v>
      </c>
      <c r="O561">
        <v>5.2866999999999997</v>
      </c>
      <c r="P561">
        <v>3800</v>
      </c>
      <c r="Q561">
        <v>884.21</v>
      </c>
      <c r="R561">
        <v>3.415</v>
      </c>
      <c r="S561">
        <v>17.636700000000001</v>
      </c>
      <c r="T561">
        <v>0.85490000647141295</v>
      </c>
      <c r="U561">
        <v>0.74567996096575395</v>
      </c>
      <c r="V561">
        <v>157.25700378417901</v>
      </c>
      <c r="W561">
        <v>1.4073009770956799</v>
      </c>
      <c r="X561">
        <v>0.77871000766754095</v>
      </c>
    </row>
    <row r="562" spans="1:24" x14ac:dyDescent="0.25">
      <c r="A562" s="4">
        <v>46083</v>
      </c>
      <c r="B562">
        <v>3.74</v>
      </c>
      <c r="C562">
        <v>3.74</v>
      </c>
      <c r="D562">
        <v>3.72</v>
      </c>
      <c r="E562">
        <v>3.68</v>
      </c>
      <c r="F562">
        <v>3.68</v>
      </c>
      <c r="G562">
        <v>3.54</v>
      </c>
      <c r="H562">
        <v>3.47</v>
      </c>
      <c r="I562">
        <v>3.49</v>
      </c>
      <c r="J562">
        <v>3.62</v>
      </c>
      <c r="K562">
        <v>3.82</v>
      </c>
      <c r="L562">
        <v>4.05</v>
      </c>
      <c r="M562">
        <v>4.6399999999999997</v>
      </c>
      <c r="N562">
        <v>4.7</v>
      </c>
      <c r="O562">
        <v>5.1997999999999998</v>
      </c>
      <c r="P562">
        <v>3749</v>
      </c>
      <c r="Q562">
        <v>871.41</v>
      </c>
      <c r="R562">
        <v>3.363</v>
      </c>
      <c r="S562">
        <v>17.285299999999999</v>
      </c>
      <c r="T562">
        <v>0.85037996192625598</v>
      </c>
      <c r="U562">
        <v>0.74589995937327203</v>
      </c>
      <c r="V562">
        <v>156.63299560546801</v>
      </c>
      <c r="W562">
        <v>1.4168100742284999</v>
      </c>
      <c r="X562">
        <v>0.76952999830245905</v>
      </c>
    </row>
    <row r="563" spans="1:24" x14ac:dyDescent="0.25">
      <c r="A563" s="4">
        <v>46080</v>
      </c>
      <c r="B563">
        <v>3.74</v>
      </c>
      <c r="C563">
        <v>3.73</v>
      </c>
      <c r="D563">
        <v>3.67</v>
      </c>
      <c r="E563">
        <v>3.67</v>
      </c>
      <c r="F563">
        <v>3.6</v>
      </c>
      <c r="G563">
        <v>3.48</v>
      </c>
      <c r="H563">
        <v>3.38</v>
      </c>
      <c r="I563">
        <v>3.39</v>
      </c>
      <c r="J563">
        <v>3.51</v>
      </c>
      <c r="K563">
        <v>3.72</v>
      </c>
      <c r="L563">
        <v>3.97</v>
      </c>
      <c r="M563">
        <v>4.57</v>
      </c>
      <c r="N563">
        <v>4.6399999999999997</v>
      </c>
      <c r="O563">
        <v>5.1492000000000004</v>
      </c>
      <c r="P563">
        <v>3752.3</v>
      </c>
      <c r="Q563">
        <v>861.19</v>
      </c>
      <c r="R563">
        <v>3.3530000000000002</v>
      </c>
      <c r="S563">
        <v>17.2318</v>
      </c>
      <c r="T563">
        <v>0.84724000363595897</v>
      </c>
      <c r="U563">
        <v>0.74121001274933696</v>
      </c>
      <c r="V563">
        <v>155.85899353027301</v>
      </c>
      <c r="W563">
        <v>1.4080939896722</v>
      </c>
      <c r="X563">
        <v>0.77323001623153598</v>
      </c>
    </row>
    <row r="564" spans="1:24" x14ac:dyDescent="0.25">
      <c r="A564" s="4">
        <v>46079</v>
      </c>
      <c r="B564">
        <v>3.74</v>
      </c>
      <c r="C564">
        <v>3.75</v>
      </c>
      <c r="D564">
        <v>3.68</v>
      </c>
      <c r="E564">
        <v>3.68</v>
      </c>
      <c r="F564">
        <v>3.61</v>
      </c>
      <c r="G564">
        <v>3.52</v>
      </c>
      <c r="H564">
        <v>3.42</v>
      </c>
      <c r="I564">
        <v>3.46</v>
      </c>
      <c r="J564">
        <v>3.57</v>
      </c>
      <c r="K564">
        <v>3.78</v>
      </c>
      <c r="L564">
        <v>4.0199999999999996</v>
      </c>
      <c r="M564">
        <v>4.5999999999999996</v>
      </c>
      <c r="N564">
        <v>4.67</v>
      </c>
      <c r="O564">
        <v>5.1379000000000001</v>
      </c>
      <c r="P564">
        <v>3830</v>
      </c>
      <c r="Q564">
        <v>857.58</v>
      </c>
      <c r="R564">
        <v>3.355</v>
      </c>
      <c r="S564">
        <v>17.195</v>
      </c>
      <c r="T564">
        <v>0.84636996359097105</v>
      </c>
      <c r="U564">
        <v>0.73757001483473905</v>
      </c>
      <c r="V564">
        <v>156.19999694824199</v>
      </c>
      <c r="W564">
        <v>1.4043960705877101</v>
      </c>
      <c r="X564">
        <v>0.77214002609252896</v>
      </c>
    </row>
    <row r="565" spans="1:24" x14ac:dyDescent="0.25">
      <c r="A565" s="4">
        <v>46078</v>
      </c>
      <c r="B565">
        <v>3.71</v>
      </c>
      <c r="C565">
        <v>3.73</v>
      </c>
      <c r="D565">
        <v>3.69</v>
      </c>
      <c r="E565">
        <v>3.68</v>
      </c>
      <c r="F565">
        <v>3.62</v>
      </c>
      <c r="G565">
        <v>3.53</v>
      </c>
      <c r="H565">
        <v>3.45</v>
      </c>
      <c r="I565">
        <v>3.49</v>
      </c>
      <c r="J565">
        <v>3.61</v>
      </c>
      <c r="K565">
        <v>3.82</v>
      </c>
      <c r="L565">
        <v>4.05</v>
      </c>
      <c r="M565">
        <v>4.63</v>
      </c>
      <c r="N565">
        <v>4.7</v>
      </c>
      <c r="O565">
        <v>5.1436999999999999</v>
      </c>
      <c r="P565">
        <v>3687</v>
      </c>
      <c r="Q565">
        <v>865.36</v>
      </c>
      <c r="R565">
        <v>3.355</v>
      </c>
      <c r="S565">
        <v>17.157900000000001</v>
      </c>
      <c r="T565">
        <v>0.84924004194463898</v>
      </c>
      <c r="U565">
        <v>0.74088001122014402</v>
      </c>
      <c r="V565">
        <v>155.88000488281199</v>
      </c>
      <c r="W565">
        <v>1.4162300217652699</v>
      </c>
      <c r="X565">
        <v>0.77372997999191195</v>
      </c>
    </row>
    <row r="566" spans="1:24" x14ac:dyDescent="0.25">
      <c r="A566" s="4">
        <v>46077</v>
      </c>
      <c r="B566">
        <v>3.72</v>
      </c>
      <c r="C566">
        <v>3.73</v>
      </c>
      <c r="D566">
        <v>3.69</v>
      </c>
      <c r="E566">
        <v>3.7</v>
      </c>
      <c r="F566">
        <v>3.62</v>
      </c>
      <c r="G566">
        <v>3.52</v>
      </c>
      <c r="H566">
        <v>3.43</v>
      </c>
      <c r="I566">
        <v>3.47</v>
      </c>
      <c r="J566">
        <v>3.61</v>
      </c>
      <c r="K566">
        <v>3.81</v>
      </c>
      <c r="L566">
        <v>4.04</v>
      </c>
      <c r="M566">
        <v>4.63</v>
      </c>
      <c r="N566">
        <v>4.7</v>
      </c>
      <c r="O566">
        <v>5.1679000000000004</v>
      </c>
      <c r="P566">
        <v>3704</v>
      </c>
      <c r="Q566">
        <v>867.29</v>
      </c>
      <c r="R566">
        <v>3.3559999999999999</v>
      </c>
      <c r="S566">
        <v>17.1753</v>
      </c>
      <c r="T566">
        <v>0.84790000761114004</v>
      </c>
      <c r="U566">
        <v>0.74090998136907205</v>
      </c>
      <c r="V566">
        <v>154.634994506835</v>
      </c>
      <c r="W566">
        <v>1.4162900381482499</v>
      </c>
      <c r="X566">
        <v>0.77423000335693304</v>
      </c>
    </row>
    <row r="567" spans="1:24" x14ac:dyDescent="0.25">
      <c r="A567" s="4">
        <v>46076</v>
      </c>
      <c r="B567">
        <v>3.72</v>
      </c>
      <c r="C567">
        <v>3.74</v>
      </c>
      <c r="D567">
        <v>3.69</v>
      </c>
      <c r="E567">
        <v>3.7</v>
      </c>
      <c r="F567">
        <v>3.62</v>
      </c>
      <c r="G567">
        <v>3.5</v>
      </c>
      <c r="H567">
        <v>3.43</v>
      </c>
      <c r="I567">
        <v>3.45</v>
      </c>
      <c r="J567">
        <v>3.59</v>
      </c>
      <c r="K567">
        <v>3.79</v>
      </c>
      <c r="L567">
        <v>4.03</v>
      </c>
      <c r="M567">
        <v>4.63</v>
      </c>
      <c r="N567">
        <v>4.7</v>
      </c>
      <c r="O567">
        <v>5.1631999999999998</v>
      </c>
      <c r="P567">
        <v>3683.3</v>
      </c>
      <c r="Q567">
        <v>867.13</v>
      </c>
      <c r="R567">
        <v>3.3580000000000001</v>
      </c>
      <c r="S567">
        <v>17.265899999999998</v>
      </c>
      <c r="T567">
        <v>0.84497001772515401</v>
      </c>
      <c r="U567">
        <v>0.73891995490695195</v>
      </c>
      <c r="V567">
        <v>154.33900451660099</v>
      </c>
      <c r="W567">
        <v>1.4061930367980799</v>
      </c>
      <c r="X567">
        <v>0.77170002460479703</v>
      </c>
    </row>
    <row r="568" spans="1:24" x14ac:dyDescent="0.25">
      <c r="A568" s="4">
        <v>46073</v>
      </c>
      <c r="B568">
        <v>3.72</v>
      </c>
      <c r="C568">
        <v>3.74</v>
      </c>
      <c r="D568">
        <v>3.69</v>
      </c>
      <c r="E568">
        <v>3.71</v>
      </c>
      <c r="F568">
        <v>3.61</v>
      </c>
      <c r="G568">
        <v>3.51</v>
      </c>
      <c r="H568">
        <v>3.48</v>
      </c>
      <c r="I568">
        <v>3.5</v>
      </c>
      <c r="J568">
        <v>3.65</v>
      </c>
      <c r="K568">
        <v>3.85</v>
      </c>
      <c r="L568">
        <v>4.08</v>
      </c>
      <c r="M568">
        <v>4.66</v>
      </c>
      <c r="N568">
        <v>4.72</v>
      </c>
      <c r="O568">
        <v>5.2003000000000004</v>
      </c>
      <c r="P568">
        <v>3717.5</v>
      </c>
      <c r="Q568">
        <v>866.74</v>
      </c>
      <c r="R568">
        <v>3.36</v>
      </c>
      <c r="S568">
        <v>17.136600000000001</v>
      </c>
      <c r="T568">
        <v>0.84968003073536202</v>
      </c>
      <c r="U568">
        <v>0.74287996556857405</v>
      </c>
      <c r="V568">
        <v>155.16000366210901</v>
      </c>
      <c r="W568">
        <v>1.4172129219906799</v>
      </c>
      <c r="X568">
        <v>0.77534002065658503</v>
      </c>
    </row>
    <row r="569" spans="1:24" x14ac:dyDescent="0.25">
      <c r="A569" s="4">
        <v>46072</v>
      </c>
      <c r="B569">
        <v>3.72</v>
      </c>
      <c r="C569">
        <v>3.75</v>
      </c>
      <c r="D569">
        <v>3.69</v>
      </c>
      <c r="E569">
        <v>3.7</v>
      </c>
      <c r="F569">
        <v>3.6</v>
      </c>
      <c r="G569">
        <v>3.5</v>
      </c>
      <c r="H569">
        <v>3.47</v>
      </c>
      <c r="I569">
        <v>3.5</v>
      </c>
      <c r="J569">
        <v>3.65</v>
      </c>
      <c r="K569">
        <v>3.85</v>
      </c>
      <c r="L569">
        <v>4.08</v>
      </c>
      <c r="M569">
        <v>4.6399999999999997</v>
      </c>
      <c r="N569">
        <v>4.7</v>
      </c>
      <c r="O569">
        <v>5.2253499999999997</v>
      </c>
      <c r="P569">
        <v>3698.44</v>
      </c>
      <c r="Q569">
        <v>863.29</v>
      </c>
      <c r="R569">
        <v>3.3580000000000001</v>
      </c>
      <c r="S569">
        <v>17.276800000000001</v>
      </c>
      <c r="T569">
        <v>0.84825994431295904</v>
      </c>
      <c r="U569">
        <v>0.74096999439189604</v>
      </c>
      <c r="V569">
        <v>154.69299316406199</v>
      </c>
      <c r="W569">
        <v>1.41968996712593</v>
      </c>
      <c r="X569">
        <v>0.77219998836517301</v>
      </c>
    </row>
    <row r="570" spans="1:24" x14ac:dyDescent="0.25">
      <c r="A570" s="4">
        <v>46071</v>
      </c>
      <c r="B570">
        <v>3.71</v>
      </c>
      <c r="C570">
        <v>3.73</v>
      </c>
      <c r="D570">
        <v>3.7</v>
      </c>
      <c r="E570">
        <v>3.7</v>
      </c>
      <c r="F570">
        <v>3.6</v>
      </c>
      <c r="G570">
        <v>3.49</v>
      </c>
      <c r="H570">
        <v>3.47</v>
      </c>
      <c r="I570">
        <v>3.5</v>
      </c>
      <c r="J570">
        <v>3.66</v>
      </c>
      <c r="K570">
        <v>3.86</v>
      </c>
      <c r="L570">
        <v>4.09</v>
      </c>
      <c r="M570">
        <v>4.6500000000000004</v>
      </c>
      <c r="N570">
        <v>4.71</v>
      </c>
      <c r="O570">
        <v>5.2346000000000004</v>
      </c>
      <c r="P570">
        <v>3681</v>
      </c>
      <c r="Q570">
        <v>868.24</v>
      </c>
      <c r="R570">
        <v>3.351</v>
      </c>
      <c r="S570">
        <v>17.2319</v>
      </c>
      <c r="T570">
        <v>0.84374999371357196</v>
      </c>
      <c r="U570">
        <v>0.73721998568554004</v>
      </c>
      <c r="V570">
        <v>153.149002075195</v>
      </c>
      <c r="W570">
        <v>1.41179100006395</v>
      </c>
      <c r="X570">
        <v>0.77020001411437899</v>
      </c>
    </row>
    <row r="571" spans="1:24" x14ac:dyDescent="0.25">
      <c r="A571" s="4">
        <v>46070</v>
      </c>
      <c r="B571">
        <v>3.72</v>
      </c>
      <c r="C571">
        <v>3.73</v>
      </c>
      <c r="D571">
        <v>3.69</v>
      </c>
      <c r="E571">
        <v>3.7</v>
      </c>
      <c r="F571">
        <v>3.59</v>
      </c>
      <c r="G571">
        <v>3.48</v>
      </c>
      <c r="H571">
        <v>3.43</v>
      </c>
      <c r="I571">
        <v>3.47</v>
      </c>
      <c r="J571">
        <v>3.63</v>
      </c>
      <c r="K571">
        <v>3.82</v>
      </c>
      <c r="L571">
        <v>4.05</v>
      </c>
      <c r="M571">
        <v>4.63</v>
      </c>
      <c r="N571">
        <v>4.68</v>
      </c>
      <c r="O571">
        <v>5.2285000000000004</v>
      </c>
      <c r="P571">
        <v>3649</v>
      </c>
      <c r="Q571">
        <v>862.91</v>
      </c>
      <c r="R571">
        <v>3.3450000000000002</v>
      </c>
      <c r="S571">
        <v>17.128799999999998</v>
      </c>
      <c r="T571">
        <v>0.84389004712484506</v>
      </c>
      <c r="U571">
        <v>0.73380001077701495</v>
      </c>
      <c r="V571">
        <v>153.60899353027301</v>
      </c>
      <c r="W571">
        <v>1.41383007509964</v>
      </c>
      <c r="X571">
        <v>0.76959997415542603</v>
      </c>
    </row>
    <row r="572" spans="1:24" x14ac:dyDescent="0.25">
      <c r="A572" s="4">
        <v>46066</v>
      </c>
      <c r="B572">
        <v>3.72</v>
      </c>
      <c r="C572">
        <v>3.73</v>
      </c>
      <c r="D572">
        <v>3.68</v>
      </c>
      <c r="E572">
        <v>3.7</v>
      </c>
      <c r="F572">
        <v>3.59</v>
      </c>
      <c r="G572">
        <v>3.42</v>
      </c>
      <c r="H572">
        <v>3.4</v>
      </c>
      <c r="I572">
        <v>3.43</v>
      </c>
      <c r="J572">
        <v>3.61</v>
      </c>
      <c r="K572">
        <v>3.81</v>
      </c>
      <c r="L572">
        <v>4.04</v>
      </c>
      <c r="M572">
        <v>4.6399999999999997</v>
      </c>
      <c r="N572">
        <v>4.6900000000000004</v>
      </c>
      <c r="O572">
        <v>5.2285000000000004</v>
      </c>
      <c r="P572">
        <v>3656</v>
      </c>
      <c r="Q572">
        <v>854.41</v>
      </c>
      <c r="R572">
        <v>3.351</v>
      </c>
      <c r="S572">
        <v>17.144300000000001</v>
      </c>
      <c r="T572">
        <v>0.84257004611400699</v>
      </c>
      <c r="U572">
        <v>0.73420000231061899</v>
      </c>
      <c r="V572">
        <v>152.82099914550699</v>
      </c>
      <c r="W572">
        <v>1.41101399271869</v>
      </c>
      <c r="X572">
        <v>0.76955002546310403</v>
      </c>
    </row>
    <row r="573" spans="1:24" x14ac:dyDescent="0.25">
      <c r="A573" s="4">
        <v>46065</v>
      </c>
      <c r="B573">
        <v>3.72</v>
      </c>
      <c r="C573">
        <v>3.74</v>
      </c>
      <c r="D573">
        <v>3.7</v>
      </c>
      <c r="E573">
        <v>3.7</v>
      </c>
      <c r="F573">
        <v>3.58</v>
      </c>
      <c r="G573">
        <v>3.45</v>
      </c>
      <c r="H573">
        <v>3.47</v>
      </c>
      <c r="I573">
        <v>3.49</v>
      </c>
      <c r="J573">
        <v>3.67</v>
      </c>
      <c r="K573">
        <v>3.87</v>
      </c>
      <c r="L573">
        <v>4.09</v>
      </c>
      <c r="M573">
        <v>4.68</v>
      </c>
      <c r="N573">
        <v>4.72</v>
      </c>
      <c r="O573">
        <v>5.1670999999999996</v>
      </c>
      <c r="P573">
        <v>3663</v>
      </c>
      <c r="Q573">
        <v>856.38</v>
      </c>
      <c r="R573">
        <v>3.3530000000000002</v>
      </c>
      <c r="S573">
        <v>17.208400000000001</v>
      </c>
      <c r="T573">
        <v>0.84202994811572296</v>
      </c>
      <c r="U573">
        <v>0.73399898868080204</v>
      </c>
      <c r="V573">
        <v>153.26899719238199</v>
      </c>
      <c r="W573">
        <v>1.40344999823075</v>
      </c>
      <c r="X573">
        <v>0.77113997936248702</v>
      </c>
    </row>
    <row r="574" spans="1:24" x14ac:dyDescent="0.25">
      <c r="A574" s="4">
        <v>46064</v>
      </c>
      <c r="B574">
        <v>3.71</v>
      </c>
      <c r="C574">
        <v>3.73</v>
      </c>
      <c r="D574">
        <v>3.7</v>
      </c>
      <c r="E574">
        <v>3.7</v>
      </c>
      <c r="F574">
        <v>3.6</v>
      </c>
      <c r="G574">
        <v>3.47</v>
      </c>
      <c r="H574">
        <v>3.52</v>
      </c>
      <c r="I574">
        <v>3.55</v>
      </c>
      <c r="J574">
        <v>3.75</v>
      </c>
      <c r="K574">
        <v>3.96</v>
      </c>
      <c r="L574">
        <v>4.18</v>
      </c>
      <c r="M574">
        <v>4.76</v>
      </c>
      <c r="N574">
        <v>4.82</v>
      </c>
      <c r="O574">
        <v>5.1833</v>
      </c>
      <c r="P574">
        <v>3664</v>
      </c>
      <c r="Q574">
        <v>856.06</v>
      </c>
      <c r="R574">
        <v>3.3540000000000001</v>
      </c>
      <c r="S574">
        <v>17.185600000000001</v>
      </c>
      <c r="T574">
        <v>0.84106995434207399</v>
      </c>
      <c r="U574">
        <v>0.73343001527518703</v>
      </c>
      <c r="V574">
        <v>154.48199462890599</v>
      </c>
      <c r="W574">
        <v>1.4134679681379401</v>
      </c>
      <c r="X574">
        <v>0.76857000589370705</v>
      </c>
    </row>
    <row r="575" spans="1:24" x14ac:dyDescent="0.25">
      <c r="A575" s="4">
        <v>46063</v>
      </c>
      <c r="B575">
        <v>3.72</v>
      </c>
      <c r="C575">
        <v>3.74</v>
      </c>
      <c r="D575">
        <v>3.69</v>
      </c>
      <c r="E575">
        <v>3.69</v>
      </c>
      <c r="F575">
        <v>3.58</v>
      </c>
      <c r="G575">
        <v>3.4</v>
      </c>
      <c r="H575">
        <v>3.45</v>
      </c>
      <c r="I575">
        <v>3.5</v>
      </c>
      <c r="J575">
        <v>3.7</v>
      </c>
      <c r="K575">
        <v>3.92</v>
      </c>
      <c r="L575">
        <v>4.16</v>
      </c>
      <c r="M575">
        <v>4.7300000000000004</v>
      </c>
      <c r="N575">
        <v>4.78</v>
      </c>
      <c r="O575">
        <v>5.2018000000000004</v>
      </c>
      <c r="P575">
        <v>3671.1</v>
      </c>
      <c r="Q575">
        <v>854.25</v>
      </c>
      <c r="R575">
        <v>3.3570000000000002</v>
      </c>
      <c r="S575">
        <v>17.180399999999999</v>
      </c>
      <c r="T575">
        <v>0.84004997474424703</v>
      </c>
      <c r="U575">
        <v>0.73080996240974805</v>
      </c>
      <c r="V575">
        <v>156.13200378417901</v>
      </c>
      <c r="W575">
        <v>1.41171200166942</v>
      </c>
      <c r="X575">
        <v>0.76712000370025601</v>
      </c>
    </row>
    <row r="576" spans="1:24" x14ac:dyDescent="0.25">
      <c r="A576" s="4">
        <v>46062</v>
      </c>
      <c r="B576">
        <v>3.72</v>
      </c>
      <c r="C576">
        <v>3.73</v>
      </c>
      <c r="D576">
        <v>3.69</v>
      </c>
      <c r="E576">
        <v>3.7</v>
      </c>
      <c r="F576">
        <v>3.59</v>
      </c>
      <c r="G576">
        <v>3.43</v>
      </c>
      <c r="H576">
        <v>3.48</v>
      </c>
      <c r="I576">
        <v>3.56</v>
      </c>
      <c r="J576">
        <v>3.75</v>
      </c>
      <c r="K576">
        <v>3.97</v>
      </c>
      <c r="L576">
        <v>4.22</v>
      </c>
      <c r="M576">
        <v>4.79</v>
      </c>
      <c r="N576">
        <v>4.8499999999999996</v>
      </c>
      <c r="O576">
        <v>5.194</v>
      </c>
      <c r="P576">
        <v>3658</v>
      </c>
      <c r="Q576">
        <v>859.66</v>
      </c>
      <c r="R576">
        <v>3.355</v>
      </c>
      <c r="S576">
        <v>17.200500000000002</v>
      </c>
      <c r="T576">
        <v>0.84561003650637501</v>
      </c>
      <c r="U576">
        <v>0.73481001220827902</v>
      </c>
      <c r="V576">
        <v>157.24400329589801</v>
      </c>
      <c r="W576">
        <v>1.4217270002370199</v>
      </c>
      <c r="X576">
        <v>0.77582997083663896</v>
      </c>
    </row>
    <row r="577" spans="1:24" x14ac:dyDescent="0.25">
      <c r="A577" s="4">
        <v>46059</v>
      </c>
      <c r="B577">
        <v>3.72</v>
      </c>
      <c r="C577">
        <v>3.74</v>
      </c>
      <c r="D577">
        <v>3.68</v>
      </c>
      <c r="E577">
        <v>3.7</v>
      </c>
      <c r="F577">
        <v>3.59</v>
      </c>
      <c r="G577">
        <v>3.45</v>
      </c>
      <c r="H577">
        <v>3.5</v>
      </c>
      <c r="I577">
        <v>3.57</v>
      </c>
      <c r="J577">
        <v>3.76</v>
      </c>
      <c r="K577">
        <v>3.98</v>
      </c>
      <c r="L577">
        <v>4.22</v>
      </c>
      <c r="M577">
        <v>4.8</v>
      </c>
      <c r="N577">
        <v>4.8499999999999996</v>
      </c>
      <c r="O577">
        <v>5.2337999999999996</v>
      </c>
      <c r="P577">
        <v>3656.25</v>
      </c>
      <c r="Q577">
        <v>865.67</v>
      </c>
      <c r="R577">
        <v>3.3580000000000001</v>
      </c>
      <c r="S577">
        <v>17.2592</v>
      </c>
      <c r="T577">
        <v>0.84904999426618999</v>
      </c>
      <c r="U577">
        <v>0.73959997488998497</v>
      </c>
      <c r="V577">
        <v>156.78399658203099</v>
      </c>
      <c r="W577">
        <v>1.44583908432691</v>
      </c>
      <c r="X577">
        <v>0.77770000696182195</v>
      </c>
    </row>
    <row r="578" spans="1:24" x14ac:dyDescent="0.25">
      <c r="A578" s="4">
        <v>46058</v>
      </c>
      <c r="B578">
        <v>3.72</v>
      </c>
      <c r="C578">
        <v>3.74</v>
      </c>
      <c r="D578">
        <v>3.67</v>
      </c>
      <c r="E578">
        <v>3.68</v>
      </c>
      <c r="F578">
        <v>3.58</v>
      </c>
      <c r="G578">
        <v>3.44</v>
      </c>
      <c r="H578">
        <v>3.47</v>
      </c>
      <c r="I578">
        <v>3.55</v>
      </c>
      <c r="J578">
        <v>3.74</v>
      </c>
      <c r="K578">
        <v>3.97</v>
      </c>
      <c r="L578">
        <v>4.21</v>
      </c>
      <c r="M578">
        <v>4.79</v>
      </c>
      <c r="N578">
        <v>4.8499999999999996</v>
      </c>
      <c r="O578">
        <v>5.2576999999999998</v>
      </c>
      <c r="P578">
        <v>3710</v>
      </c>
      <c r="Q578">
        <v>857.59</v>
      </c>
      <c r="R578">
        <v>3.3660000000000001</v>
      </c>
      <c r="S578">
        <v>17.407900000000001</v>
      </c>
      <c r="T578">
        <v>0.84733996152700797</v>
      </c>
      <c r="U578">
        <v>0.73289003165317201</v>
      </c>
      <c r="V578">
        <v>156.91700744628901</v>
      </c>
      <c r="W578">
        <v>1.4297150739045801</v>
      </c>
      <c r="X578">
        <v>0.77731001377105702</v>
      </c>
    </row>
    <row r="579" spans="1:24" x14ac:dyDescent="0.25">
      <c r="A579" s="4">
        <v>46057</v>
      </c>
      <c r="B579">
        <v>3.72</v>
      </c>
      <c r="C579">
        <v>3.74</v>
      </c>
      <c r="D579">
        <v>3.69</v>
      </c>
      <c r="E579">
        <v>3.7</v>
      </c>
      <c r="F579">
        <v>3.62</v>
      </c>
      <c r="G579">
        <v>3.49</v>
      </c>
      <c r="H579">
        <v>3.57</v>
      </c>
      <c r="I579">
        <v>3.64</v>
      </c>
      <c r="J579">
        <v>3.83</v>
      </c>
      <c r="K579">
        <v>4.05</v>
      </c>
      <c r="L579">
        <v>4.29</v>
      </c>
      <c r="M579">
        <v>4.8600000000000003</v>
      </c>
      <c r="N579">
        <v>4.91</v>
      </c>
      <c r="O579">
        <v>5.2355999999999998</v>
      </c>
      <c r="P579">
        <v>3650.5</v>
      </c>
      <c r="Q579">
        <v>859.53</v>
      </c>
      <c r="R579">
        <v>3.3610000000000002</v>
      </c>
      <c r="S579">
        <v>17.326699999999999</v>
      </c>
      <c r="T579">
        <v>0.84630003116394004</v>
      </c>
      <c r="U579">
        <v>0.73005996362148895</v>
      </c>
      <c r="V579">
        <v>155.79899597167901</v>
      </c>
      <c r="W579">
        <v>1.42399006606356</v>
      </c>
      <c r="X579">
        <v>0.77575999498367298</v>
      </c>
    </row>
    <row r="580" spans="1:24" x14ac:dyDescent="0.25">
      <c r="A580" s="4">
        <v>46056</v>
      </c>
      <c r="B580">
        <v>3.72</v>
      </c>
      <c r="C580">
        <v>3.74</v>
      </c>
      <c r="D580">
        <v>3.69</v>
      </c>
      <c r="E580">
        <v>3.7</v>
      </c>
      <c r="F580">
        <v>3.62</v>
      </c>
      <c r="G580">
        <v>3.49</v>
      </c>
      <c r="H580">
        <v>3.57</v>
      </c>
      <c r="I580">
        <v>3.64</v>
      </c>
      <c r="J580">
        <v>3.83</v>
      </c>
      <c r="K580">
        <v>4.04</v>
      </c>
      <c r="L580">
        <v>4.28</v>
      </c>
      <c r="M580">
        <v>4.8499999999999996</v>
      </c>
      <c r="N580">
        <v>4.9000000000000004</v>
      </c>
      <c r="O580">
        <v>5.2233000000000001</v>
      </c>
      <c r="P580">
        <v>3648</v>
      </c>
      <c r="Q580">
        <v>868.52</v>
      </c>
      <c r="R580">
        <v>3.3610000000000002</v>
      </c>
      <c r="S580">
        <v>17.259899999999998</v>
      </c>
      <c r="T580">
        <v>0.84754996701685303</v>
      </c>
      <c r="U580">
        <v>0.73136001918067906</v>
      </c>
      <c r="V580">
        <v>155.44299316406199</v>
      </c>
      <c r="W580">
        <v>1.43771098996228</v>
      </c>
      <c r="X580">
        <v>0.77900999784469604</v>
      </c>
    </row>
    <row r="581" spans="1:24" x14ac:dyDescent="0.25">
      <c r="A581" s="4">
        <v>46055</v>
      </c>
      <c r="B581">
        <v>3.72</v>
      </c>
      <c r="C581">
        <v>3.74</v>
      </c>
      <c r="D581">
        <v>3.69</v>
      </c>
      <c r="E581">
        <v>3.7</v>
      </c>
      <c r="F581">
        <v>3.62</v>
      </c>
      <c r="G581">
        <v>3.49</v>
      </c>
      <c r="H581">
        <v>3.57</v>
      </c>
      <c r="I581">
        <v>3.64</v>
      </c>
      <c r="J581">
        <v>3.83</v>
      </c>
      <c r="K581">
        <v>4.05</v>
      </c>
      <c r="L581">
        <v>4.29</v>
      </c>
      <c r="M581">
        <v>4.8499999999999996</v>
      </c>
      <c r="N581">
        <v>4.9000000000000004</v>
      </c>
      <c r="O581">
        <v>5.2584</v>
      </c>
      <c r="P581">
        <v>3613.58</v>
      </c>
      <c r="Q581">
        <v>865.1</v>
      </c>
      <c r="R581">
        <v>3.3650000000000002</v>
      </c>
      <c r="S581">
        <v>17.420100000000001</v>
      </c>
      <c r="T581">
        <v>0.84394005321024501</v>
      </c>
      <c r="U581">
        <v>0.73104000245405198</v>
      </c>
      <c r="V581">
        <v>155.20199584960901</v>
      </c>
      <c r="W581">
        <v>1.43961997336518</v>
      </c>
      <c r="X581">
        <v>0.77355998754501298</v>
      </c>
    </row>
    <row r="582" spans="1:24" x14ac:dyDescent="0.25">
      <c r="A582" s="4">
        <v>46052</v>
      </c>
      <c r="B582">
        <v>3.72</v>
      </c>
      <c r="C582">
        <v>3.75</v>
      </c>
      <c r="D582">
        <v>3.67</v>
      </c>
      <c r="E582">
        <v>3.69</v>
      </c>
      <c r="F582">
        <v>3.61</v>
      </c>
      <c r="G582">
        <v>3.48</v>
      </c>
      <c r="H582">
        <v>3.52</v>
      </c>
      <c r="I582">
        <v>3.6</v>
      </c>
      <c r="J582">
        <v>3.79</v>
      </c>
      <c r="K582">
        <v>4.01</v>
      </c>
      <c r="L582">
        <v>4.26</v>
      </c>
      <c r="M582">
        <v>4.82</v>
      </c>
      <c r="N582">
        <v>4.87</v>
      </c>
      <c r="O582">
        <v>5.2298</v>
      </c>
      <c r="P582">
        <v>3690</v>
      </c>
      <c r="Q582">
        <v>858.45</v>
      </c>
      <c r="R582">
        <v>3.3679999999999999</v>
      </c>
      <c r="S582">
        <v>17.420100000000001</v>
      </c>
      <c r="T582">
        <v>0.83571999710687295</v>
      </c>
      <c r="U582">
        <v>0.72430000632032798</v>
      </c>
      <c r="V582">
        <v>153.16200256347599</v>
      </c>
      <c r="W582">
        <v>1.4189829684484301</v>
      </c>
      <c r="X582">
        <v>0.76441001892089799</v>
      </c>
    </row>
    <row r="583" spans="1:24" x14ac:dyDescent="0.25">
      <c r="A583" s="4">
        <v>46051</v>
      </c>
      <c r="B583">
        <v>3.72</v>
      </c>
      <c r="C583">
        <v>3.75</v>
      </c>
      <c r="D583">
        <v>3.67</v>
      </c>
      <c r="E583">
        <v>3.69</v>
      </c>
      <c r="F583">
        <v>3.62</v>
      </c>
      <c r="G583">
        <v>3.5</v>
      </c>
      <c r="H583">
        <v>3.53</v>
      </c>
      <c r="I583">
        <v>3.63</v>
      </c>
      <c r="J583">
        <v>3.8</v>
      </c>
      <c r="K583">
        <v>4.01</v>
      </c>
      <c r="L583">
        <v>4.24</v>
      </c>
      <c r="M583">
        <v>4.8</v>
      </c>
      <c r="N583">
        <v>4.8499999999999996</v>
      </c>
      <c r="O583">
        <v>5.1952999999999996</v>
      </c>
      <c r="P583">
        <v>3641</v>
      </c>
      <c r="Q583">
        <v>857.95</v>
      </c>
      <c r="R583">
        <v>3.3450000000000002</v>
      </c>
      <c r="S583">
        <v>17.2333</v>
      </c>
      <c r="T583">
        <v>0.83488000863084699</v>
      </c>
      <c r="U583">
        <v>0.72331000192454797</v>
      </c>
      <c r="V583">
        <v>153.09599304199199</v>
      </c>
      <c r="W583">
        <v>1.42049508319614</v>
      </c>
      <c r="X583">
        <v>0.76573997735977095</v>
      </c>
    </row>
    <row r="584" spans="1:24" x14ac:dyDescent="0.25">
      <c r="A584" s="4">
        <v>46050</v>
      </c>
      <c r="B584">
        <v>3.76</v>
      </c>
      <c r="C584">
        <v>3.71</v>
      </c>
      <c r="D584">
        <v>3.68</v>
      </c>
      <c r="E584">
        <v>3.7</v>
      </c>
      <c r="F584">
        <v>3.63</v>
      </c>
      <c r="G584">
        <v>3.52</v>
      </c>
      <c r="H584">
        <v>3.56</v>
      </c>
      <c r="I584">
        <v>3.66</v>
      </c>
      <c r="J584">
        <v>3.83</v>
      </c>
      <c r="K584">
        <v>4.05</v>
      </c>
      <c r="L584">
        <v>4.26</v>
      </c>
      <c r="M584">
        <v>4.8099999999999996</v>
      </c>
      <c r="N584">
        <v>4.8499999999999996</v>
      </c>
      <c r="O584">
        <v>5.1835000000000004</v>
      </c>
      <c r="P584">
        <v>3672.2</v>
      </c>
      <c r="Q584">
        <v>862.17</v>
      </c>
      <c r="R584">
        <v>3.3450000000000002</v>
      </c>
      <c r="S584">
        <v>17.2178</v>
      </c>
      <c r="T584">
        <v>0.83210997498395201</v>
      </c>
      <c r="U584">
        <v>0.72336002419993295</v>
      </c>
      <c r="V584">
        <v>152.45300292968699</v>
      </c>
      <c r="W584">
        <v>1.4294290579240601</v>
      </c>
      <c r="X584">
        <v>0.76319998502731301</v>
      </c>
    </row>
    <row r="585" spans="1:24" x14ac:dyDescent="0.25">
      <c r="A585" s="4">
        <v>46049</v>
      </c>
      <c r="B585">
        <v>3.77</v>
      </c>
      <c r="C585">
        <v>3.7</v>
      </c>
      <c r="D585">
        <v>3.67</v>
      </c>
      <c r="E585">
        <v>3.66</v>
      </c>
      <c r="F585">
        <v>3.61</v>
      </c>
      <c r="G585">
        <v>3.5</v>
      </c>
      <c r="H585">
        <v>3.53</v>
      </c>
      <c r="I585">
        <v>3.65</v>
      </c>
      <c r="J585">
        <v>3.81</v>
      </c>
      <c r="K585">
        <v>4.03</v>
      </c>
      <c r="L585">
        <v>4.24</v>
      </c>
      <c r="M585">
        <v>4.79</v>
      </c>
      <c r="N585">
        <v>4.83</v>
      </c>
      <c r="O585">
        <v>5.2389000000000001</v>
      </c>
      <c r="P585">
        <v>3623</v>
      </c>
      <c r="Q585">
        <v>862.98</v>
      </c>
      <c r="R585">
        <v>3.3450000000000002</v>
      </c>
      <c r="S585">
        <v>17.242000000000001</v>
      </c>
      <c r="T585">
        <v>0.84200002870702795</v>
      </c>
      <c r="U585">
        <v>0.73113003261520504</v>
      </c>
      <c r="V585">
        <v>154.33599853515599</v>
      </c>
      <c r="W585">
        <v>1.44619004469968</v>
      </c>
      <c r="X585">
        <v>0.77723997831344604</v>
      </c>
    </row>
    <row r="586" spans="1:24" x14ac:dyDescent="0.25">
      <c r="A586" s="4">
        <v>46048</v>
      </c>
      <c r="B586">
        <v>3.77</v>
      </c>
      <c r="C586">
        <v>3.7</v>
      </c>
      <c r="D586">
        <v>3.67</v>
      </c>
      <c r="E586">
        <v>3.67</v>
      </c>
      <c r="F586">
        <v>3.62</v>
      </c>
      <c r="G586">
        <v>3.52</v>
      </c>
      <c r="H586">
        <v>3.56</v>
      </c>
      <c r="I586">
        <v>3.66</v>
      </c>
      <c r="J586">
        <v>3.82</v>
      </c>
      <c r="K586">
        <v>4.0199999999999996</v>
      </c>
      <c r="L586">
        <v>4.22</v>
      </c>
      <c r="M586">
        <v>4.75</v>
      </c>
      <c r="N586">
        <v>4.8</v>
      </c>
      <c r="O586">
        <v>5.2756999999999996</v>
      </c>
      <c r="P586">
        <v>3685</v>
      </c>
      <c r="Q586">
        <v>870.71</v>
      </c>
      <c r="R586">
        <v>3.35</v>
      </c>
      <c r="S586">
        <v>17.369800000000001</v>
      </c>
      <c r="T586">
        <v>0.84328000888656995</v>
      </c>
      <c r="U586">
        <v>0.731929999128344</v>
      </c>
      <c r="V586">
        <v>155.16600036621</v>
      </c>
      <c r="W586">
        <v>1.44634102501214</v>
      </c>
      <c r="X586">
        <v>0.77786999940872104</v>
      </c>
    </row>
    <row r="587" spans="1:24" x14ac:dyDescent="0.25">
      <c r="A587" s="4">
        <v>46045</v>
      </c>
      <c r="B587">
        <v>3.78</v>
      </c>
      <c r="C587">
        <v>3.72</v>
      </c>
      <c r="D587">
        <v>3.7</v>
      </c>
      <c r="E587">
        <v>3.67</v>
      </c>
      <c r="F587">
        <v>3.61</v>
      </c>
      <c r="G587">
        <v>3.53</v>
      </c>
      <c r="H587">
        <v>3.6</v>
      </c>
      <c r="I587">
        <v>3.67</v>
      </c>
      <c r="J587">
        <v>3.84</v>
      </c>
      <c r="K587">
        <v>4.03</v>
      </c>
      <c r="L587">
        <v>4.24</v>
      </c>
      <c r="M587">
        <v>4.78</v>
      </c>
      <c r="N587">
        <v>4.82</v>
      </c>
      <c r="O587">
        <v>5.2875500000000004</v>
      </c>
      <c r="P587">
        <v>3650</v>
      </c>
      <c r="Q587">
        <v>872.22</v>
      </c>
      <c r="R587">
        <v>3.3519999999999999</v>
      </c>
      <c r="S587">
        <v>17.367699999999999</v>
      </c>
      <c r="T587">
        <v>0.85073001502360601</v>
      </c>
      <c r="U587">
        <v>0.74067002645840396</v>
      </c>
      <c r="V587">
        <v>158.50100708007801</v>
      </c>
      <c r="W587">
        <v>1.46187998988538</v>
      </c>
      <c r="X587">
        <v>0.78899997472762995</v>
      </c>
    </row>
    <row r="588" spans="1:24" x14ac:dyDescent="0.25">
      <c r="A588" s="4">
        <v>46044</v>
      </c>
      <c r="B588">
        <v>3.79</v>
      </c>
      <c r="C588">
        <v>3.72</v>
      </c>
      <c r="D588">
        <v>3.71</v>
      </c>
      <c r="E588">
        <v>3.67</v>
      </c>
      <c r="F588">
        <v>3.61</v>
      </c>
      <c r="G588">
        <v>3.53</v>
      </c>
      <c r="H588">
        <v>3.61</v>
      </c>
      <c r="I588">
        <v>3.68</v>
      </c>
      <c r="J588">
        <v>3.85</v>
      </c>
      <c r="K588">
        <v>4.05</v>
      </c>
      <c r="L588">
        <v>4.26</v>
      </c>
      <c r="M588">
        <v>4.79</v>
      </c>
      <c r="N588">
        <v>4.84</v>
      </c>
      <c r="O588">
        <v>5.3114999999999997</v>
      </c>
      <c r="P588">
        <v>3602</v>
      </c>
      <c r="Q588">
        <v>878.21</v>
      </c>
      <c r="R588">
        <v>3.3530000000000002</v>
      </c>
      <c r="S588">
        <v>17.4802</v>
      </c>
      <c r="T588">
        <v>0.85668000102532704</v>
      </c>
      <c r="U588">
        <v>0.74519003944654905</v>
      </c>
      <c r="V588">
        <v>158.45599365234301</v>
      </c>
      <c r="W588">
        <v>1.48043002069063</v>
      </c>
      <c r="X588">
        <v>0.79638999700546198</v>
      </c>
    </row>
    <row r="589" spans="1:24" x14ac:dyDescent="0.25">
      <c r="A589" s="4">
        <v>46043</v>
      </c>
      <c r="B589">
        <v>3.75</v>
      </c>
      <c r="C589">
        <v>3.7</v>
      </c>
      <c r="D589">
        <v>3.7</v>
      </c>
      <c r="E589">
        <v>3.67</v>
      </c>
      <c r="F589">
        <v>3.62</v>
      </c>
      <c r="G589">
        <v>3.53</v>
      </c>
      <c r="H589">
        <v>3.6</v>
      </c>
      <c r="I589">
        <v>3.66</v>
      </c>
      <c r="J589">
        <v>3.83</v>
      </c>
      <c r="K589">
        <v>4.04</v>
      </c>
      <c r="L589">
        <v>4.26</v>
      </c>
      <c r="M589">
        <v>4.82</v>
      </c>
      <c r="N589">
        <v>4.87</v>
      </c>
      <c r="O589">
        <v>5.3365</v>
      </c>
      <c r="P589">
        <v>3671.9</v>
      </c>
      <c r="Q589">
        <v>889.54</v>
      </c>
      <c r="R589">
        <v>3.3559999999999999</v>
      </c>
      <c r="S589">
        <v>17.484300000000001</v>
      </c>
      <c r="T589">
        <v>0.85267004721567197</v>
      </c>
      <c r="U589">
        <v>0.744000049667361</v>
      </c>
      <c r="V589">
        <v>158.16200256347599</v>
      </c>
      <c r="W589">
        <v>1.4855090576635099</v>
      </c>
      <c r="X589">
        <v>0.78949999809265103</v>
      </c>
    </row>
    <row r="590" spans="1:24" x14ac:dyDescent="0.25">
      <c r="A590" s="4">
        <v>46042</v>
      </c>
      <c r="B590">
        <v>3.75</v>
      </c>
      <c r="C590">
        <v>3.69</v>
      </c>
      <c r="D590">
        <v>3.7</v>
      </c>
      <c r="E590">
        <v>3.65</v>
      </c>
      <c r="F590">
        <v>3.61</v>
      </c>
      <c r="G590">
        <v>3.53</v>
      </c>
      <c r="H590">
        <v>3.6</v>
      </c>
      <c r="I590">
        <v>3.68</v>
      </c>
      <c r="J590">
        <v>3.86</v>
      </c>
      <c r="K590">
        <v>4.08</v>
      </c>
      <c r="L590">
        <v>4.3</v>
      </c>
      <c r="M590">
        <v>4.87</v>
      </c>
      <c r="N590">
        <v>4.91</v>
      </c>
      <c r="O590">
        <v>5.3787000000000003</v>
      </c>
      <c r="P590">
        <v>3673</v>
      </c>
      <c r="Q590">
        <v>888.66</v>
      </c>
      <c r="R590">
        <v>3.3570000000000002</v>
      </c>
      <c r="S590">
        <v>17.605599999999999</v>
      </c>
      <c r="T590">
        <v>0.85917003307585305</v>
      </c>
      <c r="U590">
        <v>0.74525001956716896</v>
      </c>
      <c r="V590">
        <v>158.177001953125</v>
      </c>
      <c r="W590">
        <v>1.49033996404824</v>
      </c>
      <c r="X590">
        <v>0.79789000749588002</v>
      </c>
    </row>
    <row r="591" spans="1:24" x14ac:dyDescent="0.25">
      <c r="A591" s="4">
        <v>46038</v>
      </c>
      <c r="B591">
        <v>3.75</v>
      </c>
      <c r="C591">
        <v>3.68</v>
      </c>
      <c r="D591">
        <v>3.67</v>
      </c>
      <c r="E591">
        <v>3.66</v>
      </c>
      <c r="F591">
        <v>3.6</v>
      </c>
      <c r="G591">
        <v>3.55</v>
      </c>
      <c r="H591">
        <v>3.59</v>
      </c>
      <c r="I591">
        <v>3.67</v>
      </c>
      <c r="J591">
        <v>3.82</v>
      </c>
      <c r="K591">
        <v>4.0199999999999996</v>
      </c>
      <c r="L591">
        <v>4.24</v>
      </c>
      <c r="M591">
        <v>4.79</v>
      </c>
      <c r="N591">
        <v>4.83</v>
      </c>
      <c r="O591">
        <v>5.3795000000000002</v>
      </c>
      <c r="P591">
        <v>3685</v>
      </c>
      <c r="Q591">
        <v>884.57</v>
      </c>
      <c r="R591">
        <v>3.3580000000000001</v>
      </c>
      <c r="S591">
        <v>17.6465</v>
      </c>
      <c r="T591">
        <v>0.86140002066060095</v>
      </c>
      <c r="U591">
        <v>0.74730995043951598</v>
      </c>
      <c r="V591">
        <v>158.59599304199199</v>
      </c>
      <c r="W591">
        <v>1.4916000447376401</v>
      </c>
      <c r="X591">
        <v>0.80342000722885099</v>
      </c>
    </row>
    <row r="592" spans="1:24" x14ac:dyDescent="0.25">
      <c r="A592" s="4">
        <v>46037</v>
      </c>
      <c r="B592">
        <v>3.75</v>
      </c>
      <c r="C592">
        <v>3.69</v>
      </c>
      <c r="D592">
        <v>3.68</v>
      </c>
      <c r="E592">
        <v>3.66</v>
      </c>
      <c r="F592">
        <v>3.6</v>
      </c>
      <c r="G592">
        <v>3.54</v>
      </c>
      <c r="H592">
        <v>3.56</v>
      </c>
      <c r="I592">
        <v>3.62</v>
      </c>
      <c r="J592">
        <v>3.77</v>
      </c>
      <c r="K592">
        <v>3.96</v>
      </c>
      <c r="L592">
        <v>4.17</v>
      </c>
      <c r="M592">
        <v>4.74</v>
      </c>
      <c r="N592">
        <v>4.79</v>
      </c>
      <c r="O592">
        <v>5.3842999999999996</v>
      </c>
      <c r="P592">
        <v>3688</v>
      </c>
      <c r="Q592">
        <v>882.74</v>
      </c>
      <c r="R592">
        <v>3.36</v>
      </c>
      <c r="S592">
        <v>17.649899999999999</v>
      </c>
      <c r="T592">
        <v>0.85864000176055499</v>
      </c>
      <c r="U592">
        <v>0.743900027366584</v>
      </c>
      <c r="V592">
        <v>158.40199279785099</v>
      </c>
      <c r="W592">
        <v>1.4963790181054399</v>
      </c>
      <c r="X592">
        <v>0.79971998929977395</v>
      </c>
    </row>
    <row r="593" spans="1:24" x14ac:dyDescent="0.25">
      <c r="A593" s="4">
        <v>46036</v>
      </c>
      <c r="B593">
        <v>3.72</v>
      </c>
      <c r="C593">
        <v>3.66</v>
      </c>
      <c r="D593">
        <v>3.67</v>
      </c>
      <c r="E593">
        <v>3.65</v>
      </c>
      <c r="F593">
        <v>3.58</v>
      </c>
      <c r="G593">
        <v>3.5</v>
      </c>
      <c r="H593">
        <v>3.51</v>
      </c>
      <c r="I593">
        <v>3.56</v>
      </c>
      <c r="J593">
        <v>3.72</v>
      </c>
      <c r="K593">
        <v>3.92</v>
      </c>
      <c r="L593">
        <v>4.1500000000000004</v>
      </c>
      <c r="M593">
        <v>4.7300000000000004</v>
      </c>
      <c r="N593">
        <v>4.79</v>
      </c>
      <c r="O593">
        <v>5.3792</v>
      </c>
      <c r="P593">
        <v>3681.15</v>
      </c>
      <c r="Q593">
        <v>883.96</v>
      </c>
      <c r="R593">
        <v>3.36</v>
      </c>
      <c r="S593">
        <v>17.813600000000001</v>
      </c>
      <c r="T593">
        <v>0.85892001810277196</v>
      </c>
      <c r="U593">
        <v>0.74478003679592997</v>
      </c>
      <c r="V593">
        <v>159.17900085449199</v>
      </c>
      <c r="W593">
        <v>1.49619993118835</v>
      </c>
      <c r="X593">
        <v>0.80101001262664795</v>
      </c>
    </row>
    <row r="594" spans="1:24" x14ac:dyDescent="0.25">
      <c r="A594" s="4">
        <v>46035</v>
      </c>
      <c r="B594">
        <v>3.72</v>
      </c>
      <c r="C594">
        <v>3.66</v>
      </c>
      <c r="D594">
        <v>3.67</v>
      </c>
      <c r="E594">
        <v>3.63</v>
      </c>
      <c r="F594">
        <v>3.59</v>
      </c>
      <c r="G594">
        <v>3.51</v>
      </c>
      <c r="H594">
        <v>3.53</v>
      </c>
      <c r="I594">
        <v>3.57</v>
      </c>
      <c r="J594">
        <v>3.75</v>
      </c>
      <c r="K594">
        <v>3.95</v>
      </c>
      <c r="L594">
        <v>4.18</v>
      </c>
      <c r="M594">
        <v>4.7699999999999996</v>
      </c>
      <c r="N594">
        <v>4.83</v>
      </c>
      <c r="O594">
        <v>5.3761000000000001</v>
      </c>
      <c r="P594">
        <v>3629.9</v>
      </c>
      <c r="Q594">
        <v>885.71</v>
      </c>
      <c r="R594">
        <v>3.359</v>
      </c>
      <c r="S594">
        <v>17.843800000000002</v>
      </c>
      <c r="T594">
        <v>0.85711994037787498</v>
      </c>
      <c r="U594">
        <v>0.74262998911720401</v>
      </c>
      <c r="V594">
        <v>157.98599243164</v>
      </c>
      <c r="W594">
        <v>1.4908000242406201</v>
      </c>
      <c r="X594">
        <v>0.79736000299453702</v>
      </c>
    </row>
    <row r="595" spans="1:24" x14ac:dyDescent="0.25">
      <c r="A595" s="4">
        <v>46034</v>
      </c>
      <c r="B595">
        <v>3.71</v>
      </c>
      <c r="C595">
        <v>3.64</v>
      </c>
      <c r="D595">
        <v>3.67</v>
      </c>
      <c r="E595">
        <v>3.63</v>
      </c>
      <c r="F595">
        <v>3.58</v>
      </c>
      <c r="G595">
        <v>3.53</v>
      </c>
      <c r="H595">
        <v>3.54</v>
      </c>
      <c r="I595">
        <v>3.59</v>
      </c>
      <c r="J595">
        <v>3.77</v>
      </c>
      <c r="K595">
        <v>3.97</v>
      </c>
      <c r="L595">
        <v>4.1900000000000004</v>
      </c>
      <c r="M595">
        <v>4.78</v>
      </c>
      <c r="N595">
        <v>4.83</v>
      </c>
      <c r="O595">
        <v>5.3757000000000001</v>
      </c>
      <c r="P595">
        <v>3718.4</v>
      </c>
      <c r="Q595">
        <v>895.54</v>
      </c>
      <c r="R595">
        <v>3.359</v>
      </c>
      <c r="S595">
        <v>17.918800000000001</v>
      </c>
      <c r="T595">
        <v>0.86031005017085904</v>
      </c>
      <c r="U595">
        <v>0.74659003607722896</v>
      </c>
      <c r="V595">
        <v>158.149002075195</v>
      </c>
      <c r="W595">
        <v>1.4957070630751901</v>
      </c>
      <c r="X595">
        <v>0.80152601003646795</v>
      </c>
    </row>
    <row r="596" spans="1:24" x14ac:dyDescent="0.25">
      <c r="A596" s="4">
        <v>46031</v>
      </c>
      <c r="B596">
        <v>3.7</v>
      </c>
      <c r="C596">
        <v>3.63</v>
      </c>
      <c r="D596">
        <v>3.62</v>
      </c>
      <c r="E596">
        <v>3.62</v>
      </c>
      <c r="F596">
        <v>3.57</v>
      </c>
      <c r="G596">
        <v>3.52</v>
      </c>
      <c r="H596">
        <v>3.54</v>
      </c>
      <c r="I596">
        <v>3.59</v>
      </c>
      <c r="J596">
        <v>3.75</v>
      </c>
      <c r="K596">
        <v>3.95</v>
      </c>
      <c r="L596">
        <v>4.18</v>
      </c>
      <c r="M596">
        <v>4.76</v>
      </c>
      <c r="N596">
        <v>4.82</v>
      </c>
      <c r="O596">
        <v>5.3704000000000001</v>
      </c>
      <c r="P596">
        <v>3718.4</v>
      </c>
      <c r="Q596">
        <v>896.89</v>
      </c>
      <c r="R596">
        <v>3.3610000000000002</v>
      </c>
      <c r="S596">
        <v>17.983599999999999</v>
      </c>
      <c r="T596">
        <v>0.85778999493421104</v>
      </c>
      <c r="U596">
        <v>0.74415805523757705</v>
      </c>
      <c r="V596">
        <v>156.88000488281199</v>
      </c>
      <c r="W596">
        <v>1.4923000373047901</v>
      </c>
      <c r="X596">
        <v>0.79900997877120905</v>
      </c>
    </row>
    <row r="597" spans="1:24" x14ac:dyDescent="0.25">
      <c r="A597" s="4">
        <v>46030</v>
      </c>
      <c r="B597">
        <v>3.7</v>
      </c>
      <c r="C597">
        <v>3.63</v>
      </c>
      <c r="D597">
        <v>3.62</v>
      </c>
      <c r="E597">
        <v>3.6</v>
      </c>
      <c r="F597">
        <v>3.56</v>
      </c>
      <c r="G597">
        <v>3.48</v>
      </c>
      <c r="H597">
        <v>3.49</v>
      </c>
      <c r="I597">
        <v>3.56</v>
      </c>
      <c r="J597">
        <v>3.74</v>
      </c>
      <c r="K597">
        <v>3.95</v>
      </c>
      <c r="L597">
        <v>4.1900000000000004</v>
      </c>
      <c r="M597">
        <v>4.79</v>
      </c>
      <c r="N597">
        <v>4.8499999999999996</v>
      </c>
      <c r="O597">
        <v>5.3856999999999999</v>
      </c>
      <c r="P597">
        <v>3711.93</v>
      </c>
      <c r="Q597">
        <v>895.33</v>
      </c>
      <c r="R597">
        <v>3.3620000000000001</v>
      </c>
      <c r="S597">
        <v>17.9846</v>
      </c>
      <c r="T597">
        <v>0.856400044184915</v>
      </c>
      <c r="U597">
        <v>0.74297997695405604</v>
      </c>
      <c r="V597">
        <v>156.73100280761699</v>
      </c>
      <c r="W597">
        <v>1.48763000634431</v>
      </c>
      <c r="X597">
        <v>0.79764997959136896</v>
      </c>
    </row>
    <row r="598" spans="1:24" x14ac:dyDescent="0.25">
      <c r="A598" s="4">
        <v>46029</v>
      </c>
      <c r="B598">
        <v>3.7</v>
      </c>
      <c r="C598">
        <v>3.6</v>
      </c>
      <c r="D598">
        <v>3.62</v>
      </c>
      <c r="E598">
        <v>3.6</v>
      </c>
      <c r="F598">
        <v>3.56</v>
      </c>
      <c r="G598">
        <v>3.48</v>
      </c>
      <c r="H598">
        <v>3.47</v>
      </c>
      <c r="I598">
        <v>3.53</v>
      </c>
      <c r="J598">
        <v>3.7</v>
      </c>
      <c r="K598">
        <v>3.91</v>
      </c>
      <c r="L598">
        <v>4.1500000000000004</v>
      </c>
      <c r="M598">
        <v>4.76</v>
      </c>
      <c r="N598">
        <v>4.82</v>
      </c>
      <c r="O598">
        <v>5.3876999999999997</v>
      </c>
      <c r="P598">
        <v>3742</v>
      </c>
      <c r="Q598">
        <v>896.82</v>
      </c>
      <c r="R598">
        <v>3.3620000000000001</v>
      </c>
      <c r="S598">
        <v>17.9666</v>
      </c>
      <c r="T598">
        <v>0.85555996155358705</v>
      </c>
      <c r="U598">
        <v>0.74071005175234805</v>
      </c>
      <c r="V598">
        <v>156.67999267578099</v>
      </c>
      <c r="W598">
        <v>1.4843400031779701</v>
      </c>
      <c r="X598">
        <v>0.79549998044967596</v>
      </c>
    </row>
    <row r="599" spans="1:24" x14ac:dyDescent="0.25">
      <c r="A599" s="4">
        <v>46028</v>
      </c>
      <c r="B599">
        <v>3.7</v>
      </c>
      <c r="C599">
        <v>3.61</v>
      </c>
      <c r="D599">
        <v>3.63</v>
      </c>
      <c r="E599">
        <v>3.58</v>
      </c>
      <c r="F599">
        <v>3.56</v>
      </c>
      <c r="G599">
        <v>3.48</v>
      </c>
      <c r="H599">
        <v>3.47</v>
      </c>
      <c r="I599">
        <v>3.54</v>
      </c>
      <c r="J599">
        <v>3.72</v>
      </c>
      <c r="K599">
        <v>3.93</v>
      </c>
      <c r="L599">
        <v>4.18</v>
      </c>
      <c r="M599">
        <v>4.8</v>
      </c>
      <c r="N599">
        <v>4.8600000000000003</v>
      </c>
      <c r="O599">
        <v>5.3794000000000004</v>
      </c>
      <c r="P599">
        <v>3716.99</v>
      </c>
      <c r="Q599">
        <v>905.14</v>
      </c>
      <c r="R599">
        <v>3.3620000000000001</v>
      </c>
      <c r="S599">
        <v>17.972300000000001</v>
      </c>
      <c r="T599">
        <v>0.85360998549538003</v>
      </c>
      <c r="U599">
        <v>0.73887999267163096</v>
      </c>
      <c r="V599">
        <v>156.62600708007801</v>
      </c>
      <c r="W599">
        <v>1.4895579575925799</v>
      </c>
      <c r="X599">
        <v>0.79210001230239802</v>
      </c>
    </row>
    <row r="600" spans="1:24" x14ac:dyDescent="0.25">
      <c r="A600" s="4">
        <v>46027</v>
      </c>
      <c r="B600">
        <v>3.71</v>
      </c>
      <c r="C600">
        <v>3.64</v>
      </c>
      <c r="D600">
        <v>3.64</v>
      </c>
      <c r="E600">
        <v>3.61</v>
      </c>
      <c r="F600">
        <v>3.57</v>
      </c>
      <c r="G600">
        <v>3.47</v>
      </c>
      <c r="H600">
        <v>3.46</v>
      </c>
      <c r="I600">
        <v>3.53</v>
      </c>
      <c r="J600">
        <v>3.71</v>
      </c>
      <c r="K600">
        <v>3.92</v>
      </c>
      <c r="L600">
        <v>4.17</v>
      </c>
      <c r="M600">
        <v>4.79</v>
      </c>
      <c r="N600">
        <v>4.8499999999999996</v>
      </c>
      <c r="O600">
        <v>5.4348000000000001</v>
      </c>
      <c r="P600">
        <v>3737</v>
      </c>
      <c r="Q600">
        <v>901.55</v>
      </c>
      <c r="R600">
        <v>3.3620000000000001</v>
      </c>
      <c r="S600">
        <v>17.906300000000002</v>
      </c>
      <c r="T600">
        <v>0.85436000108773202</v>
      </c>
      <c r="U600">
        <v>0.74415996966800901</v>
      </c>
      <c r="V600">
        <v>156.988998413085</v>
      </c>
      <c r="W600">
        <v>1.49613201748178</v>
      </c>
      <c r="X600">
        <v>0.79339998960494995</v>
      </c>
    </row>
    <row r="601" spans="1:24" x14ac:dyDescent="0.25">
      <c r="A601" s="4">
        <v>46024</v>
      </c>
      <c r="B601">
        <v>3.72</v>
      </c>
      <c r="C601">
        <v>3.66</v>
      </c>
      <c r="D601">
        <v>3.65</v>
      </c>
      <c r="E601">
        <v>3.62</v>
      </c>
      <c r="F601">
        <v>3.58</v>
      </c>
      <c r="G601">
        <v>3.47</v>
      </c>
      <c r="H601">
        <v>3.47</v>
      </c>
      <c r="I601">
        <v>3.55</v>
      </c>
      <c r="J601">
        <v>3.74</v>
      </c>
      <c r="K601">
        <v>3.95</v>
      </c>
      <c r="L601">
        <v>4.1900000000000004</v>
      </c>
      <c r="M601">
        <v>4.8099999999999996</v>
      </c>
      <c r="N601">
        <v>4.8600000000000003</v>
      </c>
      <c r="O601">
        <v>5.4368999999999996</v>
      </c>
      <c r="P601">
        <v>3772</v>
      </c>
      <c r="Q601">
        <v>907.13</v>
      </c>
      <c r="R601">
        <v>3.363</v>
      </c>
      <c r="S601">
        <v>17.914200000000001</v>
      </c>
      <c r="T601">
        <v>0.85103001864866401</v>
      </c>
      <c r="U601">
        <v>0.74219002916786503</v>
      </c>
      <c r="V601">
        <v>156.73100280761699</v>
      </c>
      <c r="W601">
        <v>1.49738708113507</v>
      </c>
      <c r="X601">
        <v>0.79202997684478704</v>
      </c>
    </row>
    <row r="602" spans="1:24" x14ac:dyDescent="0.25">
      <c r="A602" s="4">
        <v>46022</v>
      </c>
      <c r="B602">
        <v>3.74</v>
      </c>
      <c r="C602">
        <v>3.67</v>
      </c>
      <c r="D602">
        <v>3.67</v>
      </c>
      <c r="E602">
        <v>3.63</v>
      </c>
      <c r="F602">
        <v>3.59</v>
      </c>
      <c r="G602">
        <v>3.48</v>
      </c>
      <c r="H602">
        <v>3.47</v>
      </c>
      <c r="I602">
        <v>3.55</v>
      </c>
      <c r="J602">
        <v>3.73</v>
      </c>
      <c r="K602">
        <v>3.94</v>
      </c>
      <c r="L602">
        <v>4.18</v>
      </c>
      <c r="M602">
        <v>4.79</v>
      </c>
      <c r="N602">
        <v>4.84</v>
      </c>
      <c r="O602">
        <v>5.5021000000000004</v>
      </c>
      <c r="P602">
        <v>3780</v>
      </c>
      <c r="Q602">
        <v>911.18</v>
      </c>
      <c r="R602">
        <v>3.363</v>
      </c>
      <c r="S602">
        <v>18.007999999999999</v>
      </c>
      <c r="T602">
        <v>0.85125999774921501</v>
      </c>
      <c r="U602">
        <v>0.74254499206168201</v>
      </c>
      <c r="V602">
        <v>156.412994384765</v>
      </c>
      <c r="W602">
        <v>1.4929830167692999</v>
      </c>
      <c r="X602">
        <v>0.79170000553131104</v>
      </c>
    </row>
    <row r="603" spans="1:24" x14ac:dyDescent="0.25">
      <c r="A603" s="4">
        <v>46021</v>
      </c>
      <c r="B603">
        <v>3.65</v>
      </c>
      <c r="C603">
        <v>3.65</v>
      </c>
      <c r="D603">
        <v>3.65</v>
      </c>
      <c r="E603">
        <v>3.63</v>
      </c>
      <c r="F603">
        <v>3.59</v>
      </c>
      <c r="G603">
        <v>3.47</v>
      </c>
      <c r="H603">
        <v>3.45</v>
      </c>
      <c r="I603">
        <v>3.5</v>
      </c>
      <c r="J603">
        <v>3.68</v>
      </c>
      <c r="K603">
        <v>3.89</v>
      </c>
      <c r="L603">
        <v>4.1399999999999997</v>
      </c>
      <c r="M603">
        <v>4.76</v>
      </c>
      <c r="N603">
        <v>4.8099999999999996</v>
      </c>
      <c r="O603">
        <v>5.5021000000000004</v>
      </c>
      <c r="P603">
        <v>3780</v>
      </c>
      <c r="Q603">
        <v>911.18</v>
      </c>
      <c r="R603">
        <v>3.363</v>
      </c>
      <c r="S603">
        <v>17.995899999999999</v>
      </c>
      <c r="T603">
        <v>0.84940996208309405</v>
      </c>
      <c r="U603">
        <v>0.74013800967597598</v>
      </c>
      <c r="V603">
        <v>156.01300048828099</v>
      </c>
      <c r="W603">
        <v>1.49354003511736</v>
      </c>
      <c r="X603">
        <v>0.78869998455047596</v>
      </c>
    </row>
    <row r="604" spans="1:24" x14ac:dyDescent="0.25">
      <c r="A604" s="4">
        <v>46020</v>
      </c>
      <c r="B604">
        <v>3.69</v>
      </c>
      <c r="C604">
        <v>3.7</v>
      </c>
      <c r="D604">
        <v>3.68</v>
      </c>
      <c r="E604">
        <v>3.66</v>
      </c>
      <c r="F604">
        <v>3.59</v>
      </c>
      <c r="G604">
        <v>3.48</v>
      </c>
      <c r="H604">
        <v>3.45</v>
      </c>
      <c r="I604">
        <v>3.51</v>
      </c>
      <c r="J604">
        <v>3.67</v>
      </c>
      <c r="K604">
        <v>3.88</v>
      </c>
      <c r="L604">
        <v>4.12</v>
      </c>
      <c r="M604">
        <v>4.75</v>
      </c>
      <c r="N604">
        <v>4.8</v>
      </c>
      <c r="O604">
        <v>5.5735999999999999</v>
      </c>
      <c r="P604">
        <v>3754.77</v>
      </c>
      <c r="Q604">
        <v>904.54</v>
      </c>
      <c r="R604">
        <v>3.3660000000000001</v>
      </c>
      <c r="S604">
        <v>17.9682</v>
      </c>
      <c r="T604">
        <v>0.84942002527621097</v>
      </c>
      <c r="U604">
        <v>0.740890022812424</v>
      </c>
      <c r="V604">
        <v>156.46299743652301</v>
      </c>
      <c r="W604">
        <v>1.48940297699209</v>
      </c>
      <c r="X604">
        <v>0.789240002632141</v>
      </c>
    </row>
    <row r="605" spans="1:24" x14ac:dyDescent="0.25">
      <c r="A605" s="4">
        <v>46017</v>
      </c>
      <c r="B605">
        <v>3.7</v>
      </c>
      <c r="C605">
        <v>3.72</v>
      </c>
      <c r="D605">
        <v>3.64</v>
      </c>
      <c r="E605">
        <v>3.66</v>
      </c>
      <c r="F605">
        <v>3.58</v>
      </c>
      <c r="G605">
        <v>3.49</v>
      </c>
      <c r="H605">
        <v>3.46</v>
      </c>
      <c r="I605">
        <v>3.54</v>
      </c>
      <c r="J605">
        <v>3.68</v>
      </c>
      <c r="K605">
        <v>3.89</v>
      </c>
      <c r="L605">
        <v>4.1399999999999997</v>
      </c>
      <c r="M605">
        <v>4.76</v>
      </c>
      <c r="N605">
        <v>4.8099999999999996</v>
      </c>
      <c r="O605">
        <v>5.5410000000000004</v>
      </c>
      <c r="P605">
        <v>3685.1</v>
      </c>
      <c r="Q605">
        <v>905.04</v>
      </c>
      <c r="R605">
        <v>3.3639999999999999</v>
      </c>
      <c r="S605">
        <v>17.893000000000001</v>
      </c>
      <c r="T605">
        <v>0.84851005636093602</v>
      </c>
      <c r="U605">
        <v>0.74025002188468003</v>
      </c>
      <c r="V605">
        <v>156.08999633789</v>
      </c>
      <c r="W605">
        <v>1.4912899282915399</v>
      </c>
      <c r="X605">
        <v>0.7880499958992</v>
      </c>
    </row>
    <row r="606" spans="1:24" x14ac:dyDescent="0.25">
      <c r="A606" s="4">
        <v>46015</v>
      </c>
      <c r="B606">
        <v>3.72</v>
      </c>
      <c r="C606">
        <v>3.74</v>
      </c>
      <c r="D606">
        <v>3.69</v>
      </c>
      <c r="E606">
        <v>3.67</v>
      </c>
      <c r="F606">
        <v>3.59</v>
      </c>
      <c r="G606">
        <v>3.5</v>
      </c>
      <c r="H606">
        <v>3.47</v>
      </c>
      <c r="I606">
        <v>3.56</v>
      </c>
      <c r="J606">
        <v>3.7</v>
      </c>
      <c r="K606">
        <v>3.91</v>
      </c>
      <c r="L606">
        <v>4.1500000000000004</v>
      </c>
      <c r="M606">
        <v>4.75</v>
      </c>
      <c r="N606">
        <v>4.79</v>
      </c>
      <c r="O606">
        <v>5.5346000000000002</v>
      </c>
      <c r="P606">
        <v>3738</v>
      </c>
      <c r="Q606">
        <v>906.44</v>
      </c>
      <c r="R606">
        <v>3.3639999999999999</v>
      </c>
      <c r="S606">
        <v>17.941800000000001</v>
      </c>
      <c r="T606">
        <v>0.84777995378175597</v>
      </c>
      <c r="U606">
        <v>0.73999502295026798</v>
      </c>
      <c r="V606">
        <v>156.17599487304599</v>
      </c>
      <c r="W606">
        <v>1.4921139630612901</v>
      </c>
      <c r="X606">
        <v>0.78745001554489102</v>
      </c>
    </row>
    <row r="607" spans="1:24" x14ac:dyDescent="0.25">
      <c r="A607" s="4">
        <v>46014</v>
      </c>
      <c r="B607">
        <v>3.71</v>
      </c>
      <c r="C607">
        <v>3.7</v>
      </c>
      <c r="D607">
        <v>3.65</v>
      </c>
      <c r="E607">
        <v>3.66</v>
      </c>
      <c r="F607">
        <v>3.59</v>
      </c>
      <c r="G607">
        <v>3.52</v>
      </c>
      <c r="H607">
        <v>3.48</v>
      </c>
      <c r="I607">
        <v>3.58</v>
      </c>
      <c r="J607">
        <v>3.72</v>
      </c>
      <c r="K607">
        <v>3.94</v>
      </c>
      <c r="L607">
        <v>4.18</v>
      </c>
      <c r="M607">
        <v>4.78</v>
      </c>
      <c r="N607">
        <v>4.83</v>
      </c>
      <c r="O607">
        <v>5.5640000000000001</v>
      </c>
      <c r="P607">
        <v>3755</v>
      </c>
      <c r="Q607">
        <v>908.4</v>
      </c>
      <c r="R607">
        <v>3.3650000000000002</v>
      </c>
      <c r="S607">
        <v>17.915600000000001</v>
      </c>
      <c r="T607">
        <v>0.84991005567885203</v>
      </c>
      <c r="U607">
        <v>0.742396014787017</v>
      </c>
      <c r="V607">
        <v>156.87699890136699</v>
      </c>
      <c r="W607">
        <v>1.5018621077916099</v>
      </c>
      <c r="X607">
        <v>0.79142999649047796</v>
      </c>
    </row>
    <row r="608" spans="1:24" x14ac:dyDescent="0.25">
      <c r="A608" s="4">
        <v>46013</v>
      </c>
      <c r="B608">
        <v>3.72</v>
      </c>
      <c r="C608">
        <v>3.71</v>
      </c>
      <c r="D608">
        <v>3.64</v>
      </c>
      <c r="E608">
        <v>3.65</v>
      </c>
      <c r="F608">
        <v>3.6</v>
      </c>
      <c r="G608">
        <v>3.53</v>
      </c>
      <c r="H608">
        <v>3.44</v>
      </c>
      <c r="I608">
        <v>3.56</v>
      </c>
      <c r="J608">
        <v>3.71</v>
      </c>
      <c r="K608">
        <v>3.93</v>
      </c>
      <c r="L608">
        <v>4.17</v>
      </c>
      <c r="M608">
        <v>4.78</v>
      </c>
      <c r="N608">
        <v>4.84</v>
      </c>
      <c r="O608">
        <v>5.5385999999999997</v>
      </c>
      <c r="P608">
        <v>3785</v>
      </c>
      <c r="Q608">
        <v>909.9</v>
      </c>
      <c r="R608">
        <v>3.367</v>
      </c>
      <c r="S608">
        <v>17.9816</v>
      </c>
      <c r="T608">
        <v>0.85410999442954505</v>
      </c>
      <c r="U608">
        <v>0.74755003066889503</v>
      </c>
      <c r="V608">
        <v>157.67599487304599</v>
      </c>
      <c r="W608">
        <v>1.5128139835340999</v>
      </c>
      <c r="X608">
        <v>0.79583001136779696</v>
      </c>
    </row>
    <row r="609" spans="1:24" x14ac:dyDescent="0.25">
      <c r="A609" s="4">
        <v>46010</v>
      </c>
      <c r="B609">
        <v>3.71</v>
      </c>
      <c r="C609">
        <v>3.72</v>
      </c>
      <c r="D609">
        <v>3.62</v>
      </c>
      <c r="E609">
        <v>3.64</v>
      </c>
      <c r="F609">
        <v>3.6</v>
      </c>
      <c r="G609">
        <v>3.51</v>
      </c>
      <c r="H609">
        <v>3.48</v>
      </c>
      <c r="I609">
        <v>3.53</v>
      </c>
      <c r="J609">
        <v>3.7</v>
      </c>
      <c r="K609">
        <v>3.91</v>
      </c>
      <c r="L609">
        <v>4.16</v>
      </c>
      <c r="M609">
        <v>4.7699999999999996</v>
      </c>
      <c r="N609">
        <v>4.82</v>
      </c>
      <c r="O609">
        <v>5.5156999999999998</v>
      </c>
      <c r="P609">
        <v>3822.3</v>
      </c>
      <c r="Q609">
        <v>914.99</v>
      </c>
      <c r="R609">
        <v>3.367</v>
      </c>
      <c r="S609">
        <v>17.999400000000001</v>
      </c>
      <c r="T609">
        <v>0.85282998458144699</v>
      </c>
      <c r="U609">
        <v>0.74708299839639902</v>
      </c>
      <c r="V609">
        <v>155.58599853515599</v>
      </c>
      <c r="W609">
        <v>1.51198996117199</v>
      </c>
      <c r="X609">
        <v>0.79400998353958097</v>
      </c>
    </row>
    <row r="610" spans="1:24" x14ac:dyDescent="0.25">
      <c r="A610" s="4">
        <v>46009</v>
      </c>
      <c r="B610">
        <v>3.71</v>
      </c>
      <c r="C610">
        <v>3.72</v>
      </c>
      <c r="D610">
        <v>3.62</v>
      </c>
      <c r="E610">
        <v>3.63</v>
      </c>
      <c r="F610">
        <v>3.58</v>
      </c>
      <c r="G610">
        <v>3.49</v>
      </c>
      <c r="H610">
        <v>3.46</v>
      </c>
      <c r="I610">
        <v>3.5</v>
      </c>
      <c r="J610">
        <v>3.66</v>
      </c>
      <c r="K610">
        <v>3.87</v>
      </c>
      <c r="L610">
        <v>4.12</v>
      </c>
      <c r="M610">
        <v>4.74</v>
      </c>
      <c r="N610">
        <v>4.8</v>
      </c>
      <c r="O610">
        <v>5.5279999999999996</v>
      </c>
      <c r="P610">
        <v>3858</v>
      </c>
      <c r="Q610">
        <v>917.45</v>
      </c>
      <c r="R610">
        <v>3.367</v>
      </c>
      <c r="S610">
        <v>18.0032</v>
      </c>
      <c r="T610">
        <v>0.85162002672642301</v>
      </c>
      <c r="U610">
        <v>0.74768602244000704</v>
      </c>
      <c r="V610">
        <v>155.49499511718699</v>
      </c>
      <c r="W610">
        <v>1.5148069867123599</v>
      </c>
      <c r="X610">
        <v>0.79519999027252197</v>
      </c>
    </row>
    <row r="611" spans="1:24" x14ac:dyDescent="0.25">
      <c r="A611" s="4">
        <v>46008</v>
      </c>
      <c r="B611">
        <v>3.73</v>
      </c>
      <c r="C611">
        <v>3.73</v>
      </c>
      <c r="D611">
        <v>3.64</v>
      </c>
      <c r="E611">
        <v>3.65</v>
      </c>
      <c r="F611">
        <v>3.59</v>
      </c>
      <c r="G611">
        <v>3.51</v>
      </c>
      <c r="H611">
        <v>3.49</v>
      </c>
      <c r="I611">
        <v>3.53</v>
      </c>
      <c r="J611">
        <v>3.7</v>
      </c>
      <c r="K611">
        <v>3.91</v>
      </c>
      <c r="L611">
        <v>4.16</v>
      </c>
      <c r="M611">
        <v>4.78</v>
      </c>
      <c r="N611">
        <v>4.83</v>
      </c>
      <c r="O611">
        <v>5.5090000000000003</v>
      </c>
      <c r="P611">
        <v>3867</v>
      </c>
      <c r="Q611">
        <v>913.74</v>
      </c>
      <c r="R611">
        <v>3.3679999999999999</v>
      </c>
      <c r="S611">
        <v>18.0154</v>
      </c>
      <c r="T611">
        <v>0.85110004418540797</v>
      </c>
      <c r="U611">
        <v>0.74487903918633902</v>
      </c>
      <c r="V611">
        <v>154.77799987792901</v>
      </c>
      <c r="W611">
        <v>1.50738593425862</v>
      </c>
      <c r="X611">
        <v>0.79519999027252197</v>
      </c>
    </row>
    <row r="612" spans="1:24" x14ac:dyDescent="0.25">
      <c r="A612" s="4">
        <v>46007</v>
      </c>
      <c r="B612">
        <v>3.76</v>
      </c>
      <c r="C612">
        <v>3.73</v>
      </c>
      <c r="D612">
        <v>3.64</v>
      </c>
      <c r="E612">
        <v>3.64</v>
      </c>
      <c r="F612">
        <v>3.6</v>
      </c>
      <c r="G612">
        <v>3.51</v>
      </c>
      <c r="H612">
        <v>3.48</v>
      </c>
      <c r="I612">
        <v>3.52</v>
      </c>
      <c r="J612">
        <v>3.69</v>
      </c>
      <c r="K612">
        <v>3.9</v>
      </c>
      <c r="L612">
        <v>4.1500000000000004</v>
      </c>
      <c r="M612">
        <v>4.7699999999999996</v>
      </c>
      <c r="N612">
        <v>4.82</v>
      </c>
      <c r="O612">
        <v>5.4501999999999997</v>
      </c>
      <c r="P612">
        <v>3842.5</v>
      </c>
      <c r="Q612">
        <v>912.03</v>
      </c>
      <c r="R612">
        <v>3.3690000000000002</v>
      </c>
      <c r="S612">
        <v>17.950900000000001</v>
      </c>
      <c r="T612">
        <v>0.85073001502360601</v>
      </c>
      <c r="U612">
        <v>0.74734996419875799</v>
      </c>
      <c r="V612">
        <v>155.01499938964801</v>
      </c>
      <c r="W612">
        <v>1.50561599111054</v>
      </c>
      <c r="X612">
        <v>0.79601001739501898</v>
      </c>
    </row>
    <row r="613" spans="1:24" x14ac:dyDescent="0.25">
      <c r="A613" s="4">
        <v>46006</v>
      </c>
      <c r="B613">
        <v>3.77</v>
      </c>
      <c r="C613">
        <v>3.75</v>
      </c>
      <c r="D613">
        <v>3.65</v>
      </c>
      <c r="E613">
        <v>3.65</v>
      </c>
      <c r="F613">
        <v>3.6</v>
      </c>
      <c r="G613">
        <v>3.52</v>
      </c>
      <c r="H613">
        <v>3.51</v>
      </c>
      <c r="I613">
        <v>3.56</v>
      </c>
      <c r="J613">
        <v>3.73</v>
      </c>
      <c r="K613">
        <v>3.94</v>
      </c>
      <c r="L613">
        <v>4.18</v>
      </c>
      <c r="M613">
        <v>4.8</v>
      </c>
      <c r="N613">
        <v>4.84</v>
      </c>
      <c r="O613">
        <v>5.3925999999999998</v>
      </c>
      <c r="P613">
        <v>3830.25</v>
      </c>
      <c r="Q613">
        <v>912.66</v>
      </c>
      <c r="R613">
        <v>3.37</v>
      </c>
      <c r="S613">
        <v>17.981200000000001</v>
      </c>
      <c r="T613">
        <v>0.85196002618662903</v>
      </c>
      <c r="U613">
        <v>0.74807001135311002</v>
      </c>
      <c r="V613">
        <v>155.88800048828099</v>
      </c>
      <c r="W613">
        <v>1.5043700324237399</v>
      </c>
      <c r="X613">
        <v>0.79614001512527399</v>
      </c>
    </row>
    <row r="614" spans="1:24" x14ac:dyDescent="0.25">
      <c r="A614" s="4">
        <v>46003</v>
      </c>
      <c r="B614">
        <v>3.76</v>
      </c>
      <c r="C614">
        <v>3.75</v>
      </c>
      <c r="D614">
        <v>3.63</v>
      </c>
      <c r="E614">
        <v>3.64</v>
      </c>
      <c r="F614">
        <v>3.58</v>
      </c>
      <c r="G614">
        <v>3.54</v>
      </c>
      <c r="H614">
        <v>3.52</v>
      </c>
      <c r="I614">
        <v>3.58</v>
      </c>
      <c r="J614">
        <v>3.75</v>
      </c>
      <c r="K614">
        <v>3.95</v>
      </c>
      <c r="L614">
        <v>4.1900000000000004</v>
      </c>
      <c r="M614">
        <v>4.82</v>
      </c>
      <c r="N614">
        <v>4.8499999999999996</v>
      </c>
      <c r="O614">
        <v>5.4008000000000003</v>
      </c>
      <c r="P614">
        <v>3802.33</v>
      </c>
      <c r="Q614">
        <v>916.9</v>
      </c>
      <c r="R614">
        <v>3.3679999999999999</v>
      </c>
      <c r="S614">
        <v>18.035399999999999</v>
      </c>
      <c r="T614">
        <v>0.85182999688558203</v>
      </c>
      <c r="U614">
        <v>0.74680000074781405</v>
      </c>
      <c r="V614">
        <v>155.56700134277301</v>
      </c>
      <c r="W614">
        <v>1.5003750218542899</v>
      </c>
      <c r="X614">
        <v>0.79479002952575595</v>
      </c>
    </row>
    <row r="615" spans="1:24" x14ac:dyDescent="0.25">
      <c r="A615" s="4">
        <v>46002</v>
      </c>
      <c r="B615">
        <v>3.77</v>
      </c>
      <c r="C615">
        <v>3.76</v>
      </c>
      <c r="D615">
        <v>3.66</v>
      </c>
      <c r="E615">
        <v>3.67</v>
      </c>
      <c r="F615">
        <v>3.62</v>
      </c>
      <c r="G615">
        <v>3.56</v>
      </c>
      <c r="H615">
        <v>3.52</v>
      </c>
      <c r="I615">
        <v>3.55</v>
      </c>
      <c r="J615">
        <v>3.72</v>
      </c>
      <c r="K615">
        <v>3.91</v>
      </c>
      <c r="L615">
        <v>4.1399999999999997</v>
      </c>
      <c r="M615">
        <v>4.75</v>
      </c>
      <c r="N615">
        <v>4.79</v>
      </c>
      <c r="O615">
        <v>5.4234</v>
      </c>
      <c r="P615">
        <v>3800.6</v>
      </c>
      <c r="Q615">
        <v>923.99</v>
      </c>
      <c r="R615">
        <v>3.3690000000000002</v>
      </c>
      <c r="S615">
        <v>18.035399999999999</v>
      </c>
      <c r="T615">
        <v>0.85461006708223097</v>
      </c>
      <c r="U615">
        <v>0.74691995758500196</v>
      </c>
      <c r="V615">
        <v>155.78999328613199</v>
      </c>
      <c r="W615">
        <v>1.49823994570434</v>
      </c>
      <c r="X615">
        <v>0.79938000440597501</v>
      </c>
    </row>
    <row r="616" spans="1:24" x14ac:dyDescent="0.25">
      <c r="A616" s="4">
        <v>46001</v>
      </c>
      <c r="B616">
        <v>3.79</v>
      </c>
      <c r="C616">
        <v>3.75</v>
      </c>
      <c r="D616">
        <v>3.69</v>
      </c>
      <c r="E616">
        <v>3.69</v>
      </c>
      <c r="F616">
        <v>3.66</v>
      </c>
      <c r="G616">
        <v>3.58</v>
      </c>
      <c r="H616">
        <v>3.54</v>
      </c>
      <c r="I616">
        <v>3.56</v>
      </c>
      <c r="J616">
        <v>3.72</v>
      </c>
      <c r="K616">
        <v>3.92</v>
      </c>
      <c r="L616">
        <v>4.13</v>
      </c>
      <c r="M616">
        <v>4.74</v>
      </c>
      <c r="N616">
        <v>4.78</v>
      </c>
      <c r="O616">
        <v>5.4653</v>
      </c>
      <c r="P616">
        <v>3839.3</v>
      </c>
      <c r="Q616">
        <v>926.89</v>
      </c>
      <c r="R616">
        <v>3.3719999999999999</v>
      </c>
      <c r="S616">
        <v>18.182400000000001</v>
      </c>
      <c r="T616">
        <v>0.85996996679288396</v>
      </c>
      <c r="U616">
        <v>0.751680046223</v>
      </c>
      <c r="V616">
        <v>156.83799743652301</v>
      </c>
      <c r="W616">
        <v>1.50580004234531</v>
      </c>
      <c r="X616">
        <v>0.805899977684021</v>
      </c>
    </row>
    <row r="617" spans="1:24" x14ac:dyDescent="0.25">
      <c r="A617" s="4">
        <v>46000</v>
      </c>
      <c r="B617">
        <v>3.81</v>
      </c>
      <c r="C617">
        <v>3.78</v>
      </c>
      <c r="D617">
        <v>3.73</v>
      </c>
      <c r="E617">
        <v>3.73</v>
      </c>
      <c r="F617">
        <v>3.7</v>
      </c>
      <c r="G617">
        <v>3.63</v>
      </c>
      <c r="H617">
        <v>3.61</v>
      </c>
      <c r="I617">
        <v>3.62</v>
      </c>
      <c r="J617">
        <v>3.78</v>
      </c>
      <c r="K617">
        <v>3.96</v>
      </c>
      <c r="L617">
        <v>4.18</v>
      </c>
      <c r="M617">
        <v>4.7699999999999996</v>
      </c>
      <c r="N617">
        <v>4.8</v>
      </c>
      <c r="O617">
        <v>5.4566999999999997</v>
      </c>
      <c r="P617">
        <v>3865</v>
      </c>
      <c r="Q617">
        <v>920.02</v>
      </c>
      <c r="R617">
        <v>3.363</v>
      </c>
      <c r="S617">
        <v>18.1919</v>
      </c>
      <c r="T617">
        <v>0.85900005632043197</v>
      </c>
      <c r="U617">
        <v>0.75036802311409601</v>
      </c>
      <c r="V617">
        <v>155.843994140625</v>
      </c>
      <c r="W617">
        <v>1.50890989161926</v>
      </c>
      <c r="X617">
        <v>0.80663800239562899</v>
      </c>
    </row>
    <row r="618" spans="1:24" x14ac:dyDescent="0.25">
      <c r="A618" s="4">
        <v>45999</v>
      </c>
      <c r="B618">
        <v>3.82</v>
      </c>
      <c r="C618">
        <v>3.78</v>
      </c>
      <c r="D618">
        <v>3.73</v>
      </c>
      <c r="E618">
        <v>3.73</v>
      </c>
      <c r="F618">
        <v>3.69</v>
      </c>
      <c r="G618">
        <v>3.61</v>
      </c>
      <c r="H618">
        <v>3.57</v>
      </c>
      <c r="I618">
        <v>3.59</v>
      </c>
      <c r="J618">
        <v>3.75</v>
      </c>
      <c r="K618">
        <v>3.94</v>
      </c>
      <c r="L618">
        <v>4.17</v>
      </c>
      <c r="M618">
        <v>4.78</v>
      </c>
      <c r="N618">
        <v>4.8099999999999996</v>
      </c>
      <c r="O618">
        <v>5.4245999999999999</v>
      </c>
      <c r="P618">
        <v>3840.5</v>
      </c>
      <c r="Q618">
        <v>918.15</v>
      </c>
      <c r="R618">
        <v>3.363</v>
      </c>
      <c r="S618">
        <v>18.2559</v>
      </c>
      <c r="T618">
        <v>0.85908996318101605</v>
      </c>
      <c r="U618">
        <v>0.75049194903430305</v>
      </c>
      <c r="V618">
        <v>155.33999633789</v>
      </c>
      <c r="W618">
        <v>1.5070680013348401</v>
      </c>
      <c r="X618">
        <v>0.80484998226165705</v>
      </c>
    </row>
    <row r="619" spans="1:24" x14ac:dyDescent="0.25">
      <c r="A619" s="4">
        <v>45996</v>
      </c>
      <c r="B619">
        <v>3.82</v>
      </c>
      <c r="C619">
        <v>3.77</v>
      </c>
      <c r="D619">
        <v>3.71</v>
      </c>
      <c r="E619">
        <v>3.73</v>
      </c>
      <c r="F619">
        <v>3.68</v>
      </c>
      <c r="G619">
        <v>3.61</v>
      </c>
      <c r="H619">
        <v>3.56</v>
      </c>
      <c r="I619">
        <v>3.59</v>
      </c>
      <c r="J619">
        <v>3.72</v>
      </c>
      <c r="K619">
        <v>3.9</v>
      </c>
      <c r="L619">
        <v>4.1399999999999997</v>
      </c>
      <c r="M619">
        <v>4.75</v>
      </c>
      <c r="N619">
        <v>4.79</v>
      </c>
      <c r="O619">
        <v>5.3402000000000003</v>
      </c>
      <c r="P619">
        <v>3840.5</v>
      </c>
      <c r="Q619">
        <v>918.15</v>
      </c>
      <c r="R619">
        <v>3.363</v>
      </c>
      <c r="S619">
        <v>18.182400000000001</v>
      </c>
      <c r="T619">
        <v>0.85889996690792203</v>
      </c>
      <c r="U619">
        <v>0.75064997030011105</v>
      </c>
      <c r="V619">
        <v>155.141998291015</v>
      </c>
      <c r="W619">
        <v>1.5136800103430901</v>
      </c>
      <c r="X619">
        <v>0.80378001928329401</v>
      </c>
    </row>
    <row r="620" spans="1:24" x14ac:dyDescent="0.25">
      <c r="A620" s="4">
        <v>45995</v>
      </c>
      <c r="B620">
        <v>3.83</v>
      </c>
      <c r="C620">
        <v>3.78</v>
      </c>
      <c r="D620">
        <v>3.71</v>
      </c>
      <c r="E620">
        <v>3.73</v>
      </c>
      <c r="F620">
        <v>3.69</v>
      </c>
      <c r="G620">
        <v>3.6</v>
      </c>
      <c r="H620">
        <v>3.52</v>
      </c>
      <c r="I620">
        <v>3.55</v>
      </c>
      <c r="J620">
        <v>3.68</v>
      </c>
      <c r="K620">
        <v>3.87</v>
      </c>
      <c r="L620">
        <v>4.1100000000000003</v>
      </c>
      <c r="M620">
        <v>4.72</v>
      </c>
      <c r="N620">
        <v>4.76</v>
      </c>
      <c r="O620">
        <v>5.2949000000000002</v>
      </c>
      <c r="P620">
        <v>3799.8</v>
      </c>
      <c r="Q620">
        <v>919.46</v>
      </c>
      <c r="R620">
        <v>3.3610000000000002</v>
      </c>
      <c r="S620">
        <v>18.238900000000001</v>
      </c>
      <c r="T620">
        <v>0.85713001192619898</v>
      </c>
      <c r="U620">
        <v>0.74913000768007998</v>
      </c>
      <c r="V620">
        <v>155.10699462890599</v>
      </c>
      <c r="W620">
        <v>1.5140000563106499</v>
      </c>
      <c r="X620">
        <v>0.79975998401641801</v>
      </c>
    </row>
    <row r="621" spans="1:24" x14ac:dyDescent="0.25">
      <c r="A621" s="4">
        <v>45994</v>
      </c>
      <c r="B621">
        <v>3.83</v>
      </c>
      <c r="C621">
        <v>3.78</v>
      </c>
      <c r="D621">
        <v>3.72</v>
      </c>
      <c r="E621">
        <v>3.73</v>
      </c>
      <c r="F621">
        <v>3.68</v>
      </c>
      <c r="G621">
        <v>3.57</v>
      </c>
      <c r="H621">
        <v>3.49</v>
      </c>
      <c r="I621">
        <v>3.5</v>
      </c>
      <c r="J621">
        <v>3.62</v>
      </c>
      <c r="K621">
        <v>3.82</v>
      </c>
      <c r="L621">
        <v>4.0599999999999996</v>
      </c>
      <c r="M621">
        <v>4.68</v>
      </c>
      <c r="N621">
        <v>4.7300000000000004</v>
      </c>
      <c r="O621">
        <v>5.3110999999999997</v>
      </c>
      <c r="P621">
        <v>3761.1</v>
      </c>
      <c r="Q621">
        <v>925.37</v>
      </c>
      <c r="R621">
        <v>3.3620000000000001</v>
      </c>
      <c r="S621">
        <v>18.283799999999999</v>
      </c>
      <c r="T621">
        <v>0.86000003075599696</v>
      </c>
      <c r="U621">
        <v>0.75645999137005504</v>
      </c>
      <c r="V621">
        <v>155.80700683593699</v>
      </c>
      <c r="W621">
        <v>1.5212131103543001</v>
      </c>
      <c r="X621">
        <v>0.80286002159118597</v>
      </c>
    </row>
    <row r="622" spans="1:24" x14ac:dyDescent="0.25">
      <c r="A622" s="4">
        <v>45993</v>
      </c>
      <c r="B622">
        <v>3.9</v>
      </c>
      <c r="C622">
        <v>3.83</v>
      </c>
      <c r="D622">
        <v>3.77</v>
      </c>
      <c r="E622">
        <v>3.78</v>
      </c>
      <c r="F622">
        <v>3.72</v>
      </c>
      <c r="G622">
        <v>3.59</v>
      </c>
      <c r="H622">
        <v>3.51</v>
      </c>
      <c r="I622">
        <v>3.54</v>
      </c>
      <c r="J622">
        <v>3.66</v>
      </c>
      <c r="K622">
        <v>3.85</v>
      </c>
      <c r="L622">
        <v>4.09</v>
      </c>
      <c r="M622">
        <v>4.7</v>
      </c>
      <c r="N622">
        <v>4.74</v>
      </c>
      <c r="O622">
        <v>5.3461999999999996</v>
      </c>
      <c r="P622">
        <v>3808.5</v>
      </c>
      <c r="Q622">
        <v>927.95</v>
      </c>
      <c r="R622">
        <v>3.367</v>
      </c>
      <c r="S622">
        <v>18.282599999999999</v>
      </c>
      <c r="T622">
        <v>0.86149998582756504</v>
      </c>
      <c r="U622">
        <v>0.75703999323514404</v>
      </c>
      <c r="V622">
        <v>155.55700683593699</v>
      </c>
      <c r="W622">
        <v>1.5281169627907301</v>
      </c>
      <c r="X622">
        <v>0.80460000038146895</v>
      </c>
    </row>
    <row r="623" spans="1:24" x14ac:dyDescent="0.25">
      <c r="A623" s="4">
        <v>45992</v>
      </c>
      <c r="B623">
        <v>3.98</v>
      </c>
      <c r="C623">
        <v>3.92</v>
      </c>
      <c r="D623">
        <v>3.81</v>
      </c>
      <c r="E623">
        <v>3.82</v>
      </c>
      <c r="F623">
        <v>3.75</v>
      </c>
      <c r="G623">
        <v>3.62</v>
      </c>
      <c r="H623">
        <v>3.54</v>
      </c>
      <c r="I623">
        <v>3.55</v>
      </c>
      <c r="J623">
        <v>3.67</v>
      </c>
      <c r="K623">
        <v>3.86</v>
      </c>
      <c r="L623">
        <v>4.09</v>
      </c>
      <c r="M623">
        <v>4.71</v>
      </c>
      <c r="N623">
        <v>4.74</v>
      </c>
      <c r="O623">
        <v>5.3465999999999996</v>
      </c>
      <c r="P623">
        <v>3813.13</v>
      </c>
      <c r="Q623">
        <v>928.16</v>
      </c>
      <c r="R623">
        <v>3.3719999999999999</v>
      </c>
      <c r="S623">
        <v>18.310300000000002</v>
      </c>
      <c r="T623">
        <v>0.86196003602542703</v>
      </c>
      <c r="U623">
        <v>0.755299997496922</v>
      </c>
      <c r="V623">
        <v>155.92799377441401</v>
      </c>
      <c r="W623">
        <v>1.52641495443422</v>
      </c>
      <c r="X623">
        <v>0.80334001779556197</v>
      </c>
    </row>
    <row r="624" spans="1:24" x14ac:dyDescent="0.25">
      <c r="A624" s="4">
        <v>45989</v>
      </c>
      <c r="B624">
        <v>4.05</v>
      </c>
      <c r="C624">
        <v>3.99</v>
      </c>
      <c r="D624">
        <v>3.88</v>
      </c>
      <c r="E624">
        <v>3.86</v>
      </c>
      <c r="F624">
        <v>3.74</v>
      </c>
      <c r="G624">
        <v>3.61</v>
      </c>
      <c r="H624">
        <v>3.47</v>
      </c>
      <c r="I624">
        <v>3.49</v>
      </c>
      <c r="J624">
        <v>3.59</v>
      </c>
      <c r="K624">
        <v>3.78</v>
      </c>
      <c r="L624">
        <v>4.0199999999999996</v>
      </c>
      <c r="M624">
        <v>4.62</v>
      </c>
      <c r="N624">
        <v>4.67</v>
      </c>
      <c r="O624">
        <v>5.3334999999999999</v>
      </c>
      <c r="P624">
        <v>3755</v>
      </c>
      <c r="Q624">
        <v>929.14</v>
      </c>
      <c r="R624">
        <v>3.3639999999999999</v>
      </c>
      <c r="S624">
        <v>18.295300000000001</v>
      </c>
      <c r="T624">
        <v>0.86207997586186502</v>
      </c>
      <c r="U624">
        <v>0.75521996257844803</v>
      </c>
      <c r="V624">
        <v>156.28399658203099</v>
      </c>
      <c r="W624">
        <v>1.5300349741227901</v>
      </c>
      <c r="X624">
        <v>0.80460000038146895</v>
      </c>
    </row>
    <row r="625" spans="1:24" x14ac:dyDescent="0.25">
      <c r="A625" s="4">
        <v>45987</v>
      </c>
      <c r="B625">
        <v>4.0599999999999996</v>
      </c>
      <c r="C625">
        <v>4</v>
      </c>
      <c r="D625">
        <v>3.92</v>
      </c>
      <c r="E625">
        <v>3.86</v>
      </c>
      <c r="F625">
        <v>3.76</v>
      </c>
      <c r="G625">
        <v>3.61</v>
      </c>
      <c r="H625">
        <v>3.45</v>
      </c>
      <c r="I625">
        <v>3.47</v>
      </c>
      <c r="J625">
        <v>3.56</v>
      </c>
      <c r="K625">
        <v>3.75</v>
      </c>
      <c r="L625">
        <v>4</v>
      </c>
      <c r="M625">
        <v>4.5999999999999996</v>
      </c>
      <c r="N625">
        <v>4.6399999999999997</v>
      </c>
      <c r="O625">
        <v>5.3691000000000004</v>
      </c>
      <c r="P625">
        <v>3729</v>
      </c>
      <c r="Q625">
        <v>937.15</v>
      </c>
      <c r="R625">
        <v>3.3679999999999999</v>
      </c>
      <c r="S625">
        <v>18.343499999999999</v>
      </c>
      <c r="T625">
        <v>0.86469004273555805</v>
      </c>
      <c r="U625">
        <v>0.759953050843588</v>
      </c>
      <c r="V625">
        <v>156.22999572753901</v>
      </c>
      <c r="W625">
        <v>1.5455231164979799</v>
      </c>
      <c r="X625">
        <v>0.80798000097274703</v>
      </c>
    </row>
    <row r="626" spans="1:24" x14ac:dyDescent="0.25">
      <c r="A626" s="4">
        <v>45986</v>
      </c>
      <c r="B626">
        <v>4.04</v>
      </c>
      <c r="C626">
        <v>3.97</v>
      </c>
      <c r="D626">
        <v>3.9</v>
      </c>
      <c r="E626">
        <v>3.82</v>
      </c>
      <c r="F626">
        <v>3.75</v>
      </c>
      <c r="G626">
        <v>3.6</v>
      </c>
      <c r="H626">
        <v>3.43</v>
      </c>
      <c r="I626">
        <v>3.46</v>
      </c>
      <c r="J626">
        <v>3.55</v>
      </c>
      <c r="K626">
        <v>3.77</v>
      </c>
      <c r="L626">
        <v>4.01</v>
      </c>
      <c r="M626">
        <v>4.62</v>
      </c>
      <c r="N626">
        <v>4.67</v>
      </c>
      <c r="O626">
        <v>5.3837999999999999</v>
      </c>
      <c r="P626">
        <v>3811.92</v>
      </c>
      <c r="Q626">
        <v>939.57</v>
      </c>
      <c r="R626">
        <v>3.3690000000000002</v>
      </c>
      <c r="S626">
        <v>18.383199999999999</v>
      </c>
      <c r="T626">
        <v>0.86805002370718198</v>
      </c>
      <c r="U626">
        <v>0.76299998435545002</v>
      </c>
      <c r="V626">
        <v>156.93899536132801</v>
      </c>
      <c r="W626">
        <v>1.5465990745414799</v>
      </c>
      <c r="X626">
        <v>0.80861002206802302</v>
      </c>
    </row>
    <row r="627" spans="1:24" x14ac:dyDescent="0.25">
      <c r="A627" s="4">
        <v>45985</v>
      </c>
      <c r="B627">
        <v>4.03</v>
      </c>
      <c r="C627">
        <v>3.99</v>
      </c>
      <c r="D627">
        <v>3.91</v>
      </c>
      <c r="E627">
        <v>3.83</v>
      </c>
      <c r="F627">
        <v>3.76</v>
      </c>
      <c r="G627">
        <v>3.61</v>
      </c>
      <c r="H627">
        <v>3.46</v>
      </c>
      <c r="I627">
        <v>3.49</v>
      </c>
      <c r="J627">
        <v>3.61</v>
      </c>
      <c r="K627">
        <v>3.8</v>
      </c>
      <c r="L627">
        <v>4.04</v>
      </c>
      <c r="M627">
        <v>4.6399999999999997</v>
      </c>
      <c r="N627">
        <v>4.68</v>
      </c>
      <c r="O627">
        <v>5.3944999999999999</v>
      </c>
      <c r="P627">
        <v>3800.5</v>
      </c>
      <c r="Q627">
        <v>937.36</v>
      </c>
      <c r="R627">
        <v>3.383</v>
      </c>
      <c r="S627">
        <v>18.513300000000001</v>
      </c>
      <c r="T627">
        <v>0.86898998631035895</v>
      </c>
      <c r="U627">
        <v>0.76357004473679102</v>
      </c>
      <c r="V627">
        <v>156.68800354003901</v>
      </c>
      <c r="W627">
        <v>1.5474130210496</v>
      </c>
      <c r="X627">
        <v>0.80866998434066695</v>
      </c>
    </row>
    <row r="628" spans="1:24" x14ac:dyDescent="0.25">
      <c r="A628" s="4">
        <v>45982</v>
      </c>
      <c r="B628">
        <v>4.03</v>
      </c>
      <c r="C628">
        <v>4</v>
      </c>
      <c r="D628">
        <v>3.9</v>
      </c>
      <c r="E628">
        <v>3.84</v>
      </c>
      <c r="F628">
        <v>3.75</v>
      </c>
      <c r="G628">
        <v>3.62</v>
      </c>
      <c r="H628">
        <v>3.51</v>
      </c>
      <c r="I628">
        <v>3.5</v>
      </c>
      <c r="J628">
        <v>3.62</v>
      </c>
      <c r="K628">
        <v>3.82</v>
      </c>
      <c r="L628">
        <v>4.0599999999999996</v>
      </c>
      <c r="M628">
        <v>4.67</v>
      </c>
      <c r="N628">
        <v>4.71</v>
      </c>
      <c r="O628">
        <v>5.3898999999999999</v>
      </c>
      <c r="P628">
        <v>3805.35</v>
      </c>
      <c r="Q628">
        <v>929</v>
      </c>
      <c r="R628">
        <v>3.387</v>
      </c>
      <c r="S628">
        <v>18.4847</v>
      </c>
      <c r="T628">
        <v>0.866960014419348</v>
      </c>
      <c r="U628">
        <v>0.76424002212017506</v>
      </c>
      <c r="V628">
        <v>157.36900329589801</v>
      </c>
      <c r="W628">
        <v>1.5505080003962799</v>
      </c>
      <c r="X628">
        <v>0.80548000335693304</v>
      </c>
    </row>
    <row r="629" spans="1:24" x14ac:dyDescent="0.25">
      <c r="A629" s="4">
        <v>45981</v>
      </c>
      <c r="B629">
        <v>4.04</v>
      </c>
      <c r="C629">
        <v>4.0199999999999996</v>
      </c>
      <c r="D629">
        <v>3.94</v>
      </c>
      <c r="E629">
        <v>3.86</v>
      </c>
      <c r="F629">
        <v>3.79</v>
      </c>
      <c r="G629">
        <v>3.65</v>
      </c>
      <c r="H629">
        <v>3.55</v>
      </c>
      <c r="I629">
        <v>3.56</v>
      </c>
      <c r="J629">
        <v>3.68</v>
      </c>
      <c r="K629">
        <v>3.87</v>
      </c>
      <c r="L629">
        <v>4.0999999999999996</v>
      </c>
      <c r="M629">
        <v>4.68</v>
      </c>
      <c r="N629">
        <v>4.7300000000000004</v>
      </c>
      <c r="O629">
        <v>5.3342999999999998</v>
      </c>
      <c r="P629">
        <v>3763.44</v>
      </c>
      <c r="Q629">
        <v>931.36</v>
      </c>
      <c r="R629">
        <v>3.379</v>
      </c>
      <c r="S629">
        <v>18.389199999999999</v>
      </c>
      <c r="T629">
        <v>0.86649998321458699</v>
      </c>
      <c r="U629">
        <v>0.76559000825952195</v>
      </c>
      <c r="V629">
        <v>156.99200439453099</v>
      </c>
      <c r="W629">
        <v>1.54082995268003</v>
      </c>
      <c r="X629">
        <v>0.805419981479644</v>
      </c>
    </row>
    <row r="630" spans="1:24" x14ac:dyDescent="0.25">
      <c r="A630" s="4">
        <v>45980</v>
      </c>
      <c r="B630">
        <v>4.01</v>
      </c>
      <c r="C630">
        <v>4</v>
      </c>
      <c r="D630">
        <v>3.95</v>
      </c>
      <c r="E630">
        <v>3.86</v>
      </c>
      <c r="F630">
        <v>3.8</v>
      </c>
      <c r="G630">
        <v>3.68</v>
      </c>
      <c r="H630">
        <v>3.58</v>
      </c>
      <c r="I630">
        <v>3.59</v>
      </c>
      <c r="J630">
        <v>3.71</v>
      </c>
      <c r="K630">
        <v>3.9</v>
      </c>
      <c r="L630">
        <v>4.13</v>
      </c>
      <c r="M630">
        <v>4.71</v>
      </c>
      <c r="N630">
        <v>4.75</v>
      </c>
      <c r="O630">
        <v>5.3342999999999998</v>
      </c>
      <c r="P630">
        <v>3712.5</v>
      </c>
      <c r="Q630">
        <v>929.26</v>
      </c>
      <c r="R630">
        <v>3.379</v>
      </c>
      <c r="S630">
        <v>18.359200000000001</v>
      </c>
      <c r="T630">
        <v>0.86347004157284202</v>
      </c>
      <c r="U630">
        <v>0.76060000353615198</v>
      </c>
      <c r="V630">
        <v>155.54800415039</v>
      </c>
      <c r="W630">
        <v>1.53632993022824</v>
      </c>
      <c r="X630">
        <v>0.80019998550414995</v>
      </c>
    </row>
    <row r="631" spans="1:24" x14ac:dyDescent="0.25">
      <c r="A631" s="4">
        <v>45979</v>
      </c>
      <c r="B631">
        <v>4.0199999999999996</v>
      </c>
      <c r="C631">
        <v>3.99</v>
      </c>
      <c r="D631">
        <v>3.94</v>
      </c>
      <c r="E631">
        <v>3.85</v>
      </c>
      <c r="F631">
        <v>3.79</v>
      </c>
      <c r="G631">
        <v>3.67</v>
      </c>
      <c r="H631">
        <v>3.58</v>
      </c>
      <c r="I631">
        <v>3.58</v>
      </c>
      <c r="J631">
        <v>3.7</v>
      </c>
      <c r="K631">
        <v>3.89</v>
      </c>
      <c r="L631">
        <v>4.12</v>
      </c>
      <c r="M631">
        <v>4.72</v>
      </c>
      <c r="N631">
        <v>4.74</v>
      </c>
      <c r="O631">
        <v>5.3357999999999999</v>
      </c>
      <c r="P631">
        <v>3722</v>
      </c>
      <c r="Q631">
        <v>919.82</v>
      </c>
      <c r="R631">
        <v>3.3719999999999999</v>
      </c>
      <c r="S631">
        <v>18.338999999999999</v>
      </c>
      <c r="T631">
        <v>0.862770056355741</v>
      </c>
      <c r="U631">
        <v>0.76009999827839103</v>
      </c>
      <c r="V631">
        <v>155.27299499511699</v>
      </c>
      <c r="W631">
        <v>1.5401910135413299</v>
      </c>
      <c r="X631">
        <v>0.79623997211456299</v>
      </c>
    </row>
    <row r="632" spans="1:24" x14ac:dyDescent="0.25">
      <c r="A632" s="4">
        <v>45978</v>
      </c>
      <c r="B632">
        <v>4.04</v>
      </c>
      <c r="C632">
        <v>4.01</v>
      </c>
      <c r="D632">
        <v>3.97</v>
      </c>
      <c r="E632">
        <v>3.87</v>
      </c>
      <c r="F632">
        <v>3.81</v>
      </c>
      <c r="G632">
        <v>3.69</v>
      </c>
      <c r="H632">
        <v>3.6</v>
      </c>
      <c r="I632">
        <v>3.6</v>
      </c>
      <c r="J632">
        <v>3.72</v>
      </c>
      <c r="K632">
        <v>3.9</v>
      </c>
      <c r="L632">
        <v>4.13</v>
      </c>
      <c r="M632">
        <v>4.71</v>
      </c>
      <c r="N632">
        <v>4.7300000000000004</v>
      </c>
      <c r="O632">
        <v>5.3105000000000002</v>
      </c>
      <c r="P632">
        <v>3757.8</v>
      </c>
      <c r="Q632">
        <v>932.63</v>
      </c>
      <c r="R632">
        <v>3.3610000000000002</v>
      </c>
      <c r="S632">
        <v>18.310199999999998</v>
      </c>
      <c r="T632">
        <v>0.860930053168943</v>
      </c>
      <c r="U632">
        <v>0.75986996186703903</v>
      </c>
      <c r="V632">
        <v>154.58500671386699</v>
      </c>
      <c r="W632">
        <v>1.5306899520991499</v>
      </c>
      <c r="X632">
        <v>0.79427999258041304</v>
      </c>
    </row>
    <row r="633" spans="1:24" x14ac:dyDescent="0.25">
      <c r="A633" s="4">
        <v>45975</v>
      </c>
      <c r="B633">
        <v>4.04</v>
      </c>
      <c r="C633">
        <v>4.01</v>
      </c>
      <c r="D633">
        <v>3.95</v>
      </c>
      <c r="E633">
        <v>3.88</v>
      </c>
      <c r="F633">
        <v>3.8</v>
      </c>
      <c r="G633">
        <v>3.7</v>
      </c>
      <c r="H633">
        <v>3.62</v>
      </c>
      <c r="I633">
        <v>3.61</v>
      </c>
      <c r="J633">
        <v>3.74</v>
      </c>
      <c r="K633">
        <v>3.92</v>
      </c>
      <c r="L633">
        <v>4.1399999999999997</v>
      </c>
      <c r="M633">
        <v>4.7300000000000004</v>
      </c>
      <c r="N633">
        <v>4.74</v>
      </c>
      <c r="O633">
        <v>5.2949000000000002</v>
      </c>
      <c r="P633">
        <v>3757.8</v>
      </c>
      <c r="Q633">
        <v>925.63</v>
      </c>
      <c r="R633">
        <v>3.363</v>
      </c>
      <c r="S633">
        <v>18.310199999999998</v>
      </c>
      <c r="T633">
        <v>0.85970001431704601</v>
      </c>
      <c r="U633">
        <v>0.76033003618013095</v>
      </c>
      <c r="V633">
        <v>154.63299560546801</v>
      </c>
      <c r="W633">
        <v>1.53162802650576</v>
      </c>
      <c r="X633">
        <v>0.79326999187469405</v>
      </c>
    </row>
    <row r="634" spans="1:24" x14ac:dyDescent="0.25">
      <c r="A634" s="4">
        <v>45974</v>
      </c>
      <c r="B634">
        <v>4.05</v>
      </c>
      <c r="C634">
        <v>4</v>
      </c>
      <c r="D634">
        <v>3.96</v>
      </c>
      <c r="E634">
        <v>3.88</v>
      </c>
      <c r="F634">
        <v>3.8</v>
      </c>
      <c r="G634">
        <v>3.68</v>
      </c>
      <c r="H634">
        <v>3.58</v>
      </c>
      <c r="I634">
        <v>3.57</v>
      </c>
      <c r="J634">
        <v>3.71</v>
      </c>
      <c r="K634">
        <v>3.89</v>
      </c>
      <c r="L634">
        <v>4.1100000000000003</v>
      </c>
      <c r="M634">
        <v>4.6900000000000004</v>
      </c>
      <c r="N634">
        <v>4.7</v>
      </c>
      <c r="O634">
        <v>5.2816999999999998</v>
      </c>
      <c r="P634">
        <v>3743.3</v>
      </c>
      <c r="Q634">
        <v>932.37</v>
      </c>
      <c r="R634">
        <v>3.3730000000000002</v>
      </c>
      <c r="S634">
        <v>18.3215</v>
      </c>
      <c r="T634">
        <v>0.86265001314756895</v>
      </c>
      <c r="U634">
        <v>0.76174003028759596</v>
      </c>
      <c r="V634">
        <v>154.71299743652301</v>
      </c>
      <c r="W634">
        <v>1.5298940568616799</v>
      </c>
      <c r="X634">
        <v>0.79781997203826904</v>
      </c>
    </row>
    <row r="635" spans="1:24" x14ac:dyDescent="0.25">
      <c r="A635" s="4">
        <v>45973</v>
      </c>
      <c r="B635">
        <v>4.03</v>
      </c>
      <c r="C635">
        <v>3.98</v>
      </c>
      <c r="D635">
        <v>3.95</v>
      </c>
      <c r="E635">
        <v>3.86</v>
      </c>
      <c r="F635">
        <v>3.78</v>
      </c>
      <c r="G635">
        <v>3.65</v>
      </c>
      <c r="H635">
        <v>3.56</v>
      </c>
      <c r="I635">
        <v>3.55</v>
      </c>
      <c r="J635">
        <v>3.68</v>
      </c>
      <c r="K635">
        <v>3.86</v>
      </c>
      <c r="L635">
        <v>4.08</v>
      </c>
      <c r="M635">
        <v>4.6500000000000004</v>
      </c>
      <c r="N635">
        <v>4.67</v>
      </c>
      <c r="O635">
        <v>5.2881999999999998</v>
      </c>
      <c r="P635">
        <v>3706</v>
      </c>
      <c r="Q635">
        <v>936.89</v>
      </c>
      <c r="R635">
        <v>3.367</v>
      </c>
      <c r="S635">
        <v>18.309999999999999</v>
      </c>
      <c r="T635">
        <v>0.86299994403458002</v>
      </c>
      <c r="U635">
        <v>0.76028999861511803</v>
      </c>
      <c r="V635">
        <v>154.07499694824199</v>
      </c>
      <c r="W635">
        <v>1.53151100141473</v>
      </c>
      <c r="X635">
        <v>0.80032998323440496</v>
      </c>
    </row>
    <row r="636" spans="1:24" x14ac:dyDescent="0.25">
      <c r="A636" s="4">
        <v>45971</v>
      </c>
      <c r="B636">
        <v>4.04</v>
      </c>
      <c r="C636">
        <v>4</v>
      </c>
      <c r="D636">
        <v>3.95</v>
      </c>
      <c r="E636">
        <v>3.85</v>
      </c>
      <c r="F636">
        <v>3.79</v>
      </c>
      <c r="G636">
        <v>3.66</v>
      </c>
      <c r="H636">
        <v>3.58</v>
      </c>
      <c r="I636">
        <v>3.56</v>
      </c>
      <c r="J636">
        <v>3.72</v>
      </c>
      <c r="K636">
        <v>3.9</v>
      </c>
      <c r="L636">
        <v>4.13</v>
      </c>
      <c r="M636">
        <v>4.6900000000000004</v>
      </c>
      <c r="N636">
        <v>4.71</v>
      </c>
      <c r="O636">
        <v>5.3178000000000001</v>
      </c>
      <c r="P636">
        <v>3753</v>
      </c>
      <c r="Q636">
        <v>946.24</v>
      </c>
      <c r="R636">
        <v>3.3660000000000001</v>
      </c>
      <c r="S636">
        <v>18.380700000000001</v>
      </c>
      <c r="T636">
        <v>0.86625999733366499</v>
      </c>
      <c r="U636">
        <v>0.76087996265173696</v>
      </c>
      <c r="V636">
        <v>153.81700134277301</v>
      </c>
      <c r="W636">
        <v>1.5378939731227199</v>
      </c>
      <c r="X636">
        <v>0.807089984416961</v>
      </c>
    </row>
    <row r="637" spans="1:24" x14ac:dyDescent="0.25">
      <c r="A637" s="4">
        <v>45968</v>
      </c>
      <c r="B637">
        <v>4.01</v>
      </c>
      <c r="C637">
        <v>3.98</v>
      </c>
      <c r="D637">
        <v>3.92</v>
      </c>
      <c r="E637">
        <v>3.83</v>
      </c>
      <c r="F637">
        <v>3.76</v>
      </c>
      <c r="G637">
        <v>3.63</v>
      </c>
      <c r="H637">
        <v>3.55</v>
      </c>
      <c r="I637">
        <v>3.57</v>
      </c>
      <c r="J637">
        <v>3.67</v>
      </c>
      <c r="K637">
        <v>3.87</v>
      </c>
      <c r="L637">
        <v>4.1100000000000003</v>
      </c>
      <c r="M637">
        <v>4.68</v>
      </c>
      <c r="N637">
        <v>4.7</v>
      </c>
      <c r="O637">
        <v>5.3563999999999998</v>
      </c>
      <c r="P637">
        <v>3783</v>
      </c>
      <c r="Q637">
        <v>940.84</v>
      </c>
      <c r="R637">
        <v>3.375</v>
      </c>
      <c r="S637">
        <v>18.4573</v>
      </c>
      <c r="T637">
        <v>0.86585995864445497</v>
      </c>
      <c r="U637">
        <v>0.760979978278989</v>
      </c>
      <c r="V637">
        <v>152.947998046875</v>
      </c>
      <c r="W637">
        <v>1.5422819466901401</v>
      </c>
      <c r="X637">
        <v>0.805899977684021</v>
      </c>
    </row>
    <row r="638" spans="1:24" x14ac:dyDescent="0.25">
      <c r="A638" s="4">
        <v>45967</v>
      </c>
      <c r="B638">
        <v>4.0199999999999996</v>
      </c>
      <c r="C638">
        <v>3.98</v>
      </c>
      <c r="D638">
        <v>3.93</v>
      </c>
      <c r="E638">
        <v>3.84</v>
      </c>
      <c r="F638">
        <v>3.76</v>
      </c>
      <c r="G638">
        <v>3.65</v>
      </c>
      <c r="H638">
        <v>3.57</v>
      </c>
      <c r="I638">
        <v>3.58</v>
      </c>
      <c r="J638">
        <v>3.69</v>
      </c>
      <c r="K638">
        <v>3.87</v>
      </c>
      <c r="L638">
        <v>4.1100000000000003</v>
      </c>
      <c r="M638">
        <v>4.67</v>
      </c>
      <c r="N638">
        <v>4.6900000000000004</v>
      </c>
      <c r="O638">
        <v>5.3448000000000002</v>
      </c>
      <c r="P638">
        <v>3785</v>
      </c>
      <c r="Q638">
        <v>945.6</v>
      </c>
      <c r="R638">
        <v>3.3730000000000002</v>
      </c>
      <c r="S638">
        <v>18.564699999999998</v>
      </c>
      <c r="T638">
        <v>0.86980994246792198</v>
      </c>
      <c r="U638">
        <v>0.76613098922279399</v>
      </c>
      <c r="V638">
        <v>154.072998046875</v>
      </c>
      <c r="W638">
        <v>1.5361200562580499</v>
      </c>
      <c r="X638">
        <v>0.80972999334335305</v>
      </c>
    </row>
    <row r="639" spans="1:24" x14ac:dyDescent="0.25">
      <c r="A639" s="4">
        <v>45966</v>
      </c>
      <c r="B639">
        <v>4</v>
      </c>
      <c r="C639">
        <v>4</v>
      </c>
      <c r="D639">
        <v>3.96</v>
      </c>
      <c r="E639">
        <v>3.87</v>
      </c>
      <c r="F639">
        <v>3.79</v>
      </c>
      <c r="G639">
        <v>3.71</v>
      </c>
      <c r="H639">
        <v>3.63</v>
      </c>
      <c r="I639">
        <v>3.65</v>
      </c>
      <c r="J639">
        <v>3.76</v>
      </c>
      <c r="K639">
        <v>3.95</v>
      </c>
      <c r="L639">
        <v>4.17</v>
      </c>
      <c r="M639">
        <v>4.72</v>
      </c>
      <c r="N639">
        <v>4.74</v>
      </c>
      <c r="O639">
        <v>5.3795000000000002</v>
      </c>
      <c r="P639">
        <v>3833.1</v>
      </c>
      <c r="Q639">
        <v>945.13</v>
      </c>
      <c r="R639">
        <v>3.3679999999999999</v>
      </c>
      <c r="S639">
        <v>18.590399999999999</v>
      </c>
      <c r="T639">
        <v>0.87066000233114005</v>
      </c>
      <c r="U639">
        <v>0.76794900338649297</v>
      </c>
      <c r="V639">
        <v>153.55700683593699</v>
      </c>
      <c r="W639">
        <v>1.5418769944106401</v>
      </c>
      <c r="X639">
        <v>0.81032997369766202</v>
      </c>
    </row>
    <row r="640" spans="1:24" x14ac:dyDescent="0.25">
      <c r="A640" s="4">
        <v>45965</v>
      </c>
      <c r="B640">
        <v>4.0199999999999996</v>
      </c>
      <c r="C640">
        <v>4.01</v>
      </c>
      <c r="D640">
        <v>3.96</v>
      </c>
      <c r="E640">
        <v>3.87</v>
      </c>
      <c r="F640">
        <v>3.78</v>
      </c>
      <c r="G640">
        <v>3.67</v>
      </c>
      <c r="H640">
        <v>3.58</v>
      </c>
      <c r="I640">
        <v>3.59</v>
      </c>
      <c r="J640">
        <v>3.69</v>
      </c>
      <c r="K640">
        <v>3.88</v>
      </c>
      <c r="L640">
        <v>4.0999999999999996</v>
      </c>
      <c r="M640">
        <v>4.6500000000000004</v>
      </c>
      <c r="N640">
        <v>4.67</v>
      </c>
      <c r="O640">
        <v>5.3842999999999996</v>
      </c>
      <c r="P640">
        <v>3858</v>
      </c>
      <c r="Q640">
        <v>940.53</v>
      </c>
      <c r="R640">
        <v>3.3839999999999999</v>
      </c>
      <c r="S640">
        <v>18.656300000000002</v>
      </c>
      <c r="T640">
        <v>0.86812000340682305</v>
      </c>
      <c r="U640">
        <v>0.76130996083912195</v>
      </c>
      <c r="V640">
        <v>154.20399475097599</v>
      </c>
      <c r="W640">
        <v>1.5287999717152401</v>
      </c>
      <c r="X640">
        <v>0.80813002586364702</v>
      </c>
    </row>
    <row r="641" spans="1:24" x14ac:dyDescent="0.25">
      <c r="A641" s="4">
        <v>45964</v>
      </c>
      <c r="B641">
        <v>4.0599999999999996</v>
      </c>
      <c r="C641">
        <v>4.05</v>
      </c>
      <c r="D641">
        <v>3.98</v>
      </c>
      <c r="E641">
        <v>3.88</v>
      </c>
      <c r="F641">
        <v>3.8</v>
      </c>
      <c r="G641">
        <v>3.7</v>
      </c>
      <c r="H641">
        <v>3.6</v>
      </c>
      <c r="I641">
        <v>3.61</v>
      </c>
      <c r="J641">
        <v>3.72</v>
      </c>
      <c r="K641">
        <v>3.9</v>
      </c>
      <c r="L641">
        <v>4.13</v>
      </c>
      <c r="M641">
        <v>4.67</v>
      </c>
      <c r="N641">
        <v>4.6900000000000004</v>
      </c>
      <c r="O641">
        <v>5.3502000000000001</v>
      </c>
      <c r="P641">
        <v>3852</v>
      </c>
      <c r="Q641">
        <v>943.69</v>
      </c>
      <c r="R641">
        <v>3.3759999999999999</v>
      </c>
      <c r="S641">
        <v>18.4847</v>
      </c>
      <c r="T641">
        <v>0.86744995539491898</v>
      </c>
      <c r="U641">
        <v>0.76134001741661395</v>
      </c>
      <c r="V641">
        <v>154.19500732421801</v>
      </c>
      <c r="W641">
        <v>1.5277199703583999</v>
      </c>
      <c r="X641">
        <v>0.80489999055862405</v>
      </c>
    </row>
    <row r="642" spans="1:24" x14ac:dyDescent="0.25">
      <c r="A642" s="4">
        <v>45961</v>
      </c>
      <c r="B642">
        <v>4.0599999999999996</v>
      </c>
      <c r="C642">
        <v>4.04</v>
      </c>
      <c r="D642">
        <v>3.89</v>
      </c>
      <c r="E642">
        <v>3.87</v>
      </c>
      <c r="F642">
        <v>3.79</v>
      </c>
      <c r="G642">
        <v>3.7</v>
      </c>
      <c r="H642">
        <v>3.6</v>
      </c>
      <c r="I642">
        <v>3.6</v>
      </c>
      <c r="J642">
        <v>3.71</v>
      </c>
      <c r="K642">
        <v>3.89</v>
      </c>
      <c r="L642">
        <v>4.1100000000000003</v>
      </c>
      <c r="M642">
        <v>4.6500000000000004</v>
      </c>
      <c r="N642">
        <v>4.67</v>
      </c>
      <c r="O642">
        <v>5.3840000000000003</v>
      </c>
      <c r="P642">
        <v>3852</v>
      </c>
      <c r="Q642">
        <v>940.57</v>
      </c>
      <c r="R642">
        <v>3.367</v>
      </c>
      <c r="S642">
        <v>18.579599999999999</v>
      </c>
      <c r="T642">
        <v>0.86411997747352598</v>
      </c>
      <c r="U642">
        <v>0.759929987872621</v>
      </c>
      <c r="V642">
        <v>153.89999389648401</v>
      </c>
      <c r="W642">
        <v>1.5245529651523599</v>
      </c>
      <c r="X642">
        <v>0.80159002542495705</v>
      </c>
    </row>
    <row r="643" spans="1:24" x14ac:dyDescent="0.25">
      <c r="A643" s="4">
        <v>45960</v>
      </c>
      <c r="B643">
        <v>4.05</v>
      </c>
      <c r="C643">
        <v>4.04</v>
      </c>
      <c r="D643">
        <v>3.92</v>
      </c>
      <c r="E643">
        <v>3.87</v>
      </c>
      <c r="F643">
        <v>3.79</v>
      </c>
      <c r="G643">
        <v>3.7</v>
      </c>
      <c r="H643">
        <v>3.61</v>
      </c>
      <c r="I643">
        <v>3.61</v>
      </c>
      <c r="J643">
        <v>3.72</v>
      </c>
      <c r="K643">
        <v>3.9</v>
      </c>
      <c r="L643">
        <v>4.1100000000000003</v>
      </c>
      <c r="M643">
        <v>4.6399999999999997</v>
      </c>
      <c r="N643">
        <v>4.6500000000000004</v>
      </c>
      <c r="O643">
        <v>5.3846999999999996</v>
      </c>
      <c r="P643">
        <v>3863</v>
      </c>
      <c r="Q643">
        <v>940.57</v>
      </c>
      <c r="R643">
        <v>3.3820000000000001</v>
      </c>
      <c r="S643">
        <v>18.547599999999999</v>
      </c>
      <c r="T643">
        <v>0.86181994179541199</v>
      </c>
      <c r="U643">
        <v>0.75783997654010204</v>
      </c>
      <c r="V643">
        <v>152.72200012207</v>
      </c>
      <c r="W643">
        <v>1.5204960721099301</v>
      </c>
      <c r="X643">
        <v>0.79979997873306197</v>
      </c>
    </row>
    <row r="644" spans="1:24" x14ac:dyDescent="0.25">
      <c r="A644" s="4">
        <v>45959</v>
      </c>
      <c r="B644">
        <v>4.03</v>
      </c>
      <c r="C644">
        <v>3.99</v>
      </c>
      <c r="D644">
        <v>3.93</v>
      </c>
      <c r="E644">
        <v>3.86</v>
      </c>
      <c r="F644">
        <v>3.79</v>
      </c>
      <c r="G644">
        <v>3.7</v>
      </c>
      <c r="H644">
        <v>3.59</v>
      </c>
      <c r="I644">
        <v>3.6</v>
      </c>
      <c r="J644">
        <v>3.7</v>
      </c>
      <c r="K644">
        <v>3.87</v>
      </c>
      <c r="L644">
        <v>4.08</v>
      </c>
      <c r="M644">
        <v>4.59</v>
      </c>
      <c r="N644">
        <v>4.6100000000000003</v>
      </c>
      <c r="O644">
        <v>5.3413000000000004</v>
      </c>
      <c r="P644">
        <v>3873</v>
      </c>
      <c r="Q644">
        <v>941.63</v>
      </c>
      <c r="R644">
        <v>3.391</v>
      </c>
      <c r="S644">
        <v>18.470600000000001</v>
      </c>
      <c r="T644">
        <v>0.85778999493421104</v>
      </c>
      <c r="U644">
        <v>0.75304999950626195</v>
      </c>
      <c r="V644">
        <v>151.73100280761699</v>
      </c>
      <c r="W644">
        <v>1.5185798939967501</v>
      </c>
      <c r="X644">
        <v>0.792829990386962</v>
      </c>
    </row>
    <row r="645" spans="1:24" x14ac:dyDescent="0.25">
      <c r="A645" s="4">
        <v>45958</v>
      </c>
      <c r="B645">
        <v>4.07</v>
      </c>
      <c r="C645">
        <v>3.97</v>
      </c>
      <c r="D645">
        <v>3.89</v>
      </c>
      <c r="E645">
        <v>3.86</v>
      </c>
      <c r="F645">
        <v>3.72</v>
      </c>
      <c r="G645">
        <v>3.59</v>
      </c>
      <c r="H645">
        <v>3.47</v>
      </c>
      <c r="I645">
        <v>3.5</v>
      </c>
      <c r="J645">
        <v>3.6</v>
      </c>
      <c r="K645">
        <v>3.77</v>
      </c>
      <c r="L645">
        <v>3.99</v>
      </c>
      <c r="M645">
        <v>4.53</v>
      </c>
      <c r="N645">
        <v>4.55</v>
      </c>
      <c r="O645">
        <v>5.3686999999999996</v>
      </c>
      <c r="P645">
        <v>3897.93</v>
      </c>
      <c r="Q645">
        <v>938.19</v>
      </c>
      <c r="R645">
        <v>3.391</v>
      </c>
      <c r="S645">
        <v>18.4315</v>
      </c>
      <c r="T645">
        <v>0.85824003156064499</v>
      </c>
      <c r="U645">
        <v>0.74956899332531601</v>
      </c>
      <c r="V645">
        <v>152.69200134277301</v>
      </c>
      <c r="W645">
        <v>1.52471604040241</v>
      </c>
      <c r="X645">
        <v>0.79461002349853505</v>
      </c>
    </row>
    <row r="646" spans="1:24" x14ac:dyDescent="0.25">
      <c r="A646" s="4">
        <v>45957</v>
      </c>
      <c r="B646">
        <v>4.09</v>
      </c>
      <c r="C646">
        <v>4</v>
      </c>
      <c r="D646">
        <v>3.89</v>
      </c>
      <c r="E646">
        <v>3.87</v>
      </c>
      <c r="F646">
        <v>3.73</v>
      </c>
      <c r="G646">
        <v>3.59</v>
      </c>
      <c r="H646">
        <v>3.48</v>
      </c>
      <c r="I646">
        <v>3.5</v>
      </c>
      <c r="J646">
        <v>3.61</v>
      </c>
      <c r="K646">
        <v>3.79</v>
      </c>
      <c r="L646">
        <v>4.01</v>
      </c>
      <c r="M646">
        <v>4.55</v>
      </c>
      <c r="N646">
        <v>4.57</v>
      </c>
      <c r="O646">
        <v>5.3741000000000003</v>
      </c>
      <c r="P646">
        <v>3846.5</v>
      </c>
      <c r="Q646">
        <v>943.47</v>
      </c>
      <c r="R646">
        <v>3.3839999999999999</v>
      </c>
      <c r="S646">
        <v>18.396100000000001</v>
      </c>
      <c r="T646">
        <v>0.85972001477447002</v>
      </c>
      <c r="U646">
        <v>0.75061598306028599</v>
      </c>
      <c r="V646">
        <v>153.06100463867099</v>
      </c>
      <c r="W646">
        <v>1.53045997588988</v>
      </c>
      <c r="X646">
        <v>0.79605001211166304</v>
      </c>
    </row>
    <row r="647" spans="1:24" x14ac:dyDescent="0.25">
      <c r="A647" s="4">
        <v>45954</v>
      </c>
      <c r="B647">
        <v>4.1100000000000003</v>
      </c>
      <c r="C647">
        <v>4.0199999999999996</v>
      </c>
      <c r="D647">
        <v>3.93</v>
      </c>
      <c r="E647">
        <v>3.89</v>
      </c>
      <c r="F647">
        <v>3.76</v>
      </c>
      <c r="G647">
        <v>3.58</v>
      </c>
      <c r="H647">
        <v>3.48</v>
      </c>
      <c r="I647">
        <v>3.49</v>
      </c>
      <c r="J647">
        <v>3.61</v>
      </c>
      <c r="K647">
        <v>3.79</v>
      </c>
      <c r="L647">
        <v>4.0199999999999996</v>
      </c>
      <c r="M647">
        <v>4.5599999999999996</v>
      </c>
      <c r="N647">
        <v>4.59</v>
      </c>
      <c r="O647">
        <v>5.3794000000000004</v>
      </c>
      <c r="P647">
        <v>3850.5</v>
      </c>
      <c r="Q647">
        <v>945.34</v>
      </c>
      <c r="R647">
        <v>3.383</v>
      </c>
      <c r="S647">
        <v>18.441099999999999</v>
      </c>
      <c r="T647">
        <v>0.86072996882901698</v>
      </c>
      <c r="U647">
        <v>0.75032996740934499</v>
      </c>
      <c r="V647">
        <v>152.60200500488199</v>
      </c>
      <c r="W647">
        <v>1.5349669140526501</v>
      </c>
      <c r="X647">
        <v>0.795080006122589</v>
      </c>
    </row>
    <row r="648" spans="1:24" x14ac:dyDescent="0.25">
      <c r="A648" s="4">
        <v>45953</v>
      </c>
      <c r="B648">
        <v>4.12</v>
      </c>
      <c r="C648">
        <v>4.05</v>
      </c>
      <c r="D648">
        <v>3.95</v>
      </c>
      <c r="E648">
        <v>3.9</v>
      </c>
      <c r="F648">
        <v>3.78</v>
      </c>
      <c r="G648">
        <v>3.59</v>
      </c>
      <c r="H648">
        <v>3.48</v>
      </c>
      <c r="I648">
        <v>3.49</v>
      </c>
      <c r="J648">
        <v>3.61</v>
      </c>
      <c r="K648">
        <v>3.79</v>
      </c>
      <c r="L648">
        <v>4.01</v>
      </c>
      <c r="M648">
        <v>4.55</v>
      </c>
      <c r="N648">
        <v>4.58</v>
      </c>
      <c r="O648">
        <v>5.3837000000000002</v>
      </c>
      <c r="P648">
        <v>3881.9</v>
      </c>
      <c r="Q648">
        <v>950.46</v>
      </c>
      <c r="R648">
        <v>3.3889999999999998</v>
      </c>
      <c r="S648">
        <v>18.395199999999999</v>
      </c>
      <c r="T648">
        <v>0.86144000394335896</v>
      </c>
      <c r="U648">
        <v>0.74895998711467904</v>
      </c>
      <c r="V648">
        <v>151.95399475097599</v>
      </c>
      <c r="W648">
        <v>1.54083207534468</v>
      </c>
      <c r="X648">
        <v>0.79609000682830799</v>
      </c>
    </row>
    <row r="649" spans="1:24" x14ac:dyDescent="0.25">
      <c r="A649" s="4">
        <v>45952</v>
      </c>
      <c r="B649">
        <v>4.1100000000000003</v>
      </c>
      <c r="C649">
        <v>4.04</v>
      </c>
      <c r="D649">
        <v>3.96</v>
      </c>
      <c r="E649">
        <v>3.9</v>
      </c>
      <c r="F649">
        <v>3.78</v>
      </c>
      <c r="G649">
        <v>3.55</v>
      </c>
      <c r="H649">
        <v>3.45</v>
      </c>
      <c r="I649">
        <v>3.44</v>
      </c>
      <c r="J649">
        <v>3.56</v>
      </c>
      <c r="K649">
        <v>3.74</v>
      </c>
      <c r="L649">
        <v>3.97</v>
      </c>
      <c r="M649">
        <v>4.5199999999999996</v>
      </c>
      <c r="N649">
        <v>4.54</v>
      </c>
      <c r="O649">
        <v>5.3895</v>
      </c>
      <c r="P649">
        <v>3908</v>
      </c>
      <c r="Q649">
        <v>951.78</v>
      </c>
      <c r="R649">
        <v>3.4060000000000001</v>
      </c>
      <c r="S649">
        <v>18.447900000000001</v>
      </c>
      <c r="T649">
        <v>0.86204002173646699</v>
      </c>
      <c r="U649">
        <v>0.74820999629935803</v>
      </c>
      <c r="V649">
        <v>151.89300537109301</v>
      </c>
      <c r="W649">
        <v>1.5403799383543699</v>
      </c>
      <c r="X649">
        <v>0.79670000076293901</v>
      </c>
    </row>
    <row r="650" spans="1:24" x14ac:dyDescent="0.25">
      <c r="A650" s="4">
        <v>45951</v>
      </c>
      <c r="B650">
        <v>4.12</v>
      </c>
      <c r="C650">
        <v>4.05</v>
      </c>
      <c r="D650">
        <v>3.96</v>
      </c>
      <c r="E650">
        <v>3.9</v>
      </c>
      <c r="F650">
        <v>3.78</v>
      </c>
      <c r="G650">
        <v>3.56</v>
      </c>
      <c r="H650">
        <v>3.45</v>
      </c>
      <c r="I650">
        <v>3.46</v>
      </c>
      <c r="J650">
        <v>3.56</v>
      </c>
      <c r="K650">
        <v>3.74</v>
      </c>
      <c r="L650">
        <v>3.98</v>
      </c>
      <c r="M650">
        <v>4.53</v>
      </c>
      <c r="N650">
        <v>4.55</v>
      </c>
      <c r="O650">
        <v>5.3845000000000001</v>
      </c>
      <c r="P650">
        <v>3890</v>
      </c>
      <c r="Q650">
        <v>953.21</v>
      </c>
      <c r="R650">
        <v>3.39</v>
      </c>
      <c r="S650">
        <v>18.439699999999998</v>
      </c>
      <c r="T650">
        <v>0.85878003106453504</v>
      </c>
      <c r="U650">
        <v>0.74598002113634698</v>
      </c>
      <c r="V650">
        <v>150.774002075195</v>
      </c>
      <c r="W650">
        <v>1.53461000900063</v>
      </c>
      <c r="X650">
        <v>0.792400002479553</v>
      </c>
    </row>
    <row r="651" spans="1:24" x14ac:dyDescent="0.25">
      <c r="A651" s="4">
        <v>45950</v>
      </c>
      <c r="B651">
        <v>4.1500000000000004</v>
      </c>
      <c r="C651">
        <v>4.05</v>
      </c>
      <c r="D651">
        <v>3.97</v>
      </c>
      <c r="E651">
        <v>3.92</v>
      </c>
      <c r="F651">
        <v>3.78</v>
      </c>
      <c r="G651">
        <v>3.55</v>
      </c>
      <c r="H651">
        <v>3.46</v>
      </c>
      <c r="I651">
        <v>3.47</v>
      </c>
      <c r="J651">
        <v>3.58</v>
      </c>
      <c r="K651">
        <v>3.77</v>
      </c>
      <c r="L651">
        <v>4</v>
      </c>
      <c r="M651">
        <v>4.5599999999999996</v>
      </c>
      <c r="N651">
        <v>4.58</v>
      </c>
      <c r="O651">
        <v>5.3768000000000002</v>
      </c>
      <c r="P651">
        <v>3883.2</v>
      </c>
      <c r="Q651">
        <v>960.34</v>
      </c>
      <c r="R651">
        <v>3.3719999999999999</v>
      </c>
      <c r="S651">
        <v>18.411100000000001</v>
      </c>
      <c r="T651">
        <v>0.85781999438796497</v>
      </c>
      <c r="U651">
        <v>0.74483003070558496</v>
      </c>
      <c r="V651">
        <v>150.89999389648401</v>
      </c>
      <c r="W651">
        <v>1.5380589280663901</v>
      </c>
      <c r="X651">
        <v>0.79359000921249301</v>
      </c>
    </row>
    <row r="652" spans="1:24" x14ac:dyDescent="0.25">
      <c r="A652" s="4">
        <v>45947</v>
      </c>
      <c r="B652">
        <v>4.18</v>
      </c>
      <c r="C652">
        <v>4.08</v>
      </c>
      <c r="D652">
        <v>4</v>
      </c>
      <c r="E652">
        <v>3.95</v>
      </c>
      <c r="F652">
        <v>3.79</v>
      </c>
      <c r="G652">
        <v>3.56</v>
      </c>
      <c r="H652">
        <v>3.46</v>
      </c>
      <c r="I652">
        <v>3.47</v>
      </c>
      <c r="J652">
        <v>3.59</v>
      </c>
      <c r="K652">
        <v>3.78</v>
      </c>
      <c r="L652">
        <v>4.0199999999999996</v>
      </c>
      <c r="M652">
        <v>4.58</v>
      </c>
      <c r="N652">
        <v>4.5999999999999996</v>
      </c>
      <c r="O652">
        <v>5.4386999999999999</v>
      </c>
      <c r="P652">
        <v>3834</v>
      </c>
      <c r="Q652">
        <v>956.13</v>
      </c>
      <c r="R652">
        <v>3.379</v>
      </c>
      <c r="S652">
        <v>18.389900000000001</v>
      </c>
      <c r="T652">
        <v>0.854729973099558</v>
      </c>
      <c r="U652">
        <v>0.74374002123601501</v>
      </c>
      <c r="V652">
        <v>150.11999511718699</v>
      </c>
      <c r="W652">
        <v>1.5426390253684801</v>
      </c>
      <c r="X652">
        <v>0.79183000326156605</v>
      </c>
    </row>
    <row r="653" spans="1:24" x14ac:dyDescent="0.25">
      <c r="A653" s="4">
        <v>45946</v>
      </c>
      <c r="B653">
        <v>4.2</v>
      </c>
      <c r="C653">
        <v>4.0999999999999996</v>
      </c>
      <c r="D653">
        <v>4.0199999999999996</v>
      </c>
      <c r="E653">
        <v>3.96</v>
      </c>
      <c r="F653">
        <v>3.79</v>
      </c>
      <c r="G653">
        <v>3.54</v>
      </c>
      <c r="H653">
        <v>3.41</v>
      </c>
      <c r="I653">
        <v>3.42</v>
      </c>
      <c r="J653">
        <v>3.55</v>
      </c>
      <c r="K653">
        <v>3.74</v>
      </c>
      <c r="L653">
        <v>3.99</v>
      </c>
      <c r="M653">
        <v>4.5599999999999996</v>
      </c>
      <c r="N653">
        <v>4.58</v>
      </c>
      <c r="O653">
        <v>5.4351000000000003</v>
      </c>
      <c r="P653">
        <v>3845</v>
      </c>
      <c r="Q653">
        <v>959.36</v>
      </c>
      <c r="R653">
        <v>3.3849999999999998</v>
      </c>
      <c r="S653">
        <v>18.431799999999999</v>
      </c>
      <c r="T653">
        <v>0.85864000176055499</v>
      </c>
      <c r="U653">
        <v>0.74602002529062905</v>
      </c>
      <c r="V653">
        <v>150.97399902343699</v>
      </c>
      <c r="W653">
        <v>1.53656997705295</v>
      </c>
      <c r="X653">
        <v>0.79654997587203902</v>
      </c>
    </row>
    <row r="654" spans="1:24" x14ac:dyDescent="0.25">
      <c r="A654" s="4">
        <v>45945</v>
      </c>
      <c r="B654">
        <v>4.2</v>
      </c>
      <c r="C654">
        <v>4.09</v>
      </c>
      <c r="D654">
        <v>4.03</v>
      </c>
      <c r="E654">
        <v>3.98</v>
      </c>
      <c r="F654">
        <v>3.82</v>
      </c>
      <c r="G654">
        <v>3.61</v>
      </c>
      <c r="H654">
        <v>3.5</v>
      </c>
      <c r="I654">
        <v>3.51</v>
      </c>
      <c r="J654">
        <v>3.63</v>
      </c>
      <c r="K654">
        <v>3.82</v>
      </c>
      <c r="L654">
        <v>4.05</v>
      </c>
      <c r="M654">
        <v>4.6100000000000003</v>
      </c>
      <c r="N654">
        <v>4.6399999999999997</v>
      </c>
      <c r="O654">
        <v>5.4461000000000004</v>
      </c>
      <c r="P654">
        <v>3895</v>
      </c>
      <c r="Q654">
        <v>963.69</v>
      </c>
      <c r="R654">
        <v>3.4039999999999999</v>
      </c>
      <c r="S654">
        <v>18.472300000000001</v>
      </c>
      <c r="T654">
        <v>0.86189999006441398</v>
      </c>
      <c r="U654">
        <v>0.750659978986981</v>
      </c>
      <c r="V654">
        <v>151.73100280761699</v>
      </c>
      <c r="W654">
        <v>1.5405230769259</v>
      </c>
      <c r="X654">
        <v>0.80153000354766801</v>
      </c>
    </row>
    <row r="655" spans="1:24" x14ac:dyDescent="0.25">
      <c r="A655" s="4">
        <v>45944</v>
      </c>
      <c r="B655">
        <v>4.1900000000000004</v>
      </c>
      <c r="C655">
        <v>4.08</v>
      </c>
      <c r="D655">
        <v>4.0199999999999996</v>
      </c>
      <c r="E655">
        <v>3.95</v>
      </c>
      <c r="F655">
        <v>3.8</v>
      </c>
      <c r="G655">
        <v>3.58</v>
      </c>
      <c r="H655">
        <v>3.48</v>
      </c>
      <c r="I655">
        <v>3.47</v>
      </c>
      <c r="J655">
        <v>3.6</v>
      </c>
      <c r="K655">
        <v>3.79</v>
      </c>
      <c r="L655">
        <v>4.03</v>
      </c>
      <c r="M655">
        <v>4.59</v>
      </c>
      <c r="N655">
        <v>4.62</v>
      </c>
      <c r="O655">
        <v>5.4978999999999996</v>
      </c>
      <c r="P655">
        <v>3925</v>
      </c>
      <c r="Q655">
        <v>957.66</v>
      </c>
      <c r="R655">
        <v>3.4249999999999998</v>
      </c>
      <c r="S655">
        <v>18.506399999999999</v>
      </c>
      <c r="T655">
        <v>0.86453997140876304</v>
      </c>
      <c r="U655">
        <v>0.75004001175227797</v>
      </c>
      <c r="V655">
        <v>152.43400573730401</v>
      </c>
      <c r="W655">
        <v>1.53572100381055</v>
      </c>
      <c r="X655">
        <v>0.80428999662399203</v>
      </c>
    </row>
    <row r="656" spans="1:24" x14ac:dyDescent="0.25">
      <c r="A656" s="4">
        <v>45940</v>
      </c>
      <c r="B656">
        <v>4.1900000000000004</v>
      </c>
      <c r="C656">
        <v>4.0999999999999996</v>
      </c>
      <c r="D656">
        <v>4.0199999999999996</v>
      </c>
      <c r="E656">
        <v>3.96</v>
      </c>
      <c r="F656">
        <v>3.81</v>
      </c>
      <c r="G656">
        <v>3.6</v>
      </c>
      <c r="H656">
        <v>3.52</v>
      </c>
      <c r="I656">
        <v>3.52</v>
      </c>
      <c r="J656">
        <v>3.65</v>
      </c>
      <c r="K656">
        <v>3.83</v>
      </c>
      <c r="L656">
        <v>4.05</v>
      </c>
      <c r="M656">
        <v>4.5999999999999996</v>
      </c>
      <c r="N656">
        <v>4.63</v>
      </c>
      <c r="O656">
        <v>5.4443000000000001</v>
      </c>
      <c r="P656">
        <v>3924.63</v>
      </c>
      <c r="Q656">
        <v>948.77</v>
      </c>
      <c r="R656">
        <v>3.4340000000000002</v>
      </c>
      <c r="S656">
        <v>18.542400000000001</v>
      </c>
      <c r="T656">
        <v>0.86456999932801704</v>
      </c>
      <c r="U656">
        <v>0.75160003583908197</v>
      </c>
      <c r="V656">
        <v>152.96499633789</v>
      </c>
      <c r="W656">
        <v>1.5240901157437801</v>
      </c>
      <c r="X656">
        <v>0.80616998672485296</v>
      </c>
    </row>
    <row r="657" spans="1:24" x14ac:dyDescent="0.25">
      <c r="A657" s="4">
        <v>45939</v>
      </c>
      <c r="B657">
        <v>4.2</v>
      </c>
      <c r="C657">
        <v>4.1100000000000003</v>
      </c>
      <c r="D657">
        <v>4.03</v>
      </c>
      <c r="E657">
        <v>3.95</v>
      </c>
      <c r="F657">
        <v>3.83</v>
      </c>
      <c r="G657">
        <v>3.66</v>
      </c>
      <c r="H657">
        <v>3.6</v>
      </c>
      <c r="I657">
        <v>3.59</v>
      </c>
      <c r="J657">
        <v>3.74</v>
      </c>
      <c r="K657">
        <v>3.92</v>
      </c>
      <c r="L657">
        <v>4.1399999999999997</v>
      </c>
      <c r="M657">
        <v>4.7</v>
      </c>
      <c r="N657">
        <v>4.72</v>
      </c>
      <c r="O657">
        <v>5.3535000000000004</v>
      </c>
      <c r="P657">
        <v>3886.89</v>
      </c>
      <c r="Q657">
        <v>951.45</v>
      </c>
      <c r="R657">
        <v>3.423</v>
      </c>
      <c r="S657">
        <v>18.3855</v>
      </c>
      <c r="T657">
        <v>0.85970001431704601</v>
      </c>
      <c r="U657">
        <v>0.74619004104192499</v>
      </c>
      <c r="V657">
        <v>152.67999267578099</v>
      </c>
      <c r="W657">
        <v>1.5187180472019399</v>
      </c>
      <c r="X657">
        <v>0.80150002241134599</v>
      </c>
    </row>
    <row r="658" spans="1:24" x14ac:dyDescent="0.25">
      <c r="A658" s="4">
        <v>45938</v>
      </c>
      <c r="B658">
        <v>4.2</v>
      </c>
      <c r="C658">
        <v>4.09</v>
      </c>
      <c r="D658">
        <v>4.01</v>
      </c>
      <c r="E658">
        <v>3.94</v>
      </c>
      <c r="F658">
        <v>3.82</v>
      </c>
      <c r="G658">
        <v>3.66</v>
      </c>
      <c r="H658">
        <v>3.58</v>
      </c>
      <c r="I658">
        <v>3.58</v>
      </c>
      <c r="J658">
        <v>3.72</v>
      </c>
      <c r="K658">
        <v>3.91</v>
      </c>
      <c r="L658">
        <v>4.13</v>
      </c>
      <c r="M658">
        <v>4.6900000000000004</v>
      </c>
      <c r="N658">
        <v>4.72</v>
      </c>
      <c r="O658">
        <v>5.3423999999999996</v>
      </c>
      <c r="P658">
        <v>3895</v>
      </c>
      <c r="Q658">
        <v>961.61</v>
      </c>
      <c r="R658">
        <v>3.4430000000000001</v>
      </c>
      <c r="S658">
        <v>18.324200000000001</v>
      </c>
      <c r="T658">
        <v>0.85803004933212901</v>
      </c>
      <c r="U658">
        <v>0.74510002118424801</v>
      </c>
      <c r="V658">
        <v>152.05099487304599</v>
      </c>
      <c r="W658">
        <v>1.5196399866416099</v>
      </c>
      <c r="X658">
        <v>0.79859000444412198</v>
      </c>
    </row>
    <row r="659" spans="1:24" x14ac:dyDescent="0.25">
      <c r="A659" s="4">
        <v>45937</v>
      </c>
      <c r="B659">
        <v>4.2</v>
      </c>
      <c r="C659">
        <v>4.0999999999999996</v>
      </c>
      <c r="D659">
        <v>4.01</v>
      </c>
      <c r="E659">
        <v>3.95</v>
      </c>
      <c r="F659">
        <v>3.81</v>
      </c>
      <c r="G659">
        <v>3.65</v>
      </c>
      <c r="H659">
        <v>3.57</v>
      </c>
      <c r="I659">
        <v>3.56</v>
      </c>
      <c r="J659">
        <v>3.71</v>
      </c>
      <c r="K659">
        <v>3.9</v>
      </c>
      <c r="L659">
        <v>4.1399999999999997</v>
      </c>
      <c r="M659">
        <v>4.7</v>
      </c>
      <c r="N659">
        <v>4.7300000000000004</v>
      </c>
      <c r="O659">
        <v>5.3360000000000003</v>
      </c>
      <c r="P659">
        <v>3877.06</v>
      </c>
      <c r="Q659">
        <v>963.09</v>
      </c>
      <c r="R659">
        <v>3.4430000000000001</v>
      </c>
      <c r="S659">
        <v>18.394500000000001</v>
      </c>
      <c r="T659">
        <v>0.85395001130475301</v>
      </c>
      <c r="U659">
        <v>0.74157000419997998</v>
      </c>
      <c r="V659">
        <v>150.33099365234301</v>
      </c>
      <c r="W659">
        <v>1.5113730778707</v>
      </c>
      <c r="X659">
        <v>0.79491001367568903</v>
      </c>
    </row>
    <row r="660" spans="1:24" x14ac:dyDescent="0.25">
      <c r="A660" s="4">
        <v>45936</v>
      </c>
      <c r="B660">
        <v>4.22</v>
      </c>
      <c r="C660">
        <v>4.1100000000000003</v>
      </c>
      <c r="D660">
        <v>4.0199999999999996</v>
      </c>
      <c r="E660">
        <v>3.95</v>
      </c>
      <c r="F660">
        <v>3.81</v>
      </c>
      <c r="G660">
        <v>3.66</v>
      </c>
      <c r="H660">
        <v>3.6</v>
      </c>
      <c r="I660">
        <v>3.63</v>
      </c>
      <c r="J660">
        <v>3.75</v>
      </c>
      <c r="K660">
        <v>3.95</v>
      </c>
      <c r="L660">
        <v>4.18</v>
      </c>
      <c r="M660">
        <v>4.7300000000000004</v>
      </c>
      <c r="N660">
        <v>4.76</v>
      </c>
      <c r="O660">
        <v>5.3223000000000003</v>
      </c>
      <c r="P660">
        <v>3858.95</v>
      </c>
      <c r="Q660">
        <v>963.17</v>
      </c>
      <c r="R660">
        <v>3.4590000000000001</v>
      </c>
      <c r="S660">
        <v>18.3474</v>
      </c>
      <c r="T660">
        <v>0.85379000120303605</v>
      </c>
      <c r="U660">
        <v>0.74439003707748497</v>
      </c>
      <c r="V660">
        <v>149.60600280761699</v>
      </c>
      <c r="W660">
        <v>1.5167369592315101</v>
      </c>
      <c r="X660">
        <v>0.79719001054763705</v>
      </c>
    </row>
    <row r="661" spans="1:24" x14ac:dyDescent="0.25">
      <c r="A661" s="4">
        <v>45933</v>
      </c>
      <c r="B661">
        <v>4.24</v>
      </c>
      <c r="C661">
        <v>4.1100000000000003</v>
      </c>
      <c r="D661">
        <v>4.03</v>
      </c>
      <c r="E661">
        <v>3.96</v>
      </c>
      <c r="F661">
        <v>3.82</v>
      </c>
      <c r="G661">
        <v>3.64</v>
      </c>
      <c r="H661">
        <v>3.58</v>
      </c>
      <c r="I661">
        <v>3.59</v>
      </c>
      <c r="J661">
        <v>3.72</v>
      </c>
      <c r="K661">
        <v>3.9</v>
      </c>
      <c r="L661">
        <v>4.13</v>
      </c>
      <c r="M661">
        <v>4.6900000000000004</v>
      </c>
      <c r="N661">
        <v>4.71</v>
      </c>
      <c r="O661">
        <v>5.3494999999999999</v>
      </c>
      <c r="P661">
        <v>3870</v>
      </c>
      <c r="Q661">
        <v>961.54</v>
      </c>
      <c r="R661">
        <v>3.4609999999999999</v>
      </c>
      <c r="S661">
        <v>18.3935</v>
      </c>
      <c r="T661">
        <v>0.85286995662045095</v>
      </c>
      <c r="U661">
        <v>0.74368002019882795</v>
      </c>
      <c r="V661">
        <v>147.14999389648401</v>
      </c>
      <c r="W661">
        <v>1.5155899961327</v>
      </c>
      <c r="X661">
        <v>0.79702001810073797</v>
      </c>
    </row>
    <row r="662" spans="1:24" x14ac:dyDescent="0.25">
      <c r="A662" s="4">
        <v>45932</v>
      </c>
      <c r="B662">
        <v>4.2300000000000004</v>
      </c>
      <c r="C662">
        <v>4.1100000000000003</v>
      </c>
      <c r="D662">
        <v>4.0199999999999996</v>
      </c>
      <c r="E662">
        <v>3.96</v>
      </c>
      <c r="F662">
        <v>3.81</v>
      </c>
      <c r="G662">
        <v>3.62</v>
      </c>
      <c r="H662">
        <v>3.55</v>
      </c>
      <c r="I662">
        <v>3.56</v>
      </c>
      <c r="J662">
        <v>3.67</v>
      </c>
      <c r="K662">
        <v>3.86</v>
      </c>
      <c r="L662">
        <v>4.0999999999999996</v>
      </c>
      <c r="M662">
        <v>4.66</v>
      </c>
      <c r="N662">
        <v>4.6900000000000004</v>
      </c>
      <c r="O662">
        <v>5.3445999999999998</v>
      </c>
      <c r="P662">
        <v>3887</v>
      </c>
      <c r="Q662">
        <v>959.19</v>
      </c>
      <c r="R662">
        <v>3.4729999999999999</v>
      </c>
      <c r="S662">
        <v>18.4252</v>
      </c>
      <c r="T662">
        <v>0.852220030758158</v>
      </c>
      <c r="U662">
        <v>0.74182996045363603</v>
      </c>
      <c r="V662">
        <v>147.08299255371</v>
      </c>
      <c r="W662">
        <v>1.5116019837527099</v>
      </c>
      <c r="X662">
        <v>0.79690998792648304</v>
      </c>
    </row>
    <row r="663" spans="1:24" x14ac:dyDescent="0.25">
      <c r="A663" s="4">
        <v>45931</v>
      </c>
      <c r="B663">
        <v>4.17</v>
      </c>
      <c r="C663">
        <v>4.12</v>
      </c>
      <c r="D663">
        <v>4.01</v>
      </c>
      <c r="E663">
        <v>3.95</v>
      </c>
      <c r="F663">
        <v>3.8</v>
      </c>
      <c r="G663">
        <v>3.62</v>
      </c>
      <c r="H663">
        <v>3.55</v>
      </c>
      <c r="I663">
        <v>3.56</v>
      </c>
      <c r="J663">
        <v>3.68</v>
      </c>
      <c r="K663">
        <v>3.88</v>
      </c>
      <c r="L663">
        <v>4.12</v>
      </c>
      <c r="M663">
        <v>4.6900000000000004</v>
      </c>
      <c r="N663">
        <v>4.72</v>
      </c>
      <c r="O663">
        <v>5.3205</v>
      </c>
      <c r="P663">
        <v>3880</v>
      </c>
      <c r="Q663">
        <v>962.39</v>
      </c>
      <c r="R663">
        <v>3.4750000000000001</v>
      </c>
      <c r="S663">
        <v>18.368600000000001</v>
      </c>
      <c r="T663">
        <v>0.85209000863811102</v>
      </c>
      <c r="U663">
        <v>0.74385998639902495</v>
      </c>
      <c r="V663">
        <v>147.99699401855401</v>
      </c>
      <c r="W663">
        <v>1.5126989973325</v>
      </c>
      <c r="X663">
        <v>0.79619997739791804</v>
      </c>
    </row>
    <row r="664" spans="1:24" x14ac:dyDescent="0.25">
      <c r="A664" s="4">
        <v>45930</v>
      </c>
      <c r="B664">
        <v>4.2</v>
      </c>
      <c r="C664">
        <v>4.1500000000000004</v>
      </c>
      <c r="D664">
        <v>4.0199999999999996</v>
      </c>
      <c r="E664">
        <v>3.98</v>
      </c>
      <c r="F664">
        <v>3.83</v>
      </c>
      <c r="G664">
        <v>3.68</v>
      </c>
      <c r="H664">
        <v>3.6</v>
      </c>
      <c r="I664">
        <v>3.61</v>
      </c>
      <c r="J664">
        <v>3.74</v>
      </c>
      <c r="K664">
        <v>3.93</v>
      </c>
      <c r="L664">
        <v>4.16</v>
      </c>
      <c r="M664">
        <v>4.71</v>
      </c>
      <c r="N664">
        <v>4.7300000000000004</v>
      </c>
      <c r="O664">
        <v>5.4260999999999999</v>
      </c>
      <c r="P664">
        <v>4015.92</v>
      </c>
      <c r="Q664">
        <v>967.48</v>
      </c>
      <c r="R664">
        <v>3.53</v>
      </c>
      <c r="S664">
        <v>18.6615</v>
      </c>
      <c r="T664">
        <v>0.85241002787508002</v>
      </c>
      <c r="U664">
        <v>0.74419997691621298</v>
      </c>
      <c r="V664">
        <v>148.59500122070301</v>
      </c>
      <c r="W664">
        <v>1.51929994110151</v>
      </c>
      <c r="X664">
        <v>0.79720002412795998</v>
      </c>
    </row>
    <row r="665" spans="1:24" x14ac:dyDescent="0.25">
      <c r="A665" s="4">
        <v>45929</v>
      </c>
      <c r="B665">
        <v>4.22</v>
      </c>
      <c r="C665">
        <v>4.16</v>
      </c>
      <c r="D665">
        <v>4.04</v>
      </c>
      <c r="E665">
        <v>3.99</v>
      </c>
      <c r="F665">
        <v>3.84</v>
      </c>
      <c r="G665">
        <v>3.65</v>
      </c>
      <c r="H665">
        <v>3.63</v>
      </c>
      <c r="I665">
        <v>3.63</v>
      </c>
      <c r="J665">
        <v>3.74</v>
      </c>
      <c r="K665">
        <v>3.92</v>
      </c>
      <c r="L665">
        <v>4.1500000000000004</v>
      </c>
      <c r="M665">
        <v>4.6900000000000004</v>
      </c>
      <c r="N665">
        <v>4.71</v>
      </c>
      <c r="O665">
        <v>5.4260999999999999</v>
      </c>
      <c r="P665">
        <v>4015.92</v>
      </c>
      <c r="Q665">
        <v>967.48</v>
      </c>
      <c r="R665">
        <v>3.53</v>
      </c>
      <c r="S665">
        <v>18.6615</v>
      </c>
      <c r="T665">
        <v>0.85409999372809398</v>
      </c>
      <c r="U665">
        <v>0.74580996844851399</v>
      </c>
      <c r="V665">
        <v>149.40499877929599</v>
      </c>
      <c r="W665">
        <v>1.52578610804049</v>
      </c>
      <c r="X665">
        <v>0.79747998714446999</v>
      </c>
    </row>
    <row r="666" spans="1:24" x14ac:dyDescent="0.25">
      <c r="A666" s="4">
        <v>45926</v>
      </c>
      <c r="B666">
        <v>4.22</v>
      </c>
      <c r="C666">
        <v>4.17</v>
      </c>
      <c r="D666">
        <v>4.0199999999999996</v>
      </c>
      <c r="E666">
        <v>4</v>
      </c>
      <c r="F666">
        <v>3.83</v>
      </c>
      <c r="G666">
        <v>3.67</v>
      </c>
      <c r="H666">
        <v>3.63</v>
      </c>
      <c r="I666">
        <v>3.66</v>
      </c>
      <c r="J666">
        <v>3.76</v>
      </c>
      <c r="K666">
        <v>3.96</v>
      </c>
      <c r="L666">
        <v>4.2</v>
      </c>
      <c r="M666">
        <v>4.74</v>
      </c>
      <c r="N666">
        <v>4.7699999999999996</v>
      </c>
      <c r="O666">
        <v>5.4260999999999999</v>
      </c>
      <c r="P666">
        <v>4015.92</v>
      </c>
      <c r="Q666">
        <v>967.48</v>
      </c>
      <c r="R666">
        <v>3.53</v>
      </c>
      <c r="S666">
        <v>18.6615</v>
      </c>
      <c r="T666">
        <v>0.85742998980316898</v>
      </c>
      <c r="U666">
        <v>0.749819977589265</v>
      </c>
      <c r="V666">
        <v>149.86099243164</v>
      </c>
      <c r="W666">
        <v>1.52968007969515</v>
      </c>
      <c r="X666">
        <v>0.80004000663757302</v>
      </c>
    </row>
    <row r="667" spans="1:24" x14ac:dyDescent="0.25">
      <c r="A667" s="4">
        <v>45925</v>
      </c>
      <c r="B667">
        <v>4.24</v>
      </c>
      <c r="C667">
        <v>4.18</v>
      </c>
      <c r="D667">
        <v>4.04</v>
      </c>
      <c r="E667">
        <v>4.01</v>
      </c>
      <c r="F667">
        <v>3.85</v>
      </c>
      <c r="G667">
        <v>3.68</v>
      </c>
      <c r="H667">
        <v>3.64</v>
      </c>
      <c r="I667">
        <v>3.66</v>
      </c>
      <c r="J667">
        <v>3.75</v>
      </c>
      <c r="K667">
        <v>3.94</v>
      </c>
      <c r="L667">
        <v>4.18</v>
      </c>
      <c r="M667">
        <v>4.7300000000000004</v>
      </c>
      <c r="N667">
        <v>4.75</v>
      </c>
      <c r="O667">
        <v>5.4260999999999999</v>
      </c>
      <c r="P667">
        <v>4015.92</v>
      </c>
      <c r="Q667">
        <v>967.48</v>
      </c>
      <c r="R667">
        <v>3.53</v>
      </c>
      <c r="S667">
        <v>18.6615</v>
      </c>
      <c r="T667">
        <v>0.85144999910679298</v>
      </c>
      <c r="U667">
        <v>0.74336197863866504</v>
      </c>
      <c r="V667">
        <v>148.75100708007801</v>
      </c>
      <c r="W667">
        <v>1.5181599526559499</v>
      </c>
      <c r="X667">
        <v>0.79465997219085605</v>
      </c>
    </row>
    <row r="668" spans="1:24" x14ac:dyDescent="0.25">
      <c r="A668" s="4">
        <v>45924</v>
      </c>
      <c r="B668">
        <v>4.18</v>
      </c>
      <c r="C668">
        <v>4.13</v>
      </c>
      <c r="D668">
        <v>4.0199999999999996</v>
      </c>
      <c r="E668">
        <v>3.98</v>
      </c>
      <c r="F668">
        <v>3.82</v>
      </c>
      <c r="G668">
        <v>3.63</v>
      </c>
      <c r="H668">
        <v>3.57</v>
      </c>
      <c r="I668">
        <v>3.6</v>
      </c>
      <c r="J668">
        <v>3.7</v>
      </c>
      <c r="K668">
        <v>3.91</v>
      </c>
      <c r="L668">
        <v>4.16</v>
      </c>
      <c r="M668">
        <v>4.7300000000000004</v>
      </c>
      <c r="N668">
        <v>4.76</v>
      </c>
      <c r="O668">
        <v>5.4260999999999999</v>
      </c>
      <c r="P668">
        <v>4015.92</v>
      </c>
      <c r="Q668">
        <v>967.48</v>
      </c>
      <c r="R668">
        <v>3.53</v>
      </c>
      <c r="S668">
        <v>18.6615</v>
      </c>
      <c r="T668">
        <v>0.84642000780571103</v>
      </c>
      <c r="U668">
        <v>0.73940003464033699</v>
      </c>
      <c r="V668">
        <v>147.61300659179599</v>
      </c>
      <c r="W668">
        <v>1.51565694937425</v>
      </c>
      <c r="X668">
        <v>0.79142999649047796</v>
      </c>
    </row>
    <row r="669" spans="1:24" x14ac:dyDescent="0.25">
      <c r="A669" s="4">
        <v>45923</v>
      </c>
      <c r="B669">
        <v>4.16</v>
      </c>
      <c r="C669">
        <v>4.12</v>
      </c>
      <c r="D669">
        <v>4</v>
      </c>
      <c r="E669">
        <v>3.97</v>
      </c>
      <c r="F669">
        <v>3.81</v>
      </c>
      <c r="G669">
        <v>3.61</v>
      </c>
      <c r="H669">
        <v>3.53</v>
      </c>
      <c r="I669">
        <v>3.57</v>
      </c>
      <c r="J669">
        <v>3.68</v>
      </c>
      <c r="K669">
        <v>3.87</v>
      </c>
      <c r="L669">
        <v>4.12</v>
      </c>
      <c r="M669">
        <v>4.7</v>
      </c>
      <c r="N669">
        <v>4.7300000000000004</v>
      </c>
      <c r="O669">
        <v>5.4260999999999999</v>
      </c>
      <c r="P669">
        <v>4015.92</v>
      </c>
      <c r="Q669">
        <v>967.48</v>
      </c>
      <c r="R669">
        <v>3.53</v>
      </c>
      <c r="S669">
        <v>18.6615</v>
      </c>
      <c r="T669">
        <v>0.84738001976672594</v>
      </c>
      <c r="U669">
        <v>0.73992002598176498</v>
      </c>
      <c r="V669">
        <v>147.725006103515</v>
      </c>
      <c r="W669">
        <v>1.5146930648589401</v>
      </c>
      <c r="X669">
        <v>0.79238998889923096</v>
      </c>
    </row>
    <row r="670" spans="1:24" x14ac:dyDescent="0.25">
      <c r="A670" s="4">
        <v>45922</v>
      </c>
      <c r="B670">
        <v>4.17</v>
      </c>
      <c r="C670">
        <v>4.13</v>
      </c>
      <c r="D670">
        <v>4</v>
      </c>
      <c r="E670">
        <v>3.98</v>
      </c>
      <c r="F670">
        <v>3.81</v>
      </c>
      <c r="G670">
        <v>3.61</v>
      </c>
      <c r="H670">
        <v>3.61</v>
      </c>
      <c r="I670">
        <v>3.59</v>
      </c>
      <c r="J670">
        <v>3.71</v>
      </c>
      <c r="K670">
        <v>3.9</v>
      </c>
      <c r="L670">
        <v>4.1500000000000004</v>
      </c>
      <c r="M670">
        <v>4.7300000000000004</v>
      </c>
      <c r="N670">
        <v>4.7699999999999996</v>
      </c>
      <c r="O670">
        <v>5.4260999999999999</v>
      </c>
      <c r="P670">
        <v>4015.92</v>
      </c>
      <c r="Q670">
        <v>967.48</v>
      </c>
      <c r="R670">
        <v>3.53</v>
      </c>
      <c r="S670">
        <v>18.6615</v>
      </c>
      <c r="T670">
        <v>0.85201004137047798</v>
      </c>
      <c r="U670">
        <v>0.74268002355013896</v>
      </c>
      <c r="V670">
        <v>148.09500122070301</v>
      </c>
      <c r="W670">
        <v>1.51760995565365</v>
      </c>
      <c r="X670">
        <v>0.79623001813888505</v>
      </c>
    </row>
    <row r="671" spans="1:24" x14ac:dyDescent="0.25">
      <c r="A671" s="4">
        <v>45919</v>
      </c>
      <c r="B671">
        <v>4.1900000000000004</v>
      </c>
      <c r="C671">
        <v>4.1399999999999997</v>
      </c>
      <c r="D671">
        <v>4.03</v>
      </c>
      <c r="E671">
        <v>3.98</v>
      </c>
      <c r="F671">
        <v>3.81</v>
      </c>
      <c r="G671">
        <v>3.6</v>
      </c>
      <c r="H671">
        <v>3.57</v>
      </c>
      <c r="I671">
        <v>3.56</v>
      </c>
      <c r="J671">
        <v>3.68</v>
      </c>
      <c r="K671">
        <v>3.88</v>
      </c>
      <c r="L671">
        <v>4.1399999999999997</v>
      </c>
      <c r="M671">
        <v>4.71</v>
      </c>
      <c r="N671">
        <v>4.75</v>
      </c>
      <c r="O671">
        <v>5.4260999999999999</v>
      </c>
      <c r="P671">
        <v>4015.92</v>
      </c>
      <c r="Q671">
        <v>967.48</v>
      </c>
      <c r="R671">
        <v>3.53</v>
      </c>
      <c r="S671">
        <v>18.6615</v>
      </c>
      <c r="T671">
        <v>0.84810000141541897</v>
      </c>
      <c r="U671">
        <v>0.73768001851628995</v>
      </c>
      <c r="V671">
        <v>147.947006225585</v>
      </c>
      <c r="W671">
        <v>1.5110529166134099</v>
      </c>
      <c r="X671">
        <v>0.79250997304916304</v>
      </c>
    </row>
    <row r="672" spans="1:24" x14ac:dyDescent="0.25">
      <c r="A672" s="4">
        <v>45918</v>
      </c>
      <c r="B672">
        <v>4.2</v>
      </c>
      <c r="C672">
        <v>4.1399999999999997</v>
      </c>
      <c r="D672">
        <v>4.03</v>
      </c>
      <c r="E672">
        <v>3.98</v>
      </c>
      <c r="F672">
        <v>3.81</v>
      </c>
      <c r="G672">
        <v>3.61</v>
      </c>
      <c r="H672">
        <v>3.57</v>
      </c>
      <c r="I672">
        <v>3.55</v>
      </c>
      <c r="J672">
        <v>3.67</v>
      </c>
      <c r="K672">
        <v>3.86</v>
      </c>
      <c r="L672">
        <v>4.1100000000000003</v>
      </c>
      <c r="M672">
        <v>4.68</v>
      </c>
      <c r="N672">
        <v>4.72</v>
      </c>
      <c r="O672">
        <v>5.4260999999999999</v>
      </c>
      <c r="P672">
        <v>4015.92</v>
      </c>
      <c r="Q672">
        <v>967.48</v>
      </c>
      <c r="R672">
        <v>3.53</v>
      </c>
      <c r="S672">
        <v>18.6615</v>
      </c>
      <c r="T672">
        <v>0.84557006019965997</v>
      </c>
      <c r="U672">
        <v>0.73369000607865498</v>
      </c>
      <c r="V672">
        <v>146.89100646972599</v>
      </c>
      <c r="W672">
        <v>1.5031940109550599</v>
      </c>
      <c r="X672">
        <v>0.78833997249603205</v>
      </c>
    </row>
    <row r="673" spans="1:24" x14ac:dyDescent="0.25">
      <c r="A673" s="4">
        <v>45917</v>
      </c>
      <c r="B673">
        <v>4.17</v>
      </c>
      <c r="C673">
        <v>4.1100000000000003</v>
      </c>
      <c r="D673">
        <v>4.0199999999999996</v>
      </c>
      <c r="E673">
        <v>3.97</v>
      </c>
      <c r="F673">
        <v>3.8</v>
      </c>
      <c r="G673">
        <v>3.6</v>
      </c>
      <c r="H673">
        <v>3.52</v>
      </c>
      <c r="I673">
        <v>3.51</v>
      </c>
      <c r="J673">
        <v>3.62</v>
      </c>
      <c r="K673">
        <v>3.81</v>
      </c>
      <c r="L673">
        <v>4.0599999999999996</v>
      </c>
      <c r="M673">
        <v>4.62</v>
      </c>
      <c r="N673">
        <v>4.66</v>
      </c>
      <c r="O673">
        <v>5.4260999999999999</v>
      </c>
      <c r="P673">
        <v>4015.92</v>
      </c>
      <c r="Q673">
        <v>967.48</v>
      </c>
      <c r="R673">
        <v>3.53</v>
      </c>
      <c r="S673">
        <v>18.6615</v>
      </c>
      <c r="T673">
        <v>0.84236004787487695</v>
      </c>
      <c r="U673">
        <v>0.73238997375967396</v>
      </c>
      <c r="V673">
        <v>146.412994384765</v>
      </c>
      <c r="W673">
        <v>1.4949920149901801</v>
      </c>
      <c r="X673">
        <v>0.78591001033782903</v>
      </c>
    </row>
    <row r="674" spans="1:24" x14ac:dyDescent="0.25">
      <c r="A674" s="4">
        <v>45916</v>
      </c>
      <c r="B674">
        <v>4.2</v>
      </c>
      <c r="C674">
        <v>4.1500000000000004</v>
      </c>
      <c r="D674">
        <v>4.04</v>
      </c>
      <c r="E674">
        <v>4</v>
      </c>
      <c r="F674">
        <v>3.81</v>
      </c>
      <c r="G674">
        <v>3.62</v>
      </c>
      <c r="H674">
        <v>3.51</v>
      </c>
      <c r="I674">
        <v>3.47</v>
      </c>
      <c r="J674">
        <v>3.59</v>
      </c>
      <c r="K674">
        <v>3.78</v>
      </c>
      <c r="L674">
        <v>4.04</v>
      </c>
      <c r="M674">
        <v>4.6100000000000003</v>
      </c>
      <c r="N674">
        <v>4.6500000000000004</v>
      </c>
      <c r="O674">
        <v>5.4260999999999999</v>
      </c>
      <c r="P674">
        <v>4015.92</v>
      </c>
      <c r="Q674">
        <v>967.48</v>
      </c>
      <c r="R674">
        <v>3.53</v>
      </c>
      <c r="S674">
        <v>18.6615</v>
      </c>
      <c r="T674">
        <v>0.85006999294091701</v>
      </c>
      <c r="U674">
        <v>0.73514996042326397</v>
      </c>
      <c r="V674">
        <v>147.40499877929599</v>
      </c>
      <c r="W674">
        <v>1.4985759825943401</v>
      </c>
      <c r="X674">
        <v>0.79465997219085605</v>
      </c>
    </row>
    <row r="675" spans="1:24" x14ac:dyDescent="0.25">
      <c r="A675" s="4">
        <v>45915</v>
      </c>
      <c r="B675">
        <v>4.22</v>
      </c>
      <c r="C675">
        <v>4.17</v>
      </c>
      <c r="D675">
        <v>4.0599999999999996</v>
      </c>
      <c r="E675">
        <v>4</v>
      </c>
      <c r="F675">
        <v>3.81</v>
      </c>
      <c r="G675">
        <v>3.64</v>
      </c>
      <c r="H675">
        <v>3.54</v>
      </c>
      <c r="I675">
        <v>3.5</v>
      </c>
      <c r="J675">
        <v>3.61</v>
      </c>
      <c r="K675">
        <v>3.79</v>
      </c>
      <c r="L675">
        <v>4.05</v>
      </c>
      <c r="M675">
        <v>4.63</v>
      </c>
      <c r="N675">
        <v>4.66</v>
      </c>
      <c r="O675">
        <v>5.4260999999999999</v>
      </c>
      <c r="P675">
        <v>4015.92</v>
      </c>
      <c r="Q675">
        <v>967.48</v>
      </c>
      <c r="R675">
        <v>3.53</v>
      </c>
      <c r="S675">
        <v>18.6615</v>
      </c>
      <c r="T675">
        <v>0.85276999020219102</v>
      </c>
      <c r="U675">
        <v>0.73782003526995499</v>
      </c>
      <c r="V675">
        <v>147.66600036621</v>
      </c>
      <c r="W675">
        <v>1.50398595520928</v>
      </c>
      <c r="X675">
        <v>0.79670000076293901</v>
      </c>
    </row>
    <row r="676" spans="1:24" x14ac:dyDescent="0.25">
      <c r="A676" s="4">
        <v>45912</v>
      </c>
      <c r="B676">
        <v>4.24</v>
      </c>
      <c r="C676">
        <v>4.2</v>
      </c>
      <c r="D676">
        <v>4.08</v>
      </c>
      <c r="E676">
        <v>4.0199999999999996</v>
      </c>
      <c r="F676">
        <v>3.83</v>
      </c>
      <c r="G676">
        <v>3.66</v>
      </c>
      <c r="H676">
        <v>3.56</v>
      </c>
      <c r="I676">
        <v>3.52</v>
      </c>
      <c r="J676">
        <v>3.63</v>
      </c>
      <c r="K676">
        <v>3.81</v>
      </c>
      <c r="L676">
        <v>4.0599999999999996</v>
      </c>
      <c r="M676">
        <v>4.6500000000000004</v>
      </c>
      <c r="N676">
        <v>4.68</v>
      </c>
      <c r="O676">
        <v>5.4260999999999999</v>
      </c>
      <c r="P676">
        <v>4015.92</v>
      </c>
      <c r="Q676">
        <v>967.48</v>
      </c>
      <c r="R676">
        <v>3.53</v>
      </c>
      <c r="S676">
        <v>18.6615</v>
      </c>
      <c r="T676">
        <v>0.85216999091815904</v>
      </c>
      <c r="U676">
        <v>0.73655998384391796</v>
      </c>
      <c r="V676">
        <v>147.22399902343699</v>
      </c>
      <c r="W676">
        <v>1.49970001022611</v>
      </c>
      <c r="X676">
        <v>0.79594999551773005</v>
      </c>
    </row>
    <row r="677" spans="1:24" x14ac:dyDescent="0.25">
      <c r="A677" s="4">
        <v>45911</v>
      </c>
      <c r="B677">
        <v>4.22</v>
      </c>
      <c r="C677">
        <v>4.18</v>
      </c>
      <c r="D677">
        <v>4.08</v>
      </c>
      <c r="E677">
        <v>4</v>
      </c>
      <c r="F677">
        <v>3.82</v>
      </c>
      <c r="G677">
        <v>3.63</v>
      </c>
      <c r="H677">
        <v>3.52</v>
      </c>
      <c r="I677">
        <v>3.47</v>
      </c>
      <c r="J677">
        <v>3.59</v>
      </c>
      <c r="K677">
        <v>3.76</v>
      </c>
      <c r="L677">
        <v>4.01</v>
      </c>
      <c r="M677">
        <v>4.6100000000000003</v>
      </c>
      <c r="N677">
        <v>4.6500000000000004</v>
      </c>
      <c r="O677">
        <v>5.4260999999999999</v>
      </c>
      <c r="P677">
        <v>4015.92</v>
      </c>
      <c r="Q677">
        <v>967.48</v>
      </c>
      <c r="R677">
        <v>3.53</v>
      </c>
      <c r="S677">
        <v>18.6615</v>
      </c>
      <c r="T677">
        <v>0.85444998361608004</v>
      </c>
      <c r="U677">
        <v>0.73883996968403798</v>
      </c>
      <c r="V677">
        <v>147.33200073242099</v>
      </c>
      <c r="W677">
        <v>1.51073003420867</v>
      </c>
      <c r="X677">
        <v>0.79866999387741</v>
      </c>
    </row>
    <row r="678" spans="1:24" x14ac:dyDescent="0.25">
      <c r="A678" s="4">
        <v>45910</v>
      </c>
      <c r="B678">
        <v>4.2300000000000004</v>
      </c>
      <c r="C678">
        <v>4.2</v>
      </c>
      <c r="D678">
        <v>4.09</v>
      </c>
      <c r="E678">
        <v>4.0199999999999996</v>
      </c>
      <c r="F678">
        <v>3.83</v>
      </c>
      <c r="G678">
        <v>3.66</v>
      </c>
      <c r="H678">
        <v>3.54</v>
      </c>
      <c r="I678">
        <v>3.47</v>
      </c>
      <c r="J678">
        <v>3.59</v>
      </c>
      <c r="K678">
        <v>3.78</v>
      </c>
      <c r="L678">
        <v>4.04</v>
      </c>
      <c r="M678">
        <v>4.6500000000000004</v>
      </c>
      <c r="N678">
        <v>4.6900000000000004</v>
      </c>
      <c r="O678">
        <v>5.4260999999999999</v>
      </c>
      <c r="P678">
        <v>4015.92</v>
      </c>
      <c r="Q678">
        <v>967.48</v>
      </c>
      <c r="R678">
        <v>3.53</v>
      </c>
      <c r="S678">
        <v>18.6615</v>
      </c>
      <c r="T678">
        <v>0.85450003045743805</v>
      </c>
      <c r="U678">
        <v>0.73958497725068195</v>
      </c>
      <c r="V678">
        <v>147.391998291015</v>
      </c>
      <c r="W678">
        <v>1.5186719933406301</v>
      </c>
      <c r="X678">
        <v>0.79729998111724798</v>
      </c>
    </row>
    <row r="679" spans="1:24" x14ac:dyDescent="0.25">
      <c r="A679" s="4">
        <v>45909</v>
      </c>
      <c r="B679">
        <v>4.25</v>
      </c>
      <c r="C679">
        <v>4.22</v>
      </c>
      <c r="D679">
        <v>4.0999999999999996</v>
      </c>
      <c r="E679">
        <v>4.05</v>
      </c>
      <c r="F679">
        <v>3.85</v>
      </c>
      <c r="G679">
        <v>3.68</v>
      </c>
      <c r="H679">
        <v>3.54</v>
      </c>
      <c r="I679">
        <v>3.48</v>
      </c>
      <c r="J679">
        <v>3.61</v>
      </c>
      <c r="K679">
        <v>3.81</v>
      </c>
      <c r="L679">
        <v>4.08</v>
      </c>
      <c r="M679">
        <v>4.68</v>
      </c>
      <c r="N679">
        <v>4.72</v>
      </c>
      <c r="O679">
        <v>5.4260999999999999</v>
      </c>
      <c r="P679">
        <v>4015.92</v>
      </c>
      <c r="Q679">
        <v>967.48</v>
      </c>
      <c r="R679">
        <v>3.53</v>
      </c>
      <c r="S679">
        <v>18.6615</v>
      </c>
      <c r="T679">
        <v>0.84968003073536202</v>
      </c>
      <c r="U679">
        <v>0.737840023459993</v>
      </c>
      <c r="V679">
        <v>147.363998413085</v>
      </c>
      <c r="W679">
        <v>1.5155899961327</v>
      </c>
      <c r="X679">
        <v>0.79281002283096302</v>
      </c>
    </row>
    <row r="680" spans="1:24" x14ac:dyDescent="0.25">
      <c r="A680" s="4">
        <v>45908</v>
      </c>
      <c r="B680">
        <v>4.26</v>
      </c>
      <c r="C680">
        <v>4.21</v>
      </c>
      <c r="D680">
        <v>4.0999999999999996</v>
      </c>
      <c r="E680">
        <v>4.04</v>
      </c>
      <c r="F680">
        <v>3.84</v>
      </c>
      <c r="G680">
        <v>3.64</v>
      </c>
      <c r="H680">
        <v>3.49</v>
      </c>
      <c r="I680">
        <v>3.47</v>
      </c>
      <c r="J680">
        <v>3.57</v>
      </c>
      <c r="K680">
        <v>3.77</v>
      </c>
      <c r="L680">
        <v>4.05</v>
      </c>
      <c r="M680">
        <v>4.6500000000000004</v>
      </c>
      <c r="N680">
        <v>4.6900000000000004</v>
      </c>
      <c r="O680">
        <v>5.4260999999999999</v>
      </c>
      <c r="P680">
        <v>4015.92</v>
      </c>
      <c r="Q680">
        <v>967.48</v>
      </c>
      <c r="R680">
        <v>3.53</v>
      </c>
      <c r="S680">
        <v>18.6615</v>
      </c>
      <c r="T680">
        <v>0.85373995060717101</v>
      </c>
      <c r="U680">
        <v>0.74112998935475904</v>
      </c>
      <c r="V680">
        <v>148.343994140625</v>
      </c>
      <c r="W680">
        <v>1.5256690027462001</v>
      </c>
      <c r="X680">
        <v>0.79917997121810902</v>
      </c>
    </row>
    <row r="681" spans="1:24" x14ac:dyDescent="0.25">
      <c r="A681" s="4">
        <v>45905</v>
      </c>
      <c r="B681">
        <v>4.29</v>
      </c>
      <c r="C681">
        <v>4.24</v>
      </c>
      <c r="D681">
        <v>4.07</v>
      </c>
      <c r="E681">
        <v>4.05</v>
      </c>
      <c r="F681">
        <v>3.85</v>
      </c>
      <c r="G681">
        <v>3.65</v>
      </c>
      <c r="H681">
        <v>3.51</v>
      </c>
      <c r="I681">
        <v>3.48</v>
      </c>
      <c r="J681">
        <v>3.59</v>
      </c>
      <c r="K681">
        <v>3.8</v>
      </c>
      <c r="L681">
        <v>4.0999999999999996</v>
      </c>
      <c r="M681">
        <v>4.72</v>
      </c>
      <c r="N681">
        <v>4.78</v>
      </c>
      <c r="O681">
        <v>5.4260999999999999</v>
      </c>
      <c r="P681">
        <v>4015.92</v>
      </c>
      <c r="Q681">
        <v>967.48</v>
      </c>
      <c r="R681">
        <v>3.53</v>
      </c>
      <c r="S681">
        <v>18.6615</v>
      </c>
      <c r="T681">
        <v>0.85785999692387205</v>
      </c>
      <c r="U681">
        <v>0.74379996600473997</v>
      </c>
      <c r="V681">
        <v>148.375</v>
      </c>
      <c r="W681">
        <v>1.53327204101589</v>
      </c>
      <c r="X681">
        <v>0.80513000488281194</v>
      </c>
    </row>
    <row r="682" spans="1:24" x14ac:dyDescent="0.25">
      <c r="A682" s="4">
        <v>45904</v>
      </c>
      <c r="B682">
        <v>4.33</v>
      </c>
      <c r="C682">
        <v>4.28</v>
      </c>
      <c r="D682">
        <v>4.16</v>
      </c>
      <c r="E682">
        <v>4.12</v>
      </c>
      <c r="F682">
        <v>3.94</v>
      </c>
      <c r="G682">
        <v>3.76</v>
      </c>
      <c r="H682">
        <v>3.59</v>
      </c>
      <c r="I682">
        <v>3.55</v>
      </c>
      <c r="J682">
        <v>3.65</v>
      </c>
      <c r="K682">
        <v>3.87</v>
      </c>
      <c r="L682">
        <v>4.17</v>
      </c>
      <c r="M682">
        <v>4.8099999999999996</v>
      </c>
      <c r="N682">
        <v>4.8600000000000003</v>
      </c>
      <c r="O682">
        <v>5.4260999999999999</v>
      </c>
      <c r="P682">
        <v>4015.92</v>
      </c>
      <c r="Q682">
        <v>967.48</v>
      </c>
      <c r="R682">
        <v>3.53</v>
      </c>
      <c r="S682">
        <v>18.6615</v>
      </c>
      <c r="T682">
        <v>0.85759995943359502</v>
      </c>
      <c r="U682">
        <v>0.74395999793181999</v>
      </c>
      <c r="V682">
        <v>147.97999572753901</v>
      </c>
      <c r="W682">
        <v>1.5280239926824799</v>
      </c>
      <c r="X682">
        <v>0.80379998683929399</v>
      </c>
    </row>
    <row r="683" spans="1:24" x14ac:dyDescent="0.25">
      <c r="A683" s="4">
        <v>45903</v>
      </c>
      <c r="B683">
        <v>4.3499999999999996</v>
      </c>
      <c r="C683">
        <v>4.26</v>
      </c>
      <c r="D683">
        <v>4.18</v>
      </c>
      <c r="E683">
        <v>4.1399999999999997</v>
      </c>
      <c r="F683">
        <v>3.96</v>
      </c>
      <c r="G683">
        <v>3.77</v>
      </c>
      <c r="H683">
        <v>3.61</v>
      </c>
      <c r="I683">
        <v>3.58</v>
      </c>
      <c r="J683">
        <v>3.69</v>
      </c>
      <c r="K683">
        <v>3.92</v>
      </c>
      <c r="L683">
        <v>4.22</v>
      </c>
      <c r="M683">
        <v>4.8499999999999996</v>
      </c>
      <c r="N683">
        <v>4.9000000000000004</v>
      </c>
      <c r="O683">
        <v>5.4260999999999999</v>
      </c>
      <c r="P683">
        <v>4015.92</v>
      </c>
      <c r="Q683">
        <v>967.48</v>
      </c>
      <c r="R683">
        <v>3.53</v>
      </c>
      <c r="S683">
        <v>18.6615</v>
      </c>
      <c r="T683">
        <v>0.85939994299767797</v>
      </c>
      <c r="U683">
        <v>0.74719000141980696</v>
      </c>
      <c r="V683">
        <v>148.54800415039</v>
      </c>
      <c r="W683">
        <v>1.53414201581123</v>
      </c>
      <c r="X683">
        <v>0.80528998374938898</v>
      </c>
    </row>
    <row r="684" spans="1:24" x14ac:dyDescent="0.25">
      <c r="A684" s="4">
        <v>45902</v>
      </c>
      <c r="B684">
        <v>4.4000000000000004</v>
      </c>
      <c r="C684">
        <v>4.29</v>
      </c>
      <c r="D684">
        <v>4.2</v>
      </c>
      <c r="E684">
        <v>4.1500000000000004</v>
      </c>
      <c r="F684">
        <v>3.99</v>
      </c>
      <c r="G684">
        <v>3.82</v>
      </c>
      <c r="H684">
        <v>3.66</v>
      </c>
      <c r="I684">
        <v>3.63</v>
      </c>
      <c r="J684">
        <v>3.74</v>
      </c>
      <c r="K684">
        <v>3.98</v>
      </c>
      <c r="L684">
        <v>4.28</v>
      </c>
      <c r="M684">
        <v>4.92</v>
      </c>
      <c r="N684">
        <v>4.97</v>
      </c>
      <c r="O684">
        <v>5.4260999999999999</v>
      </c>
      <c r="P684">
        <v>4015.92</v>
      </c>
      <c r="Q684">
        <v>967.48</v>
      </c>
      <c r="R684">
        <v>3.53</v>
      </c>
      <c r="S684">
        <v>18.6615</v>
      </c>
      <c r="T684">
        <v>0.85353998058612002</v>
      </c>
      <c r="U684">
        <v>0.738120036825895</v>
      </c>
      <c r="V684">
        <v>147.08399963378901</v>
      </c>
      <c r="W684">
        <v>1.5251339327067901</v>
      </c>
      <c r="X684">
        <v>0.80014997720718295</v>
      </c>
    </row>
    <row r="685" spans="1:24" x14ac:dyDescent="0.25">
      <c r="A685" s="4">
        <v>45898</v>
      </c>
      <c r="B685">
        <v>4.41</v>
      </c>
      <c r="C685">
        <v>4.3</v>
      </c>
      <c r="D685">
        <v>4.2300000000000004</v>
      </c>
      <c r="E685">
        <v>4.17</v>
      </c>
      <c r="F685">
        <v>4.01</v>
      </c>
      <c r="G685">
        <v>3.83</v>
      </c>
      <c r="H685">
        <v>3.59</v>
      </c>
      <c r="I685">
        <v>3.58</v>
      </c>
      <c r="J685">
        <v>3.68</v>
      </c>
      <c r="K685">
        <v>3.92</v>
      </c>
      <c r="L685">
        <v>4.2300000000000004</v>
      </c>
      <c r="M685">
        <v>4.8600000000000003</v>
      </c>
      <c r="N685">
        <v>4.92</v>
      </c>
      <c r="O685">
        <v>5.4260999999999999</v>
      </c>
      <c r="P685">
        <v>4015.92</v>
      </c>
      <c r="Q685">
        <v>967.48</v>
      </c>
      <c r="R685">
        <v>3.53</v>
      </c>
      <c r="S685">
        <v>18.6615</v>
      </c>
      <c r="T685">
        <v>0.85605002774205197</v>
      </c>
      <c r="U685">
        <v>0.74012997745008202</v>
      </c>
      <c r="V685">
        <v>146.78999328613199</v>
      </c>
      <c r="W685">
        <v>1.53083101602365</v>
      </c>
      <c r="X685">
        <v>0.80159002542495705</v>
      </c>
    </row>
    <row r="686" spans="1:24" x14ac:dyDescent="0.25">
      <c r="A686" s="4">
        <v>45897</v>
      </c>
      <c r="B686">
        <v>4.42</v>
      </c>
      <c r="C686">
        <v>4.3099999999999996</v>
      </c>
      <c r="D686">
        <v>4.26</v>
      </c>
      <c r="E686">
        <v>4.17</v>
      </c>
      <c r="F686">
        <v>4.04</v>
      </c>
      <c r="G686">
        <v>3.85</v>
      </c>
      <c r="H686">
        <v>3.62</v>
      </c>
      <c r="I686">
        <v>3.6</v>
      </c>
      <c r="J686">
        <v>3.69</v>
      </c>
      <c r="K686">
        <v>3.92</v>
      </c>
      <c r="L686">
        <v>4.22</v>
      </c>
      <c r="M686">
        <v>4.83</v>
      </c>
      <c r="N686">
        <v>4.88</v>
      </c>
      <c r="O686">
        <v>5.4112</v>
      </c>
      <c r="P686">
        <v>4029</v>
      </c>
      <c r="Q686">
        <v>968.64</v>
      </c>
      <c r="R686">
        <v>3.5379999999999998</v>
      </c>
      <c r="S686">
        <v>18.643899999999999</v>
      </c>
      <c r="T686">
        <v>0.85851996277560205</v>
      </c>
      <c r="U686">
        <v>0.74053003736015699</v>
      </c>
      <c r="V686">
        <v>147.315994262695</v>
      </c>
      <c r="W686">
        <v>1.5357680975175001</v>
      </c>
      <c r="X686">
        <v>0.80150002241134599</v>
      </c>
    </row>
    <row r="687" spans="1:24" x14ac:dyDescent="0.25">
      <c r="A687" s="4">
        <v>45896</v>
      </c>
      <c r="B687">
        <v>4.42</v>
      </c>
      <c r="C687">
        <v>4.3</v>
      </c>
      <c r="D687">
        <v>4.26</v>
      </c>
      <c r="E687">
        <v>4.18</v>
      </c>
      <c r="F687">
        <v>4.04</v>
      </c>
      <c r="G687">
        <v>3.83</v>
      </c>
      <c r="H687">
        <v>3.59</v>
      </c>
      <c r="I687">
        <v>3.59</v>
      </c>
      <c r="J687">
        <v>3.69</v>
      </c>
      <c r="K687">
        <v>3.95</v>
      </c>
      <c r="L687">
        <v>4.24</v>
      </c>
      <c r="M687">
        <v>4.87</v>
      </c>
      <c r="N687">
        <v>4.91</v>
      </c>
      <c r="O687">
        <v>5.4424999999999999</v>
      </c>
      <c r="P687">
        <v>4029.5</v>
      </c>
      <c r="Q687">
        <v>965.01</v>
      </c>
      <c r="R687">
        <v>3.55</v>
      </c>
      <c r="S687">
        <v>18.659600000000001</v>
      </c>
      <c r="T687">
        <v>0.85914997020641204</v>
      </c>
      <c r="U687">
        <v>0.74191000385344197</v>
      </c>
      <c r="V687">
        <v>147.46200561523401</v>
      </c>
      <c r="W687">
        <v>1.5394559771909799</v>
      </c>
      <c r="X687">
        <v>0.80375999212265004</v>
      </c>
    </row>
    <row r="688" spans="1:24" x14ac:dyDescent="0.25">
      <c r="A688" s="4">
        <v>45895</v>
      </c>
      <c r="B688">
        <v>4.42</v>
      </c>
      <c r="C688">
        <v>4.34</v>
      </c>
      <c r="D688">
        <v>4.28</v>
      </c>
      <c r="E688">
        <v>4.2</v>
      </c>
      <c r="F688">
        <v>4.0599999999999996</v>
      </c>
      <c r="G688">
        <v>3.85</v>
      </c>
      <c r="H688">
        <v>3.61</v>
      </c>
      <c r="I688">
        <v>3.63</v>
      </c>
      <c r="J688">
        <v>3.75</v>
      </c>
      <c r="K688">
        <v>3.98</v>
      </c>
      <c r="L688">
        <v>4.26</v>
      </c>
      <c r="M688">
        <v>4.8600000000000003</v>
      </c>
      <c r="N688">
        <v>4.9000000000000004</v>
      </c>
      <c r="O688">
        <v>5.4215</v>
      </c>
      <c r="P688">
        <v>4055</v>
      </c>
      <c r="Q688">
        <v>962.51</v>
      </c>
      <c r="R688">
        <v>3.548</v>
      </c>
      <c r="S688">
        <v>18.6663</v>
      </c>
      <c r="T688">
        <v>0.86070003043218002</v>
      </c>
      <c r="U688">
        <v>0.74329999683668402</v>
      </c>
      <c r="V688">
        <v>147.822006225585</v>
      </c>
      <c r="W688">
        <v>1.54294802188921</v>
      </c>
      <c r="X688">
        <v>0.80616998672485296</v>
      </c>
    </row>
    <row r="689" spans="1:24" x14ac:dyDescent="0.25">
      <c r="A689" s="4">
        <v>45894</v>
      </c>
      <c r="B689">
        <v>4.45</v>
      </c>
      <c r="C689">
        <v>4.3499999999999996</v>
      </c>
      <c r="D689">
        <v>4.29</v>
      </c>
      <c r="E689">
        <v>4.21</v>
      </c>
      <c r="F689">
        <v>4.08</v>
      </c>
      <c r="G689">
        <v>3.88</v>
      </c>
      <c r="H689">
        <v>3.73</v>
      </c>
      <c r="I689">
        <v>3.68</v>
      </c>
      <c r="J689">
        <v>3.8</v>
      </c>
      <c r="K689">
        <v>4.01</v>
      </c>
      <c r="L689">
        <v>4.28</v>
      </c>
      <c r="M689">
        <v>4.8600000000000003</v>
      </c>
      <c r="N689">
        <v>4.8899999999999997</v>
      </c>
      <c r="O689">
        <v>5.4170999999999996</v>
      </c>
      <c r="P689">
        <v>4028.2</v>
      </c>
      <c r="Q689">
        <v>964.15</v>
      </c>
      <c r="R689">
        <v>3.532</v>
      </c>
      <c r="S689">
        <v>18.691299999999998</v>
      </c>
      <c r="T689">
        <v>0.85399999959278095</v>
      </c>
      <c r="U689">
        <v>0.74012997745008202</v>
      </c>
      <c r="V689">
        <v>147.21499633789</v>
      </c>
      <c r="W689">
        <v>1.5420440805507001</v>
      </c>
      <c r="X689">
        <v>0.802259981632232</v>
      </c>
    </row>
    <row r="690" spans="1:24" x14ac:dyDescent="0.25">
      <c r="A690" s="4">
        <v>45891</v>
      </c>
      <c r="B690">
        <v>4.47</v>
      </c>
      <c r="C690">
        <v>4.3600000000000003</v>
      </c>
      <c r="D690">
        <v>4.2699999999999996</v>
      </c>
      <c r="E690">
        <v>4.21</v>
      </c>
      <c r="F690">
        <v>4.08</v>
      </c>
      <c r="G690">
        <v>3.87</v>
      </c>
      <c r="H690">
        <v>3.68</v>
      </c>
      <c r="I690">
        <v>3.64</v>
      </c>
      <c r="J690">
        <v>3.76</v>
      </c>
      <c r="K690">
        <v>3.98</v>
      </c>
      <c r="L690">
        <v>4.26</v>
      </c>
      <c r="M690">
        <v>4.84</v>
      </c>
      <c r="N690">
        <v>4.88</v>
      </c>
      <c r="O690">
        <v>5.4389000000000003</v>
      </c>
      <c r="P690">
        <v>4013</v>
      </c>
      <c r="Q690">
        <v>968.63</v>
      </c>
      <c r="R690">
        <v>3.5169999999999999</v>
      </c>
      <c r="S690">
        <v>18.593499999999999</v>
      </c>
      <c r="T690">
        <v>0.86109999912746504</v>
      </c>
      <c r="U690">
        <v>0.74519003944654905</v>
      </c>
      <c r="V690">
        <v>148.38600158691401</v>
      </c>
      <c r="W690">
        <v>1.55630000721693</v>
      </c>
      <c r="X690">
        <v>0.80866998434066695</v>
      </c>
    </row>
    <row r="691" spans="1:24" x14ac:dyDescent="0.25">
      <c r="A691" s="4">
        <v>45890</v>
      </c>
      <c r="B691">
        <v>4.49</v>
      </c>
      <c r="C691">
        <v>4.3899999999999997</v>
      </c>
      <c r="D691">
        <v>4.32</v>
      </c>
      <c r="E691">
        <v>4.24</v>
      </c>
      <c r="F691">
        <v>4.1399999999999997</v>
      </c>
      <c r="G691">
        <v>3.95</v>
      </c>
      <c r="H691">
        <v>3.79</v>
      </c>
      <c r="I691">
        <v>3.75</v>
      </c>
      <c r="J691">
        <v>3.86</v>
      </c>
      <c r="K691">
        <v>4.07</v>
      </c>
      <c r="L691">
        <v>4.33</v>
      </c>
      <c r="M691">
        <v>4.8899999999999997</v>
      </c>
      <c r="N691">
        <v>4.92</v>
      </c>
      <c r="O691">
        <v>5.4824999999999999</v>
      </c>
      <c r="P691">
        <v>4031</v>
      </c>
      <c r="Q691">
        <v>965.06</v>
      </c>
      <c r="R691">
        <v>3.5369999999999999</v>
      </c>
      <c r="S691">
        <v>18.7668</v>
      </c>
      <c r="T691">
        <v>0.85824003156064499</v>
      </c>
      <c r="U691">
        <v>0.74259001901399002</v>
      </c>
      <c r="V691">
        <v>147.31799316406199</v>
      </c>
      <c r="W691">
        <v>1.5537359566378299</v>
      </c>
      <c r="X691">
        <v>0.80413997173309304</v>
      </c>
    </row>
    <row r="692" spans="1:24" x14ac:dyDescent="0.25">
      <c r="A692" s="4">
        <v>45889</v>
      </c>
      <c r="B692">
        <v>4.45</v>
      </c>
      <c r="C692">
        <v>4.3499999999999996</v>
      </c>
      <c r="D692">
        <v>4.3</v>
      </c>
      <c r="E692">
        <v>4.22</v>
      </c>
      <c r="F692">
        <v>4.1100000000000003</v>
      </c>
      <c r="G692">
        <v>3.9</v>
      </c>
      <c r="H692">
        <v>3.74</v>
      </c>
      <c r="I692">
        <v>3.69</v>
      </c>
      <c r="J692">
        <v>3.81</v>
      </c>
      <c r="K692">
        <v>4.0199999999999996</v>
      </c>
      <c r="L692">
        <v>4.29</v>
      </c>
      <c r="M692">
        <v>4.8600000000000003</v>
      </c>
      <c r="N692">
        <v>4.8899999999999997</v>
      </c>
      <c r="O692">
        <v>5.4722999999999997</v>
      </c>
      <c r="P692">
        <v>4020</v>
      </c>
      <c r="Q692">
        <v>963.57</v>
      </c>
      <c r="R692">
        <v>3.52</v>
      </c>
      <c r="S692">
        <v>18.7562</v>
      </c>
      <c r="T692">
        <v>0.85892001810277196</v>
      </c>
      <c r="U692">
        <v>0.74146598095168004</v>
      </c>
      <c r="V692">
        <v>147.73100280761699</v>
      </c>
      <c r="W692">
        <v>1.54928308833884</v>
      </c>
      <c r="X692">
        <v>0.80777001380920399</v>
      </c>
    </row>
    <row r="693" spans="1:24" x14ac:dyDescent="0.25">
      <c r="A693" s="4">
        <v>45888</v>
      </c>
      <c r="B693">
        <v>4.46</v>
      </c>
      <c r="C693">
        <v>4.3499999999999996</v>
      </c>
      <c r="D693">
        <v>4.3</v>
      </c>
      <c r="E693">
        <v>4.21</v>
      </c>
      <c r="F693">
        <v>4.1100000000000003</v>
      </c>
      <c r="G693">
        <v>3.91</v>
      </c>
      <c r="H693">
        <v>3.75</v>
      </c>
      <c r="I693">
        <v>3.7</v>
      </c>
      <c r="J693">
        <v>3.82</v>
      </c>
      <c r="K693">
        <v>4.04</v>
      </c>
      <c r="L693">
        <v>4.3</v>
      </c>
      <c r="M693">
        <v>4.8899999999999997</v>
      </c>
      <c r="N693">
        <v>4.9000000000000004</v>
      </c>
      <c r="O693">
        <v>5.4713000000000003</v>
      </c>
      <c r="P693">
        <v>4031.1</v>
      </c>
      <c r="Q693">
        <v>966.24</v>
      </c>
      <c r="R693">
        <v>3.528</v>
      </c>
      <c r="S693">
        <v>18.817599999999999</v>
      </c>
      <c r="T693">
        <v>0.857020025925326</v>
      </c>
      <c r="U693">
        <v>0.74029000179675797</v>
      </c>
      <c r="V693">
        <v>147.91600036621</v>
      </c>
      <c r="W693">
        <v>1.5396930454896001</v>
      </c>
      <c r="X693">
        <v>0.80741000175475997</v>
      </c>
    </row>
    <row r="694" spans="1:24" x14ac:dyDescent="0.25">
      <c r="A694" s="4">
        <v>45887</v>
      </c>
      <c r="B694">
        <v>4.47</v>
      </c>
      <c r="C694">
        <v>4.3499999999999996</v>
      </c>
      <c r="D694">
        <v>4.33</v>
      </c>
      <c r="E694">
        <v>4.22</v>
      </c>
      <c r="F694">
        <v>4.13</v>
      </c>
      <c r="G694">
        <v>3.93</v>
      </c>
      <c r="H694">
        <v>3.77</v>
      </c>
      <c r="I694">
        <v>3.73</v>
      </c>
      <c r="J694">
        <v>3.86</v>
      </c>
      <c r="K694">
        <v>4.07</v>
      </c>
      <c r="L694">
        <v>4.34</v>
      </c>
      <c r="M694">
        <v>4.92</v>
      </c>
      <c r="N694">
        <v>4.9400000000000004</v>
      </c>
      <c r="O694">
        <v>5.4151999999999996</v>
      </c>
      <c r="P694">
        <v>4015</v>
      </c>
      <c r="Q694">
        <v>961.84</v>
      </c>
      <c r="R694">
        <v>3.5409999999999999</v>
      </c>
      <c r="S694">
        <v>18.7807</v>
      </c>
      <c r="T694">
        <v>0.85421993061849899</v>
      </c>
      <c r="U694">
        <v>0.73765997412749296</v>
      </c>
      <c r="V694">
        <v>147.26400756835901</v>
      </c>
      <c r="W694">
        <v>1.53540000009151</v>
      </c>
      <c r="X694">
        <v>0.80659997463226296</v>
      </c>
    </row>
    <row r="695" spans="1:24" x14ac:dyDescent="0.25">
      <c r="A695" s="4">
        <v>45884</v>
      </c>
      <c r="B695">
        <v>4.4800000000000004</v>
      </c>
      <c r="C695">
        <v>4.3499999999999996</v>
      </c>
      <c r="D695">
        <v>4.3</v>
      </c>
      <c r="E695">
        <v>4.22</v>
      </c>
      <c r="F695">
        <v>4.12</v>
      </c>
      <c r="G695">
        <v>3.93</v>
      </c>
      <c r="H695">
        <v>3.75</v>
      </c>
      <c r="I695">
        <v>3.73</v>
      </c>
      <c r="J695">
        <v>3.85</v>
      </c>
      <c r="K695">
        <v>4.07</v>
      </c>
      <c r="L695">
        <v>4.33</v>
      </c>
      <c r="M695">
        <v>4.91</v>
      </c>
      <c r="N695">
        <v>4.92</v>
      </c>
      <c r="O695">
        <v>5.3925000000000001</v>
      </c>
      <c r="P695">
        <v>4015</v>
      </c>
      <c r="Q695">
        <v>952.37</v>
      </c>
      <c r="R695">
        <v>3.5579999999999998</v>
      </c>
      <c r="S695">
        <v>18.741199999999999</v>
      </c>
      <c r="T695">
        <v>0.8582699746886</v>
      </c>
      <c r="U695">
        <v>0.739059987004834</v>
      </c>
      <c r="V695">
        <v>147.690994262695</v>
      </c>
      <c r="W695">
        <v>1.5390499660536301</v>
      </c>
      <c r="X695">
        <v>0.807519972324371</v>
      </c>
    </row>
    <row r="696" spans="1:24" x14ac:dyDescent="0.25">
      <c r="A696" s="4">
        <v>45883</v>
      </c>
      <c r="B696">
        <v>4.4800000000000004</v>
      </c>
      <c r="C696">
        <v>4.3600000000000003</v>
      </c>
      <c r="D696">
        <v>4.3</v>
      </c>
      <c r="E696">
        <v>4.22</v>
      </c>
      <c r="F696">
        <v>4.12</v>
      </c>
      <c r="G696">
        <v>3.91</v>
      </c>
      <c r="H696">
        <v>3.74</v>
      </c>
      <c r="I696">
        <v>3.7</v>
      </c>
      <c r="J696">
        <v>3.82</v>
      </c>
      <c r="K696">
        <v>4.03</v>
      </c>
      <c r="L696">
        <v>4.29</v>
      </c>
      <c r="M696">
        <v>4.8600000000000003</v>
      </c>
      <c r="N696">
        <v>4.88</v>
      </c>
      <c r="O696">
        <v>5.4092000000000002</v>
      </c>
      <c r="P696">
        <v>4053.77</v>
      </c>
      <c r="Q696">
        <v>952.37</v>
      </c>
      <c r="R696">
        <v>3.5659999999999998</v>
      </c>
      <c r="S696">
        <v>18.815899999999999</v>
      </c>
      <c r="T696">
        <v>0.85376002227675796</v>
      </c>
      <c r="U696">
        <v>0.73608997828393596</v>
      </c>
      <c r="V696">
        <v>147.11999511718699</v>
      </c>
      <c r="W696">
        <v>1.5263199695704199</v>
      </c>
      <c r="X696">
        <v>0.80471998453140203</v>
      </c>
    </row>
    <row r="697" spans="1:24" x14ac:dyDescent="0.25">
      <c r="A697" s="4">
        <v>45882</v>
      </c>
      <c r="B697">
        <v>4.4400000000000004</v>
      </c>
      <c r="C697">
        <v>4.32</v>
      </c>
      <c r="D697">
        <v>4.29</v>
      </c>
      <c r="E697">
        <v>4.21</v>
      </c>
      <c r="F697">
        <v>4.09</v>
      </c>
      <c r="G697">
        <v>3.86</v>
      </c>
      <c r="H697">
        <v>3.67</v>
      </c>
      <c r="I697">
        <v>3.64</v>
      </c>
      <c r="J697">
        <v>3.77</v>
      </c>
      <c r="K697">
        <v>3.98</v>
      </c>
      <c r="L697">
        <v>4.24</v>
      </c>
      <c r="M697">
        <v>4.8099999999999996</v>
      </c>
      <c r="N697">
        <v>4.83</v>
      </c>
      <c r="O697">
        <v>5.3925000000000001</v>
      </c>
      <c r="P697">
        <v>4028.01</v>
      </c>
      <c r="Q697">
        <v>962.28</v>
      </c>
      <c r="R697">
        <v>3.5390000000000001</v>
      </c>
      <c r="S697">
        <v>18.6402</v>
      </c>
      <c r="T697">
        <v>0.85638002304544703</v>
      </c>
      <c r="U697">
        <v>0.74050996852972395</v>
      </c>
      <c r="V697">
        <v>147.75799560546801</v>
      </c>
      <c r="W697">
        <v>1.5314399841536199</v>
      </c>
      <c r="X697">
        <v>0.80614000558853105</v>
      </c>
    </row>
    <row r="698" spans="1:24" x14ac:dyDescent="0.25">
      <c r="A698" s="4">
        <v>45881</v>
      </c>
      <c r="B698">
        <v>4.4400000000000004</v>
      </c>
      <c r="C698">
        <v>4.3499999999999996</v>
      </c>
      <c r="D698">
        <v>4.33</v>
      </c>
      <c r="E698">
        <v>4.25</v>
      </c>
      <c r="F698">
        <v>4.12</v>
      </c>
      <c r="G698">
        <v>3.9</v>
      </c>
      <c r="H698">
        <v>3.72</v>
      </c>
      <c r="I698">
        <v>3.69</v>
      </c>
      <c r="J698">
        <v>3.83</v>
      </c>
      <c r="K698">
        <v>4.03</v>
      </c>
      <c r="L698">
        <v>4.29</v>
      </c>
      <c r="M698">
        <v>4.87</v>
      </c>
      <c r="N698">
        <v>4.88</v>
      </c>
      <c r="O698">
        <v>5.4048999999999996</v>
      </c>
      <c r="P698">
        <v>4016.7</v>
      </c>
      <c r="Q698">
        <v>969.77</v>
      </c>
      <c r="R698">
        <v>3.528</v>
      </c>
      <c r="S698">
        <v>18.580300000000001</v>
      </c>
      <c r="T698">
        <v>0.86070003043218002</v>
      </c>
      <c r="U698">
        <v>0.74431005205356304</v>
      </c>
      <c r="V698">
        <v>148.125</v>
      </c>
      <c r="W698">
        <v>1.53506002870251</v>
      </c>
      <c r="X698">
        <v>0.81180000305175704</v>
      </c>
    </row>
    <row r="699" spans="1:24" x14ac:dyDescent="0.25">
      <c r="A699" s="4">
        <v>45880</v>
      </c>
      <c r="B699">
        <v>4.46</v>
      </c>
      <c r="C699">
        <v>4.38</v>
      </c>
      <c r="D699">
        <v>4.34</v>
      </c>
      <c r="E699">
        <v>4.2699999999999996</v>
      </c>
      <c r="F699">
        <v>4.1500000000000004</v>
      </c>
      <c r="G699">
        <v>3.93</v>
      </c>
      <c r="H699">
        <v>3.76</v>
      </c>
      <c r="I699">
        <v>3.71</v>
      </c>
      <c r="J699">
        <v>3.83</v>
      </c>
      <c r="K699">
        <v>4.03</v>
      </c>
      <c r="L699">
        <v>4.2699999999999996</v>
      </c>
      <c r="M699">
        <v>4.83</v>
      </c>
      <c r="N699">
        <v>4.84</v>
      </c>
      <c r="O699">
        <v>5.4470000000000001</v>
      </c>
      <c r="P699">
        <v>4034</v>
      </c>
      <c r="Q699">
        <v>965.64</v>
      </c>
      <c r="R699">
        <v>3.532</v>
      </c>
      <c r="S699">
        <v>18.68</v>
      </c>
      <c r="T699">
        <v>0.85851996277560205</v>
      </c>
      <c r="U699">
        <v>0.74379996600473997</v>
      </c>
      <c r="V699">
        <v>147.66400146484301</v>
      </c>
      <c r="W699">
        <v>1.53427992836156</v>
      </c>
      <c r="X699">
        <v>0.80747002363204901</v>
      </c>
    </row>
    <row r="700" spans="1:24" x14ac:dyDescent="0.25">
      <c r="A700" s="4">
        <v>45877</v>
      </c>
      <c r="B700">
        <v>4.4800000000000004</v>
      </c>
      <c r="C700">
        <v>4.3899999999999997</v>
      </c>
      <c r="D700">
        <v>4.32</v>
      </c>
      <c r="E700">
        <v>4.2699999999999996</v>
      </c>
      <c r="F700">
        <v>4.1500000000000004</v>
      </c>
      <c r="G700">
        <v>3.93</v>
      </c>
      <c r="H700">
        <v>3.76</v>
      </c>
      <c r="I700">
        <v>3.7</v>
      </c>
      <c r="J700">
        <v>3.84</v>
      </c>
      <c r="K700">
        <v>4.03</v>
      </c>
      <c r="L700">
        <v>4.2699999999999996</v>
      </c>
      <c r="M700">
        <v>4.84</v>
      </c>
      <c r="N700">
        <v>4.8499999999999996</v>
      </c>
      <c r="O700">
        <v>5.4250999999999996</v>
      </c>
      <c r="P700">
        <v>4049</v>
      </c>
      <c r="Q700">
        <v>971.88</v>
      </c>
      <c r="R700">
        <v>3.5209999999999999</v>
      </c>
      <c r="S700">
        <v>18.601400000000002</v>
      </c>
      <c r="T700">
        <v>0.85641001138938599</v>
      </c>
      <c r="U700">
        <v>0.743410003528017</v>
      </c>
      <c r="V700">
        <v>146.83700561523401</v>
      </c>
      <c r="W700">
        <v>1.5323999730735101</v>
      </c>
      <c r="X700">
        <v>0.80568999052047696</v>
      </c>
    </row>
    <row r="701" spans="1:24" x14ac:dyDescent="0.25">
      <c r="A701" s="4">
        <v>45876</v>
      </c>
      <c r="B701">
        <v>4.49</v>
      </c>
      <c r="C701">
        <v>4.41</v>
      </c>
      <c r="D701">
        <v>4.32</v>
      </c>
      <c r="E701">
        <v>4.2699999999999996</v>
      </c>
      <c r="F701">
        <v>4.1500000000000004</v>
      </c>
      <c r="G701">
        <v>3.92</v>
      </c>
      <c r="H701">
        <v>3.72</v>
      </c>
      <c r="I701">
        <v>3.66</v>
      </c>
      <c r="J701">
        <v>3.79</v>
      </c>
      <c r="K701">
        <v>3.99</v>
      </c>
      <c r="L701">
        <v>4.2300000000000004</v>
      </c>
      <c r="M701">
        <v>4.8099999999999996</v>
      </c>
      <c r="N701">
        <v>4.8099999999999996</v>
      </c>
      <c r="O701">
        <v>5.4634999999999998</v>
      </c>
      <c r="P701">
        <v>4046.1</v>
      </c>
      <c r="Q701">
        <v>976.42</v>
      </c>
      <c r="R701">
        <v>3.5379999999999998</v>
      </c>
      <c r="S701">
        <v>18.636800000000001</v>
      </c>
      <c r="T701">
        <v>0.85740001762101203</v>
      </c>
      <c r="U701">
        <v>0.74861997697723104</v>
      </c>
      <c r="V701">
        <v>147.19299316406199</v>
      </c>
      <c r="W701">
        <v>1.5384099627749299</v>
      </c>
      <c r="X701">
        <v>0.80605000257491999</v>
      </c>
    </row>
    <row r="702" spans="1:24" x14ac:dyDescent="0.25">
      <c r="A702" s="4">
        <v>45875</v>
      </c>
      <c r="B702">
        <v>4.4800000000000004</v>
      </c>
      <c r="C702">
        <v>4.4000000000000004</v>
      </c>
      <c r="D702">
        <v>4.32</v>
      </c>
      <c r="E702">
        <v>4.2699999999999996</v>
      </c>
      <c r="F702">
        <v>4.1500000000000004</v>
      </c>
      <c r="G702">
        <v>3.9</v>
      </c>
      <c r="H702">
        <v>3.69</v>
      </c>
      <c r="I702">
        <v>3.63</v>
      </c>
      <c r="J702">
        <v>3.77</v>
      </c>
      <c r="K702">
        <v>3.97</v>
      </c>
      <c r="L702">
        <v>4.22</v>
      </c>
      <c r="M702">
        <v>4.8</v>
      </c>
      <c r="N702">
        <v>4.8099999999999996</v>
      </c>
      <c r="O702">
        <v>5.4798999999999998</v>
      </c>
      <c r="P702">
        <v>4046.1</v>
      </c>
      <c r="Q702">
        <v>966.02</v>
      </c>
      <c r="R702">
        <v>3.5550000000000002</v>
      </c>
      <c r="S702">
        <v>18.6142</v>
      </c>
      <c r="T702">
        <v>0.86362000838231301</v>
      </c>
      <c r="U702">
        <v>0.75191000250170303</v>
      </c>
      <c r="V702">
        <v>147.55999755859301</v>
      </c>
      <c r="W702">
        <v>1.54487999548429</v>
      </c>
      <c r="X702">
        <v>0.80691999197006203</v>
      </c>
    </row>
    <row r="703" spans="1:24" x14ac:dyDescent="0.25">
      <c r="A703" s="4">
        <v>45874</v>
      </c>
      <c r="B703">
        <v>4.49</v>
      </c>
      <c r="C703">
        <v>4.41</v>
      </c>
      <c r="D703">
        <v>4.34</v>
      </c>
      <c r="E703">
        <v>4.29</v>
      </c>
      <c r="F703">
        <v>4.16</v>
      </c>
      <c r="G703">
        <v>3.92</v>
      </c>
      <c r="H703">
        <v>3.72</v>
      </c>
      <c r="I703">
        <v>3.63</v>
      </c>
      <c r="J703">
        <v>3.77</v>
      </c>
      <c r="K703">
        <v>3.97</v>
      </c>
      <c r="L703">
        <v>4.22</v>
      </c>
      <c r="M703">
        <v>4.7699999999999996</v>
      </c>
      <c r="N703">
        <v>4.78</v>
      </c>
      <c r="O703">
        <v>5.5115999999999996</v>
      </c>
      <c r="P703">
        <v>4090</v>
      </c>
      <c r="Q703">
        <v>964.28</v>
      </c>
      <c r="R703">
        <v>3.5550000000000002</v>
      </c>
      <c r="S703">
        <v>18.7378</v>
      </c>
      <c r="T703">
        <v>0.86325003046059701</v>
      </c>
      <c r="U703">
        <v>0.75202001081689995</v>
      </c>
      <c r="V703">
        <v>146.79299926757801</v>
      </c>
      <c r="W703">
        <v>1.5444500762503099</v>
      </c>
      <c r="X703">
        <v>0.807089984416961</v>
      </c>
    </row>
    <row r="704" spans="1:24" x14ac:dyDescent="0.25">
      <c r="A704" s="4">
        <v>45873</v>
      </c>
      <c r="B704">
        <v>4.4800000000000004</v>
      </c>
      <c r="C704">
        <v>4.43</v>
      </c>
      <c r="D704">
        <v>4.3499999999999996</v>
      </c>
      <c r="E704">
        <v>4.28</v>
      </c>
      <c r="F704">
        <v>4.1500000000000004</v>
      </c>
      <c r="G704">
        <v>3.82</v>
      </c>
      <c r="H704">
        <v>3.69</v>
      </c>
      <c r="I704">
        <v>3.66</v>
      </c>
      <c r="J704">
        <v>3.75</v>
      </c>
      <c r="K704">
        <v>3.95</v>
      </c>
      <c r="L704">
        <v>4.22</v>
      </c>
      <c r="M704">
        <v>4.78</v>
      </c>
      <c r="N704">
        <v>4.8</v>
      </c>
      <c r="O704">
        <v>5.5110000000000001</v>
      </c>
      <c r="P704">
        <v>4096.5</v>
      </c>
      <c r="Q704">
        <v>967.48</v>
      </c>
      <c r="R704">
        <v>3.5630000000000002</v>
      </c>
      <c r="S704">
        <v>18.9069</v>
      </c>
      <c r="T704">
        <v>0.86305996576818</v>
      </c>
      <c r="U704">
        <v>0.75244997193765895</v>
      </c>
      <c r="V704">
        <v>147.343002319335</v>
      </c>
      <c r="W704">
        <v>1.5458100536525601</v>
      </c>
      <c r="X704">
        <v>0.80400997400283802</v>
      </c>
    </row>
    <row r="705" spans="1:24" x14ac:dyDescent="0.25">
      <c r="A705" s="4">
        <v>45870</v>
      </c>
      <c r="B705">
        <v>4.49</v>
      </c>
      <c r="C705">
        <v>4.4400000000000004</v>
      </c>
      <c r="D705">
        <v>4.3499999999999996</v>
      </c>
      <c r="E705">
        <v>4.3</v>
      </c>
      <c r="F705">
        <v>4.16</v>
      </c>
      <c r="G705">
        <v>3.87</v>
      </c>
      <c r="H705">
        <v>3.69</v>
      </c>
      <c r="I705">
        <v>3.67</v>
      </c>
      <c r="J705">
        <v>3.77</v>
      </c>
      <c r="K705">
        <v>3.97</v>
      </c>
      <c r="L705">
        <v>4.2300000000000004</v>
      </c>
      <c r="M705">
        <v>4.79</v>
      </c>
      <c r="N705">
        <v>4.8099999999999996</v>
      </c>
      <c r="O705">
        <v>5.5433000000000003</v>
      </c>
      <c r="P705">
        <v>4127</v>
      </c>
      <c r="Q705">
        <v>976.8</v>
      </c>
      <c r="R705">
        <v>3.581</v>
      </c>
      <c r="S705">
        <v>18.8886</v>
      </c>
      <c r="T705">
        <v>0.87537003304209304</v>
      </c>
      <c r="U705">
        <v>0.75701000195104495</v>
      </c>
      <c r="V705">
        <v>150.77200317382801</v>
      </c>
      <c r="W705">
        <v>1.55543010746208</v>
      </c>
      <c r="X705">
        <v>0.81389999389648404</v>
      </c>
    </row>
    <row r="706" spans="1:24" x14ac:dyDescent="0.25">
      <c r="A706" s="4">
        <v>45869</v>
      </c>
      <c r="B706">
        <v>4.49</v>
      </c>
      <c r="C706">
        <v>4.46</v>
      </c>
      <c r="D706">
        <v>4.41</v>
      </c>
      <c r="E706">
        <v>4.4000000000000004</v>
      </c>
      <c r="F706">
        <v>4.3099999999999996</v>
      </c>
      <c r="G706">
        <v>4.0999999999999996</v>
      </c>
      <c r="H706">
        <v>3.94</v>
      </c>
      <c r="I706">
        <v>3.89</v>
      </c>
      <c r="J706">
        <v>3.96</v>
      </c>
      <c r="K706">
        <v>4.1399999999999997</v>
      </c>
      <c r="L706">
        <v>4.37</v>
      </c>
      <c r="M706">
        <v>4.8899999999999997</v>
      </c>
      <c r="N706">
        <v>4.8899999999999997</v>
      </c>
      <c r="O706">
        <v>5.6017999999999999</v>
      </c>
      <c r="P706">
        <v>4181</v>
      </c>
      <c r="Q706">
        <v>978.07</v>
      </c>
      <c r="R706">
        <v>3.5910000000000002</v>
      </c>
      <c r="S706">
        <v>18.867999999999999</v>
      </c>
      <c r="T706">
        <v>0.87494000086361201</v>
      </c>
      <c r="U706">
        <v>0.75427999041482796</v>
      </c>
      <c r="V706">
        <v>149.22599792480401</v>
      </c>
      <c r="W706">
        <v>1.5510799545212199</v>
      </c>
      <c r="X706">
        <v>0.81321001052856401</v>
      </c>
    </row>
    <row r="707" spans="1:24" x14ac:dyDescent="0.25">
      <c r="A707" s="4">
        <v>45868</v>
      </c>
      <c r="B707">
        <v>4.41</v>
      </c>
      <c r="C707">
        <v>4.45</v>
      </c>
      <c r="D707">
        <v>4.41</v>
      </c>
      <c r="E707">
        <v>4.3899999999999997</v>
      </c>
      <c r="F707">
        <v>4.3099999999999996</v>
      </c>
      <c r="G707">
        <v>4.12</v>
      </c>
      <c r="H707">
        <v>3.94</v>
      </c>
      <c r="I707">
        <v>3.89</v>
      </c>
      <c r="J707">
        <v>3.96</v>
      </c>
      <c r="K707">
        <v>4.1500000000000004</v>
      </c>
      <c r="L707">
        <v>4.38</v>
      </c>
      <c r="M707">
        <v>4.9000000000000004</v>
      </c>
      <c r="N707">
        <v>4.8899999999999997</v>
      </c>
      <c r="O707">
        <v>5.6031000000000004</v>
      </c>
      <c r="P707">
        <v>4183.8999999999996</v>
      </c>
      <c r="Q707">
        <v>970.09</v>
      </c>
      <c r="R707">
        <v>3.5680000000000001</v>
      </c>
      <c r="S707">
        <v>18.8567</v>
      </c>
      <c r="T707">
        <v>0.865730030078532</v>
      </c>
      <c r="U707">
        <v>0.74886003072531704</v>
      </c>
      <c r="V707">
        <v>148.44200134277301</v>
      </c>
      <c r="W707">
        <v>1.53534000246354</v>
      </c>
      <c r="X707">
        <v>0.805469989776611</v>
      </c>
    </row>
    <row r="708" spans="1:24" x14ac:dyDescent="0.25">
      <c r="A708" s="4">
        <v>45867</v>
      </c>
      <c r="B708">
        <v>4.4000000000000004</v>
      </c>
      <c r="C708">
        <v>4.45</v>
      </c>
      <c r="D708">
        <v>4.4000000000000004</v>
      </c>
      <c r="E708">
        <v>4.41</v>
      </c>
      <c r="F708">
        <v>4.28</v>
      </c>
      <c r="G708">
        <v>4.07</v>
      </c>
      <c r="H708">
        <v>3.86</v>
      </c>
      <c r="I708">
        <v>3.82</v>
      </c>
      <c r="J708">
        <v>3.9</v>
      </c>
      <c r="K708">
        <v>4.0999999999999996</v>
      </c>
      <c r="L708">
        <v>4.34</v>
      </c>
      <c r="M708">
        <v>4.8600000000000003</v>
      </c>
      <c r="N708">
        <v>4.8600000000000003</v>
      </c>
      <c r="O708">
        <v>5.5761000000000003</v>
      </c>
      <c r="P708">
        <v>4144</v>
      </c>
      <c r="Q708">
        <v>969.75</v>
      </c>
      <c r="R708">
        <v>3.544</v>
      </c>
      <c r="S708">
        <v>18.750900000000001</v>
      </c>
      <c r="T708">
        <v>0.86231002773932897</v>
      </c>
      <c r="U708">
        <v>0.74848998985043302</v>
      </c>
      <c r="V708">
        <v>148.47900390625</v>
      </c>
      <c r="W708">
        <v>1.5327999619934001</v>
      </c>
      <c r="X708">
        <v>0.80309998989105202</v>
      </c>
    </row>
    <row r="709" spans="1:24" x14ac:dyDescent="0.25">
      <c r="A709" s="4">
        <v>45866</v>
      </c>
      <c r="B709">
        <v>4.4000000000000004</v>
      </c>
      <c r="C709">
        <v>4.45</v>
      </c>
      <c r="D709">
        <v>4.4000000000000004</v>
      </c>
      <c r="E709">
        <v>4.42</v>
      </c>
      <c r="F709">
        <v>4.3</v>
      </c>
      <c r="G709">
        <v>4.09</v>
      </c>
      <c r="H709">
        <v>3.91</v>
      </c>
      <c r="I709">
        <v>3.87</v>
      </c>
      <c r="J709">
        <v>3.96</v>
      </c>
      <c r="K709">
        <v>4.18</v>
      </c>
      <c r="L709">
        <v>4.42</v>
      </c>
      <c r="M709">
        <v>4.95</v>
      </c>
      <c r="N709">
        <v>4.96</v>
      </c>
      <c r="O709">
        <v>5.5873999999999997</v>
      </c>
      <c r="P709">
        <v>4165</v>
      </c>
      <c r="Q709">
        <v>957.82</v>
      </c>
      <c r="R709">
        <v>3.544</v>
      </c>
      <c r="S709">
        <v>18.763400000000001</v>
      </c>
      <c r="T709">
        <v>0.85057000181599896</v>
      </c>
      <c r="U709">
        <v>0.744000049667361</v>
      </c>
      <c r="V709">
        <v>147.81300354003901</v>
      </c>
      <c r="W709">
        <v>1.52137988657763</v>
      </c>
      <c r="X709">
        <v>0.79536998271942105</v>
      </c>
    </row>
    <row r="710" spans="1:24" x14ac:dyDescent="0.25">
      <c r="A710" s="4">
        <v>45863</v>
      </c>
      <c r="B710">
        <v>4.37</v>
      </c>
      <c r="C710">
        <v>4.46</v>
      </c>
      <c r="D710">
        <v>4.42</v>
      </c>
      <c r="E710">
        <v>4.42</v>
      </c>
      <c r="F710">
        <v>4.3099999999999996</v>
      </c>
      <c r="G710">
        <v>4.09</v>
      </c>
      <c r="H710">
        <v>3.91</v>
      </c>
      <c r="I710">
        <v>3.86</v>
      </c>
      <c r="J710">
        <v>3.95</v>
      </c>
      <c r="K710">
        <v>4.1500000000000004</v>
      </c>
      <c r="L710">
        <v>4.4000000000000004</v>
      </c>
      <c r="M710">
        <v>4.92</v>
      </c>
      <c r="N710">
        <v>4.92</v>
      </c>
      <c r="O710">
        <v>5.5423</v>
      </c>
      <c r="P710">
        <v>4141</v>
      </c>
      <c r="Q710">
        <v>951.27</v>
      </c>
      <c r="R710">
        <v>3.544</v>
      </c>
      <c r="S710">
        <v>18.546900000000001</v>
      </c>
      <c r="T710">
        <v>0.85061994017699405</v>
      </c>
      <c r="U710">
        <v>0.74019006011270005</v>
      </c>
      <c r="V710">
        <v>147.00500488281199</v>
      </c>
      <c r="W710">
        <v>1.5158000492400501</v>
      </c>
      <c r="X710">
        <v>0.79487001895904497</v>
      </c>
    </row>
    <row r="711" spans="1:24" x14ac:dyDescent="0.25">
      <c r="A711" s="4">
        <v>45862</v>
      </c>
      <c r="B711">
        <v>4.37</v>
      </c>
      <c r="C711">
        <v>4.46</v>
      </c>
      <c r="D711">
        <v>4.42</v>
      </c>
      <c r="E711">
        <v>4.42</v>
      </c>
      <c r="F711">
        <v>4.32</v>
      </c>
      <c r="G711">
        <v>4.0999999999999996</v>
      </c>
      <c r="H711">
        <v>3.91</v>
      </c>
      <c r="I711">
        <v>3.87</v>
      </c>
      <c r="J711">
        <v>3.98</v>
      </c>
      <c r="K711">
        <v>4.18</v>
      </c>
      <c r="L711">
        <v>4.43</v>
      </c>
      <c r="M711">
        <v>4.95</v>
      </c>
      <c r="N711">
        <v>4.96</v>
      </c>
      <c r="O711">
        <v>5.5236000000000001</v>
      </c>
      <c r="P711">
        <v>4073.99</v>
      </c>
      <c r="Q711">
        <v>948.93</v>
      </c>
      <c r="R711">
        <v>3.5409999999999999</v>
      </c>
      <c r="S711">
        <v>18.5548</v>
      </c>
      <c r="T711">
        <v>0.84930994518662495</v>
      </c>
      <c r="U711">
        <v>0.73640001636325803</v>
      </c>
      <c r="V711">
        <v>146.34899902343699</v>
      </c>
      <c r="W711">
        <v>1.51423399537459</v>
      </c>
      <c r="X711">
        <v>0.79204702377319303</v>
      </c>
    </row>
    <row r="712" spans="1:24" x14ac:dyDescent="0.25">
      <c r="A712" s="4">
        <v>45861</v>
      </c>
      <c r="B712">
        <v>4.37</v>
      </c>
      <c r="C712">
        <v>4.45</v>
      </c>
      <c r="D712">
        <v>4.41</v>
      </c>
      <c r="E712">
        <v>4.42</v>
      </c>
      <c r="F712">
        <v>4.3099999999999996</v>
      </c>
      <c r="G712">
        <v>4.08</v>
      </c>
      <c r="H712">
        <v>3.88</v>
      </c>
      <c r="I712">
        <v>3.84</v>
      </c>
      <c r="J712">
        <v>3.94</v>
      </c>
      <c r="K712">
        <v>4.1500000000000004</v>
      </c>
      <c r="L712">
        <v>4.4000000000000004</v>
      </c>
      <c r="M712">
        <v>4.93</v>
      </c>
      <c r="N712">
        <v>4.95</v>
      </c>
      <c r="O712">
        <v>5.5533999999999999</v>
      </c>
      <c r="P712">
        <v>4045.03</v>
      </c>
      <c r="Q712">
        <v>953.4</v>
      </c>
      <c r="R712">
        <v>3.5539999999999998</v>
      </c>
      <c r="S712">
        <v>18.532900000000001</v>
      </c>
      <c r="T712">
        <v>0.85184997884746105</v>
      </c>
      <c r="U712">
        <v>0.73956000427058699</v>
      </c>
      <c r="V712">
        <v>146.78500366210901</v>
      </c>
      <c r="W712">
        <v>1.52562002920437</v>
      </c>
      <c r="X712">
        <v>0.79363000392913796</v>
      </c>
    </row>
    <row r="713" spans="1:24" x14ac:dyDescent="0.25">
      <c r="A713" s="4">
        <v>45860</v>
      </c>
      <c r="B713">
        <v>4.37</v>
      </c>
      <c r="C713">
        <v>4.45</v>
      </c>
      <c r="D713">
        <v>4.41</v>
      </c>
      <c r="E713">
        <v>4.42</v>
      </c>
      <c r="F713">
        <v>4.3</v>
      </c>
      <c r="G713">
        <v>4.05</v>
      </c>
      <c r="H713">
        <v>3.83</v>
      </c>
      <c r="I713">
        <v>3.77</v>
      </c>
      <c r="J713">
        <v>3.88</v>
      </c>
      <c r="K713">
        <v>4.09</v>
      </c>
      <c r="L713">
        <v>4.3499999999999996</v>
      </c>
      <c r="M713">
        <v>4.9000000000000004</v>
      </c>
      <c r="N713">
        <v>4.9000000000000004</v>
      </c>
      <c r="O713">
        <v>5.5705999999999998</v>
      </c>
      <c r="P713">
        <v>4075</v>
      </c>
      <c r="Q713">
        <v>956.65</v>
      </c>
      <c r="R713">
        <v>3.5539999999999998</v>
      </c>
      <c r="S713">
        <v>18.638300000000001</v>
      </c>
      <c r="T713">
        <v>0.85510000417937004</v>
      </c>
      <c r="U713">
        <v>0.74131999124761405</v>
      </c>
      <c r="V713">
        <v>147.40899658203099</v>
      </c>
      <c r="W713">
        <v>1.53184003146727</v>
      </c>
      <c r="X713">
        <v>0.79808402061462402</v>
      </c>
    </row>
    <row r="714" spans="1:24" x14ac:dyDescent="0.25">
      <c r="A714" s="4">
        <v>45859</v>
      </c>
      <c r="B714">
        <v>4.3499999999999996</v>
      </c>
      <c r="C714">
        <v>4.46</v>
      </c>
      <c r="D714">
        <v>4.41</v>
      </c>
      <c r="E714">
        <v>4.42</v>
      </c>
      <c r="F714">
        <v>4.3</v>
      </c>
      <c r="G714">
        <v>4.0599999999999996</v>
      </c>
      <c r="H714">
        <v>3.85</v>
      </c>
      <c r="I714">
        <v>3.81</v>
      </c>
      <c r="J714">
        <v>3.91</v>
      </c>
      <c r="K714">
        <v>4.13</v>
      </c>
      <c r="L714">
        <v>4.38</v>
      </c>
      <c r="M714">
        <v>4.93</v>
      </c>
      <c r="N714">
        <v>4.9400000000000004</v>
      </c>
      <c r="O714">
        <v>5.5621999999999998</v>
      </c>
      <c r="P714">
        <v>4044.6</v>
      </c>
      <c r="Q714">
        <v>961.55</v>
      </c>
      <c r="R714">
        <v>3.5590000000000002</v>
      </c>
      <c r="S714">
        <v>18.6617</v>
      </c>
      <c r="T714">
        <v>0.85979006776659395</v>
      </c>
      <c r="U714">
        <v>0.74538000962490503</v>
      </c>
      <c r="V714">
        <v>148.43099975585901</v>
      </c>
      <c r="W714">
        <v>1.53559997920463</v>
      </c>
      <c r="X714">
        <v>0.80118000507354703</v>
      </c>
    </row>
    <row r="715" spans="1:24" x14ac:dyDescent="0.25">
      <c r="A715" s="4">
        <v>45856</v>
      </c>
      <c r="B715">
        <v>4.3499999999999996</v>
      </c>
      <c r="C715">
        <v>4.46</v>
      </c>
      <c r="D715">
        <v>4.4000000000000004</v>
      </c>
      <c r="E715">
        <v>4.42</v>
      </c>
      <c r="F715">
        <v>4.3</v>
      </c>
      <c r="G715">
        <v>4.08</v>
      </c>
      <c r="H715">
        <v>3.88</v>
      </c>
      <c r="I715">
        <v>3.84</v>
      </c>
      <c r="J715">
        <v>3.96</v>
      </c>
      <c r="K715">
        <v>4.18</v>
      </c>
      <c r="L715">
        <v>4.4400000000000004</v>
      </c>
      <c r="M715">
        <v>4.99</v>
      </c>
      <c r="N715">
        <v>5</v>
      </c>
      <c r="O715">
        <v>5.5462999999999996</v>
      </c>
      <c r="P715">
        <v>4016.95</v>
      </c>
      <c r="Q715">
        <v>966.78</v>
      </c>
      <c r="R715">
        <v>3.5649999999999999</v>
      </c>
      <c r="S715">
        <v>18.731200000000001</v>
      </c>
      <c r="T715">
        <v>0.86091998047573304</v>
      </c>
      <c r="U715">
        <v>0.74445999678382502</v>
      </c>
      <c r="V715">
        <v>148.44200134277301</v>
      </c>
      <c r="W715">
        <v>1.5388900211829699</v>
      </c>
      <c r="X715">
        <v>0.80287998914718595</v>
      </c>
    </row>
    <row r="716" spans="1:24" x14ac:dyDescent="0.25">
      <c r="A716" s="4">
        <v>45855</v>
      </c>
      <c r="B716">
        <v>4.3600000000000003</v>
      </c>
      <c r="C716">
        <v>4.47</v>
      </c>
      <c r="D716">
        <v>4.41</v>
      </c>
      <c r="E716">
        <v>4.42</v>
      </c>
      <c r="F716">
        <v>4.3099999999999996</v>
      </c>
      <c r="G716">
        <v>4.0999999999999996</v>
      </c>
      <c r="H716">
        <v>3.91</v>
      </c>
      <c r="I716">
        <v>3.89</v>
      </c>
      <c r="J716">
        <v>4.01</v>
      </c>
      <c r="K716">
        <v>4.22</v>
      </c>
      <c r="L716">
        <v>4.47</v>
      </c>
      <c r="M716">
        <v>5.01</v>
      </c>
      <c r="N716">
        <v>5.01</v>
      </c>
      <c r="O716">
        <v>5.5734000000000004</v>
      </c>
      <c r="P716">
        <v>4017.5</v>
      </c>
      <c r="Q716">
        <v>965.65</v>
      </c>
      <c r="R716">
        <v>3.5579999999999998</v>
      </c>
      <c r="S716">
        <v>18.756900000000002</v>
      </c>
      <c r="T716">
        <v>0.85942001754368302</v>
      </c>
      <c r="U716">
        <v>0.74565099556037295</v>
      </c>
      <c r="V716">
        <v>148.003005981445</v>
      </c>
      <c r="W716">
        <v>1.53256697141005</v>
      </c>
      <c r="X716">
        <v>0.800920009613037</v>
      </c>
    </row>
    <row r="717" spans="1:24" x14ac:dyDescent="0.25">
      <c r="A717" s="4">
        <v>45854</v>
      </c>
      <c r="B717">
        <v>4.3600000000000003</v>
      </c>
      <c r="C717">
        <v>4.45</v>
      </c>
      <c r="D717">
        <v>4.41</v>
      </c>
      <c r="E717">
        <v>4.42</v>
      </c>
      <c r="F717">
        <v>4.3099999999999996</v>
      </c>
      <c r="G717">
        <v>4.08</v>
      </c>
      <c r="H717">
        <v>3.88</v>
      </c>
      <c r="I717">
        <v>3.86</v>
      </c>
      <c r="J717">
        <v>3.99</v>
      </c>
      <c r="K717">
        <v>4.21</v>
      </c>
      <c r="L717">
        <v>4.46</v>
      </c>
      <c r="M717">
        <v>5.01</v>
      </c>
      <c r="N717">
        <v>5.01</v>
      </c>
      <c r="O717">
        <v>5.5719000000000003</v>
      </c>
      <c r="P717">
        <v>4014</v>
      </c>
      <c r="Q717">
        <v>967.22</v>
      </c>
      <c r="R717">
        <v>3.548</v>
      </c>
      <c r="S717">
        <v>18.727399999999999</v>
      </c>
      <c r="T717">
        <v>0.86151998164524402</v>
      </c>
      <c r="U717">
        <v>0.74664000746229797</v>
      </c>
      <c r="V717">
        <v>148.76100158691401</v>
      </c>
      <c r="W717">
        <v>1.5339800037487199</v>
      </c>
      <c r="X717">
        <v>0.80141997337341297</v>
      </c>
    </row>
    <row r="718" spans="1:24" x14ac:dyDescent="0.25">
      <c r="A718" s="4">
        <v>45853</v>
      </c>
      <c r="B718">
        <v>4.3600000000000003</v>
      </c>
      <c r="C718">
        <v>4.46</v>
      </c>
      <c r="D718">
        <v>4.42</v>
      </c>
      <c r="E718">
        <v>4.43</v>
      </c>
      <c r="F718">
        <v>4.33</v>
      </c>
      <c r="G718">
        <v>4.12</v>
      </c>
      <c r="H718">
        <v>3.95</v>
      </c>
      <c r="I718">
        <v>3.93</v>
      </c>
      <c r="J718">
        <v>4.05</v>
      </c>
      <c r="K718">
        <v>4.26</v>
      </c>
      <c r="L718">
        <v>4.5</v>
      </c>
      <c r="M718">
        <v>5.0199999999999996</v>
      </c>
      <c r="N718">
        <v>5.01</v>
      </c>
      <c r="O718">
        <v>5.5572499999999998</v>
      </c>
      <c r="P718">
        <v>4028</v>
      </c>
      <c r="Q718">
        <v>967.22</v>
      </c>
      <c r="R718">
        <v>3.5590000000000002</v>
      </c>
      <c r="S718">
        <v>18.8188</v>
      </c>
      <c r="T718">
        <v>0.85716995013488095</v>
      </c>
      <c r="U718">
        <v>0.74471001692876204</v>
      </c>
      <c r="V718">
        <v>147.79200744628901</v>
      </c>
      <c r="W718">
        <v>1.52795009786696</v>
      </c>
      <c r="X718">
        <v>0.79786998033523504</v>
      </c>
    </row>
    <row r="719" spans="1:24" x14ac:dyDescent="0.25">
      <c r="A719" s="4">
        <v>45852</v>
      </c>
      <c r="B719">
        <v>4.37</v>
      </c>
      <c r="C719">
        <v>4.46</v>
      </c>
      <c r="D719">
        <v>4.42</v>
      </c>
      <c r="E719">
        <v>4.42</v>
      </c>
      <c r="F719">
        <v>4.3099999999999996</v>
      </c>
      <c r="G719">
        <v>4.08</v>
      </c>
      <c r="H719">
        <v>3.9</v>
      </c>
      <c r="I719">
        <v>3.86</v>
      </c>
      <c r="J719">
        <v>3.98</v>
      </c>
      <c r="K719">
        <v>4.1900000000000004</v>
      </c>
      <c r="L719">
        <v>4.43</v>
      </c>
      <c r="M719">
        <v>4.97</v>
      </c>
      <c r="N719">
        <v>4.97</v>
      </c>
      <c r="O719">
        <v>5.5591999999999997</v>
      </c>
      <c r="P719">
        <v>3999.85</v>
      </c>
      <c r="Q719">
        <v>955.73</v>
      </c>
      <c r="R719">
        <v>3.5659999999999998</v>
      </c>
      <c r="S719">
        <v>18.729299999999999</v>
      </c>
      <c r="T719">
        <v>0.85601001912208996</v>
      </c>
      <c r="U719">
        <v>0.74107996713970803</v>
      </c>
      <c r="V719">
        <v>147.294998168945</v>
      </c>
      <c r="W719">
        <v>1.5201999965567801</v>
      </c>
      <c r="X719">
        <v>0.79679000377654996</v>
      </c>
    </row>
    <row r="720" spans="1:24" x14ac:dyDescent="0.25">
      <c r="A720" s="4">
        <v>45849</v>
      </c>
      <c r="B720">
        <v>4.37</v>
      </c>
      <c r="C720">
        <v>4.47</v>
      </c>
      <c r="D720">
        <v>4.41</v>
      </c>
      <c r="E720">
        <v>4.42</v>
      </c>
      <c r="F720">
        <v>4.3099999999999996</v>
      </c>
      <c r="G720">
        <v>4.09</v>
      </c>
      <c r="H720">
        <v>3.9</v>
      </c>
      <c r="I720">
        <v>3.86</v>
      </c>
      <c r="J720">
        <v>3.99</v>
      </c>
      <c r="K720">
        <v>4.1900000000000004</v>
      </c>
      <c r="L720">
        <v>4.43</v>
      </c>
      <c r="M720">
        <v>4.96</v>
      </c>
      <c r="N720">
        <v>4.96</v>
      </c>
      <c r="O720">
        <v>5.5719000000000003</v>
      </c>
      <c r="P720">
        <v>3996.25</v>
      </c>
      <c r="Q720">
        <v>950.43</v>
      </c>
      <c r="R720">
        <v>3.5539999999999998</v>
      </c>
      <c r="S720">
        <v>18.644400000000001</v>
      </c>
      <c r="T720">
        <v>0.85450003045743805</v>
      </c>
      <c r="U720">
        <v>0.73640001636325803</v>
      </c>
      <c r="V720">
        <v>146.287994384765</v>
      </c>
      <c r="W720">
        <v>1.5165300734518199</v>
      </c>
      <c r="X720">
        <v>0.79672002792358398</v>
      </c>
    </row>
    <row r="721" spans="1:24" x14ac:dyDescent="0.25">
      <c r="A721" s="4">
        <v>45848</v>
      </c>
      <c r="B721">
        <v>4.3600000000000003</v>
      </c>
      <c r="C721">
        <v>4.47</v>
      </c>
      <c r="D721">
        <v>4.42</v>
      </c>
      <c r="E721">
        <v>4.42</v>
      </c>
      <c r="F721">
        <v>4.3099999999999996</v>
      </c>
      <c r="G721">
        <v>4.07</v>
      </c>
      <c r="H721">
        <v>3.86</v>
      </c>
      <c r="I721">
        <v>3.82</v>
      </c>
      <c r="J721">
        <v>3.93</v>
      </c>
      <c r="K721">
        <v>4.12</v>
      </c>
      <c r="L721">
        <v>4.3499999999999996</v>
      </c>
      <c r="M721">
        <v>4.87</v>
      </c>
      <c r="N721">
        <v>4.8600000000000003</v>
      </c>
      <c r="O721">
        <v>5.5430000000000001</v>
      </c>
      <c r="P721">
        <v>4011.6</v>
      </c>
      <c r="Q721">
        <v>948.33</v>
      </c>
      <c r="R721">
        <v>3.5449999999999999</v>
      </c>
      <c r="S721">
        <v>18.616900000000001</v>
      </c>
      <c r="T721">
        <v>0.85242995043704695</v>
      </c>
      <c r="U721">
        <v>0.73566998910255998</v>
      </c>
      <c r="V721">
        <v>146.113998413085</v>
      </c>
      <c r="W721">
        <v>1.53000999778485</v>
      </c>
      <c r="X721">
        <v>0.792930006980896</v>
      </c>
    </row>
    <row r="722" spans="1:24" x14ac:dyDescent="0.25">
      <c r="A722" s="4">
        <v>45847</v>
      </c>
      <c r="B722">
        <v>4.3600000000000003</v>
      </c>
      <c r="C722">
        <v>4.45</v>
      </c>
      <c r="D722">
        <v>4.42</v>
      </c>
      <c r="E722">
        <v>4.42</v>
      </c>
      <c r="F722">
        <v>4.3099999999999996</v>
      </c>
      <c r="G722">
        <v>4.07</v>
      </c>
      <c r="H722">
        <v>3.86</v>
      </c>
      <c r="I722">
        <v>3.8</v>
      </c>
      <c r="J722">
        <v>3.92</v>
      </c>
      <c r="K722">
        <v>4.1100000000000003</v>
      </c>
      <c r="L722">
        <v>4.34</v>
      </c>
      <c r="M722">
        <v>4.87</v>
      </c>
      <c r="N722">
        <v>4.87</v>
      </c>
      <c r="O722">
        <v>5.4622999999999999</v>
      </c>
      <c r="P722">
        <v>4008</v>
      </c>
      <c r="Q722">
        <v>945.39</v>
      </c>
      <c r="R722">
        <v>3.5489999999999999</v>
      </c>
      <c r="S722">
        <v>18.628399999999999</v>
      </c>
      <c r="T722">
        <v>0.85291001912604603</v>
      </c>
      <c r="U722">
        <v>0.73608997828393596</v>
      </c>
      <c r="V722">
        <v>146.84899902343699</v>
      </c>
      <c r="W722">
        <v>1.5326800974135</v>
      </c>
      <c r="X722">
        <v>0.79587000608444203</v>
      </c>
    </row>
    <row r="723" spans="1:24" x14ac:dyDescent="0.25">
      <c r="A723" s="4">
        <v>45846</v>
      </c>
      <c r="B723">
        <v>4.3600000000000003</v>
      </c>
      <c r="C723">
        <v>4.46</v>
      </c>
      <c r="D723">
        <v>4.42</v>
      </c>
      <c r="E723">
        <v>4.42</v>
      </c>
      <c r="F723">
        <v>4.34</v>
      </c>
      <c r="G723">
        <v>4.1100000000000003</v>
      </c>
      <c r="H723">
        <v>3.9</v>
      </c>
      <c r="I723">
        <v>3.86</v>
      </c>
      <c r="J723">
        <v>3.99</v>
      </c>
      <c r="K723">
        <v>4.18</v>
      </c>
      <c r="L723">
        <v>4.42</v>
      </c>
      <c r="M723">
        <v>4.95</v>
      </c>
      <c r="N723">
        <v>4.9400000000000004</v>
      </c>
      <c r="O723">
        <v>5.4568000000000003</v>
      </c>
      <c r="P723">
        <v>4049.9</v>
      </c>
      <c r="Q723">
        <v>940.28</v>
      </c>
      <c r="R723">
        <v>3.5449999999999999</v>
      </c>
      <c r="S723">
        <v>18.5943</v>
      </c>
      <c r="T723">
        <v>0.85203998406552806</v>
      </c>
      <c r="U723">
        <v>0.73401999070728696</v>
      </c>
      <c r="V723">
        <v>145.891998291015</v>
      </c>
      <c r="W723">
        <v>1.53702002067167</v>
      </c>
      <c r="X723">
        <v>0.79716002941131503</v>
      </c>
    </row>
    <row r="724" spans="1:24" x14ac:dyDescent="0.25">
      <c r="A724" s="4">
        <v>45845</v>
      </c>
      <c r="B724">
        <v>4.37</v>
      </c>
      <c r="C724">
        <v>4.45</v>
      </c>
      <c r="D724">
        <v>4.42</v>
      </c>
      <c r="E724">
        <v>4.41</v>
      </c>
      <c r="F724">
        <v>4.33</v>
      </c>
      <c r="G724">
        <v>4.08</v>
      </c>
      <c r="H724">
        <v>3.9</v>
      </c>
      <c r="I724">
        <v>3.85</v>
      </c>
      <c r="J724">
        <v>3.96</v>
      </c>
      <c r="K724">
        <v>4.16</v>
      </c>
      <c r="L724">
        <v>4.4000000000000004</v>
      </c>
      <c r="M724">
        <v>4.93</v>
      </c>
      <c r="N724">
        <v>4.92</v>
      </c>
      <c r="O724">
        <v>5.4549000000000003</v>
      </c>
      <c r="P724">
        <v>4042</v>
      </c>
      <c r="Q724">
        <v>932.34</v>
      </c>
      <c r="R724">
        <v>3.5630000000000002</v>
      </c>
      <c r="S724">
        <v>18.6435</v>
      </c>
      <c r="T724">
        <v>0.84884001790246599</v>
      </c>
      <c r="U724">
        <v>0.73251999351712604</v>
      </c>
      <c r="V724">
        <v>144.49800109863199</v>
      </c>
      <c r="W724">
        <v>1.5262999742632899</v>
      </c>
      <c r="X724">
        <v>0.79404002428054798</v>
      </c>
    </row>
    <row r="725" spans="1:24" x14ac:dyDescent="0.25">
      <c r="A725" s="4">
        <v>45841</v>
      </c>
      <c r="B725">
        <v>4.3499999999999996</v>
      </c>
      <c r="C725">
        <v>4.5</v>
      </c>
      <c r="D725">
        <v>4.42</v>
      </c>
      <c r="E725">
        <v>4.41</v>
      </c>
      <c r="F725">
        <v>4.34</v>
      </c>
      <c r="G725">
        <v>4.07</v>
      </c>
      <c r="H725">
        <v>3.88</v>
      </c>
      <c r="I725">
        <v>3.84</v>
      </c>
      <c r="J725">
        <v>3.94</v>
      </c>
      <c r="K725">
        <v>4.12</v>
      </c>
      <c r="L725">
        <v>4.3499999999999996</v>
      </c>
      <c r="M725">
        <v>4.87</v>
      </c>
      <c r="N725">
        <v>4.8600000000000003</v>
      </c>
      <c r="O725">
        <v>5.4204999999999997</v>
      </c>
      <c r="P725">
        <v>3987</v>
      </c>
      <c r="Q725">
        <v>926.51</v>
      </c>
      <c r="R725">
        <v>3.544</v>
      </c>
      <c r="S725">
        <v>18.6629</v>
      </c>
      <c r="T725">
        <v>0.84744002861771695</v>
      </c>
      <c r="U725">
        <v>0.73259995972214897</v>
      </c>
      <c r="V725">
        <v>143.52600097656199</v>
      </c>
      <c r="W725">
        <v>1.5190869913066201</v>
      </c>
      <c r="X725">
        <v>0.79149997234344405</v>
      </c>
    </row>
    <row r="726" spans="1:24" x14ac:dyDescent="0.25">
      <c r="A726" s="4">
        <v>45840</v>
      </c>
      <c r="B726">
        <v>4.33</v>
      </c>
      <c r="C726">
        <v>4.43</v>
      </c>
      <c r="D726">
        <v>4.41</v>
      </c>
      <c r="E726">
        <v>4.37</v>
      </c>
      <c r="F726">
        <v>4.28</v>
      </c>
      <c r="G726">
        <v>3.99</v>
      </c>
      <c r="H726">
        <v>3.78</v>
      </c>
      <c r="I726">
        <v>3.77</v>
      </c>
      <c r="J726">
        <v>3.87</v>
      </c>
      <c r="K726">
        <v>4.0599999999999996</v>
      </c>
      <c r="L726">
        <v>4.3</v>
      </c>
      <c r="M726">
        <v>4.84</v>
      </c>
      <c r="N726">
        <v>4.82</v>
      </c>
      <c r="O726">
        <v>5.4508999999999999</v>
      </c>
      <c r="P726">
        <v>3992.3</v>
      </c>
      <c r="Q726">
        <v>926.62</v>
      </c>
      <c r="R726">
        <v>3.5489999999999999</v>
      </c>
      <c r="S726">
        <v>18.7681</v>
      </c>
      <c r="T726">
        <v>0.84706000199531295</v>
      </c>
      <c r="U726">
        <v>0.72741998548213704</v>
      </c>
      <c r="V726">
        <v>143.40199279785099</v>
      </c>
      <c r="W726">
        <v>1.5190399523097999</v>
      </c>
      <c r="X726">
        <v>0.79069000482559204</v>
      </c>
    </row>
    <row r="727" spans="1:24" x14ac:dyDescent="0.25">
      <c r="A727" s="4">
        <v>45839</v>
      </c>
      <c r="B727">
        <v>4.32</v>
      </c>
      <c r="C727">
        <v>4.42</v>
      </c>
      <c r="D727">
        <v>4.4000000000000004</v>
      </c>
      <c r="E727">
        <v>4.3499999999999996</v>
      </c>
      <c r="F727">
        <v>4.29</v>
      </c>
      <c r="G727">
        <v>3.98</v>
      </c>
      <c r="H727">
        <v>3.78</v>
      </c>
      <c r="I727">
        <v>3.75</v>
      </c>
      <c r="J727">
        <v>3.84</v>
      </c>
      <c r="K727">
        <v>4.03</v>
      </c>
      <c r="L727">
        <v>4.26</v>
      </c>
      <c r="M727">
        <v>4.79</v>
      </c>
      <c r="N727">
        <v>4.78</v>
      </c>
      <c r="O727">
        <v>5.4508000000000001</v>
      </c>
      <c r="P727">
        <v>4026.2</v>
      </c>
      <c r="Q727">
        <v>933.42</v>
      </c>
      <c r="R727">
        <v>3.56</v>
      </c>
      <c r="S727">
        <v>18.730699999999999</v>
      </c>
      <c r="T727">
        <v>0.84838004833231195</v>
      </c>
      <c r="U727">
        <v>0.72829998297457299</v>
      </c>
      <c r="V727">
        <v>143.80000305175699</v>
      </c>
      <c r="W727">
        <v>1.5201999965567801</v>
      </c>
      <c r="X727">
        <v>0.79272001981735196</v>
      </c>
    </row>
    <row r="728" spans="1:24" x14ac:dyDescent="0.25">
      <c r="A728" s="4">
        <v>45838</v>
      </c>
      <c r="B728">
        <v>4.28</v>
      </c>
      <c r="C728">
        <v>4.45</v>
      </c>
      <c r="D728">
        <v>4.41</v>
      </c>
      <c r="E728">
        <v>4.3600000000000003</v>
      </c>
      <c r="F728">
        <v>4.29</v>
      </c>
      <c r="G728">
        <v>3.96</v>
      </c>
      <c r="H728">
        <v>3.72</v>
      </c>
      <c r="I728">
        <v>3.68</v>
      </c>
      <c r="J728">
        <v>3.79</v>
      </c>
      <c r="K728">
        <v>3.98</v>
      </c>
      <c r="L728">
        <v>4.24</v>
      </c>
      <c r="M728">
        <v>4.79</v>
      </c>
      <c r="N728">
        <v>4.78</v>
      </c>
      <c r="O728">
        <v>5.4568000000000003</v>
      </c>
      <c r="P728">
        <v>4102</v>
      </c>
      <c r="Q728">
        <v>935.74</v>
      </c>
      <c r="R728">
        <v>3.5409999999999999</v>
      </c>
      <c r="S728">
        <v>18.7654</v>
      </c>
      <c r="T728">
        <v>0.85270003631946101</v>
      </c>
      <c r="U728">
        <v>0.72887995744511502</v>
      </c>
      <c r="V728">
        <v>144.516998291015</v>
      </c>
      <c r="W728">
        <v>1.5306399574634</v>
      </c>
      <c r="X728">
        <v>0.79825001955032304</v>
      </c>
    </row>
    <row r="729" spans="1:24" x14ac:dyDescent="0.25">
      <c r="A729" s="4">
        <v>45835</v>
      </c>
      <c r="B729">
        <v>4.1900000000000004</v>
      </c>
      <c r="C729">
        <v>4.49</v>
      </c>
      <c r="D729">
        <v>4.3899999999999997</v>
      </c>
      <c r="E729">
        <v>4.3600000000000003</v>
      </c>
      <c r="F729">
        <v>4.26</v>
      </c>
      <c r="G729">
        <v>3.97</v>
      </c>
      <c r="H729">
        <v>3.73</v>
      </c>
      <c r="I729">
        <v>3.72</v>
      </c>
      <c r="J729">
        <v>3.83</v>
      </c>
      <c r="K729">
        <v>4.03</v>
      </c>
      <c r="L729">
        <v>4.29</v>
      </c>
      <c r="M729">
        <v>4.8499999999999996</v>
      </c>
      <c r="N729">
        <v>4.8499999999999996</v>
      </c>
      <c r="O729">
        <v>5.4756</v>
      </c>
      <c r="P729">
        <v>4102</v>
      </c>
      <c r="Q729">
        <v>930.67</v>
      </c>
      <c r="R729">
        <v>3.5489999999999999</v>
      </c>
      <c r="S729">
        <v>18.852900000000002</v>
      </c>
      <c r="T729">
        <v>0.85527001041991602</v>
      </c>
      <c r="U729">
        <v>0.72861001048712404</v>
      </c>
      <c r="V729">
        <v>144.69400024414</v>
      </c>
      <c r="W729">
        <v>1.52758003553168</v>
      </c>
      <c r="X729">
        <v>0.80089002847671498</v>
      </c>
    </row>
    <row r="730" spans="1:24" x14ac:dyDescent="0.25">
      <c r="A730" s="4">
        <v>45834</v>
      </c>
      <c r="B730">
        <v>4.1100000000000003</v>
      </c>
      <c r="C730">
        <v>4.49</v>
      </c>
      <c r="D730">
        <v>4.3899999999999997</v>
      </c>
      <c r="E730">
        <v>4.3600000000000003</v>
      </c>
      <c r="F730">
        <v>4.26</v>
      </c>
      <c r="G730">
        <v>3.96</v>
      </c>
      <c r="H730">
        <v>3.7</v>
      </c>
      <c r="I730">
        <v>3.68</v>
      </c>
      <c r="J730">
        <v>3.79</v>
      </c>
      <c r="K730">
        <v>4</v>
      </c>
      <c r="L730">
        <v>4.26</v>
      </c>
      <c r="M730">
        <v>4.8099999999999996</v>
      </c>
      <c r="N730">
        <v>4.8099999999999996</v>
      </c>
      <c r="O730">
        <v>5.5141999999999998</v>
      </c>
      <c r="P730">
        <v>4040</v>
      </c>
      <c r="Q730">
        <v>936.29</v>
      </c>
      <c r="R730">
        <v>3.548</v>
      </c>
      <c r="S730">
        <v>18.862300000000001</v>
      </c>
      <c r="T730">
        <v>0.85589001569732104</v>
      </c>
      <c r="U730">
        <v>0.73035998182068296</v>
      </c>
      <c r="V730">
        <v>144.90400695800699</v>
      </c>
      <c r="W730">
        <v>1.5330100502833901</v>
      </c>
      <c r="X730">
        <v>0.80373001098632801</v>
      </c>
    </row>
    <row r="731" spans="1:24" x14ac:dyDescent="0.25">
      <c r="A731" s="4">
        <v>45833</v>
      </c>
      <c r="B731">
        <v>4.21</v>
      </c>
      <c r="C731">
        <v>4.43</v>
      </c>
      <c r="D731">
        <v>4.38</v>
      </c>
      <c r="E731">
        <v>4.3600000000000003</v>
      </c>
      <c r="F731">
        <v>4.26</v>
      </c>
      <c r="G731">
        <v>3.99</v>
      </c>
      <c r="H731">
        <v>3.74</v>
      </c>
      <c r="I731">
        <v>3.74</v>
      </c>
      <c r="J731">
        <v>3.83</v>
      </c>
      <c r="K731">
        <v>4.05</v>
      </c>
      <c r="L731">
        <v>4.29</v>
      </c>
      <c r="M731">
        <v>4.83</v>
      </c>
      <c r="N731">
        <v>4.83</v>
      </c>
      <c r="O731">
        <v>5.5423999999999998</v>
      </c>
      <c r="P731">
        <v>4059.99</v>
      </c>
      <c r="Q731">
        <v>937.89</v>
      </c>
      <c r="R731">
        <v>3.5710000000000002</v>
      </c>
      <c r="S731">
        <v>18.924399999999999</v>
      </c>
      <c r="T731">
        <v>0.86116002207563502</v>
      </c>
      <c r="U731">
        <v>0.73448999242360302</v>
      </c>
      <c r="V731">
        <v>144.95700073242099</v>
      </c>
      <c r="W731">
        <v>1.53940908079091</v>
      </c>
      <c r="X731">
        <v>0.80514997243881203</v>
      </c>
    </row>
    <row r="732" spans="1:24" x14ac:dyDescent="0.25">
      <c r="A732" s="4">
        <v>45832</v>
      </c>
      <c r="B732">
        <v>4.21</v>
      </c>
      <c r="C732">
        <v>4.4400000000000004</v>
      </c>
      <c r="D732">
        <v>4.38</v>
      </c>
      <c r="E732">
        <v>4.37</v>
      </c>
      <c r="F732">
        <v>4.2699999999999996</v>
      </c>
      <c r="G732">
        <v>3.99</v>
      </c>
      <c r="H732">
        <v>3.75</v>
      </c>
      <c r="I732">
        <v>3.75</v>
      </c>
      <c r="J732">
        <v>3.86</v>
      </c>
      <c r="K732">
        <v>4.0599999999999996</v>
      </c>
      <c r="L732">
        <v>4.3</v>
      </c>
      <c r="M732">
        <v>4.83</v>
      </c>
      <c r="N732">
        <v>4.83</v>
      </c>
      <c r="O732">
        <v>5.4935</v>
      </c>
      <c r="P732">
        <v>4078.5</v>
      </c>
      <c r="Q732">
        <v>950.16</v>
      </c>
      <c r="R732">
        <v>3.5779999999999998</v>
      </c>
      <c r="S732">
        <v>18.992999999999999</v>
      </c>
      <c r="T732">
        <v>0.86213995829797796</v>
      </c>
      <c r="U732">
        <v>0.73825996079268297</v>
      </c>
      <c r="V732">
        <v>145.92799377441401</v>
      </c>
      <c r="W732">
        <v>1.5437339809871999</v>
      </c>
      <c r="X732">
        <v>0.81257998943328802</v>
      </c>
    </row>
    <row r="733" spans="1:24" x14ac:dyDescent="0.25">
      <c r="A733" s="4">
        <v>45831</v>
      </c>
      <c r="B733">
        <v>4.2</v>
      </c>
      <c r="C733">
        <v>4.5199999999999996</v>
      </c>
      <c r="D733">
        <v>4.38</v>
      </c>
      <c r="E733">
        <v>4.37</v>
      </c>
      <c r="F733">
        <v>4.28</v>
      </c>
      <c r="G733">
        <v>4</v>
      </c>
      <c r="H733">
        <v>3.84</v>
      </c>
      <c r="I733">
        <v>3.8</v>
      </c>
      <c r="J733">
        <v>3.91</v>
      </c>
      <c r="K733">
        <v>4.0999999999999996</v>
      </c>
      <c r="L733">
        <v>4.34</v>
      </c>
      <c r="M733">
        <v>4.87</v>
      </c>
      <c r="N733">
        <v>4.87</v>
      </c>
      <c r="O733">
        <v>5.5209999999999999</v>
      </c>
      <c r="P733">
        <v>4094</v>
      </c>
      <c r="Q733">
        <v>947.03</v>
      </c>
      <c r="R733">
        <v>3.59</v>
      </c>
      <c r="S733">
        <v>19.145299999999999</v>
      </c>
      <c r="T733">
        <v>0.86949997942498303</v>
      </c>
      <c r="U733">
        <v>0.74427003296980199</v>
      </c>
      <c r="V733">
        <v>146.22399902343699</v>
      </c>
      <c r="W733">
        <v>1.55118005402478</v>
      </c>
      <c r="X733">
        <v>0.81774997711181596</v>
      </c>
    </row>
    <row r="734" spans="1:24" x14ac:dyDescent="0.25">
      <c r="A734" s="4">
        <v>45828</v>
      </c>
      <c r="B734">
        <v>4.2</v>
      </c>
      <c r="C734">
        <v>4.55</v>
      </c>
      <c r="D734">
        <v>4.3899999999999997</v>
      </c>
      <c r="E734">
        <v>4.4000000000000004</v>
      </c>
      <c r="F734">
        <v>4.29</v>
      </c>
      <c r="G734">
        <v>4.07</v>
      </c>
      <c r="H734">
        <v>3.9</v>
      </c>
      <c r="I734">
        <v>3.86</v>
      </c>
      <c r="J734">
        <v>3.96</v>
      </c>
      <c r="K734">
        <v>4.16</v>
      </c>
      <c r="L734">
        <v>4.38</v>
      </c>
      <c r="M734">
        <v>4.9000000000000004</v>
      </c>
      <c r="N734">
        <v>4.8899999999999997</v>
      </c>
      <c r="O734">
        <v>5.4954000000000001</v>
      </c>
      <c r="P734">
        <v>4094</v>
      </c>
      <c r="Q734">
        <v>943.36</v>
      </c>
      <c r="R734">
        <v>3.6</v>
      </c>
      <c r="S734">
        <v>19.168299999999999</v>
      </c>
      <c r="T734">
        <v>0.86860001414427301</v>
      </c>
      <c r="U734">
        <v>0.74201999328267598</v>
      </c>
      <c r="V734">
        <v>145.218002319335</v>
      </c>
      <c r="W734">
        <v>1.5411201044093801</v>
      </c>
      <c r="X734">
        <v>0.81638997793197599</v>
      </c>
    </row>
    <row r="735" spans="1:24" x14ac:dyDescent="0.25">
      <c r="A735" s="4">
        <v>45826</v>
      </c>
      <c r="B735">
        <v>4.2</v>
      </c>
      <c r="C735">
        <v>4.58</v>
      </c>
      <c r="D735">
        <v>4.42</v>
      </c>
      <c r="E735">
        <v>4.41</v>
      </c>
      <c r="F735">
        <v>4.33</v>
      </c>
      <c r="G735">
        <v>4.0999999999999996</v>
      </c>
      <c r="H735">
        <v>3.94</v>
      </c>
      <c r="I735">
        <v>3.89</v>
      </c>
      <c r="J735">
        <v>3.98</v>
      </c>
      <c r="K735">
        <v>4.17</v>
      </c>
      <c r="L735">
        <v>4.38</v>
      </c>
      <c r="M735">
        <v>4.8899999999999997</v>
      </c>
      <c r="N735">
        <v>4.88</v>
      </c>
      <c r="O735">
        <v>5.4875999999999996</v>
      </c>
      <c r="P735">
        <v>4068.5</v>
      </c>
      <c r="Q735">
        <v>939.29</v>
      </c>
      <c r="R735">
        <v>3.5779999999999998</v>
      </c>
      <c r="S735">
        <v>19.035499999999999</v>
      </c>
      <c r="T735">
        <v>0.87088000988337699</v>
      </c>
      <c r="U735">
        <v>0.74460002174699302</v>
      </c>
      <c r="V735">
        <v>145.37600708007801</v>
      </c>
      <c r="W735">
        <v>1.5432579939633599</v>
      </c>
      <c r="X735">
        <v>0.81686997413635198</v>
      </c>
    </row>
    <row r="736" spans="1:24" x14ac:dyDescent="0.25">
      <c r="A736" s="4">
        <v>45825</v>
      </c>
      <c r="B736">
        <v>4.2300000000000004</v>
      </c>
      <c r="C736">
        <v>4.46</v>
      </c>
      <c r="D736">
        <v>4.42</v>
      </c>
      <c r="E736">
        <v>4.3899999999999997</v>
      </c>
      <c r="F736">
        <v>4.3099999999999996</v>
      </c>
      <c r="G736">
        <v>4.0999999999999996</v>
      </c>
      <c r="H736">
        <v>3.94</v>
      </c>
      <c r="I736">
        <v>3.9</v>
      </c>
      <c r="J736">
        <v>3.99</v>
      </c>
      <c r="K736">
        <v>4.17</v>
      </c>
      <c r="L736">
        <v>4.3899999999999997</v>
      </c>
      <c r="M736">
        <v>4.8899999999999997</v>
      </c>
      <c r="N736">
        <v>4.88</v>
      </c>
      <c r="O736">
        <v>5.4770000000000003</v>
      </c>
      <c r="P736">
        <v>4101</v>
      </c>
      <c r="Q736">
        <v>935.21</v>
      </c>
      <c r="R736">
        <v>3.61</v>
      </c>
      <c r="S736">
        <v>19.014500000000002</v>
      </c>
      <c r="T736">
        <v>0.86570001086690496</v>
      </c>
      <c r="U736">
        <v>0.73715999553588296</v>
      </c>
      <c r="V736">
        <v>144.72900390625</v>
      </c>
      <c r="W736">
        <v>1.5358620123973199</v>
      </c>
      <c r="X736">
        <v>0.81370997428893999</v>
      </c>
    </row>
    <row r="737" spans="1:24" x14ac:dyDescent="0.25">
      <c r="A737" s="4">
        <v>45824</v>
      </c>
      <c r="B737">
        <v>4.24</v>
      </c>
      <c r="C737">
        <v>4.47</v>
      </c>
      <c r="D737">
        <v>4.43</v>
      </c>
      <c r="E737">
        <v>4.4000000000000004</v>
      </c>
      <c r="F737">
        <v>4.32</v>
      </c>
      <c r="G737">
        <v>4.0999999999999996</v>
      </c>
      <c r="H737">
        <v>3.97</v>
      </c>
      <c r="I737">
        <v>3.93</v>
      </c>
      <c r="J737">
        <v>4.04</v>
      </c>
      <c r="K737">
        <v>4.2300000000000004</v>
      </c>
      <c r="L737">
        <v>4.46</v>
      </c>
      <c r="M737">
        <v>4.97</v>
      </c>
      <c r="N737">
        <v>4.96</v>
      </c>
      <c r="O737">
        <v>5.5119999999999996</v>
      </c>
      <c r="P737">
        <v>4106.5</v>
      </c>
      <c r="Q737">
        <v>937.78</v>
      </c>
      <c r="R737">
        <v>3.605</v>
      </c>
      <c r="S737">
        <v>18.9114</v>
      </c>
      <c r="T737">
        <v>0.86530004280799799</v>
      </c>
      <c r="U737">
        <v>0.73762598548543801</v>
      </c>
      <c r="V737">
        <v>144.09100341796801</v>
      </c>
      <c r="W737">
        <v>1.5384620181203601</v>
      </c>
      <c r="X737">
        <v>0.81221598386764504</v>
      </c>
    </row>
    <row r="738" spans="1:24" x14ac:dyDescent="0.25">
      <c r="A738" s="4">
        <v>45821</v>
      </c>
      <c r="B738">
        <v>4.2300000000000004</v>
      </c>
      <c r="C738">
        <v>4.4800000000000004</v>
      </c>
      <c r="D738">
        <v>4.45</v>
      </c>
      <c r="E738">
        <v>4.4000000000000004</v>
      </c>
      <c r="F738">
        <v>4.3</v>
      </c>
      <c r="G738">
        <v>4.09</v>
      </c>
      <c r="H738">
        <v>3.96</v>
      </c>
      <c r="I738">
        <v>3.9</v>
      </c>
      <c r="J738">
        <v>4.0199999999999996</v>
      </c>
      <c r="K738">
        <v>4.2</v>
      </c>
      <c r="L738">
        <v>4.41</v>
      </c>
      <c r="M738">
        <v>4.93</v>
      </c>
      <c r="N738">
        <v>4.9000000000000004</v>
      </c>
      <c r="O738">
        <v>5.5648999999999997</v>
      </c>
      <c r="P738">
        <v>4130</v>
      </c>
      <c r="Q738">
        <v>930.25</v>
      </c>
      <c r="R738">
        <v>3.6190000000000002</v>
      </c>
      <c r="S738">
        <v>18.939599999999999</v>
      </c>
      <c r="T738">
        <v>0.86205003206762199</v>
      </c>
      <c r="U738">
        <v>0.73380001077701495</v>
      </c>
      <c r="V738">
        <v>143.19400024414</v>
      </c>
      <c r="W738">
        <v>1.53186296955898</v>
      </c>
      <c r="X738">
        <v>0.80900001525878895</v>
      </c>
    </row>
    <row r="739" spans="1:24" x14ac:dyDescent="0.25">
      <c r="A739" s="4">
        <v>45820</v>
      </c>
      <c r="B739">
        <v>4.18</v>
      </c>
      <c r="C739">
        <v>4.49</v>
      </c>
      <c r="D739">
        <v>4.46</v>
      </c>
      <c r="E739">
        <v>4.4000000000000004</v>
      </c>
      <c r="F739">
        <v>4.29</v>
      </c>
      <c r="G739">
        <v>4.0599999999999996</v>
      </c>
      <c r="H739">
        <v>3.9</v>
      </c>
      <c r="I739">
        <v>3.85</v>
      </c>
      <c r="J739">
        <v>3.97</v>
      </c>
      <c r="K739">
        <v>4.1500000000000004</v>
      </c>
      <c r="L739">
        <v>4.3600000000000003</v>
      </c>
      <c r="M739">
        <v>4.8600000000000003</v>
      </c>
      <c r="N739">
        <v>4.84</v>
      </c>
      <c r="O739">
        <v>5.5385</v>
      </c>
      <c r="P739">
        <v>4157.91</v>
      </c>
      <c r="Q739">
        <v>936.36</v>
      </c>
      <c r="R739">
        <v>3.6080000000000001</v>
      </c>
      <c r="S739">
        <v>18.920999999999999</v>
      </c>
      <c r="T739">
        <v>0.86886001668197999</v>
      </c>
      <c r="U739">
        <v>0.73705999047198401</v>
      </c>
      <c r="V739">
        <v>144.20300292968699</v>
      </c>
      <c r="W739">
        <v>1.53621598349108</v>
      </c>
      <c r="X739">
        <v>0.81840002536773604</v>
      </c>
    </row>
    <row r="740" spans="1:24" x14ac:dyDescent="0.25">
      <c r="A740" s="4">
        <v>45819</v>
      </c>
      <c r="B740">
        <v>4.3</v>
      </c>
      <c r="C740">
        <v>4.3899999999999997</v>
      </c>
      <c r="D740">
        <v>4.45</v>
      </c>
      <c r="E740">
        <v>4.3899999999999997</v>
      </c>
      <c r="F740">
        <v>4.3099999999999996</v>
      </c>
      <c r="G740">
        <v>4.08</v>
      </c>
      <c r="H740">
        <v>3.94</v>
      </c>
      <c r="I740">
        <v>3.89</v>
      </c>
      <c r="J740">
        <v>4.0199999999999996</v>
      </c>
      <c r="K740">
        <v>4.21</v>
      </c>
      <c r="L740">
        <v>4.41</v>
      </c>
      <c r="M740">
        <v>4.93</v>
      </c>
      <c r="N740">
        <v>4.91</v>
      </c>
      <c r="O740">
        <v>5.5387000000000004</v>
      </c>
      <c r="P740">
        <v>4182.99</v>
      </c>
      <c r="Q740">
        <v>938.88</v>
      </c>
      <c r="R740">
        <v>3.6219999999999999</v>
      </c>
      <c r="S740">
        <v>18.9224</v>
      </c>
      <c r="T740">
        <v>0.87431998354880003</v>
      </c>
      <c r="U740">
        <v>0.74029000179675797</v>
      </c>
      <c r="V740">
        <v>144.83799743652301</v>
      </c>
      <c r="W740">
        <v>1.5320499965847301</v>
      </c>
      <c r="X740">
        <v>0.82191997766494695</v>
      </c>
    </row>
    <row r="741" spans="1:24" x14ac:dyDescent="0.25">
      <c r="A741" s="4">
        <v>45818</v>
      </c>
      <c r="B741">
        <v>4.29</v>
      </c>
      <c r="C741">
        <v>4.37</v>
      </c>
      <c r="D741">
        <v>4.45</v>
      </c>
      <c r="E741">
        <v>4.38</v>
      </c>
      <c r="F741">
        <v>4.32</v>
      </c>
      <c r="G741">
        <v>4.12</v>
      </c>
      <c r="H741">
        <v>4.01</v>
      </c>
      <c r="I741">
        <v>3.95</v>
      </c>
      <c r="J741">
        <v>4.08</v>
      </c>
      <c r="K741">
        <v>4.2699999999999996</v>
      </c>
      <c r="L741">
        <v>4.47</v>
      </c>
      <c r="M741">
        <v>4.96</v>
      </c>
      <c r="N741">
        <v>4.93</v>
      </c>
      <c r="O741">
        <v>5.5553999999999997</v>
      </c>
      <c r="P741">
        <v>4207</v>
      </c>
      <c r="Q741">
        <v>937.09</v>
      </c>
      <c r="R741">
        <v>3.6339999999999999</v>
      </c>
      <c r="S741">
        <v>19.066800000000001</v>
      </c>
      <c r="T741">
        <v>0.87504003007549502</v>
      </c>
      <c r="U741">
        <v>0.73763999569125605</v>
      </c>
      <c r="V741">
        <v>144.53999328613199</v>
      </c>
      <c r="W741">
        <v>1.5341890127254501</v>
      </c>
      <c r="X741">
        <v>0.82120001316070501</v>
      </c>
    </row>
    <row r="742" spans="1:24" x14ac:dyDescent="0.25">
      <c r="A742" s="4">
        <v>45817</v>
      </c>
      <c r="B742">
        <v>4.29</v>
      </c>
      <c r="C742">
        <v>4.3600000000000003</v>
      </c>
      <c r="D742">
        <v>4.4400000000000004</v>
      </c>
      <c r="E742">
        <v>4.38</v>
      </c>
      <c r="F742">
        <v>4.32</v>
      </c>
      <c r="G742">
        <v>4.13</v>
      </c>
      <c r="H742">
        <v>4.01</v>
      </c>
      <c r="I742">
        <v>3.99</v>
      </c>
      <c r="J742">
        <v>4.09</v>
      </c>
      <c r="K742">
        <v>4.28</v>
      </c>
      <c r="L742">
        <v>4.49</v>
      </c>
      <c r="M742">
        <v>4.9800000000000004</v>
      </c>
      <c r="N742">
        <v>4.95</v>
      </c>
      <c r="O742">
        <v>5.5757000000000003</v>
      </c>
      <c r="P742">
        <v>4146.99</v>
      </c>
      <c r="Q742">
        <v>933.91</v>
      </c>
      <c r="R742">
        <v>3.633</v>
      </c>
      <c r="S742">
        <v>19.042400000000001</v>
      </c>
      <c r="T742">
        <v>0.87659002354436999</v>
      </c>
      <c r="U742">
        <v>0.73865000099060596</v>
      </c>
      <c r="V742">
        <v>144.690994262695</v>
      </c>
      <c r="W742">
        <v>1.5384099627749299</v>
      </c>
      <c r="X742">
        <v>0.82125997543334905</v>
      </c>
    </row>
    <row r="743" spans="1:24" x14ac:dyDescent="0.25">
      <c r="A743" s="4">
        <v>45814</v>
      </c>
      <c r="B743">
        <v>4.28</v>
      </c>
      <c r="C743">
        <v>4.3499999999999996</v>
      </c>
      <c r="D743">
        <v>4.43</v>
      </c>
      <c r="E743">
        <v>4.38</v>
      </c>
      <c r="F743">
        <v>4.3099999999999996</v>
      </c>
      <c r="G743">
        <v>4.1399999999999997</v>
      </c>
      <c r="H743">
        <v>4.04</v>
      </c>
      <c r="I743">
        <v>4.0199999999999996</v>
      </c>
      <c r="J743">
        <v>4.13</v>
      </c>
      <c r="K743">
        <v>4.3099999999999996</v>
      </c>
      <c r="L743">
        <v>4.51</v>
      </c>
      <c r="M743">
        <v>4.99</v>
      </c>
      <c r="N743">
        <v>4.97</v>
      </c>
      <c r="O743">
        <v>5.5944000000000003</v>
      </c>
      <c r="P743">
        <v>4116</v>
      </c>
      <c r="Q743">
        <v>930.79</v>
      </c>
      <c r="R743">
        <v>3.65</v>
      </c>
      <c r="S743">
        <v>19.105399999999999</v>
      </c>
      <c r="T743">
        <v>0.873070041515697</v>
      </c>
      <c r="U743">
        <v>0.73640001636325803</v>
      </c>
      <c r="V743">
        <v>143.54200744628901</v>
      </c>
      <c r="W743">
        <v>1.53597998463582</v>
      </c>
      <c r="X743">
        <v>0.819249987602233</v>
      </c>
    </row>
    <row r="744" spans="1:24" x14ac:dyDescent="0.25">
      <c r="A744" s="4">
        <v>45813</v>
      </c>
      <c r="B744">
        <v>4.26</v>
      </c>
      <c r="C744">
        <v>4.3499999999999996</v>
      </c>
      <c r="D744">
        <v>4.4400000000000004</v>
      </c>
      <c r="E744">
        <v>4.37</v>
      </c>
      <c r="F744">
        <v>4.29</v>
      </c>
      <c r="G744">
        <v>4.08</v>
      </c>
      <c r="H744">
        <v>3.92</v>
      </c>
      <c r="I744">
        <v>3.9</v>
      </c>
      <c r="J744">
        <v>3.99</v>
      </c>
      <c r="K744">
        <v>4.18</v>
      </c>
      <c r="L744">
        <v>4.4000000000000004</v>
      </c>
      <c r="M744">
        <v>4.9000000000000004</v>
      </c>
      <c r="N744">
        <v>4.88</v>
      </c>
      <c r="O744">
        <v>5.5965999999999996</v>
      </c>
      <c r="P744">
        <v>4114.8</v>
      </c>
      <c r="Q744">
        <v>936.89</v>
      </c>
      <c r="R744">
        <v>3.6259999999999999</v>
      </c>
      <c r="S744">
        <v>19.1493</v>
      </c>
      <c r="T744">
        <v>0.87550003887698202</v>
      </c>
      <c r="U744">
        <v>0.73788999867351202</v>
      </c>
      <c r="V744">
        <v>142.73199462890599</v>
      </c>
      <c r="W744">
        <v>1.5406700620906699</v>
      </c>
      <c r="X744">
        <v>0.81796997785568204</v>
      </c>
    </row>
    <row r="745" spans="1:24" x14ac:dyDescent="0.25">
      <c r="A745" s="4">
        <v>45812</v>
      </c>
      <c r="B745">
        <v>4.32</v>
      </c>
      <c r="C745">
        <v>4.3499999999999996</v>
      </c>
      <c r="D745">
        <v>4.4400000000000004</v>
      </c>
      <c r="E745">
        <v>4.37</v>
      </c>
      <c r="F745">
        <v>4.29</v>
      </c>
      <c r="G745">
        <v>4.0599999999999996</v>
      </c>
      <c r="H745">
        <v>3.87</v>
      </c>
      <c r="I745">
        <v>3.84</v>
      </c>
      <c r="J745">
        <v>3.93</v>
      </c>
      <c r="K745">
        <v>4.1399999999999997</v>
      </c>
      <c r="L745">
        <v>4.37</v>
      </c>
      <c r="M745">
        <v>4.9000000000000004</v>
      </c>
      <c r="N745">
        <v>4.8899999999999997</v>
      </c>
      <c r="O745">
        <v>5.6329000000000002</v>
      </c>
      <c r="P745">
        <v>4110.9799999999996</v>
      </c>
      <c r="Q745">
        <v>941.53</v>
      </c>
      <c r="R745">
        <v>3.6160000000000001</v>
      </c>
      <c r="S745">
        <v>19.1997</v>
      </c>
      <c r="T745">
        <v>0.87839001983354703</v>
      </c>
      <c r="U745">
        <v>0.73902000962206904</v>
      </c>
      <c r="V745">
        <v>143.83700561523401</v>
      </c>
      <c r="W745">
        <v>1.5465300725570099</v>
      </c>
      <c r="X745">
        <v>0.82288998365402199</v>
      </c>
    </row>
    <row r="746" spans="1:24" x14ac:dyDescent="0.25">
      <c r="A746" s="4">
        <v>45811</v>
      </c>
      <c r="B746">
        <v>4.33</v>
      </c>
      <c r="C746">
        <v>4.3499999999999996</v>
      </c>
      <c r="D746">
        <v>4.43</v>
      </c>
      <c r="E746">
        <v>4.38</v>
      </c>
      <c r="F746">
        <v>4.3099999999999996</v>
      </c>
      <c r="G746">
        <v>4.12</v>
      </c>
      <c r="H746">
        <v>3.96</v>
      </c>
      <c r="I746">
        <v>3.93</v>
      </c>
      <c r="J746">
        <v>4.04</v>
      </c>
      <c r="K746">
        <v>4.2300000000000004</v>
      </c>
      <c r="L746">
        <v>4.46</v>
      </c>
      <c r="M746">
        <v>5</v>
      </c>
      <c r="N746">
        <v>4.9800000000000004</v>
      </c>
      <c r="O746">
        <v>5.6691000000000003</v>
      </c>
      <c r="P746">
        <v>4106.8999999999996</v>
      </c>
      <c r="Q746">
        <v>939.65</v>
      </c>
      <c r="R746">
        <v>3.6219999999999999</v>
      </c>
      <c r="S746">
        <v>19.2348</v>
      </c>
      <c r="T746">
        <v>0.87309993792571905</v>
      </c>
      <c r="U746">
        <v>0.73763999569125605</v>
      </c>
      <c r="V746">
        <v>142.45199584960901</v>
      </c>
      <c r="W746">
        <v>1.5388400540499401</v>
      </c>
      <c r="X746">
        <v>0.81594002246856601</v>
      </c>
    </row>
    <row r="747" spans="1:24" x14ac:dyDescent="0.25">
      <c r="A747" s="4">
        <v>45810</v>
      </c>
      <c r="B747">
        <v>4.33</v>
      </c>
      <c r="C747">
        <v>4.3600000000000003</v>
      </c>
      <c r="D747">
        <v>4.4400000000000004</v>
      </c>
      <c r="E747">
        <v>4.38</v>
      </c>
      <c r="F747">
        <v>4.3099999999999996</v>
      </c>
      <c r="G747">
        <v>4.12</v>
      </c>
      <c r="H747">
        <v>3.94</v>
      </c>
      <c r="I747">
        <v>3.91</v>
      </c>
      <c r="J747">
        <v>4.01</v>
      </c>
      <c r="K747">
        <v>4.22</v>
      </c>
      <c r="L747">
        <v>4.46</v>
      </c>
      <c r="M747">
        <v>5</v>
      </c>
      <c r="N747">
        <v>4.99</v>
      </c>
      <c r="O747">
        <v>5.6933999999999996</v>
      </c>
      <c r="P747">
        <v>4157.1099999999997</v>
      </c>
      <c r="Q747">
        <v>941.97</v>
      </c>
      <c r="R747">
        <v>3.62</v>
      </c>
      <c r="S747">
        <v>19.1998</v>
      </c>
      <c r="T747">
        <v>0.88080000411598203</v>
      </c>
      <c r="U747">
        <v>0.74253999670714199</v>
      </c>
      <c r="V747">
        <v>143.81500244140599</v>
      </c>
      <c r="W747">
        <v>1.55201993575717</v>
      </c>
      <c r="X747">
        <v>0.82226997613906805</v>
      </c>
    </row>
    <row r="748" spans="1:24" x14ac:dyDescent="0.25">
      <c r="A748" s="4">
        <v>45807</v>
      </c>
      <c r="B748">
        <v>4.33</v>
      </c>
      <c r="C748">
        <v>4.3499999999999996</v>
      </c>
      <c r="D748">
        <v>4.3600000000000003</v>
      </c>
      <c r="E748">
        <v>4.3899999999999997</v>
      </c>
      <c r="F748">
        <v>4.3600000000000003</v>
      </c>
      <c r="G748">
        <v>4.1100000000000003</v>
      </c>
      <c r="H748">
        <v>3.89</v>
      </c>
      <c r="I748">
        <v>3.87</v>
      </c>
      <c r="J748">
        <v>3.96</v>
      </c>
      <c r="K748">
        <v>4.18</v>
      </c>
      <c r="L748">
        <v>4.41</v>
      </c>
      <c r="M748">
        <v>4.93</v>
      </c>
      <c r="N748">
        <v>4.92</v>
      </c>
      <c r="O748">
        <v>5.7084000000000001</v>
      </c>
      <c r="P748">
        <v>4157.1099999999997</v>
      </c>
      <c r="Q748">
        <v>937.37</v>
      </c>
      <c r="R748">
        <v>3.6179999999999999</v>
      </c>
      <c r="S748">
        <v>19.395700000000001</v>
      </c>
      <c r="T748">
        <v>0.87886000380937401</v>
      </c>
      <c r="U748">
        <v>0.74079600302937798</v>
      </c>
      <c r="V748">
        <v>143.77900695800699</v>
      </c>
      <c r="W748">
        <v>1.55135002331572</v>
      </c>
      <c r="X748">
        <v>0.82196998596191395</v>
      </c>
    </row>
    <row r="749" spans="1:24" x14ac:dyDescent="0.25">
      <c r="A749" s="4">
        <v>45806</v>
      </c>
      <c r="B749">
        <v>4.34</v>
      </c>
      <c r="C749">
        <v>4.3499999999999996</v>
      </c>
      <c r="D749">
        <v>4.3600000000000003</v>
      </c>
      <c r="E749">
        <v>4.3899999999999997</v>
      </c>
      <c r="F749">
        <v>4.3600000000000003</v>
      </c>
      <c r="G749">
        <v>4.13</v>
      </c>
      <c r="H749">
        <v>3.92</v>
      </c>
      <c r="I749">
        <v>3.91</v>
      </c>
      <c r="J749">
        <v>4</v>
      </c>
      <c r="K749">
        <v>4.2</v>
      </c>
      <c r="L749">
        <v>4.43</v>
      </c>
      <c r="M749">
        <v>4.9400000000000004</v>
      </c>
      <c r="N749">
        <v>4.92</v>
      </c>
      <c r="O749">
        <v>5.6555999999999997</v>
      </c>
      <c r="P749">
        <v>4123.8999999999996</v>
      </c>
      <c r="Q749">
        <v>940.21</v>
      </c>
      <c r="R749">
        <v>3.6219999999999999</v>
      </c>
      <c r="S749">
        <v>19.311599999999999</v>
      </c>
      <c r="T749">
        <v>0.89018003509525501</v>
      </c>
      <c r="U749">
        <v>0.744519991593249</v>
      </c>
      <c r="V749">
        <v>145.697006225585</v>
      </c>
      <c r="W749">
        <v>1.55637002817051</v>
      </c>
      <c r="X749">
        <v>0.83254998922348</v>
      </c>
    </row>
    <row r="750" spans="1:24" x14ac:dyDescent="0.25">
      <c r="A750" s="4">
        <v>45805</v>
      </c>
      <c r="B750">
        <v>4.3499999999999996</v>
      </c>
      <c r="C750">
        <v>4.3499999999999996</v>
      </c>
      <c r="D750">
        <v>4.3499999999999996</v>
      </c>
      <c r="E750">
        <v>4.38</v>
      </c>
      <c r="F750">
        <v>4.3600000000000003</v>
      </c>
      <c r="G750">
        <v>4.16</v>
      </c>
      <c r="H750">
        <v>3.96</v>
      </c>
      <c r="I750">
        <v>3.95</v>
      </c>
      <c r="J750">
        <v>4.05</v>
      </c>
      <c r="K750">
        <v>4.2699999999999996</v>
      </c>
      <c r="L750">
        <v>4.47</v>
      </c>
      <c r="M750">
        <v>4.99</v>
      </c>
      <c r="N750">
        <v>4.97</v>
      </c>
      <c r="O750">
        <v>5.6932999999999998</v>
      </c>
      <c r="P750">
        <v>4125.2</v>
      </c>
      <c r="Q750">
        <v>937.93</v>
      </c>
      <c r="R750">
        <v>3.64</v>
      </c>
      <c r="S750">
        <v>19.4145</v>
      </c>
      <c r="T750">
        <v>0.88205995070369803</v>
      </c>
      <c r="U750">
        <v>0.74001003722453496</v>
      </c>
      <c r="V750">
        <v>144.177001953125</v>
      </c>
      <c r="W750">
        <v>1.5510799545212199</v>
      </c>
      <c r="X750">
        <v>0.82726001739501898</v>
      </c>
    </row>
    <row r="751" spans="1:24" x14ac:dyDescent="0.25">
      <c r="A751" s="4">
        <v>45804</v>
      </c>
      <c r="B751">
        <v>4.3499999999999996</v>
      </c>
      <c r="C751">
        <v>4.3499999999999996</v>
      </c>
      <c r="D751">
        <v>4.3499999999999996</v>
      </c>
      <c r="E751">
        <v>4.43</v>
      </c>
      <c r="F751">
        <v>4.3499999999999996</v>
      </c>
      <c r="G751">
        <v>4.1399999999999997</v>
      </c>
      <c r="H751">
        <v>3.92</v>
      </c>
      <c r="I751">
        <v>3.93</v>
      </c>
      <c r="J751">
        <v>4.04</v>
      </c>
      <c r="K751">
        <v>4.22</v>
      </c>
      <c r="L751">
        <v>4.43</v>
      </c>
      <c r="M751">
        <v>4.95</v>
      </c>
      <c r="N751">
        <v>4.9400000000000004</v>
      </c>
      <c r="O751">
        <v>5.6536</v>
      </c>
      <c r="P751">
        <v>4110.05</v>
      </c>
      <c r="Q751">
        <v>938.28</v>
      </c>
      <c r="R751">
        <v>3.6389999999999998</v>
      </c>
      <c r="S751">
        <v>19.2683</v>
      </c>
      <c r="T751">
        <v>0.87807997883046895</v>
      </c>
      <c r="U751">
        <v>0.73718001276174505</v>
      </c>
      <c r="V751">
        <v>142.65499877929599</v>
      </c>
      <c r="W751">
        <v>1.5429698748138401</v>
      </c>
      <c r="X751">
        <v>0.82042002677917403</v>
      </c>
    </row>
    <row r="752" spans="1:24" x14ac:dyDescent="0.25">
      <c r="A752" s="4">
        <v>45800</v>
      </c>
      <c r="B752">
        <v>4.3600000000000003</v>
      </c>
      <c r="C752">
        <v>4.3499999999999996</v>
      </c>
      <c r="D752">
        <v>4.3600000000000003</v>
      </c>
      <c r="E752">
        <v>4.43</v>
      </c>
      <c r="F752">
        <v>4.3499999999999996</v>
      </c>
      <c r="G752">
        <v>4.1500000000000004</v>
      </c>
      <c r="H752">
        <v>4</v>
      </c>
      <c r="I752">
        <v>3.96</v>
      </c>
      <c r="J752">
        <v>4.08</v>
      </c>
      <c r="K752">
        <v>4.29</v>
      </c>
      <c r="L752">
        <v>4.51</v>
      </c>
      <c r="M752">
        <v>5.03</v>
      </c>
      <c r="N752">
        <v>5.04</v>
      </c>
      <c r="O752">
        <v>5.6928999999999998</v>
      </c>
      <c r="P752">
        <v>4152.8999999999996</v>
      </c>
      <c r="Q752">
        <v>944.84</v>
      </c>
      <c r="R752">
        <v>3.661</v>
      </c>
      <c r="S752">
        <v>19.239799999999999</v>
      </c>
      <c r="T752">
        <v>0.88637998557887698</v>
      </c>
      <c r="U752">
        <v>0.745199969263173</v>
      </c>
      <c r="V752">
        <v>143.85800170898401</v>
      </c>
      <c r="W752">
        <v>1.5601099065006101</v>
      </c>
      <c r="X752">
        <v>0.82837998867034901</v>
      </c>
    </row>
    <row r="753" spans="1:24" x14ac:dyDescent="0.25">
      <c r="A753" s="4">
        <v>45799</v>
      </c>
      <c r="B753">
        <v>4.37</v>
      </c>
      <c r="C753">
        <v>4.3499999999999996</v>
      </c>
      <c r="D753">
        <v>4.37</v>
      </c>
      <c r="E753">
        <v>4.42</v>
      </c>
      <c r="F753">
        <v>4.34</v>
      </c>
      <c r="G753">
        <v>4.13</v>
      </c>
      <c r="H753">
        <v>4</v>
      </c>
      <c r="I753">
        <v>3.99</v>
      </c>
      <c r="J753">
        <v>4.1100000000000003</v>
      </c>
      <c r="K753">
        <v>4.32</v>
      </c>
      <c r="L753">
        <v>4.54</v>
      </c>
      <c r="M753">
        <v>5.05</v>
      </c>
      <c r="N753">
        <v>5.05</v>
      </c>
      <c r="O753">
        <v>5.6387</v>
      </c>
      <c r="P753">
        <v>4175</v>
      </c>
      <c r="Q753">
        <v>942.21</v>
      </c>
      <c r="R753">
        <v>3.6579999999999999</v>
      </c>
      <c r="S753">
        <v>19.312100000000001</v>
      </c>
      <c r="T753">
        <v>0.88252003700255699</v>
      </c>
      <c r="U753">
        <v>0.74520996554586405</v>
      </c>
      <c r="V753">
        <v>143.75500488281199</v>
      </c>
      <c r="W753">
        <v>1.55446006718827</v>
      </c>
      <c r="X753">
        <v>0.82507002353668202</v>
      </c>
    </row>
    <row r="754" spans="1:24" x14ac:dyDescent="0.25">
      <c r="A754" s="4">
        <v>45798</v>
      </c>
      <c r="B754">
        <v>4.3499999999999996</v>
      </c>
      <c r="C754">
        <v>4.34</v>
      </c>
      <c r="D754">
        <v>4.3600000000000003</v>
      </c>
      <c r="E754">
        <v>4.42</v>
      </c>
      <c r="F754">
        <v>4.33</v>
      </c>
      <c r="G754">
        <v>4.13</v>
      </c>
      <c r="H754">
        <v>4</v>
      </c>
      <c r="I754">
        <v>4</v>
      </c>
      <c r="J754">
        <v>4.1500000000000004</v>
      </c>
      <c r="K754">
        <v>4.37</v>
      </c>
      <c r="L754">
        <v>4.58</v>
      </c>
      <c r="M754">
        <v>5.08</v>
      </c>
      <c r="N754">
        <v>5.08</v>
      </c>
      <c r="O754">
        <v>5.6567999999999996</v>
      </c>
      <c r="P754">
        <v>4178.1000000000004</v>
      </c>
      <c r="Q754">
        <v>936.69</v>
      </c>
      <c r="R754">
        <v>3.6749999999999998</v>
      </c>
      <c r="S754">
        <v>19.371600000000001</v>
      </c>
      <c r="T754">
        <v>0.88590005537002003</v>
      </c>
      <c r="U754">
        <v>0.74639001817525497</v>
      </c>
      <c r="V754">
        <v>144.32800292968699</v>
      </c>
      <c r="W754">
        <v>1.5561780269972101</v>
      </c>
      <c r="X754">
        <v>0.82671201229095403</v>
      </c>
    </row>
    <row r="755" spans="1:24" x14ac:dyDescent="0.25">
      <c r="A755" s="4">
        <v>45797</v>
      </c>
      <c r="B755">
        <v>4.3600000000000003</v>
      </c>
      <c r="C755">
        <v>4.34</v>
      </c>
      <c r="D755">
        <v>4.38</v>
      </c>
      <c r="E755">
        <v>4.42</v>
      </c>
      <c r="F755">
        <v>4.32</v>
      </c>
      <c r="G755">
        <v>4.12</v>
      </c>
      <c r="H755">
        <v>3.97</v>
      </c>
      <c r="I755">
        <v>3.95</v>
      </c>
      <c r="J755">
        <v>4.07</v>
      </c>
      <c r="K755">
        <v>4.2699999999999996</v>
      </c>
      <c r="L755">
        <v>4.4800000000000004</v>
      </c>
      <c r="M755">
        <v>4.99</v>
      </c>
      <c r="N755">
        <v>4.96</v>
      </c>
      <c r="O755">
        <v>5.6616999999999997</v>
      </c>
      <c r="P755">
        <v>4165.3999999999996</v>
      </c>
      <c r="Q755">
        <v>936.69</v>
      </c>
      <c r="R755">
        <v>3.6859999999999999</v>
      </c>
      <c r="S755">
        <v>19.275700000000001</v>
      </c>
      <c r="T755">
        <v>0.89020006188925205</v>
      </c>
      <c r="U755">
        <v>0.74850000780746295</v>
      </c>
      <c r="V755">
        <v>144.975006103515</v>
      </c>
      <c r="W755">
        <v>1.54898999803158</v>
      </c>
      <c r="X755">
        <v>0.83499002456664995</v>
      </c>
    </row>
    <row r="756" spans="1:24" x14ac:dyDescent="0.25">
      <c r="A756" s="4">
        <v>45796</v>
      </c>
      <c r="B756">
        <v>4.37</v>
      </c>
      <c r="C756">
        <v>4.3499999999999996</v>
      </c>
      <c r="D756">
        <v>4.3899999999999997</v>
      </c>
      <c r="E756">
        <v>4.42</v>
      </c>
      <c r="F756">
        <v>4.32</v>
      </c>
      <c r="G756">
        <v>4.12</v>
      </c>
      <c r="H756">
        <v>3.97</v>
      </c>
      <c r="I756">
        <v>3.95</v>
      </c>
      <c r="J756">
        <v>4.07</v>
      </c>
      <c r="K756">
        <v>4.26</v>
      </c>
      <c r="L756">
        <v>4.46</v>
      </c>
      <c r="M756">
        <v>4.95</v>
      </c>
      <c r="N756">
        <v>4.92</v>
      </c>
      <c r="O756">
        <v>5.6588000000000003</v>
      </c>
      <c r="P756">
        <v>4174.3</v>
      </c>
      <c r="Q756">
        <v>944.46</v>
      </c>
      <c r="R756">
        <v>3.69</v>
      </c>
      <c r="S756">
        <v>19.319800000000001</v>
      </c>
      <c r="T756">
        <v>0.89385000540767701</v>
      </c>
      <c r="U756">
        <v>0.75156899262560695</v>
      </c>
      <c r="V756">
        <v>145.29800415039</v>
      </c>
      <c r="W756">
        <v>1.56006203344963</v>
      </c>
      <c r="X756">
        <v>0.83544999361038197</v>
      </c>
    </row>
    <row r="757" spans="1:24" x14ac:dyDescent="0.25">
      <c r="A757" s="4">
        <v>45793</v>
      </c>
      <c r="B757">
        <v>4.37</v>
      </c>
      <c r="C757">
        <v>4.34</v>
      </c>
      <c r="D757">
        <v>4.37</v>
      </c>
      <c r="E757">
        <v>4.42</v>
      </c>
      <c r="F757">
        <v>4.3</v>
      </c>
      <c r="G757">
        <v>4.13</v>
      </c>
      <c r="H757">
        <v>3.98</v>
      </c>
      <c r="I757">
        <v>3.95</v>
      </c>
      <c r="J757">
        <v>4.0599999999999996</v>
      </c>
      <c r="K757">
        <v>4.24</v>
      </c>
      <c r="L757">
        <v>4.43</v>
      </c>
      <c r="M757">
        <v>4.92</v>
      </c>
      <c r="N757">
        <v>4.8899999999999997</v>
      </c>
      <c r="O757">
        <v>5.6921999999999997</v>
      </c>
      <c r="P757">
        <v>4178.5</v>
      </c>
      <c r="Q757">
        <v>940.25</v>
      </c>
      <c r="R757">
        <v>3.6859999999999999</v>
      </c>
      <c r="S757">
        <v>19.474599999999999</v>
      </c>
      <c r="T757">
        <v>0.89343997600625003</v>
      </c>
      <c r="U757">
        <v>0.75149001570776197</v>
      </c>
      <c r="V757">
        <v>145.61300659179599</v>
      </c>
      <c r="W757">
        <v>1.5610900636040399</v>
      </c>
      <c r="X757">
        <v>0.83459997177124001</v>
      </c>
    </row>
    <row r="758" spans="1:24" x14ac:dyDescent="0.25">
      <c r="A758" s="4">
        <v>45792</v>
      </c>
      <c r="B758">
        <v>4.37</v>
      </c>
      <c r="C758">
        <v>4.3499999999999996</v>
      </c>
      <c r="D758">
        <v>4.38</v>
      </c>
      <c r="E758">
        <v>4.43</v>
      </c>
      <c r="F758">
        <v>4.29</v>
      </c>
      <c r="G758">
        <v>4.0999999999999996</v>
      </c>
      <c r="H758">
        <v>3.96</v>
      </c>
      <c r="I758">
        <v>3.95</v>
      </c>
      <c r="J758">
        <v>4.07</v>
      </c>
      <c r="K758">
        <v>4.25</v>
      </c>
      <c r="L758">
        <v>4.45</v>
      </c>
      <c r="M758">
        <v>4.93</v>
      </c>
      <c r="N758">
        <v>4.91</v>
      </c>
      <c r="O758">
        <v>5.6325000000000003</v>
      </c>
      <c r="P758">
        <v>4204.75</v>
      </c>
      <c r="Q758">
        <v>939.43</v>
      </c>
      <c r="R758">
        <v>3.6859999999999999</v>
      </c>
      <c r="S758">
        <v>19.502800000000001</v>
      </c>
      <c r="T758">
        <v>0.89429997581044796</v>
      </c>
      <c r="U758">
        <v>0.75394997381409101</v>
      </c>
      <c r="V758">
        <v>146.64999389648401</v>
      </c>
      <c r="W758">
        <v>1.5555000501588301</v>
      </c>
      <c r="X758">
        <v>0.84123200178146296</v>
      </c>
    </row>
    <row r="759" spans="1:24" x14ac:dyDescent="0.25">
      <c r="A759" s="4">
        <v>45791</v>
      </c>
      <c r="B759">
        <v>4.3899999999999997</v>
      </c>
      <c r="C759">
        <v>4.3600000000000003</v>
      </c>
      <c r="D759">
        <v>4.41</v>
      </c>
      <c r="E759">
        <v>4.4400000000000004</v>
      </c>
      <c r="F759">
        <v>4.3</v>
      </c>
      <c r="G759">
        <v>4.1399999999999997</v>
      </c>
      <c r="H759">
        <v>4.05</v>
      </c>
      <c r="I759">
        <v>4.05</v>
      </c>
      <c r="J759">
        <v>4.17</v>
      </c>
      <c r="K759">
        <v>4.3499999999999996</v>
      </c>
      <c r="L759">
        <v>4.53</v>
      </c>
      <c r="M759">
        <v>5</v>
      </c>
      <c r="N759">
        <v>4.97</v>
      </c>
      <c r="O759">
        <v>5.6097000000000001</v>
      </c>
      <c r="P759">
        <v>4177</v>
      </c>
      <c r="Q759">
        <v>940.18</v>
      </c>
      <c r="R759">
        <v>3.673</v>
      </c>
      <c r="S759">
        <v>19.389199999999999</v>
      </c>
      <c r="T759">
        <v>0.89401004462798905</v>
      </c>
      <c r="U759">
        <v>0.75163000406341796</v>
      </c>
      <c r="V759">
        <v>147.52799987792901</v>
      </c>
      <c r="W759">
        <v>1.54497004857609</v>
      </c>
      <c r="X759">
        <v>0.83942997455596902</v>
      </c>
    </row>
    <row r="760" spans="1:24" x14ac:dyDescent="0.25">
      <c r="A760" s="4">
        <v>45790</v>
      </c>
      <c r="B760">
        <v>4.3899999999999997</v>
      </c>
      <c r="C760">
        <v>4.3499999999999996</v>
      </c>
      <c r="D760">
        <v>4.41</v>
      </c>
      <c r="E760">
        <v>4.45</v>
      </c>
      <c r="F760">
        <v>4.29</v>
      </c>
      <c r="G760">
        <v>4.1100000000000003</v>
      </c>
      <c r="H760">
        <v>4.0199999999999996</v>
      </c>
      <c r="I760">
        <v>4</v>
      </c>
      <c r="J760">
        <v>4.12</v>
      </c>
      <c r="K760">
        <v>4.3</v>
      </c>
      <c r="L760">
        <v>4.49</v>
      </c>
      <c r="M760">
        <v>4.97</v>
      </c>
      <c r="N760">
        <v>4.9400000000000004</v>
      </c>
      <c r="O760">
        <v>5.6258999999999997</v>
      </c>
      <c r="P760">
        <v>4220</v>
      </c>
      <c r="Q760">
        <v>941.2</v>
      </c>
      <c r="R760">
        <v>3.6659999999999999</v>
      </c>
      <c r="S760">
        <v>19.392600000000002</v>
      </c>
      <c r="T760">
        <v>0.901259985742902</v>
      </c>
      <c r="U760">
        <v>0.75885000763046695</v>
      </c>
      <c r="V760">
        <v>148.30999755859301</v>
      </c>
      <c r="W760">
        <v>1.5694200058858301</v>
      </c>
      <c r="X760">
        <v>0.84486997127532903</v>
      </c>
    </row>
    <row r="761" spans="1:24" x14ac:dyDescent="0.25">
      <c r="A761" s="4">
        <v>45789</v>
      </c>
      <c r="B761">
        <v>4.38</v>
      </c>
      <c r="C761">
        <v>4.3600000000000003</v>
      </c>
      <c r="D761">
        <v>4.42</v>
      </c>
      <c r="E761">
        <v>4.45</v>
      </c>
      <c r="F761">
        <v>4.29</v>
      </c>
      <c r="G761">
        <v>4.1100000000000003</v>
      </c>
      <c r="H761">
        <v>3.98</v>
      </c>
      <c r="I761">
        <v>3.97</v>
      </c>
      <c r="J761">
        <v>4.09</v>
      </c>
      <c r="K761">
        <v>4.2699999999999996</v>
      </c>
      <c r="L761">
        <v>4.45</v>
      </c>
      <c r="M761">
        <v>4.92</v>
      </c>
      <c r="N761">
        <v>4.8899999999999997</v>
      </c>
      <c r="O761">
        <v>5.6818999999999997</v>
      </c>
      <c r="P761">
        <v>4225.0200000000004</v>
      </c>
      <c r="Q761">
        <v>933.26</v>
      </c>
      <c r="R761">
        <v>3.6579999999999999</v>
      </c>
      <c r="S761">
        <v>19.603899999999999</v>
      </c>
      <c r="T761">
        <v>0.89050000477701396</v>
      </c>
      <c r="U761">
        <v>0.75249998833835097</v>
      </c>
      <c r="V761">
        <v>145.81199645996</v>
      </c>
      <c r="W761">
        <v>1.5574099669055801</v>
      </c>
      <c r="X761">
        <v>0.83372998237609797</v>
      </c>
    </row>
    <row r="762" spans="1:24" x14ac:dyDescent="0.25">
      <c r="A762" s="4">
        <v>45786</v>
      </c>
      <c r="B762">
        <v>4.37</v>
      </c>
      <c r="C762">
        <v>4.34</v>
      </c>
      <c r="D762">
        <v>4.34</v>
      </c>
      <c r="E762">
        <v>4.4000000000000004</v>
      </c>
      <c r="F762">
        <v>4.28</v>
      </c>
      <c r="G762">
        <v>4.05</v>
      </c>
      <c r="H762">
        <v>3.88</v>
      </c>
      <c r="I762">
        <v>3.85</v>
      </c>
      <c r="J762">
        <v>4</v>
      </c>
      <c r="K762">
        <v>4.18</v>
      </c>
      <c r="L762">
        <v>4.37</v>
      </c>
      <c r="M762">
        <v>4.8600000000000003</v>
      </c>
      <c r="N762">
        <v>4.83</v>
      </c>
      <c r="O762">
        <v>5.6508000000000003</v>
      </c>
      <c r="P762">
        <v>4225</v>
      </c>
      <c r="Q762">
        <v>941.22</v>
      </c>
      <c r="R762">
        <v>3.6520000000000001</v>
      </c>
      <c r="S762">
        <v>19.466899999999999</v>
      </c>
      <c r="T762">
        <v>0.89092995385087903</v>
      </c>
      <c r="U762">
        <v>0.75555000332803401</v>
      </c>
      <c r="V762">
        <v>146.01499938964801</v>
      </c>
      <c r="W762">
        <v>1.56430991343119</v>
      </c>
      <c r="X762">
        <v>0.83179998397827104</v>
      </c>
    </row>
    <row r="763" spans="1:24" x14ac:dyDescent="0.25">
      <c r="A763" s="4">
        <v>45785</v>
      </c>
      <c r="B763">
        <v>4.37</v>
      </c>
      <c r="C763">
        <v>4.3499999999999996</v>
      </c>
      <c r="D763">
        <v>4.34</v>
      </c>
      <c r="E763">
        <v>4.4000000000000004</v>
      </c>
      <c r="F763">
        <v>4.28</v>
      </c>
      <c r="G763">
        <v>4.05</v>
      </c>
      <c r="H763">
        <v>3.9</v>
      </c>
      <c r="I763">
        <v>3.85</v>
      </c>
      <c r="J763">
        <v>4</v>
      </c>
      <c r="K763">
        <v>4.18</v>
      </c>
      <c r="L763">
        <v>4.37</v>
      </c>
      <c r="M763">
        <v>4.8600000000000003</v>
      </c>
      <c r="N763">
        <v>4.83</v>
      </c>
      <c r="O763">
        <v>5.6856999999999998</v>
      </c>
      <c r="P763">
        <v>4248</v>
      </c>
      <c r="Q763">
        <v>945.44</v>
      </c>
      <c r="R763">
        <v>3.6320000000000001</v>
      </c>
      <c r="S763">
        <v>19.537299999999998</v>
      </c>
      <c r="T763">
        <v>0.88446999910273005</v>
      </c>
      <c r="U763">
        <v>0.75221003969799305</v>
      </c>
      <c r="V763">
        <v>143.84800720214801</v>
      </c>
      <c r="W763">
        <v>1.55404999091313</v>
      </c>
      <c r="X763">
        <v>0.82394999265670699</v>
      </c>
    </row>
    <row r="764" spans="1:24" x14ac:dyDescent="0.25">
      <c r="A764" s="4">
        <v>45784</v>
      </c>
      <c r="B764">
        <v>4.37</v>
      </c>
      <c r="C764">
        <v>4.33</v>
      </c>
      <c r="D764">
        <v>4.34</v>
      </c>
      <c r="E764">
        <v>4.3899999999999997</v>
      </c>
      <c r="F764">
        <v>4.2699999999999996</v>
      </c>
      <c r="G764">
        <v>4</v>
      </c>
      <c r="H764">
        <v>3.78</v>
      </c>
      <c r="I764">
        <v>3.72</v>
      </c>
      <c r="J764">
        <v>3.87</v>
      </c>
      <c r="K764">
        <v>4.0599999999999996</v>
      </c>
      <c r="L764">
        <v>4.26</v>
      </c>
      <c r="M764">
        <v>4.78</v>
      </c>
      <c r="N764">
        <v>4.7699999999999996</v>
      </c>
      <c r="O764">
        <v>5.7371499999999997</v>
      </c>
      <c r="P764">
        <v>4283.33</v>
      </c>
      <c r="Q764">
        <v>939.67</v>
      </c>
      <c r="R764">
        <v>3.6440000000000001</v>
      </c>
      <c r="S764">
        <v>19.605</v>
      </c>
      <c r="T764">
        <v>0.88161998647818196</v>
      </c>
      <c r="U764">
        <v>0.74873002705693403</v>
      </c>
      <c r="V764">
        <v>143.03500366210901</v>
      </c>
      <c r="W764">
        <v>1.5368800664540601</v>
      </c>
      <c r="X764">
        <v>0.82563000917434604</v>
      </c>
    </row>
    <row r="765" spans="1:24" x14ac:dyDescent="0.25">
      <c r="A765" s="4">
        <v>45783</v>
      </c>
      <c r="B765">
        <v>4.37</v>
      </c>
      <c r="C765">
        <v>4.33</v>
      </c>
      <c r="D765">
        <v>4.33</v>
      </c>
      <c r="E765">
        <v>4.38</v>
      </c>
      <c r="F765">
        <v>4.25</v>
      </c>
      <c r="G765">
        <v>3.98</v>
      </c>
      <c r="H765">
        <v>3.78</v>
      </c>
      <c r="I765">
        <v>3.73</v>
      </c>
      <c r="J765">
        <v>3.9</v>
      </c>
      <c r="K765">
        <v>4.0999999999999996</v>
      </c>
      <c r="L765">
        <v>4.3</v>
      </c>
      <c r="M765">
        <v>4.82</v>
      </c>
      <c r="N765">
        <v>4.8099999999999996</v>
      </c>
      <c r="O765">
        <v>5.7206999999999999</v>
      </c>
      <c r="P765">
        <v>4305.95</v>
      </c>
      <c r="Q765">
        <v>940.18</v>
      </c>
      <c r="R765">
        <v>3.653</v>
      </c>
      <c r="S765">
        <v>19.659800000000001</v>
      </c>
      <c r="T765">
        <v>0.88390997921887304</v>
      </c>
      <c r="U765">
        <v>0.75230003008802604</v>
      </c>
      <c r="V765">
        <v>143.65400695800699</v>
      </c>
      <c r="W765">
        <v>1.5476499767629399</v>
      </c>
      <c r="X765">
        <v>0.82179099321365301</v>
      </c>
    </row>
    <row r="766" spans="1:24" x14ac:dyDescent="0.25">
      <c r="A766" s="4">
        <v>45782</v>
      </c>
      <c r="B766">
        <v>4.38</v>
      </c>
      <c r="C766">
        <v>4.34</v>
      </c>
      <c r="D766">
        <v>4.33</v>
      </c>
      <c r="E766">
        <v>4.4000000000000004</v>
      </c>
      <c r="F766">
        <v>4.2699999999999996</v>
      </c>
      <c r="G766">
        <v>4.0199999999999996</v>
      </c>
      <c r="H766">
        <v>3.83</v>
      </c>
      <c r="I766">
        <v>3.78</v>
      </c>
      <c r="J766">
        <v>3.95</v>
      </c>
      <c r="K766">
        <v>4.1399999999999997</v>
      </c>
      <c r="L766">
        <v>4.3600000000000003</v>
      </c>
      <c r="M766">
        <v>4.84</v>
      </c>
      <c r="N766">
        <v>4.83</v>
      </c>
      <c r="O766">
        <v>5.6516999999999999</v>
      </c>
      <c r="P766">
        <v>4301.2</v>
      </c>
      <c r="Q766">
        <v>940.95</v>
      </c>
      <c r="R766">
        <v>3.6640000000000001</v>
      </c>
      <c r="S766">
        <v>19.6694</v>
      </c>
      <c r="T766">
        <v>0.88314002797881197</v>
      </c>
      <c r="U766">
        <v>0.75346997265231497</v>
      </c>
      <c r="V766">
        <v>144.62399291992099</v>
      </c>
      <c r="W766">
        <v>1.55145001421319</v>
      </c>
      <c r="X766">
        <v>0.82410001754760698</v>
      </c>
    </row>
    <row r="767" spans="1:24" x14ac:dyDescent="0.25">
      <c r="A767" s="4">
        <v>45779</v>
      </c>
      <c r="B767">
        <v>4.38</v>
      </c>
      <c r="C767">
        <v>4.34</v>
      </c>
      <c r="D767">
        <v>4.33</v>
      </c>
      <c r="E767">
        <v>4.41</v>
      </c>
      <c r="F767">
        <v>4.26</v>
      </c>
      <c r="G767">
        <v>4</v>
      </c>
      <c r="H767">
        <v>3.83</v>
      </c>
      <c r="I767">
        <v>3.82</v>
      </c>
      <c r="J767">
        <v>3.92</v>
      </c>
      <c r="K767">
        <v>4.1100000000000003</v>
      </c>
      <c r="L767">
        <v>4.33</v>
      </c>
      <c r="M767">
        <v>4.8099999999999996</v>
      </c>
      <c r="N767">
        <v>4.79</v>
      </c>
      <c r="O767">
        <v>5.6391</v>
      </c>
      <c r="P767">
        <v>4247</v>
      </c>
      <c r="Q767">
        <v>955.67</v>
      </c>
      <c r="R767">
        <v>3.649</v>
      </c>
      <c r="S767">
        <v>19.598500000000001</v>
      </c>
      <c r="T767">
        <v>0.88523003443366999</v>
      </c>
      <c r="U767">
        <v>0.75265000991437703</v>
      </c>
      <c r="V767">
        <v>145.447998046875</v>
      </c>
      <c r="W767">
        <v>1.5657299472117701</v>
      </c>
      <c r="X767">
        <v>0.82898002862930298</v>
      </c>
    </row>
    <row r="768" spans="1:24" x14ac:dyDescent="0.25">
      <c r="A768" s="4">
        <v>45778</v>
      </c>
      <c r="B768">
        <v>4.38</v>
      </c>
      <c r="C768">
        <v>4.34</v>
      </c>
      <c r="D768">
        <v>4.3099999999999996</v>
      </c>
      <c r="E768">
        <v>4.38</v>
      </c>
      <c r="F768">
        <v>4.22</v>
      </c>
      <c r="G768">
        <v>3.92</v>
      </c>
      <c r="H768">
        <v>3.7</v>
      </c>
      <c r="I768">
        <v>3.69</v>
      </c>
      <c r="J768">
        <v>3.81</v>
      </c>
      <c r="K768">
        <v>4.0199999999999996</v>
      </c>
      <c r="L768">
        <v>4.25</v>
      </c>
      <c r="M768">
        <v>4.75</v>
      </c>
      <c r="N768">
        <v>4.74</v>
      </c>
      <c r="O768">
        <v>5.6604999999999999</v>
      </c>
      <c r="P768">
        <v>4206</v>
      </c>
      <c r="Q768">
        <v>945.42</v>
      </c>
      <c r="R768">
        <v>3.661</v>
      </c>
      <c r="S768">
        <v>19.613600000000002</v>
      </c>
      <c r="T768">
        <v>0.88301006714305896</v>
      </c>
      <c r="U768">
        <v>0.75053002117221601</v>
      </c>
      <c r="V768">
        <v>143.00900268554599</v>
      </c>
      <c r="W768">
        <v>1.5593099419715899</v>
      </c>
      <c r="X768">
        <v>0.82595998048782304</v>
      </c>
    </row>
    <row r="769" spans="1:24" x14ac:dyDescent="0.25">
      <c r="A769" s="4">
        <v>45777</v>
      </c>
      <c r="B769">
        <v>4.3499999999999996</v>
      </c>
      <c r="C769">
        <v>4.3600000000000003</v>
      </c>
      <c r="D769">
        <v>4.3099999999999996</v>
      </c>
      <c r="E769">
        <v>4.37</v>
      </c>
      <c r="F769">
        <v>4.1900000000000004</v>
      </c>
      <c r="G769">
        <v>3.85</v>
      </c>
      <c r="H769">
        <v>3.6</v>
      </c>
      <c r="I769">
        <v>3.58</v>
      </c>
      <c r="J769">
        <v>3.72</v>
      </c>
      <c r="K769">
        <v>3.93</v>
      </c>
      <c r="L769">
        <v>4.17</v>
      </c>
      <c r="M769">
        <v>4.68</v>
      </c>
      <c r="N769">
        <v>4.66</v>
      </c>
      <c r="O769">
        <v>5.6604999999999999</v>
      </c>
      <c r="P769">
        <v>4206</v>
      </c>
      <c r="Q769">
        <v>945.42</v>
      </c>
      <c r="R769">
        <v>3.661</v>
      </c>
      <c r="S769">
        <v>19.613600000000002</v>
      </c>
      <c r="T769">
        <v>0.878019963562928</v>
      </c>
      <c r="U769">
        <v>0.74566796357976395</v>
      </c>
      <c r="V769">
        <v>142.29899597167901</v>
      </c>
      <c r="W769">
        <v>1.5656999928981199</v>
      </c>
      <c r="X769">
        <v>0.82341998815536499</v>
      </c>
    </row>
    <row r="770" spans="1:24" x14ac:dyDescent="0.25">
      <c r="A770" s="4">
        <v>45776</v>
      </c>
      <c r="B770">
        <v>4.3499999999999996</v>
      </c>
      <c r="C770">
        <v>4.3600000000000003</v>
      </c>
      <c r="D770">
        <v>4.3099999999999996</v>
      </c>
      <c r="E770">
        <v>4.3</v>
      </c>
      <c r="F770">
        <v>4.2</v>
      </c>
      <c r="G770">
        <v>3.89</v>
      </c>
      <c r="H770">
        <v>3.65</v>
      </c>
      <c r="I770">
        <v>3.65</v>
      </c>
      <c r="J770">
        <v>3.77</v>
      </c>
      <c r="K770">
        <v>3.96</v>
      </c>
      <c r="L770">
        <v>4.1900000000000004</v>
      </c>
      <c r="M770">
        <v>4.66</v>
      </c>
      <c r="N770">
        <v>4.6399999999999997</v>
      </c>
      <c r="O770">
        <v>5.6463999999999999</v>
      </c>
      <c r="P770">
        <v>4184.01</v>
      </c>
      <c r="Q770">
        <v>937.54</v>
      </c>
      <c r="R770">
        <v>3.6659999999999999</v>
      </c>
      <c r="S770">
        <v>19.575500000000002</v>
      </c>
      <c r="T770">
        <v>0.87649000599016802</v>
      </c>
      <c r="U770">
        <v>0.74425999585487501</v>
      </c>
      <c r="V770">
        <v>142.17799377441401</v>
      </c>
      <c r="W770">
        <v>1.5555000501588301</v>
      </c>
      <c r="X770">
        <v>0.82118999958038297</v>
      </c>
    </row>
    <row r="771" spans="1:24" x14ac:dyDescent="0.25">
      <c r="A771" s="4">
        <v>45775</v>
      </c>
      <c r="B771">
        <v>4.3499999999999996</v>
      </c>
      <c r="C771">
        <v>4.37</v>
      </c>
      <c r="D771">
        <v>4.32</v>
      </c>
      <c r="E771">
        <v>4.32</v>
      </c>
      <c r="F771">
        <v>4.22</v>
      </c>
      <c r="G771">
        <v>3.92</v>
      </c>
      <c r="H771">
        <v>3.67</v>
      </c>
      <c r="I771">
        <v>3.67</v>
      </c>
      <c r="J771">
        <v>3.81</v>
      </c>
      <c r="K771">
        <v>4.01</v>
      </c>
      <c r="L771">
        <v>4.2300000000000004</v>
      </c>
      <c r="M771">
        <v>4.71</v>
      </c>
      <c r="N771">
        <v>4.6900000000000004</v>
      </c>
      <c r="O771">
        <v>5.6677999999999997</v>
      </c>
      <c r="P771">
        <v>4217.1000000000004</v>
      </c>
      <c r="Q771">
        <v>936.74</v>
      </c>
      <c r="R771">
        <v>3.6680000000000001</v>
      </c>
      <c r="S771">
        <v>19.578399999999998</v>
      </c>
      <c r="T771">
        <v>0.88158996699742098</v>
      </c>
      <c r="U771">
        <v>0.75243998295382297</v>
      </c>
      <c r="V771">
        <v>143.84100341796801</v>
      </c>
      <c r="W771">
        <v>1.56640005437561</v>
      </c>
      <c r="X771">
        <v>0.82840001583099299</v>
      </c>
    </row>
    <row r="772" spans="1:24" x14ac:dyDescent="0.25">
      <c r="A772" s="4">
        <v>45772</v>
      </c>
      <c r="B772">
        <v>4.34</v>
      </c>
      <c r="C772">
        <v>4.3600000000000003</v>
      </c>
      <c r="D772">
        <v>4.32</v>
      </c>
      <c r="E772">
        <v>4.32</v>
      </c>
      <c r="F772">
        <v>4.22</v>
      </c>
      <c r="G772">
        <v>3.95</v>
      </c>
      <c r="H772">
        <v>3.74</v>
      </c>
      <c r="I772">
        <v>3.76</v>
      </c>
      <c r="J772">
        <v>3.88</v>
      </c>
      <c r="K772">
        <v>4.0599999999999996</v>
      </c>
      <c r="L772">
        <v>4.29</v>
      </c>
      <c r="M772">
        <v>4.75</v>
      </c>
      <c r="N772">
        <v>4.74</v>
      </c>
      <c r="O772">
        <v>5.6843000000000004</v>
      </c>
      <c r="P772">
        <v>4218</v>
      </c>
      <c r="Q772">
        <v>937.81</v>
      </c>
      <c r="R772">
        <v>3.669</v>
      </c>
      <c r="S772">
        <v>19.522300000000001</v>
      </c>
      <c r="T772">
        <v>0.87935998805800797</v>
      </c>
      <c r="U772">
        <v>0.750399974093934</v>
      </c>
      <c r="V772">
        <v>142.87899780273401</v>
      </c>
      <c r="W772">
        <v>1.5616500835593501</v>
      </c>
      <c r="X772">
        <v>0.82874000072479204</v>
      </c>
    </row>
    <row r="773" spans="1:24" x14ac:dyDescent="0.25">
      <c r="A773" s="4">
        <v>45771</v>
      </c>
      <c r="B773">
        <v>4.34</v>
      </c>
      <c r="C773">
        <v>4.37</v>
      </c>
      <c r="D773">
        <v>4.32</v>
      </c>
      <c r="E773">
        <v>4.32</v>
      </c>
      <c r="F773">
        <v>4.22</v>
      </c>
      <c r="G773">
        <v>3.97</v>
      </c>
      <c r="H773">
        <v>3.77</v>
      </c>
      <c r="I773">
        <v>3.8</v>
      </c>
      <c r="J773">
        <v>3.91</v>
      </c>
      <c r="K773">
        <v>4.1100000000000003</v>
      </c>
      <c r="L773">
        <v>4.32</v>
      </c>
      <c r="M773">
        <v>4.79</v>
      </c>
      <c r="N773">
        <v>4.7699999999999996</v>
      </c>
      <c r="O773">
        <v>5.6734999999999998</v>
      </c>
      <c r="P773">
        <v>4264</v>
      </c>
      <c r="Q773">
        <v>938.02</v>
      </c>
      <c r="R773">
        <v>3.6709999999999998</v>
      </c>
      <c r="S773">
        <v>19.5809</v>
      </c>
      <c r="T773">
        <v>0.88282002879586396</v>
      </c>
      <c r="U773">
        <v>0.75389000797871997</v>
      </c>
      <c r="V773">
        <v>143.22300720214801</v>
      </c>
      <c r="W773">
        <v>1.57101996622027</v>
      </c>
      <c r="X773">
        <v>0.82980000972747803</v>
      </c>
    </row>
    <row r="774" spans="1:24" x14ac:dyDescent="0.25">
      <c r="A774" s="4">
        <v>45770</v>
      </c>
      <c r="B774">
        <v>4.33</v>
      </c>
      <c r="C774">
        <v>4.34</v>
      </c>
      <c r="D774">
        <v>4.33</v>
      </c>
      <c r="E774">
        <v>4.33</v>
      </c>
      <c r="F774">
        <v>4.22</v>
      </c>
      <c r="G774">
        <v>4.01</v>
      </c>
      <c r="H774">
        <v>3.81</v>
      </c>
      <c r="I774">
        <v>3.87</v>
      </c>
      <c r="J774">
        <v>4</v>
      </c>
      <c r="K774">
        <v>4.2</v>
      </c>
      <c r="L774">
        <v>4.4000000000000004</v>
      </c>
      <c r="M774">
        <v>4.8600000000000003</v>
      </c>
      <c r="N774">
        <v>4.83</v>
      </c>
      <c r="O774">
        <v>5.6877000000000004</v>
      </c>
      <c r="P774">
        <v>4304.75</v>
      </c>
      <c r="Q774">
        <v>950.04</v>
      </c>
      <c r="R774">
        <v>3.6890000000000001</v>
      </c>
      <c r="S774">
        <v>19.650200000000002</v>
      </c>
      <c r="T774">
        <v>0.88096002980848398</v>
      </c>
      <c r="U774">
        <v>0.75340000098793503</v>
      </c>
      <c r="V774">
        <v>142.68800354003901</v>
      </c>
      <c r="W774">
        <v>1.56833201059313</v>
      </c>
      <c r="X774">
        <v>0.82607001066207797</v>
      </c>
    </row>
    <row r="775" spans="1:24" x14ac:dyDescent="0.25">
      <c r="A775" s="4">
        <v>45769</v>
      </c>
      <c r="B775">
        <v>4.33</v>
      </c>
      <c r="C775">
        <v>4.3499999999999996</v>
      </c>
      <c r="D775">
        <v>4.33</v>
      </c>
      <c r="E775">
        <v>4.33</v>
      </c>
      <c r="F775">
        <v>4.21</v>
      </c>
      <c r="G775">
        <v>3.98</v>
      </c>
      <c r="H775">
        <v>3.76</v>
      </c>
      <c r="I775">
        <v>3.82</v>
      </c>
      <c r="J775">
        <v>3.98</v>
      </c>
      <c r="K775">
        <v>4.1900000000000004</v>
      </c>
      <c r="L775">
        <v>4.41</v>
      </c>
      <c r="M775">
        <v>4.9000000000000004</v>
      </c>
      <c r="N775">
        <v>4.88</v>
      </c>
      <c r="O775">
        <v>5.7492999999999999</v>
      </c>
      <c r="P775">
        <v>4292</v>
      </c>
      <c r="Q775">
        <v>961.14</v>
      </c>
      <c r="R775">
        <v>3.6970000000000001</v>
      </c>
      <c r="S775">
        <v>19.652999999999999</v>
      </c>
      <c r="T775">
        <v>0.86860001414427301</v>
      </c>
      <c r="U775">
        <v>0.74739997077617704</v>
      </c>
      <c r="V775">
        <v>140.87600708007801</v>
      </c>
      <c r="W775">
        <v>1.55715006874222</v>
      </c>
      <c r="X775">
        <v>0.80905002355575495</v>
      </c>
    </row>
    <row r="776" spans="1:24" x14ac:dyDescent="0.25">
      <c r="A776" s="4">
        <v>45768</v>
      </c>
      <c r="B776">
        <v>4.3499999999999996</v>
      </c>
      <c r="C776">
        <v>4.37</v>
      </c>
      <c r="D776">
        <v>4.34</v>
      </c>
      <c r="E776">
        <v>4.33</v>
      </c>
      <c r="F776">
        <v>4.21</v>
      </c>
      <c r="G776">
        <v>3.95</v>
      </c>
      <c r="H776">
        <v>3.75</v>
      </c>
      <c r="I776">
        <v>3.77</v>
      </c>
      <c r="J776">
        <v>3.97</v>
      </c>
      <c r="K776">
        <v>4.1900000000000004</v>
      </c>
      <c r="L776">
        <v>4.42</v>
      </c>
      <c r="M776">
        <v>4.9400000000000004</v>
      </c>
      <c r="N776">
        <v>4.91</v>
      </c>
      <c r="O776">
        <v>5.8555999999999999</v>
      </c>
      <c r="P776">
        <v>4283</v>
      </c>
      <c r="Q776">
        <v>968.71</v>
      </c>
      <c r="R776">
        <v>3.7069999999999999</v>
      </c>
      <c r="S776">
        <v>19.714099999999998</v>
      </c>
      <c r="T776">
        <v>0.87743999390815397</v>
      </c>
      <c r="U776">
        <v>0.75563004015232205</v>
      </c>
      <c r="V776">
        <v>141.92799377441401</v>
      </c>
      <c r="W776">
        <v>1.56911998165377</v>
      </c>
      <c r="X776">
        <v>0.81375002861022905</v>
      </c>
    </row>
    <row r="777" spans="1:24" x14ac:dyDescent="0.25">
      <c r="A777" s="4">
        <v>45765</v>
      </c>
      <c r="B777">
        <v>4.3600000000000003</v>
      </c>
      <c r="C777">
        <v>4.38</v>
      </c>
      <c r="D777">
        <v>4.34</v>
      </c>
      <c r="E777">
        <v>4.3499999999999996</v>
      </c>
      <c r="F777">
        <v>4.22</v>
      </c>
      <c r="G777">
        <v>3.99</v>
      </c>
      <c r="H777">
        <v>3.81</v>
      </c>
      <c r="I777">
        <v>3.82</v>
      </c>
      <c r="J777">
        <v>3.95</v>
      </c>
      <c r="K777">
        <v>4.13</v>
      </c>
      <c r="L777">
        <v>4.34</v>
      </c>
      <c r="M777">
        <v>4.82</v>
      </c>
      <c r="N777">
        <v>4.8</v>
      </c>
      <c r="O777">
        <v>5.8555999999999999</v>
      </c>
      <c r="P777">
        <v>4302</v>
      </c>
      <c r="Q777">
        <v>969.23</v>
      </c>
      <c r="R777">
        <v>3.7269999999999999</v>
      </c>
      <c r="S777">
        <v>19.962199999999999</v>
      </c>
      <c r="T777">
        <v>0.87743999390815397</v>
      </c>
      <c r="U777">
        <v>0.75563004015232205</v>
      </c>
      <c r="V777">
        <v>141.92799377441401</v>
      </c>
      <c r="W777">
        <v>1.56911998165377</v>
      </c>
      <c r="X777">
        <v>0.81375002861022905</v>
      </c>
    </row>
    <row r="778" spans="1:24" x14ac:dyDescent="0.25">
      <c r="A778" s="4">
        <v>45764</v>
      </c>
      <c r="B778">
        <v>4.3499999999999996</v>
      </c>
      <c r="C778">
        <v>4.3499999999999996</v>
      </c>
      <c r="D778">
        <v>4.33</v>
      </c>
      <c r="E778">
        <v>4.34</v>
      </c>
      <c r="F778">
        <v>4.2</v>
      </c>
      <c r="G778">
        <v>3.96</v>
      </c>
      <c r="H778">
        <v>3.77</v>
      </c>
      <c r="I778">
        <v>3.77</v>
      </c>
      <c r="J778">
        <v>3.91</v>
      </c>
      <c r="K778">
        <v>4.08</v>
      </c>
      <c r="L778">
        <v>4.29</v>
      </c>
      <c r="M778">
        <v>4.7699999999999996</v>
      </c>
      <c r="N778">
        <v>4.74</v>
      </c>
      <c r="O778">
        <v>5.8555999999999999</v>
      </c>
      <c r="P778">
        <v>4302</v>
      </c>
      <c r="Q778">
        <v>969.23</v>
      </c>
      <c r="R778">
        <v>3.7269999999999999</v>
      </c>
      <c r="S778">
        <v>19.962199999999999</v>
      </c>
      <c r="T778">
        <v>0.87743999390815397</v>
      </c>
      <c r="U778">
        <v>0.75563004015232205</v>
      </c>
      <c r="V778">
        <v>141.92799377441401</v>
      </c>
      <c r="W778">
        <v>1.56911998165377</v>
      </c>
      <c r="X778">
        <v>0.81375002861022905</v>
      </c>
    </row>
    <row r="779" spans="1:24" x14ac:dyDescent="0.25">
      <c r="A779" s="4">
        <v>45763</v>
      </c>
      <c r="B779">
        <v>4.3499999999999996</v>
      </c>
      <c r="C779">
        <v>4.3600000000000003</v>
      </c>
      <c r="D779">
        <v>4.33</v>
      </c>
      <c r="E779">
        <v>4.32</v>
      </c>
      <c r="F779">
        <v>4.21</v>
      </c>
      <c r="G779">
        <v>3.99</v>
      </c>
      <c r="H779">
        <v>3.84</v>
      </c>
      <c r="I779">
        <v>3.85</v>
      </c>
      <c r="J779">
        <v>3.98</v>
      </c>
      <c r="K779">
        <v>4.1500000000000004</v>
      </c>
      <c r="L779">
        <v>4.3499999999999996</v>
      </c>
      <c r="M779">
        <v>4.82</v>
      </c>
      <c r="N779">
        <v>4.79</v>
      </c>
      <c r="O779">
        <v>5.8804999999999996</v>
      </c>
      <c r="P779">
        <v>4302</v>
      </c>
      <c r="Q779">
        <v>967.15</v>
      </c>
      <c r="R779">
        <v>3.7269999999999999</v>
      </c>
      <c r="S779">
        <v>19.962199999999999</v>
      </c>
      <c r="T779">
        <v>0.88553000217460598</v>
      </c>
      <c r="U779">
        <v>0.75580003852606903</v>
      </c>
      <c r="V779">
        <v>143.18099975585901</v>
      </c>
      <c r="W779">
        <v>1.5778100894845699</v>
      </c>
      <c r="X779">
        <v>0.82077002525329501</v>
      </c>
    </row>
    <row r="780" spans="1:24" x14ac:dyDescent="0.25">
      <c r="A780" s="4">
        <v>45762</v>
      </c>
      <c r="B780">
        <v>4.34</v>
      </c>
      <c r="C780">
        <v>4.37</v>
      </c>
      <c r="D780">
        <v>4.33</v>
      </c>
      <c r="E780">
        <v>4.34</v>
      </c>
      <c r="F780">
        <v>4.21</v>
      </c>
      <c r="G780">
        <v>3.99</v>
      </c>
      <c r="H780">
        <v>3.84</v>
      </c>
      <c r="I780">
        <v>3.87</v>
      </c>
      <c r="J780">
        <v>4.0199999999999996</v>
      </c>
      <c r="K780">
        <v>4.2</v>
      </c>
      <c r="L780">
        <v>4.38</v>
      </c>
      <c r="M780">
        <v>4.84</v>
      </c>
      <c r="N780">
        <v>4.8</v>
      </c>
      <c r="O780">
        <v>5.8704000000000001</v>
      </c>
      <c r="P780">
        <v>4358</v>
      </c>
      <c r="Q780">
        <v>966.07</v>
      </c>
      <c r="R780">
        <v>3.7410000000000001</v>
      </c>
      <c r="S780">
        <v>20.1235</v>
      </c>
      <c r="T780">
        <v>0.88186003053066597</v>
      </c>
      <c r="U780">
        <v>0.759040001621484</v>
      </c>
      <c r="V780">
        <v>143.22099304199199</v>
      </c>
      <c r="W780">
        <v>1.5822998970957101</v>
      </c>
      <c r="X780">
        <v>0.81595999002456598</v>
      </c>
    </row>
    <row r="781" spans="1:24" x14ac:dyDescent="0.25">
      <c r="A781" s="4">
        <v>45761</v>
      </c>
      <c r="B781">
        <v>4.37</v>
      </c>
      <c r="C781">
        <v>4.38</v>
      </c>
      <c r="D781">
        <v>4.34</v>
      </c>
      <c r="E781">
        <v>4.3499999999999996</v>
      </c>
      <c r="F781">
        <v>4.21</v>
      </c>
      <c r="G781">
        <v>4.04</v>
      </c>
      <c r="H781">
        <v>3.96</v>
      </c>
      <c r="I781">
        <v>3.98</v>
      </c>
      <c r="J781">
        <v>4.1500000000000004</v>
      </c>
      <c r="K781">
        <v>4.32</v>
      </c>
      <c r="L781">
        <v>4.4800000000000004</v>
      </c>
      <c r="M781">
        <v>4.91</v>
      </c>
      <c r="N781">
        <v>4.8499999999999996</v>
      </c>
      <c r="O781">
        <v>5.8422000000000001</v>
      </c>
      <c r="P781">
        <v>4300</v>
      </c>
      <c r="Q781">
        <v>978.09</v>
      </c>
      <c r="R781">
        <v>3.738</v>
      </c>
      <c r="S781">
        <v>20.102900000000002</v>
      </c>
      <c r="T781">
        <v>0.88158996699742098</v>
      </c>
      <c r="U781">
        <v>0.76421997044100598</v>
      </c>
      <c r="V781">
        <v>143.69599914550699</v>
      </c>
      <c r="W781">
        <v>1.5869699310102101</v>
      </c>
      <c r="X781">
        <v>0.81805998086929299</v>
      </c>
    </row>
    <row r="782" spans="1:24" x14ac:dyDescent="0.25">
      <c r="A782" s="4">
        <v>45758</v>
      </c>
      <c r="B782">
        <v>4.3600000000000003</v>
      </c>
      <c r="C782">
        <v>4.3899999999999997</v>
      </c>
      <c r="D782">
        <v>4.34</v>
      </c>
      <c r="E782">
        <v>4.33</v>
      </c>
      <c r="F782">
        <v>4.17</v>
      </c>
      <c r="G782">
        <v>3.97</v>
      </c>
      <c r="H782">
        <v>3.84</v>
      </c>
      <c r="I782">
        <v>3.85</v>
      </c>
      <c r="J782">
        <v>4.04</v>
      </c>
      <c r="K782">
        <v>4.21</v>
      </c>
      <c r="L782">
        <v>4.4000000000000004</v>
      </c>
      <c r="M782">
        <v>4.9000000000000004</v>
      </c>
      <c r="N782">
        <v>4.8600000000000003</v>
      </c>
      <c r="O782">
        <v>5.8734000000000002</v>
      </c>
      <c r="P782">
        <v>4275</v>
      </c>
      <c r="Q782">
        <v>988.97</v>
      </c>
      <c r="R782">
        <v>3.73</v>
      </c>
      <c r="S782">
        <v>20.293500000000002</v>
      </c>
      <c r="T782">
        <v>0.88827002044418901</v>
      </c>
      <c r="U782">
        <v>0.76970002042475005</v>
      </c>
      <c r="V782">
        <v>143.74699401855401</v>
      </c>
      <c r="W782">
        <v>1.60684002986651</v>
      </c>
      <c r="X782">
        <v>0.82076001167297297</v>
      </c>
    </row>
    <row r="783" spans="1:24" x14ac:dyDescent="0.25">
      <c r="A783" s="4">
        <v>45757</v>
      </c>
      <c r="B783">
        <v>4.3600000000000003</v>
      </c>
      <c r="C783">
        <v>4.37</v>
      </c>
      <c r="D783">
        <v>4.3499999999999996</v>
      </c>
      <c r="E783">
        <v>4.3600000000000003</v>
      </c>
      <c r="F783">
        <v>4.2300000000000004</v>
      </c>
      <c r="G783">
        <v>4.03</v>
      </c>
      <c r="H783">
        <v>3.91</v>
      </c>
      <c r="I783">
        <v>3.91</v>
      </c>
      <c r="J783">
        <v>4.0599999999999996</v>
      </c>
      <c r="K783">
        <v>4.2</v>
      </c>
      <c r="L783">
        <v>4.34</v>
      </c>
      <c r="M783">
        <v>4.78</v>
      </c>
      <c r="N783">
        <v>4.72</v>
      </c>
      <c r="O783">
        <v>5.9112</v>
      </c>
      <c r="P783">
        <v>4337</v>
      </c>
      <c r="Q783">
        <v>1000.01</v>
      </c>
      <c r="R783">
        <v>3.73</v>
      </c>
      <c r="S783">
        <v>20.439599999999999</v>
      </c>
      <c r="T783">
        <v>0.91307001785952102</v>
      </c>
      <c r="U783">
        <v>0.77969997297087201</v>
      </c>
      <c r="V783">
        <v>147.399002075195</v>
      </c>
      <c r="W783">
        <v>1.6303599689733099</v>
      </c>
      <c r="X783">
        <v>0.85544997453689497</v>
      </c>
    </row>
    <row r="784" spans="1:24" x14ac:dyDescent="0.25">
      <c r="A784" s="4">
        <v>45756</v>
      </c>
      <c r="B784">
        <v>4.3600000000000003</v>
      </c>
      <c r="C784">
        <v>4.37</v>
      </c>
      <c r="D784">
        <v>4.3099999999999996</v>
      </c>
      <c r="E784">
        <v>4.3</v>
      </c>
      <c r="F784">
        <v>4.1399999999999997</v>
      </c>
      <c r="G784">
        <v>3.83</v>
      </c>
      <c r="H784">
        <v>3.71</v>
      </c>
      <c r="I784">
        <v>3.71</v>
      </c>
      <c r="J784">
        <v>3.88</v>
      </c>
      <c r="K784">
        <v>4.05</v>
      </c>
      <c r="L784">
        <v>4.26</v>
      </c>
      <c r="M784">
        <v>4.76</v>
      </c>
      <c r="N784">
        <v>4.71</v>
      </c>
      <c r="O784">
        <v>6.0602</v>
      </c>
      <c r="P784">
        <v>4320</v>
      </c>
      <c r="Q784">
        <v>993.89</v>
      </c>
      <c r="R784">
        <v>3.6960000000000002</v>
      </c>
      <c r="S784">
        <v>20.2818</v>
      </c>
      <c r="T784">
        <v>0.91070998963854699</v>
      </c>
      <c r="U784">
        <v>0.78179995740859698</v>
      </c>
      <c r="V784">
        <v>145.84500122070301</v>
      </c>
      <c r="W784">
        <v>1.67917996780203</v>
      </c>
      <c r="X784">
        <v>0.84565997123718195</v>
      </c>
    </row>
    <row r="785" spans="1:24" x14ac:dyDescent="0.25">
      <c r="A785" s="4">
        <v>45755</v>
      </c>
      <c r="B785">
        <v>4.3600000000000003</v>
      </c>
      <c r="C785">
        <v>4.3600000000000003</v>
      </c>
      <c r="D785">
        <v>4.29</v>
      </c>
      <c r="E785">
        <v>4.28</v>
      </c>
      <c r="F785">
        <v>4.1399999999999997</v>
      </c>
      <c r="G785">
        <v>3.86</v>
      </c>
      <c r="H785">
        <v>3.73</v>
      </c>
      <c r="I785">
        <v>3.72</v>
      </c>
      <c r="J785">
        <v>3.82</v>
      </c>
      <c r="K785">
        <v>3.97</v>
      </c>
      <c r="L785">
        <v>4.1500000000000004</v>
      </c>
      <c r="M785">
        <v>4.6100000000000003</v>
      </c>
      <c r="N785">
        <v>4.58</v>
      </c>
      <c r="O785">
        <v>5.9364999999999997</v>
      </c>
      <c r="P785">
        <v>4427</v>
      </c>
      <c r="Q785">
        <v>990.68</v>
      </c>
      <c r="R785">
        <v>3.7450000000000001</v>
      </c>
      <c r="S785">
        <v>20.808299999999999</v>
      </c>
      <c r="T785">
        <v>0.91614005355120998</v>
      </c>
      <c r="U785">
        <v>0.78523998116983396</v>
      </c>
      <c r="V785">
        <v>147.78900146484301</v>
      </c>
      <c r="W785">
        <v>1.66732996598698</v>
      </c>
      <c r="X785">
        <v>0.85970997810363703</v>
      </c>
    </row>
    <row r="786" spans="1:24" x14ac:dyDescent="0.25">
      <c r="A786" s="4">
        <v>45754</v>
      </c>
      <c r="B786">
        <v>4.3600000000000003</v>
      </c>
      <c r="C786">
        <v>4.3600000000000003</v>
      </c>
      <c r="D786">
        <v>4.28</v>
      </c>
      <c r="E786">
        <v>4.25</v>
      </c>
      <c r="F786">
        <v>4.1399999999999997</v>
      </c>
      <c r="G786">
        <v>3.86</v>
      </c>
      <c r="H786">
        <v>3.68</v>
      </c>
      <c r="I786">
        <v>3.66</v>
      </c>
      <c r="J786">
        <v>3.72</v>
      </c>
      <c r="K786">
        <v>3.84</v>
      </c>
      <c r="L786">
        <v>4.01</v>
      </c>
      <c r="M786">
        <v>4.4400000000000004</v>
      </c>
      <c r="N786">
        <v>4.41</v>
      </c>
      <c r="O786">
        <v>5.8874000000000004</v>
      </c>
      <c r="P786">
        <v>4386</v>
      </c>
      <c r="Q786">
        <v>975.82</v>
      </c>
      <c r="R786">
        <v>3.718</v>
      </c>
      <c r="S786">
        <v>20.6889</v>
      </c>
      <c r="T786">
        <v>0.91036999929675999</v>
      </c>
      <c r="U786">
        <v>0.77454999164842997</v>
      </c>
      <c r="V786">
        <v>145.43299865722599</v>
      </c>
      <c r="W786">
        <v>1.6700899569327901</v>
      </c>
      <c r="X786">
        <v>0.85161000490188599</v>
      </c>
    </row>
    <row r="787" spans="1:24" x14ac:dyDescent="0.25">
      <c r="A787" s="4">
        <v>45751</v>
      </c>
      <c r="B787">
        <v>4.3600000000000003</v>
      </c>
      <c r="C787">
        <v>4.38</v>
      </c>
      <c r="D787">
        <v>4.3099999999999996</v>
      </c>
      <c r="E787">
        <v>4.29</v>
      </c>
      <c r="F787">
        <v>4.2</v>
      </c>
      <c r="G787">
        <v>3.92</v>
      </c>
      <c r="H787">
        <v>3.71</v>
      </c>
      <c r="I787">
        <v>3.68</v>
      </c>
      <c r="J787">
        <v>3.75</v>
      </c>
      <c r="K787">
        <v>3.88</v>
      </c>
      <c r="L787">
        <v>4.0599999999999996</v>
      </c>
      <c r="M787">
        <v>4.51</v>
      </c>
      <c r="N787">
        <v>4.49</v>
      </c>
      <c r="O787">
        <v>5.7774000000000001</v>
      </c>
      <c r="P787">
        <v>4272.1000000000004</v>
      </c>
      <c r="Q787">
        <v>946.59</v>
      </c>
      <c r="R787">
        <v>3.68</v>
      </c>
      <c r="S787">
        <v>20.465</v>
      </c>
      <c r="T787">
        <v>0.90549001507313498</v>
      </c>
      <c r="U787">
        <v>0.76401999860467995</v>
      </c>
      <c r="V787">
        <v>146.23100280761699</v>
      </c>
      <c r="W787">
        <v>1.58140010123394</v>
      </c>
      <c r="X787">
        <v>0.85921001434326105</v>
      </c>
    </row>
    <row r="788" spans="1:24" x14ac:dyDescent="0.25">
      <c r="A788" s="4">
        <v>45750</v>
      </c>
      <c r="B788">
        <v>4.38</v>
      </c>
      <c r="C788">
        <v>4.34</v>
      </c>
      <c r="D788">
        <v>4.32</v>
      </c>
      <c r="E788">
        <v>4.32</v>
      </c>
      <c r="F788">
        <v>4.24</v>
      </c>
      <c r="G788">
        <v>4.04</v>
      </c>
      <c r="H788">
        <v>3.91</v>
      </c>
      <c r="I788">
        <v>3.89</v>
      </c>
      <c r="J788">
        <v>3.95</v>
      </c>
      <c r="K788">
        <v>4.07</v>
      </c>
      <c r="L788">
        <v>4.2</v>
      </c>
      <c r="M788">
        <v>4.58</v>
      </c>
      <c r="N788">
        <v>4.54</v>
      </c>
      <c r="O788">
        <v>5.6064499999999997</v>
      </c>
      <c r="P788">
        <v>4157.5</v>
      </c>
      <c r="Q788">
        <v>949.83</v>
      </c>
      <c r="R788">
        <v>3.6669999999999998</v>
      </c>
      <c r="S788">
        <v>19.9434</v>
      </c>
      <c r="T788">
        <v>0.91669999680904801</v>
      </c>
      <c r="U788">
        <v>0.76649998236483297</v>
      </c>
      <c r="V788">
        <v>147.87199401855401</v>
      </c>
      <c r="W788">
        <v>1.5962460111013601</v>
      </c>
      <c r="X788">
        <v>0.87678998708724898</v>
      </c>
    </row>
    <row r="789" spans="1:24" x14ac:dyDescent="0.25">
      <c r="A789" s="4">
        <v>45749</v>
      </c>
      <c r="B789">
        <v>4.38</v>
      </c>
      <c r="C789">
        <v>4.3499999999999996</v>
      </c>
      <c r="D789">
        <v>4.32</v>
      </c>
      <c r="E789">
        <v>4.3</v>
      </c>
      <c r="F789">
        <v>4.2300000000000004</v>
      </c>
      <c r="G789">
        <v>4.01</v>
      </c>
      <c r="H789">
        <v>3.87</v>
      </c>
      <c r="I789">
        <v>3.85</v>
      </c>
      <c r="J789">
        <v>3.91</v>
      </c>
      <c r="K789">
        <v>4.03</v>
      </c>
      <c r="L789">
        <v>4.17</v>
      </c>
      <c r="M789">
        <v>4.5599999999999996</v>
      </c>
      <c r="N789">
        <v>4.5199999999999996</v>
      </c>
      <c r="O789">
        <v>5.6920500000000001</v>
      </c>
      <c r="P789">
        <v>4154</v>
      </c>
      <c r="Q789">
        <v>946.28</v>
      </c>
      <c r="R789">
        <v>3.67</v>
      </c>
      <c r="S789">
        <v>20.4556</v>
      </c>
      <c r="T789">
        <v>0.92627003142884201</v>
      </c>
      <c r="U789">
        <v>0.77380999821412999</v>
      </c>
      <c r="V789">
        <v>149.78300476074199</v>
      </c>
      <c r="W789">
        <v>1.58993011107097</v>
      </c>
      <c r="X789">
        <v>0.88340002298355103</v>
      </c>
    </row>
    <row r="790" spans="1:24" x14ac:dyDescent="0.25">
      <c r="A790" s="4">
        <v>45748</v>
      </c>
      <c r="B790">
        <v>4.38</v>
      </c>
      <c r="C790">
        <v>4.3499999999999996</v>
      </c>
      <c r="D790">
        <v>4.32</v>
      </c>
      <c r="E790">
        <v>4.3099999999999996</v>
      </c>
      <c r="F790">
        <v>4.2300000000000004</v>
      </c>
      <c r="G790">
        <v>4.03</v>
      </c>
      <c r="H790">
        <v>3.89</v>
      </c>
      <c r="I790">
        <v>3.89</v>
      </c>
      <c r="J790">
        <v>3.96</v>
      </c>
      <c r="K790">
        <v>4.09</v>
      </c>
      <c r="L790">
        <v>4.2300000000000004</v>
      </c>
      <c r="M790">
        <v>4.62</v>
      </c>
      <c r="N790">
        <v>4.59</v>
      </c>
      <c r="O790">
        <v>5.7047999999999996</v>
      </c>
      <c r="P790">
        <v>4147.45</v>
      </c>
      <c r="Q790">
        <v>953.07</v>
      </c>
      <c r="R790">
        <v>3.6739999999999999</v>
      </c>
      <c r="S790">
        <v>20.333100000000002</v>
      </c>
      <c r="T790">
        <v>0.92431002690199504</v>
      </c>
      <c r="U790">
        <v>0.77394000369965898</v>
      </c>
      <c r="V790">
        <v>149.912994384765</v>
      </c>
      <c r="W790">
        <v>1.6020800321156701</v>
      </c>
      <c r="X790">
        <v>0.88381999731063798</v>
      </c>
    </row>
    <row r="791" spans="1:24" x14ac:dyDescent="0.25">
      <c r="A791" s="4">
        <v>45747</v>
      </c>
      <c r="B791">
        <v>4.38</v>
      </c>
      <c r="C791">
        <v>4.3499999999999996</v>
      </c>
      <c r="D791">
        <v>4.33</v>
      </c>
      <c r="E791">
        <v>4.3</v>
      </c>
      <c r="F791">
        <v>4.26</v>
      </c>
      <c r="G791">
        <v>4.04</v>
      </c>
      <c r="H791">
        <v>3.89</v>
      </c>
      <c r="I791">
        <v>3.91</v>
      </c>
      <c r="J791">
        <v>3.98</v>
      </c>
      <c r="K791">
        <v>4.1100000000000003</v>
      </c>
      <c r="L791">
        <v>4.2699999999999996</v>
      </c>
      <c r="M791">
        <v>4.6500000000000004</v>
      </c>
      <c r="N791">
        <v>4.6399999999999997</v>
      </c>
      <c r="O791">
        <v>5.7419000000000002</v>
      </c>
      <c r="P791">
        <v>4181.3</v>
      </c>
      <c r="Q791">
        <v>946.1</v>
      </c>
      <c r="R791">
        <v>3.6760000000000002</v>
      </c>
      <c r="S791">
        <v>20.4604</v>
      </c>
      <c r="T791">
        <v>0.92388002809325598</v>
      </c>
      <c r="U791">
        <v>0.772899970700479</v>
      </c>
      <c r="V791">
        <v>149.61700439453099</v>
      </c>
      <c r="W791">
        <v>1.5916198975634901</v>
      </c>
      <c r="X791">
        <v>0.88085001707077004</v>
      </c>
    </row>
    <row r="792" spans="1:24" x14ac:dyDescent="0.25">
      <c r="A792" s="4">
        <v>45744</v>
      </c>
      <c r="B792">
        <v>4.37</v>
      </c>
      <c r="C792">
        <v>4.3600000000000003</v>
      </c>
      <c r="D792">
        <v>4.33</v>
      </c>
      <c r="E792">
        <v>4.3099999999999996</v>
      </c>
      <c r="F792">
        <v>4.2699999999999996</v>
      </c>
      <c r="G792">
        <v>4.0999999999999996</v>
      </c>
      <c r="H792">
        <v>3.97</v>
      </c>
      <c r="I792">
        <v>4</v>
      </c>
      <c r="J792">
        <v>4.09</v>
      </c>
      <c r="K792">
        <v>4.2300000000000004</v>
      </c>
      <c r="L792">
        <v>4.38</v>
      </c>
      <c r="M792">
        <v>4.75</v>
      </c>
      <c r="N792">
        <v>4.7300000000000004</v>
      </c>
      <c r="O792">
        <v>5.7656999999999998</v>
      </c>
      <c r="P792">
        <v>4200</v>
      </c>
      <c r="Q792">
        <v>931.75</v>
      </c>
      <c r="R792">
        <v>3.657</v>
      </c>
      <c r="S792">
        <v>20.416899999999998</v>
      </c>
      <c r="T792">
        <v>0.92584004678751297</v>
      </c>
      <c r="U792">
        <v>0.77207997425113895</v>
      </c>
      <c r="V792">
        <v>150.84700012207</v>
      </c>
      <c r="W792">
        <v>1.58689998156506</v>
      </c>
      <c r="X792">
        <v>0.88139998912811202</v>
      </c>
    </row>
    <row r="793" spans="1:24" x14ac:dyDescent="0.25">
      <c r="A793" s="4">
        <v>45743</v>
      </c>
      <c r="B793">
        <v>4.3600000000000003</v>
      </c>
      <c r="C793">
        <v>4.33</v>
      </c>
      <c r="D793">
        <v>4.33</v>
      </c>
      <c r="E793">
        <v>4.3099999999999996</v>
      </c>
      <c r="F793">
        <v>4.26</v>
      </c>
      <c r="G793">
        <v>4.0999999999999996</v>
      </c>
      <c r="H793">
        <v>3.98</v>
      </c>
      <c r="I793">
        <v>4.01</v>
      </c>
      <c r="J793">
        <v>4.08</v>
      </c>
      <c r="K793">
        <v>4.22</v>
      </c>
      <c r="L793">
        <v>4.3499999999999996</v>
      </c>
      <c r="M793">
        <v>4.71</v>
      </c>
      <c r="N793">
        <v>4.6900000000000004</v>
      </c>
      <c r="O793">
        <v>5.7470999999999997</v>
      </c>
      <c r="P793">
        <v>4172</v>
      </c>
      <c r="Q793">
        <v>920.98</v>
      </c>
      <c r="R793">
        <v>3.6389999999999998</v>
      </c>
      <c r="S793">
        <v>20.304400000000001</v>
      </c>
      <c r="T793">
        <v>0.93092004145112595</v>
      </c>
      <c r="U793">
        <v>0.77653997275641995</v>
      </c>
      <c r="V793">
        <v>150.47300720214801</v>
      </c>
      <c r="W793">
        <v>1.5905799289543101</v>
      </c>
      <c r="X793">
        <v>0.88415998220443703</v>
      </c>
    </row>
    <row r="794" spans="1:24" x14ac:dyDescent="0.25">
      <c r="A794" s="4">
        <v>45742</v>
      </c>
      <c r="B794">
        <v>4.3600000000000003</v>
      </c>
      <c r="C794">
        <v>4.33</v>
      </c>
      <c r="D794">
        <v>4.33</v>
      </c>
      <c r="E794">
        <v>4.3</v>
      </c>
      <c r="F794">
        <v>4.26</v>
      </c>
      <c r="G794">
        <v>4.09</v>
      </c>
      <c r="H794">
        <v>3.96</v>
      </c>
      <c r="I794">
        <v>3.98</v>
      </c>
      <c r="J794">
        <v>4.07</v>
      </c>
      <c r="K794">
        <v>4.1900000000000004</v>
      </c>
      <c r="L794">
        <v>4.3099999999999996</v>
      </c>
      <c r="M794">
        <v>4.67</v>
      </c>
      <c r="N794">
        <v>4.6500000000000004</v>
      </c>
      <c r="O794">
        <v>5.7294999999999998</v>
      </c>
      <c r="P794">
        <v>4130</v>
      </c>
      <c r="Q794">
        <v>919.92</v>
      </c>
      <c r="R794">
        <v>3.637</v>
      </c>
      <c r="S794">
        <v>20.137</v>
      </c>
      <c r="T794">
        <v>0.92699995579719696</v>
      </c>
      <c r="U794">
        <v>0.77259999738432805</v>
      </c>
      <c r="V794">
        <v>149.94999694824199</v>
      </c>
      <c r="W794">
        <v>1.58503703489559</v>
      </c>
      <c r="X794">
        <v>0.88265001773834195</v>
      </c>
    </row>
    <row r="795" spans="1:24" x14ac:dyDescent="0.25">
      <c r="A795" s="4">
        <v>45741</v>
      </c>
      <c r="B795">
        <v>4.3499999999999996</v>
      </c>
      <c r="C795">
        <v>4.34</v>
      </c>
      <c r="D795">
        <v>4.33</v>
      </c>
      <c r="E795">
        <v>4.3</v>
      </c>
      <c r="F795">
        <v>4.2699999999999996</v>
      </c>
      <c r="G795">
        <v>4.1100000000000003</v>
      </c>
      <c r="H795">
        <v>4.04</v>
      </c>
      <c r="I795">
        <v>4.01</v>
      </c>
      <c r="J795">
        <v>4.09</v>
      </c>
      <c r="K795">
        <v>4.22</v>
      </c>
      <c r="L795">
        <v>4.34</v>
      </c>
      <c r="M795">
        <v>4.68</v>
      </c>
      <c r="N795">
        <v>4.66</v>
      </c>
      <c r="O795">
        <v>5.6989000000000001</v>
      </c>
      <c r="P795">
        <v>4105</v>
      </c>
      <c r="Q795">
        <v>926.41</v>
      </c>
      <c r="R795">
        <v>3.6320000000000001</v>
      </c>
      <c r="S795">
        <v>20.07</v>
      </c>
      <c r="T795">
        <v>0.92561999520892801</v>
      </c>
      <c r="U795">
        <v>0.77373998041070702</v>
      </c>
      <c r="V795">
        <v>150.774002075195</v>
      </c>
      <c r="W795">
        <v>1.59086000725962</v>
      </c>
      <c r="X795">
        <v>0.88269001245498602</v>
      </c>
    </row>
    <row r="796" spans="1:24" x14ac:dyDescent="0.25">
      <c r="A796" s="4">
        <v>45740</v>
      </c>
      <c r="B796">
        <v>4.3600000000000003</v>
      </c>
      <c r="C796">
        <v>4.33</v>
      </c>
      <c r="D796">
        <v>4.33</v>
      </c>
      <c r="E796">
        <v>4.29</v>
      </c>
      <c r="F796">
        <v>4.26</v>
      </c>
      <c r="G796">
        <v>4.04</v>
      </c>
      <c r="H796">
        <v>3.94</v>
      </c>
      <c r="I796">
        <v>3.92</v>
      </c>
      <c r="J796">
        <v>4</v>
      </c>
      <c r="K796">
        <v>4.12</v>
      </c>
      <c r="L796">
        <v>4.25</v>
      </c>
      <c r="M796">
        <v>4.5999999999999996</v>
      </c>
      <c r="N796">
        <v>4.59</v>
      </c>
      <c r="O796">
        <v>5.74</v>
      </c>
      <c r="P796">
        <v>4144</v>
      </c>
      <c r="Q796">
        <v>932.14</v>
      </c>
      <c r="R796">
        <v>3.6480000000000001</v>
      </c>
      <c r="S796">
        <v>20.058700000000002</v>
      </c>
      <c r="T796">
        <v>0.92287002777650595</v>
      </c>
      <c r="U796">
        <v>0.77371999804093605</v>
      </c>
      <c r="V796">
        <v>149.677001953125</v>
      </c>
      <c r="W796">
        <v>1.59025005476277</v>
      </c>
      <c r="X796">
        <v>0.88292002677917403</v>
      </c>
    </row>
    <row r="797" spans="1:24" x14ac:dyDescent="0.25">
      <c r="A797" s="4">
        <v>45737</v>
      </c>
      <c r="B797">
        <v>4.3600000000000003</v>
      </c>
      <c r="C797">
        <v>4.34</v>
      </c>
      <c r="D797">
        <v>4.33</v>
      </c>
      <c r="E797">
        <v>4.29</v>
      </c>
      <c r="F797">
        <v>4.2699999999999996</v>
      </c>
      <c r="G797">
        <v>4.0599999999999996</v>
      </c>
      <c r="H797">
        <v>3.95</v>
      </c>
      <c r="I797">
        <v>3.93</v>
      </c>
      <c r="J797">
        <v>4.01</v>
      </c>
      <c r="K797">
        <v>4.12</v>
      </c>
      <c r="L797">
        <v>4.24</v>
      </c>
      <c r="M797">
        <v>4.57</v>
      </c>
      <c r="N797">
        <v>4.55</v>
      </c>
      <c r="O797">
        <v>5.7237999999999998</v>
      </c>
      <c r="P797">
        <v>4144</v>
      </c>
      <c r="Q797">
        <v>926.15</v>
      </c>
      <c r="R797">
        <v>3.633</v>
      </c>
      <c r="S797">
        <v>20.240500000000001</v>
      </c>
      <c r="T797">
        <v>0.92109000487742598</v>
      </c>
      <c r="U797">
        <v>0.77113005662357503</v>
      </c>
      <c r="V797">
        <v>148.59599304199199</v>
      </c>
      <c r="W797">
        <v>1.5863200590458599</v>
      </c>
      <c r="X797">
        <v>0.88137698173522905</v>
      </c>
    </row>
    <row r="798" spans="1:24" x14ac:dyDescent="0.25">
      <c r="A798" s="4">
        <v>45736</v>
      </c>
      <c r="B798">
        <v>4.37</v>
      </c>
      <c r="C798">
        <v>4.32</v>
      </c>
      <c r="D798">
        <v>4.33</v>
      </c>
      <c r="E798">
        <v>4.3</v>
      </c>
      <c r="F798">
        <v>4.29</v>
      </c>
      <c r="G798">
        <v>4.0999999999999996</v>
      </c>
      <c r="H798">
        <v>3.99</v>
      </c>
      <c r="I798">
        <v>3.95</v>
      </c>
      <c r="J798">
        <v>4.03</v>
      </c>
      <c r="K798">
        <v>4.1399999999999997</v>
      </c>
      <c r="L798">
        <v>4.25</v>
      </c>
      <c r="M798">
        <v>4.58</v>
      </c>
      <c r="N798">
        <v>4.5599999999999996</v>
      </c>
      <c r="O798">
        <v>5.6624999999999996</v>
      </c>
      <c r="P798">
        <v>4170</v>
      </c>
      <c r="Q798">
        <v>917.76</v>
      </c>
      <c r="R798">
        <v>3.6240000000000001</v>
      </c>
      <c r="S798">
        <v>20.148099999999999</v>
      </c>
      <c r="T798">
        <v>0.91643000131533303</v>
      </c>
      <c r="U798">
        <v>0.76859999963350301</v>
      </c>
      <c r="V798">
        <v>148.49000549316401</v>
      </c>
      <c r="W798">
        <v>1.5713099744352801</v>
      </c>
      <c r="X798">
        <v>0.87639999389648404</v>
      </c>
    </row>
    <row r="799" spans="1:24" x14ac:dyDescent="0.25">
      <c r="A799" s="4">
        <v>45735</v>
      </c>
      <c r="B799">
        <v>4.37</v>
      </c>
      <c r="C799">
        <v>4.33</v>
      </c>
      <c r="D799">
        <v>4.34</v>
      </c>
      <c r="E799">
        <v>4.29</v>
      </c>
      <c r="F799">
        <v>4.29</v>
      </c>
      <c r="G799">
        <v>4.13</v>
      </c>
      <c r="H799">
        <v>4.04</v>
      </c>
      <c r="I799">
        <v>4.01</v>
      </c>
      <c r="J799">
        <v>4.07</v>
      </c>
      <c r="K799">
        <v>4.18</v>
      </c>
      <c r="L799">
        <v>4.29</v>
      </c>
      <c r="M799">
        <v>4.6100000000000003</v>
      </c>
      <c r="N799">
        <v>4.58</v>
      </c>
      <c r="O799">
        <v>5.6654</v>
      </c>
      <c r="P799">
        <v>4163.33</v>
      </c>
      <c r="Q799">
        <v>917.97</v>
      </c>
      <c r="R799">
        <v>3.6190000000000002</v>
      </c>
      <c r="S799">
        <v>20.053999999999998</v>
      </c>
      <c r="T799">
        <v>0.91412002763955602</v>
      </c>
      <c r="U799">
        <v>0.769200044087336</v>
      </c>
      <c r="V799">
        <v>149.45199584960901</v>
      </c>
      <c r="W799">
        <v>1.5720299398650299</v>
      </c>
      <c r="X799">
        <v>0.876744985580444</v>
      </c>
    </row>
    <row r="800" spans="1:24" x14ac:dyDescent="0.25">
      <c r="A800" s="4">
        <v>45734</v>
      </c>
      <c r="B800">
        <v>4.37</v>
      </c>
      <c r="C800">
        <v>4.33</v>
      </c>
      <c r="D800">
        <v>4.34</v>
      </c>
      <c r="E800">
        <v>4.3</v>
      </c>
      <c r="F800">
        <v>4.29</v>
      </c>
      <c r="G800">
        <v>4.1100000000000003</v>
      </c>
      <c r="H800">
        <v>4.0599999999999996</v>
      </c>
      <c r="I800">
        <v>4.03</v>
      </c>
      <c r="J800">
        <v>4.1100000000000003</v>
      </c>
      <c r="K800">
        <v>4.21</v>
      </c>
      <c r="L800">
        <v>4.3099999999999996</v>
      </c>
      <c r="M800">
        <v>4.6399999999999997</v>
      </c>
      <c r="N800">
        <v>4.5999999999999996</v>
      </c>
      <c r="O800">
        <v>5.6848999999999998</v>
      </c>
      <c r="P800">
        <v>4118</v>
      </c>
      <c r="Q800">
        <v>923.32</v>
      </c>
      <c r="R800">
        <v>3.6240000000000001</v>
      </c>
      <c r="S800">
        <v>19.934799999999999</v>
      </c>
      <c r="T800">
        <v>0.91581999305870099</v>
      </c>
      <c r="U800">
        <v>0.77010003138747196</v>
      </c>
      <c r="V800">
        <v>149.37899780273401</v>
      </c>
      <c r="W800">
        <v>1.56691003566012</v>
      </c>
      <c r="X800">
        <v>0.88120198249816895</v>
      </c>
    </row>
    <row r="801" spans="1:24" x14ac:dyDescent="0.25">
      <c r="A801" s="4">
        <v>45733</v>
      </c>
      <c r="B801">
        <v>4.37</v>
      </c>
      <c r="C801">
        <v>4.33</v>
      </c>
      <c r="D801">
        <v>4.33</v>
      </c>
      <c r="E801">
        <v>4.3</v>
      </c>
      <c r="F801">
        <v>4.29</v>
      </c>
      <c r="G801">
        <v>4.09</v>
      </c>
      <c r="H801">
        <v>4.0199999999999996</v>
      </c>
      <c r="I801">
        <v>4</v>
      </c>
      <c r="J801">
        <v>4.09</v>
      </c>
      <c r="K801">
        <v>4.2</v>
      </c>
      <c r="L801">
        <v>4.3099999999999996</v>
      </c>
      <c r="M801">
        <v>4.6500000000000004</v>
      </c>
      <c r="N801">
        <v>4.62</v>
      </c>
      <c r="O801">
        <v>5.7079000000000004</v>
      </c>
      <c r="P801">
        <v>4073.9</v>
      </c>
      <c r="Q801">
        <v>932.36</v>
      </c>
      <c r="R801">
        <v>3.641</v>
      </c>
      <c r="S801">
        <v>19.9238</v>
      </c>
      <c r="T801">
        <v>0.919009955767361</v>
      </c>
      <c r="U801">
        <v>0.77335999271316802</v>
      </c>
      <c r="V801">
        <v>148.59800720214801</v>
      </c>
      <c r="W801">
        <v>1.5807299096215099</v>
      </c>
      <c r="X801">
        <v>0.88409000635147095</v>
      </c>
    </row>
    <row r="802" spans="1:24" x14ac:dyDescent="0.25">
      <c r="A802" s="4">
        <v>45730</v>
      </c>
      <c r="B802">
        <v>4.37</v>
      </c>
      <c r="C802">
        <v>4.34</v>
      </c>
      <c r="D802">
        <v>4.34</v>
      </c>
      <c r="E802">
        <v>4.28</v>
      </c>
      <c r="F802">
        <v>4.2699999999999996</v>
      </c>
      <c r="G802">
        <v>4.03</v>
      </c>
      <c r="H802">
        <v>3.94</v>
      </c>
      <c r="I802">
        <v>3.93</v>
      </c>
      <c r="J802">
        <v>4.0199999999999996</v>
      </c>
      <c r="K802">
        <v>4.1500000000000004</v>
      </c>
      <c r="L802">
        <v>4.2699999999999996</v>
      </c>
      <c r="M802">
        <v>4.63</v>
      </c>
      <c r="N802">
        <v>4.59</v>
      </c>
      <c r="O802">
        <v>5.7416</v>
      </c>
      <c r="P802">
        <v>4100.55</v>
      </c>
      <c r="Q802">
        <v>940.2</v>
      </c>
      <c r="R802">
        <v>3.6560000000000001</v>
      </c>
      <c r="S802">
        <v>19.9238</v>
      </c>
      <c r="T802">
        <v>0.92118002646937702</v>
      </c>
      <c r="U802">
        <v>0.77170005306203204</v>
      </c>
      <c r="V802">
        <v>147.94900512695301</v>
      </c>
      <c r="W802">
        <v>1.5904799571959001</v>
      </c>
      <c r="X802">
        <v>0.88261997699737504</v>
      </c>
    </row>
    <row r="803" spans="1:24" x14ac:dyDescent="0.25">
      <c r="A803" s="4">
        <v>45729</v>
      </c>
      <c r="B803">
        <v>4.3600000000000003</v>
      </c>
      <c r="C803">
        <v>4.34</v>
      </c>
      <c r="D803">
        <v>4.3499999999999996</v>
      </c>
      <c r="E803">
        <v>4.3</v>
      </c>
      <c r="F803">
        <v>4.2699999999999996</v>
      </c>
      <c r="G803">
        <v>4.07</v>
      </c>
      <c r="H803">
        <v>4.01</v>
      </c>
      <c r="I803">
        <v>3.98</v>
      </c>
      <c r="J803">
        <v>4.09</v>
      </c>
      <c r="K803">
        <v>4.2</v>
      </c>
      <c r="L803">
        <v>4.32</v>
      </c>
      <c r="M803">
        <v>4.67</v>
      </c>
      <c r="N803">
        <v>4.63</v>
      </c>
      <c r="O803">
        <v>5.8128000000000002</v>
      </c>
      <c r="P803">
        <v>4125</v>
      </c>
      <c r="Q803">
        <v>932.28</v>
      </c>
      <c r="R803">
        <v>3.6680000000000001</v>
      </c>
      <c r="S803">
        <v>20.095099999999999</v>
      </c>
      <c r="T803">
        <v>0.91859000303108296</v>
      </c>
      <c r="U803">
        <v>0.77135001019288796</v>
      </c>
      <c r="V803">
        <v>148.27900695800699</v>
      </c>
      <c r="W803">
        <v>1.58037999091554</v>
      </c>
      <c r="X803">
        <v>0.88177001476287797</v>
      </c>
    </row>
    <row r="804" spans="1:24" x14ac:dyDescent="0.25">
      <c r="A804" s="4">
        <v>45728</v>
      </c>
      <c r="B804">
        <v>4.37</v>
      </c>
      <c r="C804">
        <v>4.33</v>
      </c>
      <c r="D804">
        <v>4.34</v>
      </c>
      <c r="E804">
        <v>4.28</v>
      </c>
      <c r="F804">
        <v>4.26</v>
      </c>
      <c r="G804">
        <v>4.03</v>
      </c>
      <c r="H804">
        <v>3.94</v>
      </c>
      <c r="I804">
        <v>3.92</v>
      </c>
      <c r="J804">
        <v>4.03</v>
      </c>
      <c r="K804">
        <v>4.16</v>
      </c>
      <c r="L804">
        <v>4.28</v>
      </c>
      <c r="M804">
        <v>4.63</v>
      </c>
      <c r="N804">
        <v>4.59</v>
      </c>
      <c r="O804">
        <v>5.8265000000000002</v>
      </c>
      <c r="P804">
        <v>4105</v>
      </c>
      <c r="Q804">
        <v>937.45</v>
      </c>
      <c r="R804">
        <v>3.661</v>
      </c>
      <c r="S804">
        <v>20.1797</v>
      </c>
      <c r="T804">
        <v>0.91624001826230606</v>
      </c>
      <c r="U804">
        <v>0.77250999387691099</v>
      </c>
      <c r="V804">
        <v>148.04200744628901</v>
      </c>
      <c r="W804">
        <v>1.58849007615981</v>
      </c>
      <c r="X804">
        <v>0.88344001770019498</v>
      </c>
    </row>
    <row r="805" spans="1:24" x14ac:dyDescent="0.25">
      <c r="A805" s="4">
        <v>45727</v>
      </c>
      <c r="B805">
        <v>4.37</v>
      </c>
      <c r="C805">
        <v>4.34</v>
      </c>
      <c r="D805">
        <v>4.33</v>
      </c>
      <c r="E805">
        <v>4.28</v>
      </c>
      <c r="F805">
        <v>4.25</v>
      </c>
      <c r="G805">
        <v>3.98</v>
      </c>
      <c r="H805">
        <v>3.89</v>
      </c>
      <c r="I805">
        <v>3.91</v>
      </c>
      <c r="J805">
        <v>3.98</v>
      </c>
      <c r="K805">
        <v>4.0999999999999996</v>
      </c>
      <c r="L805">
        <v>4.22</v>
      </c>
      <c r="M805">
        <v>4.58</v>
      </c>
      <c r="N805">
        <v>4.54</v>
      </c>
      <c r="O805">
        <v>5.8343499999999997</v>
      </c>
      <c r="P805">
        <v>4130</v>
      </c>
      <c r="Q805">
        <v>931.13</v>
      </c>
      <c r="R805">
        <v>3.6619999999999999</v>
      </c>
      <c r="S805">
        <v>20.258199999999999</v>
      </c>
      <c r="T805">
        <v>0.92255996012647801</v>
      </c>
      <c r="U805">
        <v>0.776669962429415</v>
      </c>
      <c r="V805">
        <v>147.06900024414</v>
      </c>
      <c r="W805">
        <v>1.59247996920061</v>
      </c>
      <c r="X805">
        <v>0.879980027675628</v>
      </c>
    </row>
    <row r="806" spans="1:24" x14ac:dyDescent="0.25">
      <c r="A806" s="4">
        <v>45726</v>
      </c>
      <c r="B806">
        <v>4.38</v>
      </c>
      <c r="C806">
        <v>4.33</v>
      </c>
      <c r="D806">
        <v>4.34</v>
      </c>
      <c r="E806">
        <v>4.29</v>
      </c>
      <c r="F806">
        <v>4.29</v>
      </c>
      <c r="G806">
        <v>4.05</v>
      </c>
      <c r="H806">
        <v>3.99</v>
      </c>
      <c r="I806">
        <v>4.01</v>
      </c>
      <c r="J806">
        <v>4.09</v>
      </c>
      <c r="K806">
        <v>4.21</v>
      </c>
      <c r="L806">
        <v>4.32</v>
      </c>
      <c r="M806">
        <v>4.66</v>
      </c>
      <c r="N806">
        <v>4.62</v>
      </c>
      <c r="O806">
        <v>5.7927</v>
      </c>
      <c r="P806">
        <v>4176.07</v>
      </c>
      <c r="Q806">
        <v>928.25</v>
      </c>
      <c r="R806">
        <v>3.669</v>
      </c>
      <c r="S806">
        <v>20.362300000000001</v>
      </c>
      <c r="T806">
        <v>0.92076000880739395</v>
      </c>
      <c r="U806">
        <v>0.77324999652025805</v>
      </c>
      <c r="V806">
        <v>147.60800170898401</v>
      </c>
      <c r="W806">
        <v>1.5863200590458599</v>
      </c>
      <c r="X806">
        <v>0.87734001874923695</v>
      </c>
    </row>
    <row r="807" spans="1:24" x14ac:dyDescent="0.25">
      <c r="A807" s="4">
        <v>45723</v>
      </c>
      <c r="B807">
        <v>4.38</v>
      </c>
      <c r="C807">
        <v>4.34</v>
      </c>
      <c r="D807">
        <v>4.34</v>
      </c>
      <c r="E807">
        <v>4.28</v>
      </c>
      <c r="F807">
        <v>4.2699999999999996</v>
      </c>
      <c r="G807">
        <v>4.0199999999999996</v>
      </c>
      <c r="H807">
        <v>3.96</v>
      </c>
      <c r="I807">
        <v>3.98</v>
      </c>
      <c r="J807">
        <v>4.0599999999999996</v>
      </c>
      <c r="K807">
        <v>4.18</v>
      </c>
      <c r="L807">
        <v>4.29</v>
      </c>
      <c r="M807">
        <v>4.63</v>
      </c>
      <c r="N807">
        <v>4.58</v>
      </c>
      <c r="O807">
        <v>5.7685000000000004</v>
      </c>
      <c r="P807">
        <v>4130</v>
      </c>
      <c r="Q807">
        <v>926.52</v>
      </c>
      <c r="R807">
        <v>3.653</v>
      </c>
      <c r="S807">
        <v>20.267199999999999</v>
      </c>
      <c r="T807">
        <v>0.92696000592292005</v>
      </c>
      <c r="U807">
        <v>0.77607795595068396</v>
      </c>
      <c r="V807">
        <v>148.10800170898401</v>
      </c>
      <c r="W807">
        <v>1.5792100060590299</v>
      </c>
      <c r="X807">
        <v>0.88331997394561701</v>
      </c>
    </row>
    <row r="808" spans="1:24" x14ac:dyDescent="0.25">
      <c r="A808" s="4">
        <v>45722</v>
      </c>
      <c r="B808">
        <v>4.38</v>
      </c>
      <c r="C808">
        <v>4.3600000000000003</v>
      </c>
      <c r="D808">
        <v>4.3499999999999996</v>
      </c>
      <c r="E808">
        <v>4.3</v>
      </c>
      <c r="F808">
        <v>4.3</v>
      </c>
      <c r="G808">
        <v>4.0599999999999996</v>
      </c>
      <c r="H808">
        <v>3.99</v>
      </c>
      <c r="I808">
        <v>4.01</v>
      </c>
      <c r="J808">
        <v>4.08</v>
      </c>
      <c r="K808">
        <v>4.18</v>
      </c>
      <c r="L808">
        <v>4.28</v>
      </c>
      <c r="M808">
        <v>4.6100000000000003</v>
      </c>
      <c r="N808">
        <v>4.57</v>
      </c>
      <c r="O808">
        <v>5.7485999999999997</v>
      </c>
      <c r="P808">
        <v>4101</v>
      </c>
      <c r="Q808">
        <v>936.7</v>
      </c>
      <c r="R808">
        <v>3.653</v>
      </c>
      <c r="S808">
        <v>20.265699999999999</v>
      </c>
      <c r="T808">
        <v>0.92636004545770201</v>
      </c>
      <c r="U808">
        <v>0.77568003243047001</v>
      </c>
      <c r="V808">
        <v>148.89799499511699</v>
      </c>
      <c r="W808">
        <v>1.5777599369994999</v>
      </c>
      <c r="X808">
        <v>0.89069002866744995</v>
      </c>
    </row>
    <row r="809" spans="1:24" x14ac:dyDescent="0.25">
      <c r="A809" s="4">
        <v>45721</v>
      </c>
      <c r="B809">
        <v>4.3899999999999997</v>
      </c>
      <c r="C809">
        <v>4.37</v>
      </c>
      <c r="D809">
        <v>4.34</v>
      </c>
      <c r="E809">
        <v>4.3099999999999996</v>
      </c>
      <c r="F809">
        <v>4.28</v>
      </c>
      <c r="G809">
        <v>4.04</v>
      </c>
      <c r="H809">
        <v>3.96</v>
      </c>
      <c r="I809">
        <v>3.94</v>
      </c>
      <c r="J809">
        <v>4.01</v>
      </c>
      <c r="K809">
        <v>4.1100000000000003</v>
      </c>
      <c r="L809">
        <v>4.22</v>
      </c>
      <c r="M809">
        <v>4.5599999999999996</v>
      </c>
      <c r="N809">
        <v>4.53</v>
      </c>
      <c r="O809">
        <v>5.7911000000000001</v>
      </c>
      <c r="P809">
        <v>4111</v>
      </c>
      <c r="Q809">
        <v>948.87</v>
      </c>
      <c r="R809">
        <v>3.65</v>
      </c>
      <c r="S809">
        <v>20.3568</v>
      </c>
      <c r="T809">
        <v>0.94099994525814301</v>
      </c>
      <c r="U809">
        <v>0.78160000223617498</v>
      </c>
      <c r="V809">
        <v>149.79899597167901</v>
      </c>
      <c r="W809">
        <v>1.59490003602904</v>
      </c>
      <c r="X809">
        <v>0.88963997364044101</v>
      </c>
    </row>
    <row r="810" spans="1:24" x14ac:dyDescent="0.25">
      <c r="A810" s="4">
        <v>45720</v>
      </c>
      <c r="B810">
        <v>4.38</v>
      </c>
      <c r="C810">
        <v>4.37</v>
      </c>
      <c r="D810">
        <v>4.3499999999999996</v>
      </c>
      <c r="E810">
        <v>4.3099999999999996</v>
      </c>
      <c r="F810">
        <v>4.3099999999999996</v>
      </c>
      <c r="G810">
        <v>4.0599999999999996</v>
      </c>
      <c r="H810">
        <v>3.96</v>
      </c>
      <c r="I810">
        <v>3.93</v>
      </c>
      <c r="J810">
        <v>3.97</v>
      </c>
      <c r="K810">
        <v>4.0599999999999996</v>
      </c>
      <c r="L810">
        <v>4.16</v>
      </c>
      <c r="M810">
        <v>4.49</v>
      </c>
      <c r="N810">
        <v>4.45</v>
      </c>
      <c r="O810">
        <v>5.8484999999999996</v>
      </c>
      <c r="P810">
        <v>4161.5</v>
      </c>
      <c r="Q810">
        <v>953.11</v>
      </c>
      <c r="R810">
        <v>3.669</v>
      </c>
      <c r="S810">
        <v>20.743099999999998</v>
      </c>
      <c r="T810">
        <v>0.953740025992875</v>
      </c>
      <c r="U810">
        <v>0.78731002289959995</v>
      </c>
      <c r="V810">
        <v>149.30499267578099</v>
      </c>
      <c r="W810">
        <v>1.6088001202101601</v>
      </c>
      <c r="X810">
        <v>0.89660000801086404</v>
      </c>
    </row>
    <row r="811" spans="1:24" x14ac:dyDescent="0.25">
      <c r="A811" s="4">
        <v>45719</v>
      </c>
      <c r="B811">
        <v>4.38</v>
      </c>
      <c r="C811">
        <v>4.38</v>
      </c>
      <c r="D811">
        <v>4.32</v>
      </c>
      <c r="E811">
        <v>4.32</v>
      </c>
      <c r="F811">
        <v>4.25</v>
      </c>
      <c r="G811">
        <v>4.08</v>
      </c>
      <c r="H811">
        <v>3.99</v>
      </c>
      <c r="I811">
        <v>3.99</v>
      </c>
      <c r="J811">
        <v>4.03</v>
      </c>
      <c r="K811">
        <v>4.1399999999999997</v>
      </c>
      <c r="L811">
        <v>4.24</v>
      </c>
      <c r="M811">
        <v>4.55</v>
      </c>
      <c r="N811">
        <v>4.51</v>
      </c>
      <c r="O811">
        <v>5.8484999999999996</v>
      </c>
      <c r="P811">
        <v>4109</v>
      </c>
      <c r="Q811">
        <v>954.22</v>
      </c>
      <c r="R811">
        <v>3.69</v>
      </c>
      <c r="S811">
        <v>20.717600000000001</v>
      </c>
      <c r="T811">
        <v>0.96025993364292594</v>
      </c>
      <c r="U811">
        <v>0.79340001080111</v>
      </c>
      <c r="V811">
        <v>150.77099609375</v>
      </c>
      <c r="W811">
        <v>1.6075399426900201</v>
      </c>
      <c r="X811">
        <v>0.90257000923156705</v>
      </c>
    </row>
    <row r="812" spans="1:24" x14ac:dyDescent="0.25">
      <c r="A812" s="4">
        <v>45716</v>
      </c>
      <c r="B812">
        <v>4.38</v>
      </c>
      <c r="C812">
        <v>4.38</v>
      </c>
      <c r="D812">
        <v>4.32</v>
      </c>
      <c r="E812">
        <v>4.32</v>
      </c>
      <c r="F812">
        <v>4.28</v>
      </c>
      <c r="G812">
        <v>4.13</v>
      </c>
      <c r="H812">
        <v>4.07</v>
      </c>
      <c r="I812">
        <v>4.05</v>
      </c>
      <c r="J812">
        <v>4.09</v>
      </c>
      <c r="K812">
        <v>4.1900000000000004</v>
      </c>
      <c r="L812">
        <v>4.29</v>
      </c>
      <c r="M812">
        <v>4.59</v>
      </c>
      <c r="N812">
        <v>4.5599999999999996</v>
      </c>
      <c r="O812">
        <v>5.8484999999999996</v>
      </c>
      <c r="P812">
        <v>4153.01</v>
      </c>
      <c r="Q812">
        <v>951.21</v>
      </c>
      <c r="R812">
        <v>3.69</v>
      </c>
      <c r="S812">
        <v>20.578199999999999</v>
      </c>
      <c r="T812">
        <v>0.96199004203756899</v>
      </c>
      <c r="U812">
        <v>0.793720036590983</v>
      </c>
      <c r="V812">
        <v>150.01199340820301</v>
      </c>
      <c r="W812">
        <v>1.60457005354395</v>
      </c>
      <c r="X812">
        <v>0.89991998672485296</v>
      </c>
    </row>
    <row r="813" spans="1:24" x14ac:dyDescent="0.25">
      <c r="A813" s="4">
        <v>45715</v>
      </c>
      <c r="B813">
        <v>4.3499999999999996</v>
      </c>
      <c r="C813">
        <v>4.37</v>
      </c>
      <c r="D813">
        <v>4.3099999999999996</v>
      </c>
      <c r="E813">
        <v>4.32</v>
      </c>
      <c r="F813">
        <v>4.28</v>
      </c>
      <c r="G813">
        <v>4.12</v>
      </c>
      <c r="H813">
        <v>4.05</v>
      </c>
      <c r="I813">
        <v>4.04</v>
      </c>
      <c r="J813">
        <v>4.0599999999999996</v>
      </c>
      <c r="K813">
        <v>4.16</v>
      </c>
      <c r="L813">
        <v>4.25</v>
      </c>
      <c r="M813">
        <v>4.55</v>
      </c>
      <c r="N813">
        <v>4.51</v>
      </c>
      <c r="O813">
        <v>5.8224999999999998</v>
      </c>
      <c r="P813">
        <v>4132</v>
      </c>
      <c r="Q813">
        <v>941.76</v>
      </c>
      <c r="R813">
        <v>3.6739999999999999</v>
      </c>
      <c r="S813">
        <v>20.468699999999998</v>
      </c>
      <c r="T813">
        <v>0.95339998617965704</v>
      </c>
      <c r="U813">
        <v>0.78850001377049095</v>
      </c>
      <c r="V813">
        <v>148.83799743652301</v>
      </c>
      <c r="W813">
        <v>1.5845900156341299</v>
      </c>
      <c r="X813">
        <v>0.89429998397827104</v>
      </c>
    </row>
    <row r="814" spans="1:24" x14ac:dyDescent="0.25">
      <c r="A814" s="4">
        <v>45714</v>
      </c>
      <c r="B814">
        <v>4.34</v>
      </c>
      <c r="C814">
        <v>4.37</v>
      </c>
      <c r="D814">
        <v>4.3</v>
      </c>
      <c r="E814">
        <v>4.33</v>
      </c>
      <c r="F814">
        <v>4.28</v>
      </c>
      <c r="G814">
        <v>4.12</v>
      </c>
      <c r="H814">
        <v>4.07</v>
      </c>
      <c r="I814">
        <v>4.08</v>
      </c>
      <c r="J814">
        <v>4.12</v>
      </c>
      <c r="K814">
        <v>4.21</v>
      </c>
      <c r="L814">
        <v>4.3</v>
      </c>
      <c r="M814">
        <v>4.59</v>
      </c>
      <c r="N814">
        <v>4.55</v>
      </c>
      <c r="O814">
        <v>5.7754000000000003</v>
      </c>
      <c r="P814">
        <v>4104.3999999999996</v>
      </c>
      <c r="Q814">
        <v>940.99</v>
      </c>
      <c r="R814">
        <v>3.661</v>
      </c>
      <c r="S814">
        <v>20.4268</v>
      </c>
      <c r="T814">
        <v>0.950200011213994</v>
      </c>
      <c r="U814">
        <v>0.78899000421742305</v>
      </c>
      <c r="V814">
        <v>149.07800292968699</v>
      </c>
      <c r="W814">
        <v>1.57408997013517</v>
      </c>
      <c r="X814">
        <v>0.89240002632141102</v>
      </c>
    </row>
    <row r="815" spans="1:24" x14ac:dyDescent="0.25">
      <c r="A815" s="4">
        <v>45713</v>
      </c>
      <c r="B815">
        <v>4.3600000000000003</v>
      </c>
      <c r="C815">
        <v>4.37</v>
      </c>
      <c r="D815">
        <v>4.3099999999999996</v>
      </c>
      <c r="E815">
        <v>4.34</v>
      </c>
      <c r="F815">
        <v>4.3</v>
      </c>
      <c r="G815">
        <v>4.1500000000000004</v>
      </c>
      <c r="H815">
        <v>4.13</v>
      </c>
      <c r="I815">
        <v>4.17</v>
      </c>
      <c r="J815">
        <v>4.2300000000000004</v>
      </c>
      <c r="K815">
        <v>4.32</v>
      </c>
      <c r="L815">
        <v>4.4000000000000004</v>
      </c>
      <c r="M815">
        <v>4.6900000000000004</v>
      </c>
      <c r="N815">
        <v>4.66</v>
      </c>
      <c r="O815">
        <v>5.7775999999999996</v>
      </c>
      <c r="P815">
        <v>4129</v>
      </c>
      <c r="Q815">
        <v>946.96</v>
      </c>
      <c r="R815">
        <v>3.6779999999999999</v>
      </c>
      <c r="S815">
        <v>20.456800000000001</v>
      </c>
      <c r="T815">
        <v>0.95590005574539905</v>
      </c>
      <c r="U815">
        <v>0.79252997328003305</v>
      </c>
      <c r="V815">
        <v>149.863998413085</v>
      </c>
      <c r="W815">
        <v>1.5777599369994999</v>
      </c>
      <c r="X815">
        <v>0.897300004959106</v>
      </c>
    </row>
    <row r="816" spans="1:24" x14ac:dyDescent="0.25">
      <c r="A816" s="4">
        <v>45712</v>
      </c>
      <c r="B816">
        <v>4.3600000000000003</v>
      </c>
      <c r="C816">
        <v>4.38</v>
      </c>
      <c r="D816">
        <v>4.32</v>
      </c>
      <c r="E816">
        <v>4.34</v>
      </c>
      <c r="F816">
        <v>4.3</v>
      </c>
      <c r="G816">
        <v>4.1500000000000004</v>
      </c>
      <c r="H816">
        <v>4.1900000000000004</v>
      </c>
      <c r="I816">
        <v>4.1900000000000004</v>
      </c>
      <c r="J816">
        <v>4.26</v>
      </c>
      <c r="K816">
        <v>4.3499999999999996</v>
      </c>
      <c r="L816">
        <v>4.42</v>
      </c>
      <c r="M816">
        <v>4.6900000000000004</v>
      </c>
      <c r="N816">
        <v>4.67</v>
      </c>
      <c r="O816">
        <v>5.7255000000000003</v>
      </c>
      <c r="P816">
        <v>4117.5</v>
      </c>
      <c r="Q816">
        <v>942.52</v>
      </c>
      <c r="R816">
        <v>3.6829999999999998</v>
      </c>
      <c r="S816">
        <v>20.427199999999999</v>
      </c>
      <c r="T816">
        <v>0.954670004355337</v>
      </c>
      <c r="U816">
        <v>0.79052002609243199</v>
      </c>
      <c r="V816">
        <v>149.38699340820301</v>
      </c>
      <c r="W816">
        <v>1.56977992206499</v>
      </c>
      <c r="X816">
        <v>0.89845001697540205</v>
      </c>
    </row>
    <row r="817" spans="1:24" x14ac:dyDescent="0.25">
      <c r="A817" s="4">
        <v>45709</v>
      </c>
      <c r="B817">
        <v>4.37</v>
      </c>
      <c r="C817">
        <v>4.38</v>
      </c>
      <c r="D817">
        <v>4.33</v>
      </c>
      <c r="E817">
        <v>4.3499999999999996</v>
      </c>
      <c r="F817">
        <v>4.33</v>
      </c>
      <c r="G817">
        <v>4.2</v>
      </c>
      <c r="H817">
        <v>4.28</v>
      </c>
      <c r="I817">
        <v>4.2699999999999996</v>
      </c>
      <c r="J817">
        <v>4.34</v>
      </c>
      <c r="K817">
        <v>4.43</v>
      </c>
      <c r="L817">
        <v>4.5</v>
      </c>
      <c r="M817">
        <v>4.7699999999999996</v>
      </c>
      <c r="N817">
        <v>4.74</v>
      </c>
      <c r="O817">
        <v>5.7023999999999999</v>
      </c>
      <c r="P817">
        <v>4083</v>
      </c>
      <c r="Q817">
        <v>944.65</v>
      </c>
      <c r="R817">
        <v>3.6850000000000001</v>
      </c>
      <c r="S817">
        <v>20.4131</v>
      </c>
      <c r="T817">
        <v>0.95232996272922399</v>
      </c>
      <c r="U817">
        <v>0.789240982648588</v>
      </c>
      <c r="V817">
        <v>149.40800476074199</v>
      </c>
      <c r="W817">
        <v>1.5614999402008201</v>
      </c>
      <c r="X817">
        <v>0.89806002378463701</v>
      </c>
    </row>
    <row r="818" spans="1:24" x14ac:dyDescent="0.25">
      <c r="A818" s="4">
        <v>45708</v>
      </c>
      <c r="B818">
        <v>4.38</v>
      </c>
      <c r="C818">
        <v>4.38</v>
      </c>
      <c r="D818">
        <v>4.34</v>
      </c>
      <c r="E818">
        <v>4.3499999999999996</v>
      </c>
      <c r="F818">
        <v>4.34</v>
      </c>
      <c r="G818">
        <v>4.22</v>
      </c>
      <c r="H818">
        <v>4.28</v>
      </c>
      <c r="I818">
        <v>4.3</v>
      </c>
      <c r="J818">
        <v>4.37</v>
      </c>
      <c r="K818">
        <v>4.46</v>
      </c>
      <c r="L818">
        <v>4.53</v>
      </c>
      <c r="M818">
        <v>4.79</v>
      </c>
      <c r="N818">
        <v>4.76</v>
      </c>
      <c r="O818">
        <v>5.7016</v>
      </c>
      <c r="P818">
        <v>4076.94</v>
      </c>
      <c r="Q818">
        <v>951.78</v>
      </c>
      <c r="R818">
        <v>3.6720000000000002</v>
      </c>
      <c r="S818">
        <v>20.312899999999999</v>
      </c>
      <c r="T818">
        <v>0.95959997144744902</v>
      </c>
      <c r="U818">
        <v>0.79465004729378597</v>
      </c>
      <c r="V818">
        <v>151.22000122070301</v>
      </c>
      <c r="W818">
        <v>1.57696993691261</v>
      </c>
      <c r="X818">
        <v>0.90456002950668302</v>
      </c>
    </row>
    <row r="819" spans="1:24" x14ac:dyDescent="0.25">
      <c r="A819" s="4">
        <v>45707</v>
      </c>
      <c r="B819">
        <v>4.38</v>
      </c>
      <c r="C819">
        <v>4.38</v>
      </c>
      <c r="D819">
        <v>4.34</v>
      </c>
      <c r="E819">
        <v>4.37</v>
      </c>
      <c r="F819">
        <v>4.34</v>
      </c>
      <c r="G819">
        <v>4.24</v>
      </c>
      <c r="H819">
        <v>4.29</v>
      </c>
      <c r="I819">
        <v>4.33</v>
      </c>
      <c r="J819">
        <v>4.4000000000000004</v>
      </c>
      <c r="K819">
        <v>4.4800000000000004</v>
      </c>
      <c r="L819">
        <v>4.55</v>
      </c>
      <c r="M819">
        <v>4.83</v>
      </c>
      <c r="N819">
        <v>4.7699999999999996</v>
      </c>
      <c r="O819">
        <v>5.7084000000000001</v>
      </c>
      <c r="P819">
        <v>4100</v>
      </c>
      <c r="Q819">
        <v>950.43</v>
      </c>
      <c r="R819">
        <v>3.6909999999999998</v>
      </c>
      <c r="S819">
        <v>20.4465</v>
      </c>
      <c r="T819">
        <v>0.95709003649981805</v>
      </c>
      <c r="U819">
        <v>0.79202996881584398</v>
      </c>
      <c r="V819">
        <v>151.93099975585901</v>
      </c>
      <c r="W819">
        <v>1.5740300119197601</v>
      </c>
      <c r="X819">
        <v>0.90359997749328602</v>
      </c>
    </row>
    <row r="820" spans="1:24" x14ac:dyDescent="0.25">
      <c r="A820" s="4">
        <v>45706</v>
      </c>
      <c r="B820">
        <v>4.37</v>
      </c>
      <c r="C820">
        <v>4.38</v>
      </c>
      <c r="D820">
        <v>4.34</v>
      </c>
      <c r="E820">
        <v>4.3499999999999996</v>
      </c>
      <c r="F820">
        <v>4.32</v>
      </c>
      <c r="G820">
        <v>4.2300000000000004</v>
      </c>
      <c r="H820">
        <v>4.26</v>
      </c>
      <c r="I820">
        <v>4.26</v>
      </c>
      <c r="J820">
        <v>4.33</v>
      </c>
      <c r="K820">
        <v>4.41</v>
      </c>
      <c r="L820">
        <v>4.47</v>
      </c>
      <c r="M820">
        <v>4.75</v>
      </c>
      <c r="N820">
        <v>4.6900000000000004</v>
      </c>
      <c r="O820">
        <v>5.6976000000000004</v>
      </c>
      <c r="P820">
        <v>4090</v>
      </c>
      <c r="Q820">
        <v>947.13</v>
      </c>
      <c r="R820">
        <v>3.6829999999999998</v>
      </c>
      <c r="S820">
        <v>20.273199999999999</v>
      </c>
      <c r="T820">
        <v>0.95370999039992399</v>
      </c>
      <c r="U820">
        <v>0.79230002155338097</v>
      </c>
      <c r="V820">
        <v>151.44400024414</v>
      </c>
      <c r="W820">
        <v>1.57328991908028</v>
      </c>
      <c r="X820">
        <v>0.90072000026702803</v>
      </c>
    </row>
    <row r="821" spans="1:24" x14ac:dyDescent="0.25">
      <c r="A821" s="4">
        <v>45702</v>
      </c>
      <c r="B821">
        <v>4.37</v>
      </c>
      <c r="C821">
        <v>4.3899999999999997</v>
      </c>
      <c r="D821">
        <v>4.34</v>
      </c>
      <c r="E821">
        <v>4.3499999999999996</v>
      </c>
      <c r="F821">
        <v>4.33</v>
      </c>
      <c r="G821">
        <v>4.2699999999999996</v>
      </c>
      <c r="H821">
        <v>4.3099999999999996</v>
      </c>
      <c r="I821">
        <v>4.3099999999999996</v>
      </c>
      <c r="J821">
        <v>4.3899999999999997</v>
      </c>
      <c r="K821">
        <v>4.46</v>
      </c>
      <c r="L821">
        <v>4.5199999999999996</v>
      </c>
      <c r="M821">
        <v>4.79</v>
      </c>
      <c r="N821">
        <v>4.72</v>
      </c>
      <c r="O821">
        <v>5.7279999999999998</v>
      </c>
      <c r="P821">
        <v>4121.25</v>
      </c>
      <c r="Q821">
        <v>949.52</v>
      </c>
      <c r="R821">
        <v>3.6989999999999998</v>
      </c>
      <c r="S821">
        <v>20.303999999999998</v>
      </c>
      <c r="T821">
        <v>0.95586999287137597</v>
      </c>
      <c r="U821">
        <v>0.79595998930446898</v>
      </c>
      <c r="V821">
        <v>152.988998413085</v>
      </c>
      <c r="W821">
        <v>1.58304998672866</v>
      </c>
      <c r="X821">
        <v>0.90324997901916504</v>
      </c>
    </row>
    <row r="822" spans="1:24" x14ac:dyDescent="0.25">
      <c r="A822" s="4">
        <v>45701</v>
      </c>
      <c r="B822">
        <v>4.38</v>
      </c>
      <c r="C822">
        <v>4.3899999999999997</v>
      </c>
      <c r="D822">
        <v>4.3499999999999996</v>
      </c>
      <c r="E822">
        <v>4.3600000000000003</v>
      </c>
      <c r="F822">
        <v>4.33</v>
      </c>
      <c r="G822">
        <v>4.3</v>
      </c>
      <c r="H822">
        <v>4.3600000000000003</v>
      </c>
      <c r="I822">
        <v>4.37</v>
      </c>
      <c r="J822">
        <v>4.4800000000000004</v>
      </c>
      <c r="K822">
        <v>4.5599999999999996</v>
      </c>
      <c r="L822">
        <v>4.62</v>
      </c>
      <c r="M822">
        <v>4.9000000000000004</v>
      </c>
      <c r="N822">
        <v>4.83</v>
      </c>
      <c r="O822">
        <v>5.7785000000000002</v>
      </c>
      <c r="P822">
        <v>4136</v>
      </c>
      <c r="Q822">
        <v>956.63</v>
      </c>
      <c r="R822">
        <v>3.7149999999999999</v>
      </c>
      <c r="S822">
        <v>20.478000000000002</v>
      </c>
      <c r="T822">
        <v>0.96227993800925204</v>
      </c>
      <c r="U822">
        <v>0.80317001287008605</v>
      </c>
      <c r="V822">
        <v>154.25500488281199</v>
      </c>
      <c r="W822">
        <v>1.5915999666448499</v>
      </c>
      <c r="X822">
        <v>0.91339999437332098</v>
      </c>
    </row>
    <row r="823" spans="1:24" x14ac:dyDescent="0.25">
      <c r="A823" s="4">
        <v>45700</v>
      </c>
      <c r="B823">
        <v>4.38</v>
      </c>
      <c r="C823">
        <v>4.4000000000000004</v>
      </c>
      <c r="D823">
        <v>4.3499999999999996</v>
      </c>
      <c r="E823">
        <v>4.37</v>
      </c>
      <c r="F823">
        <v>4.3099999999999996</v>
      </c>
      <c r="G823">
        <v>4.25</v>
      </c>
      <c r="H823">
        <v>4.29</v>
      </c>
      <c r="I823">
        <v>4.28</v>
      </c>
      <c r="J823">
        <v>4.37</v>
      </c>
      <c r="K823">
        <v>4.45</v>
      </c>
      <c r="L823">
        <v>4.54</v>
      </c>
      <c r="M823">
        <v>4.8</v>
      </c>
      <c r="N823">
        <v>4.75</v>
      </c>
      <c r="O823">
        <v>5.7708000000000004</v>
      </c>
      <c r="P823">
        <v>4164.82</v>
      </c>
      <c r="Q823">
        <v>961.89</v>
      </c>
      <c r="R823">
        <v>3.7149999999999999</v>
      </c>
      <c r="S823">
        <v>20.5093</v>
      </c>
      <c r="T823">
        <v>0.96479001696426003</v>
      </c>
      <c r="U823">
        <v>0.80311003552460702</v>
      </c>
      <c r="V823">
        <v>152.738998413085</v>
      </c>
      <c r="W823">
        <v>1.587730015367</v>
      </c>
      <c r="X823">
        <v>0.91298997402191095</v>
      </c>
    </row>
    <row r="824" spans="1:24" x14ac:dyDescent="0.25">
      <c r="A824" s="4">
        <v>45699</v>
      </c>
      <c r="B824">
        <v>4.38</v>
      </c>
      <c r="C824">
        <v>4.4000000000000004</v>
      </c>
      <c r="D824">
        <v>4.3499999999999996</v>
      </c>
      <c r="E824">
        <v>4.37</v>
      </c>
      <c r="F824">
        <v>4.3099999999999996</v>
      </c>
      <c r="G824">
        <v>4.24</v>
      </c>
      <c r="H824">
        <v>4.28</v>
      </c>
      <c r="I824">
        <v>4.3</v>
      </c>
      <c r="J824">
        <v>4.34</v>
      </c>
      <c r="K824">
        <v>4.42</v>
      </c>
      <c r="L824">
        <v>4.51</v>
      </c>
      <c r="M824">
        <v>4.76</v>
      </c>
      <c r="N824">
        <v>4.71</v>
      </c>
      <c r="O824">
        <v>5.7785000000000002</v>
      </c>
      <c r="P824">
        <v>4139.3</v>
      </c>
      <c r="Q824">
        <v>960.81</v>
      </c>
      <c r="R824">
        <v>3.7109999999999999</v>
      </c>
      <c r="S824">
        <v>20.539200000000001</v>
      </c>
      <c r="T824">
        <v>0.97073000595032399</v>
      </c>
      <c r="U824">
        <v>0.80902001581467398</v>
      </c>
      <c r="V824">
        <v>151.75900268554599</v>
      </c>
      <c r="W824">
        <v>1.5945700347679601</v>
      </c>
      <c r="X824">
        <v>0.91132998466491699</v>
      </c>
    </row>
    <row r="825" spans="1:24" x14ac:dyDescent="0.25">
      <c r="A825" s="4">
        <v>45698</v>
      </c>
      <c r="B825">
        <v>4.37</v>
      </c>
      <c r="C825">
        <v>4.38</v>
      </c>
      <c r="D825">
        <v>4.3499999999999996</v>
      </c>
      <c r="E825">
        <v>4.37</v>
      </c>
      <c r="F825">
        <v>4.3</v>
      </c>
      <c r="G825">
        <v>4.25</v>
      </c>
      <c r="H825">
        <v>4.29</v>
      </c>
      <c r="I825">
        <v>4.3099999999999996</v>
      </c>
      <c r="J825">
        <v>4.34</v>
      </c>
      <c r="K825">
        <v>4.42</v>
      </c>
      <c r="L825">
        <v>4.49</v>
      </c>
      <c r="M825">
        <v>4.75</v>
      </c>
      <c r="N825">
        <v>4.6900000000000004</v>
      </c>
      <c r="O825">
        <v>5.7805</v>
      </c>
      <c r="P825">
        <v>4140.3500000000004</v>
      </c>
      <c r="Q825">
        <v>960.6</v>
      </c>
      <c r="R825">
        <v>3.71</v>
      </c>
      <c r="S825">
        <v>20.597899999999999</v>
      </c>
      <c r="T825">
        <v>0.96978003843000804</v>
      </c>
      <c r="U825">
        <v>0.80699995747876396</v>
      </c>
      <c r="V825">
        <v>151.84599304199199</v>
      </c>
      <c r="W825">
        <v>1.59772510187425</v>
      </c>
      <c r="X825">
        <v>0.91074001789092995</v>
      </c>
    </row>
    <row r="826" spans="1:24" x14ac:dyDescent="0.25">
      <c r="A826" s="4">
        <v>45695</v>
      </c>
      <c r="B826">
        <v>4.37</v>
      </c>
      <c r="C826">
        <v>4.38</v>
      </c>
      <c r="D826">
        <v>4.34</v>
      </c>
      <c r="E826">
        <v>4.3600000000000003</v>
      </c>
      <c r="F826">
        <v>4.28</v>
      </c>
      <c r="G826">
        <v>4.1900000000000004</v>
      </c>
      <c r="H826">
        <v>4.21</v>
      </c>
      <c r="I826">
        <v>4.2300000000000004</v>
      </c>
      <c r="J826">
        <v>4.28</v>
      </c>
      <c r="K826">
        <v>4.3600000000000003</v>
      </c>
      <c r="L826">
        <v>4.45</v>
      </c>
      <c r="M826">
        <v>4.7</v>
      </c>
      <c r="N826">
        <v>4.6500000000000004</v>
      </c>
      <c r="O826">
        <v>5.7553999999999998</v>
      </c>
      <c r="P826">
        <v>4125.5</v>
      </c>
      <c r="Q826">
        <v>967.59</v>
      </c>
      <c r="R826">
        <v>3.7170000000000001</v>
      </c>
      <c r="S826">
        <v>20.545000000000002</v>
      </c>
      <c r="T826">
        <v>0.96286003339233805</v>
      </c>
      <c r="U826">
        <v>0.80401996178977497</v>
      </c>
      <c r="V826">
        <v>151.19299316406199</v>
      </c>
      <c r="W826">
        <v>1.5919000401741501</v>
      </c>
      <c r="X826">
        <v>0.90509998798370295</v>
      </c>
    </row>
    <row r="827" spans="1:24" x14ac:dyDescent="0.25">
      <c r="A827" s="4">
        <v>45694</v>
      </c>
      <c r="B827">
        <v>4.3499999999999996</v>
      </c>
      <c r="C827">
        <v>4.37</v>
      </c>
      <c r="D827">
        <v>4.33</v>
      </c>
      <c r="E827">
        <v>4.3499999999999996</v>
      </c>
      <c r="F827">
        <v>4.2699999999999996</v>
      </c>
      <c r="G827">
        <v>4.17</v>
      </c>
      <c r="H827">
        <v>4.17</v>
      </c>
      <c r="I827">
        <v>4.1900000000000004</v>
      </c>
      <c r="J827">
        <v>4.24</v>
      </c>
      <c r="K827">
        <v>4.33</v>
      </c>
      <c r="L827">
        <v>4.43</v>
      </c>
      <c r="M827">
        <v>4.6900000000000004</v>
      </c>
      <c r="N827">
        <v>4.6399999999999997</v>
      </c>
      <c r="O827">
        <v>5.7853000000000003</v>
      </c>
      <c r="P827">
        <v>4136.6000000000004</v>
      </c>
      <c r="Q827">
        <v>969.47</v>
      </c>
      <c r="R827">
        <v>3.7160000000000002</v>
      </c>
      <c r="S827">
        <v>20.461200000000002</v>
      </c>
      <c r="T827">
        <v>0.961460029634845</v>
      </c>
      <c r="U827">
        <v>0.79973999846889599</v>
      </c>
      <c r="V827">
        <v>152.60600280761699</v>
      </c>
      <c r="W827">
        <v>1.59096998418723</v>
      </c>
      <c r="X827">
        <v>0.90132999420166005</v>
      </c>
    </row>
    <row r="828" spans="1:24" x14ac:dyDescent="0.25">
      <c r="A828" s="4">
        <v>45693</v>
      </c>
      <c r="B828">
        <v>4.3600000000000003</v>
      </c>
      <c r="C828">
        <v>4.38</v>
      </c>
      <c r="D828">
        <v>4.33</v>
      </c>
      <c r="E828">
        <v>4.3499999999999996</v>
      </c>
      <c r="F828">
        <v>4.2699999999999996</v>
      </c>
      <c r="G828">
        <v>4.18</v>
      </c>
      <c r="H828">
        <v>4.21</v>
      </c>
      <c r="I828">
        <v>4.25</v>
      </c>
      <c r="J828">
        <v>4.3099999999999996</v>
      </c>
      <c r="K828">
        <v>4.42</v>
      </c>
      <c r="L828">
        <v>4.5199999999999996</v>
      </c>
      <c r="M828">
        <v>4.8099999999999996</v>
      </c>
      <c r="N828">
        <v>4.75</v>
      </c>
      <c r="O828">
        <v>5.7994000000000003</v>
      </c>
      <c r="P828">
        <v>4175</v>
      </c>
      <c r="Q828">
        <v>977.58</v>
      </c>
      <c r="R828">
        <v>3.7160000000000002</v>
      </c>
      <c r="S828">
        <v>20.556000000000001</v>
      </c>
      <c r="T828">
        <v>0.96405999355960803</v>
      </c>
      <c r="U828">
        <v>0.80139999820395402</v>
      </c>
      <c r="V828">
        <v>154.13299560546801</v>
      </c>
      <c r="W828">
        <v>1.5997200502116999</v>
      </c>
      <c r="X828">
        <v>0.90523999929428101</v>
      </c>
    </row>
    <row r="829" spans="1:24" x14ac:dyDescent="0.25">
      <c r="A829" s="4">
        <v>45692</v>
      </c>
      <c r="B829">
        <v>4.37</v>
      </c>
      <c r="C829">
        <v>4.38</v>
      </c>
      <c r="D829">
        <v>4.34</v>
      </c>
      <c r="E829">
        <v>4.3499999999999996</v>
      </c>
      <c r="F829">
        <v>4.28</v>
      </c>
      <c r="G829">
        <v>4.2</v>
      </c>
      <c r="H829">
        <v>4.26</v>
      </c>
      <c r="I829">
        <v>4.28</v>
      </c>
      <c r="J829">
        <v>4.3499999999999996</v>
      </c>
      <c r="K829">
        <v>4.45</v>
      </c>
      <c r="L829">
        <v>4.54</v>
      </c>
      <c r="M829">
        <v>4.82</v>
      </c>
      <c r="N829">
        <v>4.7699999999999996</v>
      </c>
      <c r="O829">
        <v>5.7923999999999998</v>
      </c>
      <c r="P829">
        <v>4160</v>
      </c>
      <c r="Q829">
        <v>987.12</v>
      </c>
      <c r="R829">
        <v>3.7109999999999999</v>
      </c>
      <c r="S829">
        <v>20.556000000000001</v>
      </c>
      <c r="T829">
        <v>0.96829994068034397</v>
      </c>
      <c r="U829">
        <v>0.80439003261532505</v>
      </c>
      <c r="V829">
        <v>155.27699279785099</v>
      </c>
      <c r="W829">
        <v>1.6083900181975701</v>
      </c>
      <c r="X829">
        <v>0.911610007286071</v>
      </c>
    </row>
    <row r="830" spans="1:24" x14ac:dyDescent="0.25">
      <c r="A830" s="4">
        <v>45691</v>
      </c>
      <c r="B830">
        <v>4.37</v>
      </c>
      <c r="C830">
        <v>4.37</v>
      </c>
      <c r="D830">
        <v>4.3099999999999996</v>
      </c>
      <c r="E830">
        <v>4.33</v>
      </c>
      <c r="F830">
        <v>4.28</v>
      </c>
      <c r="G830">
        <v>4.17</v>
      </c>
      <c r="H830">
        <v>4.22</v>
      </c>
      <c r="I830">
        <v>4.2699999999999996</v>
      </c>
      <c r="J830">
        <v>4.3600000000000003</v>
      </c>
      <c r="K830">
        <v>4.47</v>
      </c>
      <c r="L830">
        <v>4.58</v>
      </c>
      <c r="M830">
        <v>4.88</v>
      </c>
      <c r="N830">
        <v>4.83</v>
      </c>
      <c r="O830">
        <v>5.8684000000000003</v>
      </c>
      <c r="P830">
        <v>4164</v>
      </c>
      <c r="Q830">
        <v>984.22</v>
      </c>
      <c r="R830">
        <v>3.7050000000000001</v>
      </c>
      <c r="S830">
        <v>20.687100000000001</v>
      </c>
      <c r="T830">
        <v>0.97581996147023498</v>
      </c>
      <c r="U830">
        <v>0.81354001777865304</v>
      </c>
      <c r="V830">
        <v>155.36300659179599</v>
      </c>
      <c r="W830">
        <v>1.62754993202056</v>
      </c>
      <c r="X830">
        <v>0.91522997617721502</v>
      </c>
    </row>
    <row r="831" spans="1:24" x14ac:dyDescent="0.25">
      <c r="A831" s="4">
        <v>45688</v>
      </c>
      <c r="B831">
        <v>4.37</v>
      </c>
      <c r="C831">
        <v>4.38</v>
      </c>
      <c r="D831">
        <v>4.3</v>
      </c>
      <c r="E831">
        <v>4.33</v>
      </c>
      <c r="F831">
        <v>4.2699999999999996</v>
      </c>
      <c r="G831">
        <v>4.16</v>
      </c>
      <c r="H831">
        <v>4.18</v>
      </c>
      <c r="I831">
        <v>4.24</v>
      </c>
      <c r="J831">
        <v>4.3099999999999996</v>
      </c>
      <c r="K831">
        <v>4.41</v>
      </c>
      <c r="L831">
        <v>4.5199999999999996</v>
      </c>
      <c r="M831">
        <v>4.8099999999999996</v>
      </c>
      <c r="N831">
        <v>4.76</v>
      </c>
      <c r="O831">
        <v>5.8297999999999996</v>
      </c>
      <c r="P831">
        <v>4210.8999999999996</v>
      </c>
      <c r="Q831">
        <v>988.1</v>
      </c>
      <c r="R831">
        <v>3.7269999999999999</v>
      </c>
      <c r="S831">
        <v>20.687100000000001</v>
      </c>
      <c r="T831">
        <v>0.961790074834869</v>
      </c>
      <c r="U831">
        <v>0.80489997722110096</v>
      </c>
      <c r="V831">
        <v>154.09700012207</v>
      </c>
      <c r="W831">
        <v>1.6090099561304101</v>
      </c>
      <c r="X831">
        <v>0.90936899185180597</v>
      </c>
    </row>
    <row r="832" spans="1:24" x14ac:dyDescent="0.25">
      <c r="A832" s="4">
        <v>45687</v>
      </c>
      <c r="B832">
        <v>4.43</v>
      </c>
      <c r="C832">
        <v>4.34</v>
      </c>
      <c r="D832">
        <v>4.3099999999999996</v>
      </c>
      <c r="E832">
        <v>4.34</v>
      </c>
      <c r="F832">
        <v>4.2699999999999996</v>
      </c>
      <c r="G832">
        <v>4.17</v>
      </c>
      <c r="H832">
        <v>4.21</v>
      </c>
      <c r="I832">
        <v>4.2699999999999996</v>
      </c>
      <c r="J832">
        <v>4.3499999999999996</v>
      </c>
      <c r="K832">
        <v>4.4400000000000004</v>
      </c>
      <c r="L832">
        <v>4.55</v>
      </c>
      <c r="M832">
        <v>4.8499999999999996</v>
      </c>
      <c r="N832">
        <v>4.79</v>
      </c>
      <c r="O832">
        <v>5.9002999999999997</v>
      </c>
      <c r="P832">
        <v>4155</v>
      </c>
      <c r="Q832">
        <v>990.94</v>
      </c>
      <c r="R832">
        <v>3.72</v>
      </c>
      <c r="S832">
        <v>20.427299999999999</v>
      </c>
      <c r="T832">
        <v>0.95921000122350997</v>
      </c>
      <c r="U832">
        <v>0.80287098411755298</v>
      </c>
      <c r="V832">
        <v>155.169998168945</v>
      </c>
      <c r="W832">
        <v>1.6026199446765499</v>
      </c>
      <c r="X832">
        <v>0.90627002716064398</v>
      </c>
    </row>
    <row r="833" spans="1:24" x14ac:dyDescent="0.25">
      <c r="A833" s="4">
        <v>45686</v>
      </c>
      <c r="B833">
        <v>4.4400000000000004</v>
      </c>
      <c r="C833">
        <v>4.3499999999999996</v>
      </c>
      <c r="D833">
        <v>4.3099999999999996</v>
      </c>
      <c r="E833">
        <v>4.3</v>
      </c>
      <c r="F833">
        <v>4.26</v>
      </c>
      <c r="G833">
        <v>4.1399999999999997</v>
      </c>
      <c r="H833">
        <v>4.1900000000000004</v>
      </c>
      <c r="I833">
        <v>4.25</v>
      </c>
      <c r="J833">
        <v>4.33</v>
      </c>
      <c r="K833">
        <v>4.43</v>
      </c>
      <c r="L833">
        <v>4.55</v>
      </c>
      <c r="M833">
        <v>4.84</v>
      </c>
      <c r="N833">
        <v>4.78</v>
      </c>
      <c r="O833">
        <v>5.8593000000000002</v>
      </c>
      <c r="P833">
        <v>4167</v>
      </c>
      <c r="Q833">
        <v>992.07</v>
      </c>
      <c r="R833">
        <v>3.714</v>
      </c>
      <c r="S833">
        <v>20.536999999999999</v>
      </c>
      <c r="T833">
        <v>0.95886002229862299</v>
      </c>
      <c r="U833">
        <v>0.80374994802065503</v>
      </c>
      <c r="V833">
        <v>155.55900573730401</v>
      </c>
      <c r="W833">
        <v>1.59883004923174</v>
      </c>
      <c r="X833">
        <v>0.90412998199462802</v>
      </c>
    </row>
    <row r="834" spans="1:24" x14ac:dyDescent="0.25">
      <c r="A834" s="4">
        <v>45685</v>
      </c>
      <c r="B834">
        <v>4.4400000000000004</v>
      </c>
      <c r="C834">
        <v>4.3600000000000003</v>
      </c>
      <c r="D834">
        <v>4.32</v>
      </c>
      <c r="E834">
        <v>4.3</v>
      </c>
      <c r="F834">
        <v>4.25</v>
      </c>
      <c r="G834">
        <v>4.13</v>
      </c>
      <c r="H834">
        <v>4.17</v>
      </c>
      <c r="I834">
        <v>4.24</v>
      </c>
      <c r="J834">
        <v>4.32</v>
      </c>
      <c r="K834">
        <v>4.43</v>
      </c>
      <c r="L834">
        <v>4.53</v>
      </c>
      <c r="M834">
        <v>4.82</v>
      </c>
      <c r="N834">
        <v>4.76</v>
      </c>
      <c r="O834">
        <v>5.8926999999999996</v>
      </c>
      <c r="P834">
        <v>4219</v>
      </c>
      <c r="Q834">
        <v>985.64</v>
      </c>
      <c r="R834">
        <v>3.734</v>
      </c>
      <c r="S834">
        <v>20.540199999999999</v>
      </c>
      <c r="T834">
        <v>0.95738998887805205</v>
      </c>
      <c r="U834">
        <v>0.80253002500884196</v>
      </c>
      <c r="V834">
        <v>154.90899658203099</v>
      </c>
      <c r="W834">
        <v>1.5964750680184501</v>
      </c>
      <c r="X834">
        <v>0.90400999784469604</v>
      </c>
    </row>
    <row r="835" spans="1:24" x14ac:dyDescent="0.25">
      <c r="A835" s="4">
        <v>45684</v>
      </c>
      <c r="B835">
        <v>4.45</v>
      </c>
      <c r="C835">
        <v>4.3600000000000003</v>
      </c>
      <c r="D835">
        <v>4.3499999999999996</v>
      </c>
      <c r="E835">
        <v>4.32</v>
      </c>
      <c r="F835">
        <v>4.25</v>
      </c>
      <c r="G835">
        <v>4.17</v>
      </c>
      <c r="H835">
        <v>4.2699999999999996</v>
      </c>
      <c r="I835">
        <v>4.33</v>
      </c>
      <c r="J835">
        <v>4.43</v>
      </c>
      <c r="K835">
        <v>4.53</v>
      </c>
      <c r="L835">
        <v>4.63</v>
      </c>
      <c r="M835">
        <v>4.91</v>
      </c>
      <c r="N835">
        <v>4.8499999999999996</v>
      </c>
      <c r="O835">
        <v>5.9268999999999998</v>
      </c>
      <c r="P835">
        <v>4196</v>
      </c>
      <c r="Q835">
        <v>982.95</v>
      </c>
      <c r="R835">
        <v>3.7429999999999999</v>
      </c>
      <c r="S835">
        <v>20.727799999999998</v>
      </c>
      <c r="T835">
        <v>0.95533005468264498</v>
      </c>
      <c r="U835">
        <v>0.80260995811001101</v>
      </c>
      <c r="V835">
        <v>155.74400329589801</v>
      </c>
      <c r="W835">
        <v>1.58908994917572</v>
      </c>
      <c r="X835">
        <v>0.90684002637863104</v>
      </c>
    </row>
    <row r="836" spans="1:24" x14ac:dyDescent="0.25">
      <c r="A836" s="4">
        <v>45681</v>
      </c>
      <c r="B836">
        <v>4.45</v>
      </c>
      <c r="C836">
        <v>4.3600000000000003</v>
      </c>
      <c r="D836">
        <v>4.3600000000000003</v>
      </c>
      <c r="E836">
        <v>4.32</v>
      </c>
      <c r="F836">
        <v>4.2699999999999996</v>
      </c>
      <c r="G836">
        <v>4.18</v>
      </c>
      <c r="H836">
        <v>4.29</v>
      </c>
      <c r="I836">
        <v>4.3499999999999996</v>
      </c>
      <c r="J836">
        <v>4.45</v>
      </c>
      <c r="K836">
        <v>4.55</v>
      </c>
      <c r="L836">
        <v>4.6500000000000004</v>
      </c>
      <c r="M836">
        <v>4.92</v>
      </c>
      <c r="N836">
        <v>4.87</v>
      </c>
      <c r="O836">
        <v>5.8921999999999999</v>
      </c>
      <c r="P836">
        <v>4176</v>
      </c>
      <c r="Q836">
        <v>989.83</v>
      </c>
      <c r="R836">
        <v>3.7189999999999999</v>
      </c>
      <c r="S836">
        <v>20.285599999999999</v>
      </c>
      <c r="T836">
        <v>0.96006002572563798</v>
      </c>
      <c r="U836">
        <v>0.80945999865871698</v>
      </c>
      <c r="V836">
        <v>156.15499877929599</v>
      </c>
      <c r="W836">
        <v>1.5915299104070399</v>
      </c>
      <c r="X836">
        <v>0.907490015029907</v>
      </c>
    </row>
    <row r="837" spans="1:24" x14ac:dyDescent="0.25">
      <c r="A837" s="4">
        <v>45680</v>
      </c>
      <c r="B837">
        <v>4.42</v>
      </c>
      <c r="C837">
        <v>4.3499999999999996</v>
      </c>
      <c r="D837">
        <v>4.3600000000000003</v>
      </c>
      <c r="E837">
        <v>4.32</v>
      </c>
      <c r="F837">
        <v>4.28</v>
      </c>
      <c r="G837">
        <v>4.2</v>
      </c>
      <c r="H837">
        <v>4.29</v>
      </c>
      <c r="I837">
        <v>4.34</v>
      </c>
      <c r="J837">
        <v>4.43</v>
      </c>
      <c r="K837">
        <v>4.51</v>
      </c>
      <c r="L837">
        <v>4.5999999999999996</v>
      </c>
      <c r="M837">
        <v>4.8899999999999997</v>
      </c>
      <c r="N837">
        <v>4.82</v>
      </c>
      <c r="O837">
        <v>5.9396000000000004</v>
      </c>
      <c r="P837">
        <v>4231.3</v>
      </c>
      <c r="Q837">
        <v>995.22</v>
      </c>
      <c r="R837">
        <v>3.7160000000000002</v>
      </c>
      <c r="S837">
        <v>20.322800000000001</v>
      </c>
      <c r="T837">
        <v>0.96060004523241704</v>
      </c>
      <c r="U837">
        <v>0.81207004090162604</v>
      </c>
      <c r="V837">
        <v>156.44000244140599</v>
      </c>
      <c r="W837">
        <v>1.5936248985652799</v>
      </c>
      <c r="X837">
        <v>0.90631002187728804</v>
      </c>
    </row>
    <row r="838" spans="1:24" x14ac:dyDescent="0.25">
      <c r="A838" s="4">
        <v>45679</v>
      </c>
      <c r="B838">
        <v>4.42</v>
      </c>
      <c r="C838">
        <v>4.3499999999999996</v>
      </c>
      <c r="D838">
        <v>4.3600000000000003</v>
      </c>
      <c r="E838">
        <v>4.33</v>
      </c>
      <c r="F838">
        <v>4.28</v>
      </c>
      <c r="G838">
        <v>4.21</v>
      </c>
      <c r="H838">
        <v>4.29</v>
      </c>
      <c r="I838">
        <v>4.33</v>
      </c>
      <c r="J838">
        <v>4.4000000000000004</v>
      </c>
      <c r="K838">
        <v>4.49</v>
      </c>
      <c r="L838">
        <v>4.57</v>
      </c>
      <c r="M838">
        <v>4.87</v>
      </c>
      <c r="N838">
        <v>4.8</v>
      </c>
      <c r="O838">
        <v>5.9671000000000003</v>
      </c>
      <c r="P838">
        <v>4266.8999999999996</v>
      </c>
      <c r="Q838">
        <v>1002.14</v>
      </c>
      <c r="R838">
        <v>3.7189999999999999</v>
      </c>
      <c r="S838">
        <v>20.476199999999999</v>
      </c>
      <c r="T838">
        <v>0.96099004585908898</v>
      </c>
      <c r="U838">
        <v>0.81067500811534299</v>
      </c>
      <c r="V838">
        <v>155.774002075195</v>
      </c>
      <c r="W838">
        <v>1.5969300350526201</v>
      </c>
      <c r="X838">
        <v>0.90671002864837602</v>
      </c>
    </row>
    <row r="839" spans="1:24" x14ac:dyDescent="0.25">
      <c r="A839" s="4">
        <v>45678</v>
      </c>
      <c r="B839">
        <v>4.43</v>
      </c>
      <c r="C839">
        <v>4.3499999999999996</v>
      </c>
      <c r="D839">
        <v>4.34</v>
      </c>
      <c r="E839">
        <v>4.32</v>
      </c>
      <c r="F839">
        <v>4.28</v>
      </c>
      <c r="G839">
        <v>4.21</v>
      </c>
      <c r="H839">
        <v>4.2699999999999996</v>
      </c>
      <c r="I839">
        <v>4.33</v>
      </c>
      <c r="J839">
        <v>4.42</v>
      </c>
      <c r="K839">
        <v>4.5199999999999996</v>
      </c>
      <c r="L839">
        <v>4.6100000000000003</v>
      </c>
      <c r="M839">
        <v>4.91</v>
      </c>
      <c r="N839">
        <v>4.84</v>
      </c>
      <c r="O839">
        <v>6.0437000000000003</v>
      </c>
      <c r="P839">
        <v>4306</v>
      </c>
      <c r="Q839">
        <v>1001.93</v>
      </c>
      <c r="R839">
        <v>3.7290000000000001</v>
      </c>
      <c r="S839">
        <v>20.645700000000001</v>
      </c>
      <c r="T839">
        <v>0.95963004984726796</v>
      </c>
      <c r="U839">
        <v>0.81094005288515802</v>
      </c>
      <c r="V839">
        <v>155.24899291992099</v>
      </c>
      <c r="W839">
        <v>1.5921030730410699</v>
      </c>
      <c r="X839">
        <v>0.90605998039245605</v>
      </c>
    </row>
    <row r="840" spans="1:24" x14ac:dyDescent="0.25">
      <c r="A840" s="4">
        <v>45674</v>
      </c>
      <c r="B840">
        <v>4.43</v>
      </c>
      <c r="C840">
        <v>4.3600000000000003</v>
      </c>
      <c r="D840">
        <v>4.34</v>
      </c>
      <c r="E840">
        <v>4.32</v>
      </c>
      <c r="F840">
        <v>4.26</v>
      </c>
      <c r="G840">
        <v>4.18</v>
      </c>
      <c r="H840">
        <v>4.2300000000000004</v>
      </c>
      <c r="I840">
        <v>4.29</v>
      </c>
      <c r="J840">
        <v>4.3899999999999997</v>
      </c>
      <c r="K840">
        <v>4.5</v>
      </c>
      <c r="L840">
        <v>4.6100000000000003</v>
      </c>
      <c r="M840">
        <v>4.91</v>
      </c>
      <c r="N840">
        <v>4.84</v>
      </c>
      <c r="O840">
        <v>6.0606</v>
      </c>
      <c r="P840">
        <v>4335.6499999999996</v>
      </c>
      <c r="Q840">
        <v>1010.68</v>
      </c>
      <c r="R840">
        <v>3.7410000000000001</v>
      </c>
      <c r="S840">
        <v>20.775300000000001</v>
      </c>
      <c r="T840">
        <v>0.97069001708188696</v>
      </c>
      <c r="U840">
        <v>0.81720001469060899</v>
      </c>
      <c r="V840">
        <v>155.35600280761699</v>
      </c>
      <c r="W840">
        <v>1.6102279301701501</v>
      </c>
      <c r="X840">
        <v>0.91117000579833896</v>
      </c>
    </row>
    <row r="841" spans="1:24" x14ac:dyDescent="0.25">
      <c r="A841" s="4">
        <v>45673</v>
      </c>
      <c r="B841">
        <v>4.4000000000000004</v>
      </c>
      <c r="C841">
        <v>4.34</v>
      </c>
      <c r="D841">
        <v>4.3499999999999996</v>
      </c>
      <c r="E841">
        <v>4.32</v>
      </c>
      <c r="F841">
        <v>4.26</v>
      </c>
      <c r="G841">
        <v>4.1900000000000004</v>
      </c>
      <c r="H841">
        <v>4.2699999999999996</v>
      </c>
      <c r="I841">
        <v>4.34</v>
      </c>
      <c r="J841">
        <v>4.45</v>
      </c>
      <c r="K841">
        <v>4.55</v>
      </c>
      <c r="L841">
        <v>4.66</v>
      </c>
      <c r="M841">
        <v>4.95</v>
      </c>
      <c r="N841">
        <v>4.88</v>
      </c>
      <c r="O841">
        <v>6.0319000000000003</v>
      </c>
      <c r="P841">
        <v>4346</v>
      </c>
      <c r="Q841">
        <v>1001.93</v>
      </c>
      <c r="R841">
        <v>3.7570000000000001</v>
      </c>
      <c r="S841">
        <v>20.8187</v>
      </c>
      <c r="T841">
        <v>0.97131999976378702</v>
      </c>
      <c r="U841">
        <v>0.81677002939983701</v>
      </c>
      <c r="V841">
        <v>156.25500488281199</v>
      </c>
      <c r="W841">
        <v>1.6037460854407</v>
      </c>
      <c r="X841">
        <v>0.91211998462677002</v>
      </c>
    </row>
    <row r="842" spans="1:24" x14ac:dyDescent="0.25">
      <c r="A842" s="4">
        <v>45672</v>
      </c>
      <c r="B842">
        <v>4.42</v>
      </c>
      <c r="C842">
        <v>4.3499999999999996</v>
      </c>
      <c r="D842">
        <v>4.3600000000000003</v>
      </c>
      <c r="E842">
        <v>4.33</v>
      </c>
      <c r="F842">
        <v>4.29</v>
      </c>
      <c r="G842">
        <v>4.22</v>
      </c>
      <c r="H842">
        <v>4.37</v>
      </c>
      <c r="I842">
        <v>4.46</v>
      </c>
      <c r="J842">
        <v>4.59</v>
      </c>
      <c r="K842">
        <v>4.7</v>
      </c>
      <c r="L842">
        <v>4.78</v>
      </c>
      <c r="M842">
        <v>5.0599999999999996</v>
      </c>
      <c r="N842">
        <v>4.9800000000000004</v>
      </c>
      <c r="O842">
        <v>6.0373999999999999</v>
      </c>
      <c r="P842">
        <v>4309.47</v>
      </c>
      <c r="Q842">
        <v>1004.67</v>
      </c>
      <c r="R842">
        <v>3.7629999999999999</v>
      </c>
      <c r="S842">
        <v>20.491499999999998</v>
      </c>
      <c r="T842">
        <v>0.97022993291695503</v>
      </c>
      <c r="U842">
        <v>0.81876998584142002</v>
      </c>
      <c r="V842">
        <v>158.05000305175699</v>
      </c>
      <c r="W842">
        <v>1.6150900239608199</v>
      </c>
      <c r="X842">
        <v>0.91246002912521296</v>
      </c>
    </row>
    <row r="843" spans="1:24" x14ac:dyDescent="0.25">
      <c r="A843" s="4">
        <v>45671</v>
      </c>
      <c r="B843">
        <v>4.42</v>
      </c>
      <c r="C843">
        <v>4.3600000000000003</v>
      </c>
      <c r="D843">
        <v>4.37</v>
      </c>
      <c r="E843">
        <v>4.34</v>
      </c>
      <c r="F843">
        <v>4.3</v>
      </c>
      <c r="G843">
        <v>4.24</v>
      </c>
      <c r="H843">
        <v>4.4000000000000004</v>
      </c>
      <c r="I843">
        <v>4.49</v>
      </c>
      <c r="J843">
        <v>4.6100000000000003</v>
      </c>
      <c r="K843">
        <v>4.71</v>
      </c>
      <c r="L843">
        <v>4.79</v>
      </c>
      <c r="M843">
        <v>5.05</v>
      </c>
      <c r="N843">
        <v>4.97</v>
      </c>
      <c r="O843">
        <v>6.0667999999999997</v>
      </c>
      <c r="P843">
        <v>4292</v>
      </c>
      <c r="Q843">
        <v>1012.76</v>
      </c>
      <c r="R843">
        <v>3.7719999999999998</v>
      </c>
      <c r="S843">
        <v>20.531099999999999</v>
      </c>
      <c r="T843">
        <v>0.97416003657596595</v>
      </c>
      <c r="U843">
        <v>0.81743994960849897</v>
      </c>
      <c r="V843">
        <v>157.363998413085</v>
      </c>
      <c r="W843">
        <v>1.6149609861559999</v>
      </c>
      <c r="X843">
        <v>0.91578000783920199</v>
      </c>
    </row>
    <row r="844" spans="1:24" x14ac:dyDescent="0.25">
      <c r="A844" s="4">
        <v>45670</v>
      </c>
      <c r="B844">
        <v>4.42</v>
      </c>
      <c r="C844">
        <v>4.3499999999999996</v>
      </c>
      <c r="D844">
        <v>4.3600000000000003</v>
      </c>
      <c r="E844">
        <v>4.33</v>
      </c>
      <c r="F844">
        <v>4.2699999999999996</v>
      </c>
      <c r="G844">
        <v>4.25</v>
      </c>
      <c r="H844">
        <v>4.4000000000000004</v>
      </c>
      <c r="I844">
        <v>4.46</v>
      </c>
      <c r="J844">
        <v>4.59</v>
      </c>
      <c r="K844">
        <v>4.7</v>
      </c>
      <c r="L844">
        <v>4.7699999999999996</v>
      </c>
      <c r="M844">
        <v>5.04</v>
      </c>
      <c r="N844">
        <v>4.96</v>
      </c>
      <c r="O844">
        <v>6.1075999999999997</v>
      </c>
      <c r="P844">
        <v>4306</v>
      </c>
      <c r="Q844">
        <v>1009.2</v>
      </c>
      <c r="R844">
        <v>3.78</v>
      </c>
      <c r="S844">
        <v>20.723500000000001</v>
      </c>
      <c r="T844">
        <v>0.97614006245540297</v>
      </c>
      <c r="U844">
        <v>0.81934002392987004</v>
      </c>
      <c r="V844">
        <v>157.88699340820301</v>
      </c>
      <c r="W844">
        <v>1.6247000028180301</v>
      </c>
      <c r="X844">
        <v>0.91676998138427701</v>
      </c>
    </row>
    <row r="845" spans="1:24" x14ac:dyDescent="0.25">
      <c r="A845" s="4">
        <v>45667</v>
      </c>
      <c r="B845">
        <v>4.4400000000000004</v>
      </c>
      <c r="C845">
        <v>4.3600000000000003</v>
      </c>
      <c r="D845">
        <v>4.3499999999999996</v>
      </c>
      <c r="E845">
        <v>4.3099999999999996</v>
      </c>
      <c r="F845">
        <v>4.24</v>
      </c>
      <c r="G845">
        <v>4.16</v>
      </c>
      <c r="H845">
        <v>4.2699999999999996</v>
      </c>
      <c r="I845">
        <v>4.3099999999999996</v>
      </c>
      <c r="J845">
        <v>4.46</v>
      </c>
      <c r="K845">
        <v>4.57</v>
      </c>
      <c r="L845">
        <v>4.68</v>
      </c>
      <c r="M845">
        <v>4.9800000000000004</v>
      </c>
      <c r="N845">
        <v>4.92</v>
      </c>
      <c r="O845">
        <v>6.0961999999999996</v>
      </c>
      <c r="P845">
        <v>4343.43</v>
      </c>
      <c r="Q845">
        <v>1003.92</v>
      </c>
      <c r="R845">
        <v>3.7709999999999999</v>
      </c>
      <c r="S845">
        <v>20.705200000000001</v>
      </c>
      <c r="T845">
        <v>0.97109994681795597</v>
      </c>
      <c r="U845">
        <v>0.81304995988837103</v>
      </c>
      <c r="V845">
        <v>158.04800415039</v>
      </c>
      <c r="W845">
        <v>1.61558693430027</v>
      </c>
      <c r="X845">
        <v>0.91206997632980302</v>
      </c>
    </row>
    <row r="846" spans="1:24" x14ac:dyDescent="0.25">
      <c r="A846" s="4">
        <v>45665</v>
      </c>
      <c r="B846">
        <v>4.41</v>
      </c>
      <c r="C846">
        <v>4.34</v>
      </c>
      <c r="D846">
        <v>4.3499999999999996</v>
      </c>
      <c r="E846">
        <v>4.3099999999999996</v>
      </c>
      <c r="F846">
        <v>4.25</v>
      </c>
      <c r="G846">
        <v>4.1900000000000004</v>
      </c>
      <c r="H846">
        <v>4.28</v>
      </c>
      <c r="I846">
        <v>4.3099999999999996</v>
      </c>
      <c r="J846">
        <v>4.45</v>
      </c>
      <c r="K846">
        <v>4.5599999999999996</v>
      </c>
      <c r="L846">
        <v>4.67</v>
      </c>
      <c r="M846">
        <v>4.97</v>
      </c>
      <c r="N846">
        <v>4.91</v>
      </c>
      <c r="O846">
        <v>6.1318000000000001</v>
      </c>
      <c r="P846">
        <v>4325.5</v>
      </c>
      <c r="Q846">
        <v>1005.85</v>
      </c>
      <c r="R846">
        <v>3.774</v>
      </c>
      <c r="S846">
        <v>20.416399999999999</v>
      </c>
      <c r="T846">
        <v>0.96659998439816897</v>
      </c>
      <c r="U846">
        <v>0.80141998117735802</v>
      </c>
      <c r="V846">
        <v>158.23599243164</v>
      </c>
      <c r="W846">
        <v>1.6038699640235601</v>
      </c>
      <c r="X846">
        <v>0.90944999456405595</v>
      </c>
    </row>
    <row r="847" spans="1:24" x14ac:dyDescent="0.25">
      <c r="A847" s="4">
        <v>45664</v>
      </c>
      <c r="B847">
        <v>4.42</v>
      </c>
      <c r="C847">
        <v>4.3499999999999996</v>
      </c>
      <c r="D847">
        <v>4.3499999999999996</v>
      </c>
      <c r="E847">
        <v>4.3099999999999996</v>
      </c>
      <c r="F847">
        <v>4.24</v>
      </c>
      <c r="G847">
        <v>4.1900000000000004</v>
      </c>
      <c r="H847">
        <v>4.3</v>
      </c>
      <c r="I847">
        <v>4.33</v>
      </c>
      <c r="J847">
        <v>4.46</v>
      </c>
      <c r="K847">
        <v>4.57</v>
      </c>
      <c r="L847">
        <v>4.67</v>
      </c>
      <c r="M847">
        <v>4.97</v>
      </c>
      <c r="N847">
        <v>4.91</v>
      </c>
      <c r="O847">
        <v>6.0738000000000003</v>
      </c>
      <c r="P847">
        <v>4338</v>
      </c>
      <c r="Q847">
        <v>1010.98</v>
      </c>
      <c r="R847">
        <v>3.7759999999999998</v>
      </c>
      <c r="S847">
        <v>20.295200000000001</v>
      </c>
      <c r="T847">
        <v>0.962800025388165</v>
      </c>
      <c r="U847">
        <v>0.79930000572656701</v>
      </c>
      <c r="V847">
        <v>157.74299621582</v>
      </c>
      <c r="W847">
        <v>1.60279494338414</v>
      </c>
      <c r="X847">
        <v>0.90504002571105902</v>
      </c>
    </row>
    <row r="848" spans="1:24" x14ac:dyDescent="0.25">
      <c r="A848" s="4">
        <v>45663</v>
      </c>
      <c r="B848">
        <v>4.43</v>
      </c>
      <c r="C848">
        <v>4.3600000000000003</v>
      </c>
      <c r="D848">
        <v>4.3499999999999996</v>
      </c>
      <c r="E848">
        <v>4.3099999999999996</v>
      </c>
      <c r="F848">
        <v>4.24</v>
      </c>
      <c r="G848">
        <v>4.17</v>
      </c>
      <c r="H848">
        <v>4.28</v>
      </c>
      <c r="I848">
        <v>4.3</v>
      </c>
      <c r="J848">
        <v>4.42</v>
      </c>
      <c r="K848">
        <v>4.5199999999999996</v>
      </c>
      <c r="L848">
        <v>4.62</v>
      </c>
      <c r="M848">
        <v>4.91</v>
      </c>
      <c r="N848">
        <v>4.8499999999999996</v>
      </c>
      <c r="O848">
        <v>6.1116000000000001</v>
      </c>
      <c r="P848">
        <v>4344</v>
      </c>
      <c r="Q848">
        <v>1011.82</v>
      </c>
      <c r="R848">
        <v>3.76</v>
      </c>
      <c r="S848">
        <v>20.3096</v>
      </c>
      <c r="T848">
        <v>0.97037000020359099</v>
      </c>
      <c r="U848">
        <v>0.804709955606982</v>
      </c>
      <c r="V848">
        <v>157.48100280761699</v>
      </c>
      <c r="W848">
        <v>1.6076899813369601</v>
      </c>
      <c r="X848">
        <v>0.909309983253479</v>
      </c>
    </row>
    <row r="849" spans="1:24" x14ac:dyDescent="0.25">
      <c r="A849" s="4">
        <v>45660</v>
      </c>
      <c r="B849">
        <v>4.4400000000000004</v>
      </c>
      <c r="C849">
        <v>4.3499999999999996</v>
      </c>
      <c r="D849">
        <v>4.34</v>
      </c>
      <c r="E849">
        <v>4.3099999999999996</v>
      </c>
      <c r="F849">
        <v>4.25</v>
      </c>
      <c r="G849">
        <v>4.18</v>
      </c>
      <c r="H849">
        <v>4.28</v>
      </c>
      <c r="I849">
        <v>4.32</v>
      </c>
      <c r="J849">
        <v>4.41</v>
      </c>
      <c r="K849">
        <v>4.51</v>
      </c>
      <c r="L849">
        <v>4.5999999999999996</v>
      </c>
      <c r="M849">
        <v>4.88</v>
      </c>
      <c r="N849">
        <v>4.82</v>
      </c>
      <c r="O849">
        <v>6.1559999999999997</v>
      </c>
      <c r="P849">
        <v>4344</v>
      </c>
      <c r="Q849">
        <v>999.84</v>
      </c>
      <c r="R849">
        <v>3.7669999999999999</v>
      </c>
      <c r="S849">
        <v>20.6724</v>
      </c>
      <c r="T849">
        <v>0.97388001177208805</v>
      </c>
      <c r="U849">
        <v>0.80773995277740596</v>
      </c>
      <c r="V849">
        <v>157.36199951171801</v>
      </c>
      <c r="W849">
        <v>1.6126949961728101</v>
      </c>
      <c r="X849">
        <v>0.91201001405715898</v>
      </c>
    </row>
    <row r="850" spans="1:24" x14ac:dyDescent="0.25">
      <c r="A850" s="4">
        <v>45659</v>
      </c>
      <c r="B850">
        <v>4.45</v>
      </c>
      <c r="C850">
        <v>4.3600000000000003</v>
      </c>
      <c r="D850">
        <v>4.3600000000000003</v>
      </c>
      <c r="E850">
        <v>4.3099999999999996</v>
      </c>
      <c r="F850">
        <v>4.25</v>
      </c>
      <c r="G850">
        <v>4.17</v>
      </c>
      <c r="H850">
        <v>4.25</v>
      </c>
      <c r="I850">
        <v>4.29</v>
      </c>
      <c r="J850">
        <v>4.38</v>
      </c>
      <c r="K850">
        <v>4.47</v>
      </c>
      <c r="L850">
        <v>4.57</v>
      </c>
      <c r="M850">
        <v>4.8600000000000003</v>
      </c>
      <c r="N850">
        <v>4.79</v>
      </c>
      <c r="O850">
        <v>6.2083000000000004</v>
      </c>
      <c r="P850">
        <v>4378</v>
      </c>
      <c r="Q850">
        <v>996.46</v>
      </c>
      <c r="R850">
        <v>3.7530000000000001</v>
      </c>
      <c r="S850">
        <v>20.618500000000001</v>
      </c>
      <c r="T850">
        <v>0.96600992426100596</v>
      </c>
      <c r="U850">
        <v>0.79876997577677999</v>
      </c>
      <c r="V850">
        <v>157.718994140625</v>
      </c>
      <c r="W850">
        <v>1.61441303846193</v>
      </c>
      <c r="X850">
        <v>0.90775001049041704</v>
      </c>
    </row>
    <row r="851" spans="1:24" x14ac:dyDescent="0.25">
      <c r="A851" s="4">
        <v>45657</v>
      </c>
      <c r="B851">
        <v>4.4000000000000004</v>
      </c>
      <c r="C851">
        <v>4.3899999999999997</v>
      </c>
      <c r="D851">
        <v>4.37</v>
      </c>
      <c r="E851">
        <v>4.32</v>
      </c>
      <c r="F851">
        <v>4.24</v>
      </c>
      <c r="G851">
        <v>4.16</v>
      </c>
      <c r="H851">
        <v>4.25</v>
      </c>
      <c r="I851">
        <v>4.2699999999999996</v>
      </c>
      <c r="J851">
        <v>4.38</v>
      </c>
      <c r="K851">
        <v>4.4800000000000004</v>
      </c>
      <c r="L851">
        <v>4.58</v>
      </c>
      <c r="M851">
        <v>4.8600000000000003</v>
      </c>
      <c r="N851">
        <v>4.78</v>
      </c>
      <c r="O851">
        <v>6.1920000000000002</v>
      </c>
      <c r="P851">
        <v>4405</v>
      </c>
      <c r="Q851">
        <v>992.12</v>
      </c>
      <c r="R851">
        <v>3.7570000000000001</v>
      </c>
      <c r="S851">
        <v>20.882899999999999</v>
      </c>
      <c r="T851">
        <v>0.96097000989654002</v>
      </c>
      <c r="U851">
        <v>0.79686997569190698</v>
      </c>
      <c r="V851">
        <v>156.99499511718699</v>
      </c>
      <c r="W851">
        <v>1.6077170960309399</v>
      </c>
      <c r="X851">
        <v>0.90324002504348699</v>
      </c>
    </row>
    <row r="852" spans="1:24" x14ac:dyDescent="0.25">
      <c r="A852" s="4">
        <v>45656</v>
      </c>
      <c r="B852">
        <v>4.43</v>
      </c>
      <c r="C852">
        <v>4.42</v>
      </c>
      <c r="D852">
        <v>4.37</v>
      </c>
      <c r="E852">
        <v>4.33</v>
      </c>
      <c r="F852">
        <v>4.25</v>
      </c>
      <c r="G852">
        <v>4.17</v>
      </c>
      <c r="H852">
        <v>4.24</v>
      </c>
      <c r="I852">
        <v>4.29</v>
      </c>
      <c r="J852">
        <v>4.37</v>
      </c>
      <c r="K852">
        <v>4.46</v>
      </c>
      <c r="L852">
        <v>4.55</v>
      </c>
      <c r="M852">
        <v>4.84</v>
      </c>
      <c r="N852">
        <v>4.7699999999999996</v>
      </c>
      <c r="O852">
        <v>6.1920000000000002</v>
      </c>
      <c r="P852">
        <v>4405</v>
      </c>
      <c r="Q852">
        <v>992.12</v>
      </c>
      <c r="R852">
        <v>3.7570000000000001</v>
      </c>
      <c r="S852">
        <v>20.657900000000001</v>
      </c>
      <c r="T852">
        <v>0.95882999214977604</v>
      </c>
      <c r="U852">
        <v>0.794987958530186</v>
      </c>
      <c r="V852">
        <v>157.87300109863199</v>
      </c>
      <c r="W852">
        <v>1.60640000980468</v>
      </c>
      <c r="X852">
        <v>0.90183997154235795</v>
      </c>
    </row>
    <row r="853" spans="1:24" x14ac:dyDescent="0.25">
      <c r="A853" s="4">
        <v>45653</v>
      </c>
      <c r="B853">
        <v>4.4400000000000004</v>
      </c>
      <c r="C853">
        <v>4.43</v>
      </c>
      <c r="D853">
        <v>4.3099999999999996</v>
      </c>
      <c r="E853">
        <v>4.3499999999999996</v>
      </c>
      <c r="F853">
        <v>4.29</v>
      </c>
      <c r="G853">
        <v>4.2</v>
      </c>
      <c r="H853">
        <v>4.3099999999999996</v>
      </c>
      <c r="I853">
        <v>4.3600000000000003</v>
      </c>
      <c r="J853">
        <v>4.45</v>
      </c>
      <c r="K853">
        <v>4.53</v>
      </c>
      <c r="L853">
        <v>4.62</v>
      </c>
      <c r="M853">
        <v>4.8899999999999997</v>
      </c>
      <c r="N853">
        <v>4.82</v>
      </c>
      <c r="O853">
        <v>6.1988000000000003</v>
      </c>
      <c r="P853">
        <v>4410</v>
      </c>
      <c r="Q853">
        <v>990.95</v>
      </c>
      <c r="R853">
        <v>3.7469999999999999</v>
      </c>
      <c r="S853">
        <v>20.319199999999999</v>
      </c>
      <c r="T853">
        <v>0.95940000901230804</v>
      </c>
      <c r="U853">
        <v>0.79809999749779303</v>
      </c>
      <c r="V853">
        <v>157.74800109863199</v>
      </c>
      <c r="W853">
        <v>1.6069400680467101</v>
      </c>
      <c r="X853">
        <v>0.89889997243881203</v>
      </c>
    </row>
    <row r="854" spans="1:24" x14ac:dyDescent="0.25">
      <c r="A854" s="4">
        <v>45652</v>
      </c>
      <c r="B854">
        <v>4.45</v>
      </c>
      <c r="C854">
        <v>4.45</v>
      </c>
      <c r="D854">
        <v>4.3499999999999996</v>
      </c>
      <c r="E854">
        <v>4.37</v>
      </c>
      <c r="F854">
        <v>4.3099999999999996</v>
      </c>
      <c r="G854">
        <v>4.2300000000000004</v>
      </c>
      <c r="H854">
        <v>4.3</v>
      </c>
      <c r="I854">
        <v>4.3499999999999996</v>
      </c>
      <c r="J854">
        <v>4.42</v>
      </c>
      <c r="K854">
        <v>4.49</v>
      </c>
      <c r="L854">
        <v>4.58</v>
      </c>
      <c r="M854">
        <v>4.83</v>
      </c>
      <c r="N854">
        <v>4.76</v>
      </c>
      <c r="O854">
        <v>6.1653000000000002</v>
      </c>
      <c r="P854">
        <v>4393.93</v>
      </c>
      <c r="Q854">
        <v>989.07</v>
      </c>
      <c r="R854">
        <v>3.74</v>
      </c>
      <c r="S854">
        <v>20.208300000000001</v>
      </c>
      <c r="T854">
        <v>0.96157993969583799</v>
      </c>
      <c r="U854">
        <v>0.79721000522976704</v>
      </c>
      <c r="V854">
        <v>157.13299560546801</v>
      </c>
      <c r="W854">
        <v>1.6013900616017001</v>
      </c>
      <c r="X854">
        <v>0.89942002296447698</v>
      </c>
    </row>
    <row r="855" spans="1:24" x14ac:dyDescent="0.25">
      <c r="A855" s="4">
        <v>45650</v>
      </c>
      <c r="B855">
        <v>4.4400000000000004</v>
      </c>
      <c r="C855">
        <v>4.4400000000000004</v>
      </c>
      <c r="D855">
        <v>4.4000000000000004</v>
      </c>
      <c r="E855">
        <v>4.38</v>
      </c>
      <c r="F855">
        <v>4.3</v>
      </c>
      <c r="G855">
        <v>4.24</v>
      </c>
      <c r="H855">
        <v>4.29</v>
      </c>
      <c r="I855">
        <v>4.3600000000000003</v>
      </c>
      <c r="J855">
        <v>4.43</v>
      </c>
      <c r="K855">
        <v>4.5199999999999996</v>
      </c>
      <c r="L855">
        <v>4.59</v>
      </c>
      <c r="M855">
        <v>4.84</v>
      </c>
      <c r="N855">
        <v>4.76</v>
      </c>
      <c r="O855">
        <v>6.1534000000000004</v>
      </c>
      <c r="P855">
        <v>4375</v>
      </c>
      <c r="Q855">
        <v>992.78</v>
      </c>
      <c r="R855">
        <v>3.73</v>
      </c>
      <c r="S855">
        <v>20.196200000000001</v>
      </c>
      <c r="T855">
        <v>0.961000064153675</v>
      </c>
      <c r="U855">
        <v>0.797800027104974</v>
      </c>
      <c r="V855">
        <v>157.16499328613199</v>
      </c>
      <c r="W855">
        <v>1.6013000361640799</v>
      </c>
      <c r="X855">
        <v>0.89846998453140203</v>
      </c>
    </row>
    <row r="856" spans="1:24" x14ac:dyDescent="0.25">
      <c r="A856" s="4">
        <v>45649</v>
      </c>
      <c r="B856">
        <v>4.4400000000000004</v>
      </c>
      <c r="C856">
        <v>4.4400000000000004</v>
      </c>
      <c r="D856">
        <v>4.3600000000000003</v>
      </c>
      <c r="E856">
        <v>4.37</v>
      </c>
      <c r="F856">
        <v>4.3</v>
      </c>
      <c r="G856">
        <v>4.26</v>
      </c>
      <c r="H856">
        <v>4.3</v>
      </c>
      <c r="I856">
        <v>4.3600000000000003</v>
      </c>
      <c r="J856">
        <v>4.4400000000000004</v>
      </c>
      <c r="K856">
        <v>4.5199999999999996</v>
      </c>
      <c r="L856">
        <v>4.59</v>
      </c>
      <c r="M856">
        <v>4.8499999999999996</v>
      </c>
      <c r="N856">
        <v>4.78</v>
      </c>
      <c r="O856">
        <v>6.1608999999999998</v>
      </c>
      <c r="P856">
        <v>4419.5</v>
      </c>
      <c r="Q856">
        <v>991.18</v>
      </c>
      <c r="R856">
        <v>3.7229999999999999</v>
      </c>
      <c r="S856">
        <v>20.224</v>
      </c>
      <c r="T856">
        <v>0.95849003741930705</v>
      </c>
      <c r="U856">
        <v>0.79555002255696905</v>
      </c>
      <c r="V856">
        <v>156.53300476074199</v>
      </c>
      <c r="W856">
        <v>1.5992599859760299</v>
      </c>
      <c r="X856">
        <v>0.89305001497268599</v>
      </c>
    </row>
    <row r="857" spans="1:24" x14ac:dyDescent="0.25">
      <c r="A857" s="4">
        <v>45646</v>
      </c>
      <c r="B857">
        <v>4.43</v>
      </c>
      <c r="C857">
        <v>4.42</v>
      </c>
      <c r="D857">
        <v>4.34</v>
      </c>
      <c r="E857">
        <v>4.3499999999999996</v>
      </c>
      <c r="F857">
        <v>4.29</v>
      </c>
      <c r="G857">
        <v>4.2699999999999996</v>
      </c>
      <c r="H857">
        <v>4.3</v>
      </c>
      <c r="I857">
        <v>4.32</v>
      </c>
      <c r="J857">
        <v>4.37</v>
      </c>
      <c r="K857">
        <v>4.45</v>
      </c>
      <c r="L857">
        <v>4.5199999999999996</v>
      </c>
      <c r="M857">
        <v>4.79</v>
      </c>
      <c r="N857">
        <v>4.72</v>
      </c>
      <c r="O857">
        <v>6.0777000000000001</v>
      </c>
      <c r="P857">
        <v>4385</v>
      </c>
      <c r="Q857">
        <v>996.35</v>
      </c>
      <c r="R857">
        <v>3.7290000000000001</v>
      </c>
      <c r="S857">
        <v>20.034199999999998</v>
      </c>
      <c r="T857">
        <v>0.96479001696426003</v>
      </c>
      <c r="U857">
        <v>0.80013002601283301</v>
      </c>
      <c r="V857">
        <v>157.64399719238199</v>
      </c>
      <c r="W857">
        <v>1.6041070424813699</v>
      </c>
      <c r="X857">
        <v>0.89898997545242298</v>
      </c>
    </row>
    <row r="858" spans="1:24" x14ac:dyDescent="0.25">
      <c r="A858" s="4">
        <v>45645</v>
      </c>
      <c r="B858">
        <v>4.42</v>
      </c>
      <c r="C858">
        <v>4.42</v>
      </c>
      <c r="D858">
        <v>4.3499999999999996</v>
      </c>
      <c r="E858">
        <v>4.3499999999999996</v>
      </c>
      <c r="F858">
        <v>4.29</v>
      </c>
      <c r="G858">
        <v>4.28</v>
      </c>
      <c r="H858">
        <v>4.32</v>
      </c>
      <c r="I858">
        <v>4.3499999999999996</v>
      </c>
      <c r="J858">
        <v>4.43</v>
      </c>
      <c r="K858">
        <v>4.51</v>
      </c>
      <c r="L858">
        <v>4.57</v>
      </c>
      <c r="M858">
        <v>4.82</v>
      </c>
      <c r="N858">
        <v>4.74</v>
      </c>
      <c r="O858">
        <v>6.1837999999999997</v>
      </c>
      <c r="P858">
        <v>4378.5</v>
      </c>
      <c r="Q858">
        <v>988.44</v>
      </c>
      <c r="R858">
        <v>3.718</v>
      </c>
      <c r="S858">
        <v>20.298400000000001</v>
      </c>
      <c r="T858">
        <v>0.96616001458579304</v>
      </c>
      <c r="U858">
        <v>0.79569000236944298</v>
      </c>
      <c r="V858">
        <v>154.67300415039</v>
      </c>
      <c r="W858">
        <v>1.61129205673111</v>
      </c>
      <c r="X858">
        <v>0.901700019836425</v>
      </c>
    </row>
    <row r="859" spans="1:24" x14ac:dyDescent="0.25">
      <c r="A859" s="4">
        <v>45644</v>
      </c>
      <c r="B859">
        <v>4.4400000000000004</v>
      </c>
      <c r="C859">
        <v>4.43</v>
      </c>
      <c r="D859">
        <v>4.3600000000000003</v>
      </c>
      <c r="E859">
        <v>4.3600000000000003</v>
      </c>
      <c r="F859">
        <v>4.3</v>
      </c>
      <c r="G859">
        <v>4.3</v>
      </c>
      <c r="H859">
        <v>4.3499999999999996</v>
      </c>
      <c r="I859">
        <v>4.3499999999999996</v>
      </c>
      <c r="J859">
        <v>4.4000000000000004</v>
      </c>
      <c r="K859">
        <v>4.45</v>
      </c>
      <c r="L859">
        <v>4.5</v>
      </c>
      <c r="M859">
        <v>4.74</v>
      </c>
      <c r="N859">
        <v>4.6500000000000004</v>
      </c>
      <c r="O859">
        <v>6.1620999999999997</v>
      </c>
      <c r="P859">
        <v>4376.8500000000004</v>
      </c>
      <c r="Q859">
        <v>990.87</v>
      </c>
      <c r="R859">
        <v>3.7330000000000001</v>
      </c>
      <c r="S859">
        <v>20.372</v>
      </c>
      <c r="T859">
        <v>0.95283003973131397</v>
      </c>
      <c r="U859">
        <v>0.78673002316689999</v>
      </c>
      <c r="V859">
        <v>153.572006225585</v>
      </c>
      <c r="W859">
        <v>1.5770000275409799</v>
      </c>
      <c r="X859">
        <v>0.89248001575469904</v>
      </c>
    </row>
    <row r="860" spans="1:24" x14ac:dyDescent="0.25">
      <c r="A860" s="4">
        <v>45643</v>
      </c>
      <c r="B860">
        <v>4.46</v>
      </c>
      <c r="C860">
        <v>4.4400000000000004</v>
      </c>
      <c r="D860">
        <v>4.38</v>
      </c>
      <c r="E860">
        <v>4.3600000000000003</v>
      </c>
      <c r="F860">
        <v>4.3</v>
      </c>
      <c r="G860">
        <v>4.25</v>
      </c>
      <c r="H860">
        <v>4.25</v>
      </c>
      <c r="I860">
        <v>4.22</v>
      </c>
      <c r="J860">
        <v>4.26</v>
      </c>
      <c r="K860">
        <v>4.33</v>
      </c>
      <c r="L860">
        <v>4.4000000000000004</v>
      </c>
      <c r="M860">
        <v>4.68</v>
      </c>
      <c r="N860">
        <v>4.59</v>
      </c>
      <c r="O860">
        <v>6.1681999999999997</v>
      </c>
      <c r="P860">
        <v>4346</v>
      </c>
      <c r="Q860">
        <v>989.93</v>
      </c>
      <c r="R860">
        <v>3.738</v>
      </c>
      <c r="S860">
        <v>20.221399999999999</v>
      </c>
      <c r="T860">
        <v>0.95081002848256202</v>
      </c>
      <c r="U860">
        <v>0.78799997219467199</v>
      </c>
      <c r="V860">
        <v>154.08599853515599</v>
      </c>
      <c r="W860">
        <v>1.56828289862659</v>
      </c>
      <c r="X860">
        <v>0.89403998851776101</v>
      </c>
    </row>
    <row r="861" spans="1:24" x14ac:dyDescent="0.25">
      <c r="A861" s="4">
        <v>45642</v>
      </c>
      <c r="B861">
        <v>4.43</v>
      </c>
      <c r="C861">
        <v>4.4400000000000004</v>
      </c>
      <c r="D861">
        <v>4.37</v>
      </c>
      <c r="E861">
        <v>4.3600000000000003</v>
      </c>
      <c r="F861">
        <v>4.3</v>
      </c>
      <c r="G861">
        <v>4.24</v>
      </c>
      <c r="H861">
        <v>4.25</v>
      </c>
      <c r="I861">
        <v>4.22</v>
      </c>
      <c r="J861">
        <v>4.25</v>
      </c>
      <c r="K861">
        <v>4.32</v>
      </c>
      <c r="L861">
        <v>4.3899999999999997</v>
      </c>
      <c r="M861">
        <v>4.68</v>
      </c>
      <c r="N861">
        <v>4.5999999999999996</v>
      </c>
      <c r="O861">
        <v>6.0506500000000001</v>
      </c>
      <c r="P861">
        <v>4325.5</v>
      </c>
      <c r="Q861">
        <v>983.25</v>
      </c>
      <c r="R861">
        <v>3.7360000000000002</v>
      </c>
      <c r="S861">
        <v>20.125499999999999</v>
      </c>
      <c r="T861">
        <v>0.95147003829536703</v>
      </c>
      <c r="U861">
        <v>0.79192999876423298</v>
      </c>
      <c r="V861">
        <v>153.45300292968699</v>
      </c>
      <c r="W861">
        <v>1.57056993720515</v>
      </c>
      <c r="X861">
        <v>0.89174401760101296</v>
      </c>
    </row>
    <row r="862" spans="1:24" x14ac:dyDescent="0.25">
      <c r="A862" s="4">
        <v>45639</v>
      </c>
      <c r="B862">
        <v>4.43</v>
      </c>
      <c r="C862">
        <v>4.43</v>
      </c>
      <c r="D862">
        <v>4.34</v>
      </c>
      <c r="E862">
        <v>4.3600000000000003</v>
      </c>
      <c r="F862">
        <v>4.32</v>
      </c>
      <c r="G862">
        <v>4.24</v>
      </c>
      <c r="H862">
        <v>4.25</v>
      </c>
      <c r="I862">
        <v>4.21</v>
      </c>
      <c r="J862">
        <v>4.25</v>
      </c>
      <c r="K862">
        <v>4.33</v>
      </c>
      <c r="L862">
        <v>4.4000000000000004</v>
      </c>
      <c r="M862">
        <v>4.6900000000000004</v>
      </c>
      <c r="N862">
        <v>4.6100000000000003</v>
      </c>
      <c r="O862">
        <v>6.0396999999999998</v>
      </c>
      <c r="P862">
        <v>4317.3999999999996</v>
      </c>
      <c r="Q862">
        <v>975.67</v>
      </c>
      <c r="R862">
        <v>3.7280000000000002</v>
      </c>
      <c r="S862">
        <v>20.1281</v>
      </c>
      <c r="T862">
        <v>0.95473997797701504</v>
      </c>
      <c r="U862">
        <v>0.78881001569418796</v>
      </c>
      <c r="V862">
        <v>152.58700561523401</v>
      </c>
      <c r="W862">
        <v>1.5686270403248901</v>
      </c>
      <c r="X862">
        <v>0.89200997352600098</v>
      </c>
    </row>
    <row r="863" spans="1:24" x14ac:dyDescent="0.25">
      <c r="A863" s="4">
        <v>45638</v>
      </c>
      <c r="B863">
        <v>4.43</v>
      </c>
      <c r="C863">
        <v>4.4400000000000004</v>
      </c>
      <c r="D863">
        <v>4.3499999999999996</v>
      </c>
      <c r="E863">
        <v>4.3600000000000003</v>
      </c>
      <c r="F863">
        <v>4.3099999999999996</v>
      </c>
      <c r="G863">
        <v>4.22</v>
      </c>
      <c r="H863">
        <v>4.18</v>
      </c>
      <c r="I863">
        <v>4.1399999999999997</v>
      </c>
      <c r="J863">
        <v>4.18</v>
      </c>
      <c r="K863">
        <v>4.25</v>
      </c>
      <c r="L863">
        <v>4.32</v>
      </c>
      <c r="M863">
        <v>4.62</v>
      </c>
      <c r="N863">
        <v>4.55</v>
      </c>
      <c r="O863">
        <v>5.9405000000000001</v>
      </c>
      <c r="P863">
        <v>4347.9399999999996</v>
      </c>
      <c r="Q863">
        <v>975.81</v>
      </c>
      <c r="R863">
        <v>3.7370000000000001</v>
      </c>
      <c r="S863">
        <v>20.110800000000001</v>
      </c>
      <c r="T863">
        <v>0.95175999868387895</v>
      </c>
      <c r="U863">
        <v>0.78331002000153105</v>
      </c>
      <c r="V863">
        <v>152.24499511718699</v>
      </c>
      <c r="W863">
        <v>1.5664399806879401</v>
      </c>
      <c r="X863">
        <v>0.88321000337600697</v>
      </c>
    </row>
    <row r="864" spans="1:24" x14ac:dyDescent="0.25">
      <c r="A864" s="4">
        <v>45637</v>
      </c>
      <c r="B864">
        <v>4.49</v>
      </c>
      <c r="C864">
        <v>4.45</v>
      </c>
      <c r="D864">
        <v>4.38</v>
      </c>
      <c r="E864">
        <v>4.38</v>
      </c>
      <c r="F864">
        <v>4.32</v>
      </c>
      <c r="G864">
        <v>4.21</v>
      </c>
      <c r="H864">
        <v>4.1500000000000004</v>
      </c>
      <c r="I864">
        <v>4.09</v>
      </c>
      <c r="J864">
        <v>4.13</v>
      </c>
      <c r="K864">
        <v>4.2</v>
      </c>
      <c r="L864">
        <v>4.26</v>
      </c>
      <c r="M864">
        <v>4.55</v>
      </c>
      <c r="N864">
        <v>4.4800000000000004</v>
      </c>
      <c r="O864">
        <v>6.0316999999999998</v>
      </c>
      <c r="P864">
        <v>4344.99</v>
      </c>
      <c r="Q864">
        <v>972.43</v>
      </c>
      <c r="R864">
        <v>3.726</v>
      </c>
      <c r="S864">
        <v>20.110800000000001</v>
      </c>
      <c r="T864">
        <v>0.94940001317383704</v>
      </c>
      <c r="U864">
        <v>0.78246998766962195</v>
      </c>
      <c r="V864">
        <v>151.80700683593699</v>
      </c>
      <c r="W864">
        <v>1.5683809790190899</v>
      </c>
      <c r="X864">
        <v>0.88249999284744196</v>
      </c>
    </row>
    <row r="865" spans="1:24" x14ac:dyDescent="0.25">
      <c r="A865" s="4">
        <v>45636</v>
      </c>
      <c r="B865">
        <v>4.53</v>
      </c>
      <c r="C865">
        <v>4.4800000000000004</v>
      </c>
      <c r="D865">
        <v>4.41</v>
      </c>
      <c r="E865">
        <v>4.42</v>
      </c>
      <c r="F865">
        <v>4.3499999999999996</v>
      </c>
      <c r="G865">
        <v>4.22</v>
      </c>
      <c r="H865">
        <v>4.1500000000000004</v>
      </c>
      <c r="I865">
        <v>4.08</v>
      </c>
      <c r="J865">
        <v>4.09</v>
      </c>
      <c r="K865">
        <v>4.1500000000000004</v>
      </c>
      <c r="L865">
        <v>4.22</v>
      </c>
      <c r="M865">
        <v>4.49</v>
      </c>
      <c r="N865">
        <v>4.41</v>
      </c>
      <c r="O865">
        <v>6.0526</v>
      </c>
      <c r="P865">
        <v>4371.6000000000004</v>
      </c>
      <c r="Q865">
        <v>969.92</v>
      </c>
      <c r="R865">
        <v>3.71</v>
      </c>
      <c r="S865">
        <v>20.170999999999999</v>
      </c>
      <c r="T865">
        <v>0.94739996071985799</v>
      </c>
      <c r="U865">
        <v>0.78436998934426205</v>
      </c>
      <c r="V865">
        <v>151.40800476074199</v>
      </c>
      <c r="W865">
        <v>1.55330008830652</v>
      </c>
      <c r="X865">
        <v>0.878589987754821</v>
      </c>
    </row>
    <row r="866" spans="1:24" x14ac:dyDescent="0.25">
      <c r="A866" s="4">
        <v>45635</v>
      </c>
      <c r="B866">
        <v>4.5599999999999996</v>
      </c>
      <c r="C866">
        <v>4.5</v>
      </c>
      <c r="D866">
        <v>4.42</v>
      </c>
      <c r="E866">
        <v>4.43</v>
      </c>
      <c r="F866">
        <v>4.34</v>
      </c>
      <c r="G866">
        <v>4.2</v>
      </c>
      <c r="H866">
        <v>4.13</v>
      </c>
      <c r="I866">
        <v>4.09</v>
      </c>
      <c r="J866">
        <v>4.07</v>
      </c>
      <c r="K866">
        <v>4.13</v>
      </c>
      <c r="L866">
        <v>4.2</v>
      </c>
      <c r="M866">
        <v>4.47</v>
      </c>
      <c r="N866">
        <v>4.3899999999999997</v>
      </c>
      <c r="O866">
        <v>6.0567000000000002</v>
      </c>
      <c r="P866">
        <v>4369</v>
      </c>
      <c r="Q866">
        <v>971.62</v>
      </c>
      <c r="R866">
        <v>3.7160000000000002</v>
      </c>
      <c r="S866">
        <v>20.200399999999998</v>
      </c>
      <c r="T866">
        <v>0.94648002759351202</v>
      </c>
      <c r="U866">
        <v>0.78435700804636899</v>
      </c>
      <c r="V866">
        <v>150.02999877929599</v>
      </c>
      <c r="W866">
        <v>1.5625199713037199</v>
      </c>
      <c r="X866">
        <v>0.87866997718811002</v>
      </c>
    </row>
    <row r="867" spans="1:24" x14ac:dyDescent="0.25">
      <c r="A867" s="4">
        <v>45632</v>
      </c>
      <c r="B867">
        <v>4.57</v>
      </c>
      <c r="C867">
        <v>4.5</v>
      </c>
      <c r="D867">
        <v>4.42</v>
      </c>
      <c r="E867">
        <v>4.42</v>
      </c>
      <c r="F867">
        <v>4.34</v>
      </c>
      <c r="G867">
        <v>4.1900000000000004</v>
      </c>
      <c r="H867">
        <v>4.0999999999999996</v>
      </c>
      <c r="I867">
        <v>4.05</v>
      </c>
      <c r="J867">
        <v>4.03</v>
      </c>
      <c r="K867">
        <v>4.09</v>
      </c>
      <c r="L867">
        <v>4.1500000000000004</v>
      </c>
      <c r="M867">
        <v>4.42</v>
      </c>
      <c r="N867">
        <v>4.34</v>
      </c>
      <c r="O867">
        <v>6.0289999999999999</v>
      </c>
      <c r="P867">
        <v>4407.4399999999996</v>
      </c>
      <c r="Q867">
        <v>971.65</v>
      </c>
      <c r="R867">
        <v>3.7160000000000002</v>
      </c>
      <c r="S867">
        <v>20.179300000000001</v>
      </c>
      <c r="T867">
        <v>0.94467997794104597</v>
      </c>
      <c r="U867">
        <v>0.78373997564303699</v>
      </c>
      <c r="V867">
        <v>150.20700073242099</v>
      </c>
      <c r="W867">
        <v>1.5504119993338901</v>
      </c>
      <c r="X867">
        <v>0.87841999530792203</v>
      </c>
    </row>
    <row r="868" spans="1:24" x14ac:dyDescent="0.25">
      <c r="A868" s="4">
        <v>45631</v>
      </c>
      <c r="B868">
        <v>4.59</v>
      </c>
      <c r="C868">
        <v>4.53</v>
      </c>
      <c r="D868">
        <v>4.46</v>
      </c>
      <c r="E868">
        <v>4.46</v>
      </c>
      <c r="F868">
        <v>4.38</v>
      </c>
      <c r="G868">
        <v>4.2300000000000004</v>
      </c>
      <c r="H868">
        <v>4.1500000000000004</v>
      </c>
      <c r="I868">
        <v>4.0999999999999996</v>
      </c>
      <c r="J868">
        <v>4.07</v>
      </c>
      <c r="K868">
        <v>4.12</v>
      </c>
      <c r="L868">
        <v>4.17</v>
      </c>
      <c r="M868">
        <v>4.43</v>
      </c>
      <c r="N868">
        <v>4.33</v>
      </c>
      <c r="O868">
        <v>5.9846000000000004</v>
      </c>
      <c r="P868">
        <v>4415.5</v>
      </c>
      <c r="Q868">
        <v>974.37</v>
      </c>
      <c r="R868">
        <v>3.7240000000000002</v>
      </c>
      <c r="S868">
        <v>20.2043</v>
      </c>
      <c r="T868">
        <v>0.95110001801607502</v>
      </c>
      <c r="U868">
        <v>0.78732997443991004</v>
      </c>
      <c r="V868">
        <v>150.56700134277301</v>
      </c>
      <c r="W868">
        <v>1.5544999632621199</v>
      </c>
      <c r="X868">
        <v>0.88375002145767201</v>
      </c>
    </row>
    <row r="869" spans="1:24" x14ac:dyDescent="0.25">
      <c r="A869" s="4">
        <v>45630</v>
      </c>
      <c r="B869">
        <v>4.6500000000000004</v>
      </c>
      <c r="C869">
        <v>4.54</v>
      </c>
      <c r="D869">
        <v>4.47</v>
      </c>
      <c r="E869">
        <v>4.46</v>
      </c>
      <c r="F869">
        <v>4.38</v>
      </c>
      <c r="G869">
        <v>4.2300000000000004</v>
      </c>
      <c r="H869">
        <v>4.13</v>
      </c>
      <c r="I869">
        <v>4.09</v>
      </c>
      <c r="J869">
        <v>4.07</v>
      </c>
      <c r="K869">
        <v>4.13</v>
      </c>
      <c r="L869">
        <v>4.1900000000000004</v>
      </c>
      <c r="M869">
        <v>4.45</v>
      </c>
      <c r="N869">
        <v>4.3499999999999996</v>
      </c>
      <c r="O869">
        <v>6.0578000000000003</v>
      </c>
      <c r="P869">
        <v>4415</v>
      </c>
      <c r="Q869">
        <v>972.75</v>
      </c>
      <c r="R869">
        <v>3.738</v>
      </c>
      <c r="S869">
        <v>20.3001</v>
      </c>
      <c r="T869">
        <v>0.95140000362930299</v>
      </c>
      <c r="U869">
        <v>0.788999948269132</v>
      </c>
      <c r="V869">
        <v>149.64700317382801</v>
      </c>
      <c r="W869">
        <v>1.5419000923731101</v>
      </c>
      <c r="X869">
        <v>0.88639998435974099</v>
      </c>
    </row>
    <row r="870" spans="1:24" x14ac:dyDescent="0.25">
      <c r="A870" s="4">
        <v>45629</v>
      </c>
      <c r="B870">
        <v>4.66</v>
      </c>
      <c r="C870">
        <v>4.5599999999999996</v>
      </c>
      <c r="D870">
        <v>4.49</v>
      </c>
      <c r="E870">
        <v>4.4800000000000004</v>
      </c>
      <c r="F870">
        <v>4.4000000000000004</v>
      </c>
      <c r="G870">
        <v>4.2699999999999996</v>
      </c>
      <c r="H870">
        <v>4.17</v>
      </c>
      <c r="I870">
        <v>4.13</v>
      </c>
      <c r="J870">
        <v>4.1100000000000003</v>
      </c>
      <c r="K870">
        <v>4.17</v>
      </c>
      <c r="L870">
        <v>4.2300000000000004</v>
      </c>
      <c r="M870">
        <v>4.5</v>
      </c>
      <c r="N870">
        <v>4.4000000000000004</v>
      </c>
      <c r="O870">
        <v>6.0704000000000002</v>
      </c>
      <c r="P870">
        <v>4440.5</v>
      </c>
      <c r="Q870">
        <v>979.1</v>
      </c>
      <c r="R870">
        <v>3.7360000000000002</v>
      </c>
      <c r="S870">
        <v>20.341799999999999</v>
      </c>
      <c r="T870">
        <v>0.95226996281671195</v>
      </c>
      <c r="U870">
        <v>0.78997999766450999</v>
      </c>
      <c r="V870">
        <v>149.50799560546801</v>
      </c>
      <c r="W870">
        <v>1.54432994644299</v>
      </c>
      <c r="X870">
        <v>0.88628000020980802</v>
      </c>
    </row>
    <row r="871" spans="1:24" x14ac:dyDescent="0.25">
      <c r="A871" s="4">
        <v>45628</v>
      </c>
      <c r="B871">
        <v>4.75</v>
      </c>
      <c r="C871">
        <v>4.63</v>
      </c>
      <c r="D871">
        <v>4.51</v>
      </c>
      <c r="E871">
        <v>4.51</v>
      </c>
      <c r="F871">
        <v>4.43</v>
      </c>
      <c r="G871">
        <v>4.3</v>
      </c>
      <c r="H871">
        <v>4.17</v>
      </c>
      <c r="I871">
        <v>4.1100000000000003</v>
      </c>
      <c r="J871">
        <v>4.08</v>
      </c>
      <c r="K871">
        <v>4.13</v>
      </c>
      <c r="L871">
        <v>4.1900000000000004</v>
      </c>
      <c r="M871">
        <v>4.46</v>
      </c>
      <c r="N871">
        <v>4.3600000000000003</v>
      </c>
      <c r="O871">
        <v>6.0631000000000004</v>
      </c>
      <c r="P871">
        <v>4460.8999999999996</v>
      </c>
      <c r="Q871">
        <v>977.66</v>
      </c>
      <c r="R871">
        <v>3.7549999999999999</v>
      </c>
      <c r="S871">
        <v>20.392600000000002</v>
      </c>
      <c r="T871">
        <v>0.94830999847385999</v>
      </c>
      <c r="U871">
        <v>0.78729997361778903</v>
      </c>
      <c r="V871">
        <v>149.89799499511699</v>
      </c>
      <c r="W871">
        <v>1.53789002591655</v>
      </c>
      <c r="X871">
        <v>0.88202697038650502</v>
      </c>
    </row>
    <row r="872" spans="1:24" x14ac:dyDescent="0.25">
      <c r="A872" s="4">
        <v>45625</v>
      </c>
      <c r="B872">
        <v>4.76</v>
      </c>
      <c r="C872">
        <v>4.6900000000000004</v>
      </c>
      <c r="D872">
        <v>4.58</v>
      </c>
      <c r="E872">
        <v>4.5199999999999996</v>
      </c>
      <c r="F872">
        <v>4.42</v>
      </c>
      <c r="G872">
        <v>4.3</v>
      </c>
      <c r="H872">
        <v>4.13</v>
      </c>
      <c r="I872">
        <v>4.0999999999999996</v>
      </c>
      <c r="J872">
        <v>4.05</v>
      </c>
      <c r="K872">
        <v>4.0999999999999996</v>
      </c>
      <c r="L872">
        <v>4.18</v>
      </c>
      <c r="M872">
        <v>4.45</v>
      </c>
      <c r="N872">
        <v>4.3600000000000003</v>
      </c>
      <c r="O872">
        <v>6.0532000000000004</v>
      </c>
      <c r="P872">
        <v>4434.9799999999996</v>
      </c>
      <c r="Q872">
        <v>977.32</v>
      </c>
      <c r="R872">
        <v>3.7589999999999999</v>
      </c>
      <c r="S872">
        <v>20.3611</v>
      </c>
      <c r="T872">
        <v>0.94669996052316996</v>
      </c>
      <c r="U872">
        <v>0.78760001081604003</v>
      </c>
      <c r="V872">
        <v>151.17399597167901</v>
      </c>
      <c r="W872">
        <v>1.53671198612589</v>
      </c>
      <c r="X872">
        <v>0.88234001398086503</v>
      </c>
    </row>
    <row r="873" spans="1:24" x14ac:dyDescent="0.25">
      <c r="A873" s="4">
        <v>45623</v>
      </c>
      <c r="B873">
        <v>4.76</v>
      </c>
      <c r="C873">
        <v>4.7</v>
      </c>
      <c r="D873">
        <v>4.5999999999999996</v>
      </c>
      <c r="E873">
        <v>4.54</v>
      </c>
      <c r="F873">
        <v>4.43</v>
      </c>
      <c r="G873">
        <v>4.34</v>
      </c>
      <c r="H873">
        <v>4.1900000000000004</v>
      </c>
      <c r="I873">
        <v>4.17</v>
      </c>
      <c r="J873">
        <v>4.1100000000000003</v>
      </c>
      <c r="K873">
        <v>4.17</v>
      </c>
      <c r="L873">
        <v>4.25</v>
      </c>
      <c r="M873">
        <v>4.5199999999999996</v>
      </c>
      <c r="N873">
        <v>4.4400000000000004</v>
      </c>
      <c r="O873">
        <v>5.8288000000000002</v>
      </c>
      <c r="P873">
        <v>4383</v>
      </c>
      <c r="Q873">
        <v>975.06</v>
      </c>
      <c r="R873">
        <v>3.7519999999999998</v>
      </c>
      <c r="S873">
        <v>20.614699999999999</v>
      </c>
      <c r="T873">
        <v>0.95317996217326995</v>
      </c>
      <c r="U873">
        <v>0.79529999256711903</v>
      </c>
      <c r="V873">
        <v>153.00900268554599</v>
      </c>
      <c r="W873">
        <v>1.54436008376275</v>
      </c>
      <c r="X873">
        <v>0.88626998662948597</v>
      </c>
    </row>
    <row r="874" spans="1:24" x14ac:dyDescent="0.25">
      <c r="A874" s="4">
        <v>45622</v>
      </c>
      <c r="B874">
        <v>4.74</v>
      </c>
      <c r="C874">
        <v>4.67</v>
      </c>
      <c r="D874">
        <v>4.6100000000000003</v>
      </c>
      <c r="E874">
        <v>4.5199999999999996</v>
      </c>
      <c r="F874">
        <v>4.45</v>
      </c>
      <c r="G874">
        <v>4.37</v>
      </c>
      <c r="H874">
        <v>4.21</v>
      </c>
      <c r="I874">
        <v>4.21</v>
      </c>
      <c r="J874">
        <v>4.17</v>
      </c>
      <c r="K874">
        <v>4.24</v>
      </c>
      <c r="L874">
        <v>4.3</v>
      </c>
      <c r="M874">
        <v>4.5599999999999996</v>
      </c>
      <c r="N874">
        <v>4.4800000000000004</v>
      </c>
      <c r="O874">
        <v>5.7987000000000002</v>
      </c>
      <c r="P874">
        <v>4401.1000000000004</v>
      </c>
      <c r="Q874">
        <v>976.89</v>
      </c>
      <c r="R874">
        <v>3.7629999999999999</v>
      </c>
      <c r="S874">
        <v>20.689399999999999</v>
      </c>
      <c r="T874">
        <v>0.95746003396294199</v>
      </c>
      <c r="U874">
        <v>0.79789002490039196</v>
      </c>
      <c r="V874">
        <v>154.378005981445</v>
      </c>
      <c r="W874">
        <v>1.5470779810583299</v>
      </c>
      <c r="X874">
        <v>0.88880002498626698</v>
      </c>
    </row>
    <row r="875" spans="1:24" x14ac:dyDescent="0.25">
      <c r="A875" s="4">
        <v>45621</v>
      </c>
      <c r="B875">
        <v>4.74</v>
      </c>
      <c r="C875">
        <v>4.67</v>
      </c>
      <c r="D875">
        <v>4.62</v>
      </c>
      <c r="E875">
        <v>4.5199999999999996</v>
      </c>
      <c r="F875">
        <v>4.46</v>
      </c>
      <c r="G875">
        <v>4.37</v>
      </c>
      <c r="H875">
        <v>4.21</v>
      </c>
      <c r="I875">
        <v>4.21</v>
      </c>
      <c r="J875">
        <v>4.17</v>
      </c>
      <c r="K875">
        <v>4.21</v>
      </c>
      <c r="L875">
        <v>4.2699999999999996</v>
      </c>
      <c r="M875">
        <v>4.53</v>
      </c>
      <c r="N875">
        <v>4.45</v>
      </c>
      <c r="O875">
        <v>5.7999000000000001</v>
      </c>
      <c r="P875">
        <v>4384.1000000000004</v>
      </c>
      <c r="Q875">
        <v>982.08</v>
      </c>
      <c r="R875">
        <v>3.7730000000000001</v>
      </c>
      <c r="S875">
        <v>20.283300000000001</v>
      </c>
      <c r="T875">
        <v>0.95420999857242805</v>
      </c>
      <c r="U875">
        <v>0.79404002001047802</v>
      </c>
      <c r="V875">
        <v>154.14599609375</v>
      </c>
      <c r="W875">
        <v>1.52908003555928</v>
      </c>
      <c r="X875">
        <v>0.89047002792358398</v>
      </c>
    </row>
    <row r="876" spans="1:24" x14ac:dyDescent="0.25">
      <c r="A876" s="4">
        <v>45618</v>
      </c>
      <c r="B876">
        <v>4.72</v>
      </c>
      <c r="C876">
        <v>4.67</v>
      </c>
      <c r="D876">
        <v>4.63</v>
      </c>
      <c r="E876">
        <v>4.53</v>
      </c>
      <c r="F876">
        <v>4.46</v>
      </c>
      <c r="G876">
        <v>4.42</v>
      </c>
      <c r="H876">
        <v>4.37</v>
      </c>
      <c r="I876">
        <v>4.32</v>
      </c>
      <c r="J876">
        <v>4.3</v>
      </c>
      <c r="K876">
        <v>4.3499999999999996</v>
      </c>
      <c r="L876">
        <v>4.41</v>
      </c>
      <c r="M876">
        <v>4.67</v>
      </c>
      <c r="N876">
        <v>4.5999999999999996</v>
      </c>
      <c r="O876">
        <v>5.8121</v>
      </c>
      <c r="P876">
        <v>4415.97</v>
      </c>
      <c r="Q876">
        <v>971.29</v>
      </c>
      <c r="R876">
        <v>3.7869999999999999</v>
      </c>
      <c r="S876">
        <v>20.491900000000001</v>
      </c>
      <c r="T876">
        <v>0.95516993231856695</v>
      </c>
      <c r="U876">
        <v>0.79461000198259202</v>
      </c>
      <c r="V876">
        <v>154.218002319335</v>
      </c>
      <c r="W876">
        <v>1.5360300474627799</v>
      </c>
      <c r="X876">
        <v>0.88690000772476196</v>
      </c>
    </row>
    <row r="877" spans="1:24" x14ac:dyDescent="0.25">
      <c r="A877" s="4">
        <v>45617</v>
      </c>
      <c r="B877">
        <v>4.72</v>
      </c>
      <c r="C877">
        <v>4.67</v>
      </c>
      <c r="D877">
        <v>4.63</v>
      </c>
      <c r="E877">
        <v>4.5199999999999996</v>
      </c>
      <c r="F877">
        <v>4.45</v>
      </c>
      <c r="G877">
        <v>4.3899999999999997</v>
      </c>
      <c r="H877">
        <v>4.34</v>
      </c>
      <c r="I877">
        <v>4.3</v>
      </c>
      <c r="J877">
        <v>4.3</v>
      </c>
      <c r="K877">
        <v>4.3600000000000003</v>
      </c>
      <c r="L877">
        <v>4.43</v>
      </c>
      <c r="M877">
        <v>4.68</v>
      </c>
      <c r="N877">
        <v>4.6100000000000003</v>
      </c>
      <c r="O877">
        <v>5.8170000000000002</v>
      </c>
      <c r="P877">
        <v>4394.8</v>
      </c>
      <c r="Q877">
        <v>972.68</v>
      </c>
      <c r="R877">
        <v>3.79</v>
      </c>
      <c r="S877">
        <v>20.440100000000001</v>
      </c>
      <c r="T877">
        <v>0.94820998774356702</v>
      </c>
      <c r="U877">
        <v>0.79018002138644095</v>
      </c>
      <c r="V877">
        <v>155.294998168945</v>
      </c>
      <c r="W877">
        <v>1.5351551212324099</v>
      </c>
      <c r="X877">
        <v>0.88365000486373901</v>
      </c>
    </row>
    <row r="878" spans="1:24" x14ac:dyDescent="0.25">
      <c r="A878" s="4">
        <v>45616</v>
      </c>
      <c r="B878">
        <v>4.68</v>
      </c>
      <c r="C878">
        <v>4.63</v>
      </c>
      <c r="D878">
        <v>4.62</v>
      </c>
      <c r="E878">
        <v>4.5199999999999996</v>
      </c>
      <c r="F878">
        <v>4.4400000000000004</v>
      </c>
      <c r="G878">
        <v>4.37</v>
      </c>
      <c r="H878">
        <v>4.3099999999999996</v>
      </c>
      <c r="I878">
        <v>4.26</v>
      </c>
      <c r="J878">
        <v>4.28</v>
      </c>
      <c r="K878">
        <v>4.34</v>
      </c>
      <c r="L878">
        <v>4.41</v>
      </c>
      <c r="M878">
        <v>4.66</v>
      </c>
      <c r="N878">
        <v>4.59</v>
      </c>
      <c r="O878">
        <v>5.774</v>
      </c>
      <c r="P878">
        <v>4400</v>
      </c>
      <c r="Q878">
        <v>973.21</v>
      </c>
      <c r="R878">
        <v>3.798</v>
      </c>
      <c r="S878">
        <v>20.322299999999998</v>
      </c>
      <c r="T878">
        <v>0.94271997705629895</v>
      </c>
      <c r="U878">
        <v>0.78774001768248603</v>
      </c>
      <c r="V878">
        <v>154.718002319335</v>
      </c>
      <c r="W878">
        <v>1.5287009289173601</v>
      </c>
      <c r="X878">
        <v>0.88207000494003296</v>
      </c>
    </row>
    <row r="879" spans="1:24" x14ac:dyDescent="0.25">
      <c r="A879" s="4">
        <v>45615</v>
      </c>
      <c r="B879">
        <v>4.67</v>
      </c>
      <c r="C879">
        <v>4.63</v>
      </c>
      <c r="D879">
        <v>4.62</v>
      </c>
      <c r="E879">
        <v>4.51</v>
      </c>
      <c r="F879">
        <v>4.4400000000000004</v>
      </c>
      <c r="G879">
        <v>4.34</v>
      </c>
      <c r="H879">
        <v>4.2699999999999996</v>
      </c>
      <c r="I879">
        <v>4.24</v>
      </c>
      <c r="J879">
        <v>4.25</v>
      </c>
      <c r="K879">
        <v>4.32</v>
      </c>
      <c r="L879">
        <v>4.3899999999999997</v>
      </c>
      <c r="M879">
        <v>4.66</v>
      </c>
      <c r="N879">
        <v>4.57</v>
      </c>
      <c r="O879">
        <v>5.774</v>
      </c>
      <c r="P879">
        <v>4390.2</v>
      </c>
      <c r="Q879">
        <v>976.86</v>
      </c>
      <c r="R879">
        <v>3.794</v>
      </c>
      <c r="S879">
        <v>20.113600000000002</v>
      </c>
      <c r="T879">
        <v>0.94384994908665398</v>
      </c>
      <c r="U879">
        <v>0.78868994537392301</v>
      </c>
      <c r="V879">
        <v>154.61700439453099</v>
      </c>
      <c r="W879">
        <v>1.5370659267003799</v>
      </c>
      <c r="X879">
        <v>0.88319998979568404</v>
      </c>
    </row>
    <row r="880" spans="1:24" x14ac:dyDescent="0.25">
      <c r="A880" s="4">
        <v>45614</v>
      </c>
      <c r="B880">
        <v>4.7</v>
      </c>
      <c r="C880">
        <v>4.6500000000000004</v>
      </c>
      <c r="D880">
        <v>4.63</v>
      </c>
      <c r="E880">
        <v>4.5199999999999996</v>
      </c>
      <c r="F880">
        <v>4.4400000000000004</v>
      </c>
      <c r="G880">
        <v>4.33</v>
      </c>
      <c r="H880">
        <v>4.29</v>
      </c>
      <c r="I880">
        <v>4.25</v>
      </c>
      <c r="J880">
        <v>4.28</v>
      </c>
      <c r="K880">
        <v>4.3499999999999996</v>
      </c>
      <c r="L880">
        <v>4.42</v>
      </c>
      <c r="M880">
        <v>4.7</v>
      </c>
      <c r="N880">
        <v>4.6100000000000003</v>
      </c>
      <c r="O880">
        <v>5.76</v>
      </c>
      <c r="P880">
        <v>4403.8500000000004</v>
      </c>
      <c r="Q880">
        <v>974.51</v>
      </c>
      <c r="R880">
        <v>3.794</v>
      </c>
      <c r="S880">
        <v>20.3811</v>
      </c>
      <c r="T880">
        <v>0.94932996059683405</v>
      </c>
      <c r="U880">
        <v>0.79254000676463399</v>
      </c>
      <c r="V880">
        <v>154.66400146484301</v>
      </c>
      <c r="W880">
        <v>1.54717000271767</v>
      </c>
      <c r="X880">
        <v>0.88867002725601196</v>
      </c>
    </row>
    <row r="881" spans="1:24" x14ac:dyDescent="0.25">
      <c r="A881" s="4">
        <v>45611</v>
      </c>
      <c r="B881">
        <v>4.7</v>
      </c>
      <c r="C881">
        <v>4.67</v>
      </c>
      <c r="D881">
        <v>4.5999999999999996</v>
      </c>
      <c r="E881">
        <v>4.5199999999999996</v>
      </c>
      <c r="F881">
        <v>4.4400000000000004</v>
      </c>
      <c r="G881">
        <v>4.34</v>
      </c>
      <c r="H881">
        <v>4.3099999999999996</v>
      </c>
      <c r="I881">
        <v>4.2699999999999996</v>
      </c>
      <c r="J881">
        <v>4.3</v>
      </c>
      <c r="K881">
        <v>4.3600000000000003</v>
      </c>
      <c r="L881">
        <v>4.43</v>
      </c>
      <c r="M881">
        <v>4.7</v>
      </c>
      <c r="N881">
        <v>4.5999999999999996</v>
      </c>
      <c r="O881">
        <v>5.7881999999999998</v>
      </c>
      <c r="P881">
        <v>4430</v>
      </c>
      <c r="Q881">
        <v>975.44</v>
      </c>
      <c r="R881">
        <v>3.8</v>
      </c>
      <c r="S881">
        <v>20.3811</v>
      </c>
      <c r="T881">
        <v>0.94966000718872601</v>
      </c>
      <c r="U881">
        <v>0.78939999597235599</v>
      </c>
      <c r="V881">
        <v>156.468002319335</v>
      </c>
      <c r="W881">
        <v>1.5490670861967999</v>
      </c>
      <c r="X881">
        <v>0.89043998718261697</v>
      </c>
    </row>
    <row r="882" spans="1:24" x14ac:dyDescent="0.25">
      <c r="A882" s="4">
        <v>45610</v>
      </c>
      <c r="B882">
        <v>4.7</v>
      </c>
      <c r="C882">
        <v>4.68</v>
      </c>
      <c r="D882">
        <v>4.6100000000000003</v>
      </c>
      <c r="E882">
        <v>4.53</v>
      </c>
      <c r="F882">
        <v>4.43</v>
      </c>
      <c r="G882">
        <v>4.3600000000000003</v>
      </c>
      <c r="H882">
        <v>4.34</v>
      </c>
      <c r="I882">
        <v>4.3</v>
      </c>
      <c r="J882">
        <v>4.32</v>
      </c>
      <c r="K882">
        <v>4.38</v>
      </c>
      <c r="L882">
        <v>4.43</v>
      </c>
      <c r="M882">
        <v>4.6900000000000004</v>
      </c>
      <c r="N882">
        <v>4.58</v>
      </c>
      <c r="O882">
        <v>5.7881999999999998</v>
      </c>
      <c r="P882">
        <v>4485.5</v>
      </c>
      <c r="Q882">
        <v>981.61</v>
      </c>
      <c r="R882">
        <v>3.7970000000000002</v>
      </c>
      <c r="S882">
        <v>20.426100000000002</v>
      </c>
      <c r="T882">
        <v>0.94659996862950402</v>
      </c>
      <c r="U882">
        <v>0.78698000861036999</v>
      </c>
      <c r="V882">
        <v>155.42900085449199</v>
      </c>
      <c r="W882">
        <v>1.5401900237878501</v>
      </c>
      <c r="X882">
        <v>0.88577002286911</v>
      </c>
    </row>
    <row r="883" spans="1:24" x14ac:dyDescent="0.25">
      <c r="A883" s="4">
        <v>45609</v>
      </c>
      <c r="B883">
        <v>4.6900000000000004</v>
      </c>
      <c r="C883">
        <v>4.67</v>
      </c>
      <c r="D883">
        <v>4.5999999999999996</v>
      </c>
      <c r="E883">
        <v>4.5</v>
      </c>
      <c r="F883">
        <v>4.4000000000000004</v>
      </c>
      <c r="G883">
        <v>4.3099999999999996</v>
      </c>
      <c r="H883">
        <v>4.2699999999999996</v>
      </c>
      <c r="I883">
        <v>4.25</v>
      </c>
      <c r="J883">
        <v>4.3</v>
      </c>
      <c r="K883">
        <v>4.38</v>
      </c>
      <c r="L883">
        <v>4.4400000000000004</v>
      </c>
      <c r="M883">
        <v>4.7300000000000004</v>
      </c>
      <c r="N883">
        <v>4.63</v>
      </c>
      <c r="O883">
        <v>5.7709999999999999</v>
      </c>
      <c r="P883">
        <v>4478</v>
      </c>
      <c r="Q883">
        <v>983.76</v>
      </c>
      <c r="R883">
        <v>3.81</v>
      </c>
      <c r="S883">
        <v>20.514900000000001</v>
      </c>
      <c r="T883">
        <v>0.94190999168533796</v>
      </c>
      <c r="U883">
        <v>0.78498000776126797</v>
      </c>
      <c r="V883">
        <v>154.65499877929599</v>
      </c>
      <c r="W883">
        <v>1.5315339296535</v>
      </c>
      <c r="X883">
        <v>0.88216000795364302</v>
      </c>
    </row>
    <row r="884" spans="1:24" x14ac:dyDescent="0.25">
      <c r="A884" s="4">
        <v>45608</v>
      </c>
      <c r="B884">
        <v>4.7</v>
      </c>
      <c r="C884">
        <v>4.7</v>
      </c>
      <c r="D884">
        <v>4.63</v>
      </c>
      <c r="E884">
        <v>4.54</v>
      </c>
      <c r="F884">
        <v>4.45</v>
      </c>
      <c r="G884">
        <v>4.38</v>
      </c>
      <c r="H884">
        <v>4.34</v>
      </c>
      <c r="I884">
        <v>4.29</v>
      </c>
      <c r="J884">
        <v>4.32</v>
      </c>
      <c r="K884">
        <v>4.38</v>
      </c>
      <c r="L884">
        <v>4.43</v>
      </c>
      <c r="M884">
        <v>4.7</v>
      </c>
      <c r="N884">
        <v>4.58</v>
      </c>
      <c r="O884">
        <v>5.7690999999999999</v>
      </c>
      <c r="P884">
        <v>4454</v>
      </c>
      <c r="Q884">
        <v>980.47</v>
      </c>
      <c r="R884">
        <v>3.7949999999999999</v>
      </c>
      <c r="S884">
        <v>20.670200000000001</v>
      </c>
      <c r="T884">
        <v>0.93770000693051803</v>
      </c>
      <c r="U884">
        <v>0.77670002154565898</v>
      </c>
      <c r="V884">
        <v>153.47999572753901</v>
      </c>
      <c r="W884">
        <v>1.5203100642288001</v>
      </c>
      <c r="X884">
        <v>0.88027000427246005</v>
      </c>
    </row>
    <row r="885" spans="1:24" x14ac:dyDescent="0.25">
      <c r="A885" s="4">
        <v>45604</v>
      </c>
      <c r="B885">
        <v>4.7</v>
      </c>
      <c r="C885">
        <v>4.6900000000000004</v>
      </c>
      <c r="D885">
        <v>4.63</v>
      </c>
      <c r="E885">
        <v>4.53</v>
      </c>
      <c r="F885">
        <v>4.42</v>
      </c>
      <c r="G885">
        <v>4.32</v>
      </c>
      <c r="H885">
        <v>4.26</v>
      </c>
      <c r="I885">
        <v>4.18</v>
      </c>
      <c r="J885">
        <v>4.2</v>
      </c>
      <c r="K885">
        <v>4.25</v>
      </c>
      <c r="L885">
        <v>4.3</v>
      </c>
      <c r="M885">
        <v>4.58</v>
      </c>
      <c r="N885">
        <v>4.47</v>
      </c>
      <c r="O885">
        <v>5.7645</v>
      </c>
      <c r="P885">
        <v>4359.45</v>
      </c>
      <c r="Q885">
        <v>950.99</v>
      </c>
      <c r="R885">
        <v>3.7639999999999998</v>
      </c>
      <c r="S885">
        <v>20.194800000000001</v>
      </c>
      <c r="T885">
        <v>0.92633999536421796</v>
      </c>
      <c r="U885">
        <v>0.77027999870710995</v>
      </c>
      <c r="V885">
        <v>153.17999267578099</v>
      </c>
      <c r="W885">
        <v>1.4977200614506301</v>
      </c>
      <c r="X885">
        <v>0.87278002500534002</v>
      </c>
    </row>
    <row r="886" spans="1:24" x14ac:dyDescent="0.25">
      <c r="A886" s="4">
        <v>45603</v>
      </c>
      <c r="B886">
        <v>4.6900000000000004</v>
      </c>
      <c r="C886">
        <v>4.6900000000000004</v>
      </c>
      <c r="D886">
        <v>4.63</v>
      </c>
      <c r="E886">
        <v>4.5199999999999996</v>
      </c>
      <c r="F886">
        <v>4.4000000000000004</v>
      </c>
      <c r="G886">
        <v>4.28</v>
      </c>
      <c r="H886">
        <v>4.21</v>
      </c>
      <c r="I886">
        <v>4.13</v>
      </c>
      <c r="J886">
        <v>4.17</v>
      </c>
      <c r="K886">
        <v>4.25</v>
      </c>
      <c r="L886">
        <v>4.3099999999999996</v>
      </c>
      <c r="M886">
        <v>4.62</v>
      </c>
      <c r="N886">
        <v>4.5199999999999996</v>
      </c>
      <c r="O886">
        <v>5.6620999999999997</v>
      </c>
      <c r="P886">
        <v>4305</v>
      </c>
      <c r="Q886">
        <v>968.6</v>
      </c>
      <c r="R886">
        <v>3.75</v>
      </c>
      <c r="S886">
        <v>19.867000000000001</v>
      </c>
      <c r="T886">
        <v>0.93169994816489599</v>
      </c>
      <c r="U886">
        <v>0.776199962303177</v>
      </c>
      <c r="V886">
        <v>154.32000732421801</v>
      </c>
      <c r="W886">
        <v>1.52276503049665</v>
      </c>
      <c r="X886">
        <v>0.87569999694824197</v>
      </c>
    </row>
    <row r="887" spans="1:24" x14ac:dyDescent="0.25">
      <c r="A887" s="4">
        <v>45602</v>
      </c>
      <c r="B887">
        <v>4.68</v>
      </c>
      <c r="C887">
        <v>4.71</v>
      </c>
      <c r="D887">
        <v>4.6399999999999997</v>
      </c>
      <c r="E887">
        <v>4.54</v>
      </c>
      <c r="F887">
        <v>4.41</v>
      </c>
      <c r="G887">
        <v>4.3099999999999996</v>
      </c>
      <c r="H887">
        <v>4.2699999999999996</v>
      </c>
      <c r="I887">
        <v>4.2</v>
      </c>
      <c r="J887">
        <v>4.2699999999999996</v>
      </c>
      <c r="K887">
        <v>4.37</v>
      </c>
      <c r="L887">
        <v>4.42</v>
      </c>
      <c r="M887">
        <v>4.71</v>
      </c>
      <c r="N887">
        <v>4.5999999999999996</v>
      </c>
      <c r="O887">
        <v>5.7645</v>
      </c>
      <c r="P887">
        <v>4413.8999999999996</v>
      </c>
      <c r="Q887">
        <v>954.9</v>
      </c>
      <c r="R887">
        <v>3.7759999999999998</v>
      </c>
      <c r="S887">
        <v>20.166</v>
      </c>
      <c r="T887">
        <v>0.914539990181509</v>
      </c>
      <c r="U887">
        <v>0.76665998279252701</v>
      </c>
      <c r="V887">
        <v>151.43499755859301</v>
      </c>
      <c r="W887">
        <v>1.5056839578022601</v>
      </c>
      <c r="X887">
        <v>0.862410008907318</v>
      </c>
    </row>
    <row r="888" spans="1:24" x14ac:dyDescent="0.25">
      <c r="A888" s="4">
        <v>45601</v>
      </c>
      <c r="B888">
        <v>4.72</v>
      </c>
      <c r="C888">
        <v>4.72</v>
      </c>
      <c r="D888">
        <v>4.6399999999999997</v>
      </c>
      <c r="E888">
        <v>4.49</v>
      </c>
      <c r="F888">
        <v>4.3899999999999997</v>
      </c>
      <c r="G888">
        <v>4.2699999999999996</v>
      </c>
      <c r="H888">
        <v>4.1900000000000004</v>
      </c>
      <c r="I888">
        <v>4.1100000000000003</v>
      </c>
      <c r="J888">
        <v>4.16</v>
      </c>
      <c r="K888">
        <v>4.22</v>
      </c>
      <c r="L888">
        <v>4.26</v>
      </c>
      <c r="M888">
        <v>4.55</v>
      </c>
      <c r="N888">
        <v>4.4400000000000004</v>
      </c>
      <c r="O888">
        <v>5.7843</v>
      </c>
      <c r="P888">
        <v>4405.3500000000004</v>
      </c>
      <c r="Q888">
        <v>956.54</v>
      </c>
      <c r="R888">
        <v>3.7719999999999998</v>
      </c>
      <c r="S888">
        <v>20.078800000000001</v>
      </c>
      <c r="T888">
        <v>0.919619988116406</v>
      </c>
      <c r="U888">
        <v>0.77192999245978</v>
      </c>
      <c r="V888">
        <v>152.27600097656199</v>
      </c>
      <c r="W888">
        <v>1.51881002580957</v>
      </c>
      <c r="X888">
        <v>0.86417001485824496</v>
      </c>
    </row>
    <row r="889" spans="1:24" x14ac:dyDescent="0.25">
      <c r="A889" s="4">
        <v>45600</v>
      </c>
      <c r="B889">
        <v>4.75</v>
      </c>
      <c r="C889">
        <v>4.74</v>
      </c>
      <c r="D889">
        <v>4.6500000000000004</v>
      </c>
      <c r="E889">
        <v>4.51</v>
      </c>
      <c r="F889">
        <v>4.3899999999999997</v>
      </c>
      <c r="G889">
        <v>4.25</v>
      </c>
      <c r="H889">
        <v>4.17</v>
      </c>
      <c r="I889">
        <v>4.0999999999999996</v>
      </c>
      <c r="J889">
        <v>4.17</v>
      </c>
      <c r="K889">
        <v>4.24</v>
      </c>
      <c r="L889">
        <v>4.3099999999999996</v>
      </c>
      <c r="M889">
        <v>4.5999999999999996</v>
      </c>
      <c r="N889">
        <v>4.5</v>
      </c>
      <c r="O889">
        <v>5.7895000000000003</v>
      </c>
      <c r="P889">
        <v>4433.3</v>
      </c>
      <c r="Q889">
        <v>961.29</v>
      </c>
      <c r="R889">
        <v>3.7719999999999998</v>
      </c>
      <c r="S889">
        <v>20.151199999999999</v>
      </c>
      <c r="T889">
        <v>0.91957996614200199</v>
      </c>
      <c r="U889">
        <v>0.77199797793155001</v>
      </c>
      <c r="V889">
        <v>152.28700256347599</v>
      </c>
      <c r="W889">
        <v>1.5170100141987799</v>
      </c>
      <c r="X889">
        <v>0.86760002374649003</v>
      </c>
    </row>
    <row r="890" spans="1:24" x14ac:dyDescent="0.25">
      <c r="A890" s="4">
        <v>45597</v>
      </c>
      <c r="B890">
        <v>4.75</v>
      </c>
      <c r="C890">
        <v>4.74</v>
      </c>
      <c r="D890">
        <v>4.6100000000000003</v>
      </c>
      <c r="E890">
        <v>4.53</v>
      </c>
      <c r="F890">
        <v>4.42</v>
      </c>
      <c r="G890">
        <v>4.28</v>
      </c>
      <c r="H890">
        <v>4.21</v>
      </c>
      <c r="I890">
        <v>4.18</v>
      </c>
      <c r="J890">
        <v>4.22</v>
      </c>
      <c r="K890">
        <v>4.3</v>
      </c>
      <c r="L890">
        <v>4.37</v>
      </c>
      <c r="M890">
        <v>4.68</v>
      </c>
      <c r="N890">
        <v>4.57</v>
      </c>
      <c r="O890">
        <v>5.8070000000000004</v>
      </c>
      <c r="P890">
        <v>4433.3</v>
      </c>
      <c r="Q890">
        <v>950.89</v>
      </c>
      <c r="R890">
        <v>3.7730000000000001</v>
      </c>
      <c r="S890">
        <v>20.276800000000001</v>
      </c>
      <c r="T890">
        <v>0.91860006211161005</v>
      </c>
      <c r="U890">
        <v>0.77533002514094296</v>
      </c>
      <c r="V890">
        <v>151.97999572753901</v>
      </c>
      <c r="W890">
        <v>1.5204960721099301</v>
      </c>
      <c r="X890">
        <v>0.86353999376296997</v>
      </c>
    </row>
    <row r="891" spans="1:24" x14ac:dyDescent="0.25">
      <c r="A891" s="4">
        <v>45596</v>
      </c>
      <c r="B891">
        <v>4.76</v>
      </c>
      <c r="C891">
        <v>4.76</v>
      </c>
      <c r="D891">
        <v>4.6399999999999997</v>
      </c>
      <c r="E891">
        <v>4.5599999999999996</v>
      </c>
      <c r="F891">
        <v>4.43</v>
      </c>
      <c r="G891">
        <v>4.2699999999999996</v>
      </c>
      <c r="H891">
        <v>4.16</v>
      </c>
      <c r="I891">
        <v>4.12</v>
      </c>
      <c r="J891">
        <v>4.1500000000000004</v>
      </c>
      <c r="K891">
        <v>4.21</v>
      </c>
      <c r="L891">
        <v>4.28</v>
      </c>
      <c r="M891">
        <v>4.58</v>
      </c>
      <c r="N891">
        <v>4.47</v>
      </c>
      <c r="O891">
        <v>5.7775999999999996</v>
      </c>
      <c r="P891">
        <v>4423.5</v>
      </c>
      <c r="Q891">
        <v>950.89</v>
      </c>
      <c r="R891">
        <v>3.7730000000000001</v>
      </c>
      <c r="S891">
        <v>20.010899999999999</v>
      </c>
      <c r="T891">
        <v>0.92087998920668102</v>
      </c>
      <c r="U891">
        <v>0.77162999068279203</v>
      </c>
      <c r="V891">
        <v>153.20399475097599</v>
      </c>
      <c r="W891">
        <v>1.5214219657603301</v>
      </c>
      <c r="X891">
        <v>0.86629998683929399</v>
      </c>
    </row>
    <row r="892" spans="1:24" x14ac:dyDescent="0.25">
      <c r="A892" s="4">
        <v>45595</v>
      </c>
      <c r="B892">
        <v>4.87</v>
      </c>
      <c r="C892">
        <v>4.7699999999999996</v>
      </c>
      <c r="D892">
        <v>4.67</v>
      </c>
      <c r="E892">
        <v>4.57</v>
      </c>
      <c r="F892">
        <v>4.4400000000000004</v>
      </c>
      <c r="G892">
        <v>4.28</v>
      </c>
      <c r="H892">
        <v>4.1500000000000004</v>
      </c>
      <c r="I892">
        <v>4.1399999999999997</v>
      </c>
      <c r="J892">
        <v>4.1399999999999997</v>
      </c>
      <c r="K892">
        <v>4.2</v>
      </c>
      <c r="L892">
        <v>4.29</v>
      </c>
      <c r="M892">
        <v>4.5999999999999996</v>
      </c>
      <c r="N892">
        <v>4.49</v>
      </c>
      <c r="O892">
        <v>5.7797999999999998</v>
      </c>
      <c r="P892">
        <v>4418.45</v>
      </c>
      <c r="Q892">
        <v>950.89</v>
      </c>
      <c r="R892">
        <v>3.7650000000000001</v>
      </c>
      <c r="S892">
        <v>20.169499999999999</v>
      </c>
      <c r="T892">
        <v>0.92416003158750104</v>
      </c>
      <c r="U892">
        <v>0.76839998164327605</v>
      </c>
      <c r="V892">
        <v>153.274002075195</v>
      </c>
      <c r="W892">
        <v>1.52369299847696</v>
      </c>
      <c r="X892">
        <v>0.86721998453140203</v>
      </c>
    </row>
    <row r="893" spans="1:24" x14ac:dyDescent="0.25">
      <c r="A893" s="4">
        <v>45594</v>
      </c>
      <c r="B893">
        <v>4.88</v>
      </c>
      <c r="C893">
        <v>4.7699999999999996</v>
      </c>
      <c r="D893">
        <v>4.7</v>
      </c>
      <c r="E893">
        <v>4.6399999999999997</v>
      </c>
      <c r="F893">
        <v>4.45</v>
      </c>
      <c r="G893">
        <v>4.29</v>
      </c>
      <c r="H893">
        <v>4.1100000000000003</v>
      </c>
      <c r="I893">
        <v>4.08</v>
      </c>
      <c r="J893">
        <v>4.1100000000000003</v>
      </c>
      <c r="K893">
        <v>4.18</v>
      </c>
      <c r="L893">
        <v>4.28</v>
      </c>
      <c r="M893">
        <v>4.6100000000000003</v>
      </c>
      <c r="N893">
        <v>4.5199999999999996</v>
      </c>
      <c r="O893">
        <v>5.7137000000000002</v>
      </c>
      <c r="P893">
        <v>4394.5</v>
      </c>
      <c r="Q893">
        <v>945.88</v>
      </c>
      <c r="R893">
        <v>3.77</v>
      </c>
      <c r="S893">
        <v>20.084499999999998</v>
      </c>
      <c r="T893">
        <v>0.92449002443086403</v>
      </c>
      <c r="U893">
        <v>0.77073003737512402</v>
      </c>
      <c r="V893">
        <v>153.17900085449199</v>
      </c>
      <c r="W893">
        <v>1.5191399480490999</v>
      </c>
      <c r="X893">
        <v>0.86485999822616499</v>
      </c>
    </row>
    <row r="894" spans="1:24" x14ac:dyDescent="0.25">
      <c r="A894" s="4">
        <v>45593</v>
      </c>
      <c r="B894">
        <v>4.88</v>
      </c>
      <c r="C894">
        <v>4.7699999999999996</v>
      </c>
      <c r="D894">
        <v>4.7</v>
      </c>
      <c r="E894">
        <v>4.6500000000000004</v>
      </c>
      <c r="F894">
        <v>4.46</v>
      </c>
      <c r="G894">
        <v>4.28</v>
      </c>
      <c r="H894">
        <v>4.12</v>
      </c>
      <c r="I894">
        <v>4.09</v>
      </c>
      <c r="J894">
        <v>4.1100000000000003</v>
      </c>
      <c r="K894">
        <v>4.1900000000000004</v>
      </c>
      <c r="L894">
        <v>4.28</v>
      </c>
      <c r="M894">
        <v>4.6100000000000003</v>
      </c>
      <c r="N894">
        <v>4.53</v>
      </c>
      <c r="O894">
        <v>5.6985000000000001</v>
      </c>
      <c r="P894">
        <v>4337</v>
      </c>
      <c r="Q894">
        <v>949.34</v>
      </c>
      <c r="R894">
        <v>3.7629999999999999</v>
      </c>
      <c r="S894">
        <v>20.031700000000001</v>
      </c>
      <c r="T894">
        <v>0.92622001983035895</v>
      </c>
      <c r="U894">
        <v>0.77170999201851298</v>
      </c>
      <c r="V894">
        <v>152.95199584960901</v>
      </c>
      <c r="W894">
        <v>1.5143699920125799</v>
      </c>
      <c r="X894">
        <v>0.86845999956130904</v>
      </c>
    </row>
    <row r="895" spans="1:24" x14ac:dyDescent="0.25">
      <c r="A895" s="4">
        <v>45590</v>
      </c>
      <c r="B895">
        <v>4.8899999999999997</v>
      </c>
      <c r="C895">
        <v>4.79</v>
      </c>
      <c r="D895">
        <v>4.7300000000000004</v>
      </c>
      <c r="E895">
        <v>4.68</v>
      </c>
      <c r="F895">
        <v>4.51</v>
      </c>
      <c r="G895">
        <v>4.29</v>
      </c>
      <c r="H895">
        <v>4.1100000000000003</v>
      </c>
      <c r="I895">
        <v>4.05</v>
      </c>
      <c r="J895">
        <v>4.07</v>
      </c>
      <c r="K895">
        <v>4.1500000000000004</v>
      </c>
      <c r="L895">
        <v>4.25</v>
      </c>
      <c r="M895">
        <v>4.58</v>
      </c>
      <c r="N895">
        <v>4.51</v>
      </c>
      <c r="O895">
        <v>5.6966000000000001</v>
      </c>
      <c r="P895">
        <v>4332</v>
      </c>
      <c r="Q895">
        <v>945.29</v>
      </c>
      <c r="R895">
        <v>3.7679999999999998</v>
      </c>
      <c r="S895">
        <v>19.968399999999999</v>
      </c>
      <c r="T895">
        <v>0.923859983462474</v>
      </c>
      <c r="U895">
        <v>0.77080999385454896</v>
      </c>
      <c r="V895">
        <v>151.78300476074199</v>
      </c>
      <c r="W895">
        <v>1.50670000037718</v>
      </c>
      <c r="X895">
        <v>0.86586999893188399</v>
      </c>
    </row>
    <row r="896" spans="1:24" x14ac:dyDescent="0.25">
      <c r="A896" s="4">
        <v>45589</v>
      </c>
      <c r="B896">
        <v>4.87</v>
      </c>
      <c r="C896">
        <v>4.78</v>
      </c>
      <c r="D896">
        <v>4.7</v>
      </c>
      <c r="E896">
        <v>4.6500000000000004</v>
      </c>
      <c r="F896">
        <v>4.4800000000000004</v>
      </c>
      <c r="G896">
        <v>4.25</v>
      </c>
      <c r="H896">
        <v>4.07</v>
      </c>
      <c r="I896">
        <v>4.0199999999999996</v>
      </c>
      <c r="J896">
        <v>4.03</v>
      </c>
      <c r="K896">
        <v>4.12</v>
      </c>
      <c r="L896">
        <v>4.21</v>
      </c>
      <c r="M896">
        <v>4.54</v>
      </c>
      <c r="N896">
        <v>4.47</v>
      </c>
      <c r="O896">
        <v>5.7084000000000001</v>
      </c>
      <c r="P896">
        <v>4300.5</v>
      </c>
      <c r="Q896">
        <v>948.2</v>
      </c>
      <c r="R896">
        <v>3.7509999999999999</v>
      </c>
      <c r="S896">
        <v>19.850999999999999</v>
      </c>
      <c r="T896">
        <v>0.92760002768886596</v>
      </c>
      <c r="U896">
        <v>0.77437002530090004</v>
      </c>
      <c r="V896">
        <v>152.76899719238199</v>
      </c>
      <c r="W896">
        <v>1.5069319594443999</v>
      </c>
      <c r="X896">
        <v>0.86673998832702603</v>
      </c>
    </row>
    <row r="897" spans="1:24" x14ac:dyDescent="0.25">
      <c r="A897" s="4">
        <v>45588</v>
      </c>
      <c r="B897">
        <v>4.88</v>
      </c>
      <c r="C897">
        <v>4.8</v>
      </c>
      <c r="D897">
        <v>4.7300000000000004</v>
      </c>
      <c r="E897">
        <v>4.66</v>
      </c>
      <c r="F897">
        <v>4.4800000000000004</v>
      </c>
      <c r="G897">
        <v>4.2699999999999996</v>
      </c>
      <c r="H897">
        <v>4.07</v>
      </c>
      <c r="I897">
        <v>4.03</v>
      </c>
      <c r="J897">
        <v>4.05</v>
      </c>
      <c r="K897">
        <v>4.1399999999999997</v>
      </c>
      <c r="L897">
        <v>4.24</v>
      </c>
      <c r="M897">
        <v>4.58</v>
      </c>
      <c r="N897">
        <v>4.51</v>
      </c>
      <c r="O897">
        <v>5.7145999999999999</v>
      </c>
      <c r="P897">
        <v>4324.3999999999996</v>
      </c>
      <c r="Q897">
        <v>949</v>
      </c>
      <c r="R897">
        <v>3.7530000000000001</v>
      </c>
      <c r="S897">
        <v>19.823399999999999</v>
      </c>
      <c r="T897">
        <v>0.92615999258949</v>
      </c>
      <c r="U897">
        <v>0.77025001010030503</v>
      </c>
      <c r="V897">
        <v>151.13800048828099</v>
      </c>
      <c r="W897">
        <v>1.4956630608786801</v>
      </c>
      <c r="X897">
        <v>0.86553001403808505</v>
      </c>
    </row>
    <row r="898" spans="1:24" x14ac:dyDescent="0.25">
      <c r="A898" s="4">
        <v>45587</v>
      </c>
      <c r="B898">
        <v>4.8899999999999997</v>
      </c>
      <c r="C898">
        <v>4.8099999999999996</v>
      </c>
      <c r="D898">
        <v>4.72</v>
      </c>
      <c r="E898">
        <v>4.66</v>
      </c>
      <c r="F898">
        <v>4.47</v>
      </c>
      <c r="G898">
        <v>4.24</v>
      </c>
      <c r="H898">
        <v>4.03</v>
      </c>
      <c r="I898">
        <v>3.98</v>
      </c>
      <c r="J898">
        <v>4</v>
      </c>
      <c r="K898">
        <v>4.0999999999999996</v>
      </c>
      <c r="L898">
        <v>4.2</v>
      </c>
      <c r="M898">
        <v>4.55</v>
      </c>
      <c r="N898">
        <v>4.49</v>
      </c>
      <c r="O898">
        <v>5.6955</v>
      </c>
      <c r="P898">
        <v>4267.99</v>
      </c>
      <c r="Q898">
        <v>954.39</v>
      </c>
      <c r="R898">
        <v>3.75</v>
      </c>
      <c r="S898">
        <v>19.947800000000001</v>
      </c>
      <c r="T898">
        <v>0.92439996597114604</v>
      </c>
      <c r="U898">
        <v>0.77024003799134699</v>
      </c>
      <c r="V898">
        <v>150.60499572753901</v>
      </c>
      <c r="W898">
        <v>1.50306001411928</v>
      </c>
      <c r="X898">
        <v>0.86540997028350797</v>
      </c>
    </row>
    <row r="899" spans="1:24" x14ac:dyDescent="0.25">
      <c r="A899" s="4">
        <v>45586</v>
      </c>
      <c r="B899">
        <v>4.92</v>
      </c>
      <c r="C899">
        <v>4.82</v>
      </c>
      <c r="D899">
        <v>4.7300000000000004</v>
      </c>
      <c r="E899">
        <v>4.66</v>
      </c>
      <c r="F899">
        <v>4.47</v>
      </c>
      <c r="G899">
        <v>4.24</v>
      </c>
      <c r="H899">
        <v>4.0199999999999996</v>
      </c>
      <c r="I899">
        <v>3.95</v>
      </c>
      <c r="J899">
        <v>3.98</v>
      </c>
      <c r="K899">
        <v>4.07</v>
      </c>
      <c r="L899">
        <v>4.1900000000000004</v>
      </c>
      <c r="M899">
        <v>4.54</v>
      </c>
      <c r="N899">
        <v>4.49</v>
      </c>
      <c r="O899">
        <v>5.7065000000000001</v>
      </c>
      <c r="P899">
        <v>4275.5</v>
      </c>
      <c r="Q899">
        <v>946.99</v>
      </c>
      <c r="R899">
        <v>3.7650000000000001</v>
      </c>
      <c r="S899">
        <v>19.9758</v>
      </c>
      <c r="T899">
        <v>0.92008003721293796</v>
      </c>
      <c r="U899">
        <v>0.76612993966387699</v>
      </c>
      <c r="V899">
        <v>149.600006103515</v>
      </c>
      <c r="W899">
        <v>1.4888000232852101</v>
      </c>
      <c r="X899">
        <v>0.86492997407913197</v>
      </c>
    </row>
    <row r="900" spans="1:24" x14ac:dyDescent="0.25">
      <c r="A900" s="4">
        <v>45583</v>
      </c>
      <c r="B900">
        <v>4.92</v>
      </c>
      <c r="C900">
        <v>4.82</v>
      </c>
      <c r="D900">
        <v>4.7300000000000004</v>
      </c>
      <c r="E900">
        <v>4.6500000000000004</v>
      </c>
      <c r="F900">
        <v>4.45</v>
      </c>
      <c r="G900">
        <v>4.1900000000000004</v>
      </c>
      <c r="H900">
        <v>3.95</v>
      </c>
      <c r="I900">
        <v>3.86</v>
      </c>
      <c r="J900">
        <v>3.88</v>
      </c>
      <c r="K900">
        <v>3.97</v>
      </c>
      <c r="L900">
        <v>4.08</v>
      </c>
      <c r="M900">
        <v>4.4400000000000004</v>
      </c>
      <c r="N900">
        <v>4.38</v>
      </c>
      <c r="O900">
        <v>5.6669</v>
      </c>
      <c r="P900">
        <v>4272.3999999999996</v>
      </c>
      <c r="Q900">
        <v>945.01</v>
      </c>
      <c r="R900">
        <v>3.754</v>
      </c>
      <c r="S900">
        <v>19.885999999999999</v>
      </c>
      <c r="T900">
        <v>0.92340001006111605</v>
      </c>
      <c r="U900">
        <v>0.76829997649839199</v>
      </c>
      <c r="V900">
        <v>150.100006103515</v>
      </c>
      <c r="W900">
        <v>1.49259995073069</v>
      </c>
      <c r="X900">
        <v>0.86593002080917303</v>
      </c>
    </row>
    <row r="901" spans="1:24" x14ac:dyDescent="0.25">
      <c r="A901" s="4">
        <v>45582</v>
      </c>
      <c r="B901">
        <v>4.93</v>
      </c>
      <c r="C901">
        <v>4.83</v>
      </c>
      <c r="D901">
        <v>4.74</v>
      </c>
      <c r="E901">
        <v>4.6500000000000004</v>
      </c>
      <c r="F901">
        <v>4.45</v>
      </c>
      <c r="G901">
        <v>4.21</v>
      </c>
      <c r="H901">
        <v>3.96</v>
      </c>
      <c r="I901">
        <v>3.89</v>
      </c>
      <c r="J901">
        <v>3.9</v>
      </c>
      <c r="K901">
        <v>3.99</v>
      </c>
      <c r="L901">
        <v>4.09</v>
      </c>
      <c r="M901">
        <v>4.4400000000000004</v>
      </c>
      <c r="N901">
        <v>4.3899999999999997</v>
      </c>
      <c r="O901">
        <v>5.6755000000000004</v>
      </c>
      <c r="P901">
        <v>4250</v>
      </c>
      <c r="Q901">
        <v>941.3</v>
      </c>
      <c r="R901">
        <v>3.7559999999999998</v>
      </c>
      <c r="S901">
        <v>19.880700000000001</v>
      </c>
      <c r="T901">
        <v>0.92059994885926499</v>
      </c>
      <c r="U901">
        <v>0.76980999790308902</v>
      </c>
      <c r="V901">
        <v>149.57600402832</v>
      </c>
      <c r="W901">
        <v>1.50039997928782</v>
      </c>
      <c r="X901">
        <v>0.86529999971389704</v>
      </c>
    </row>
    <row r="902" spans="1:24" x14ac:dyDescent="0.25">
      <c r="A902" s="4">
        <v>45581</v>
      </c>
      <c r="B902">
        <v>4.91</v>
      </c>
      <c r="C902">
        <v>4.8</v>
      </c>
      <c r="D902">
        <v>4.72</v>
      </c>
      <c r="E902">
        <v>4.63</v>
      </c>
      <c r="F902">
        <v>4.42</v>
      </c>
      <c r="G902">
        <v>4.17</v>
      </c>
      <c r="H902">
        <v>3.93</v>
      </c>
      <c r="I902">
        <v>3.84</v>
      </c>
      <c r="J902">
        <v>3.84</v>
      </c>
      <c r="K902">
        <v>3.92</v>
      </c>
      <c r="L902">
        <v>4.0199999999999996</v>
      </c>
      <c r="M902">
        <v>4.3600000000000003</v>
      </c>
      <c r="N902">
        <v>4.3</v>
      </c>
      <c r="O902">
        <v>5.6745999999999999</v>
      </c>
      <c r="P902">
        <v>4265</v>
      </c>
      <c r="Q902">
        <v>937.29</v>
      </c>
      <c r="R902">
        <v>3.766</v>
      </c>
      <c r="S902">
        <v>19.9406</v>
      </c>
      <c r="T902">
        <v>0.91876999327182196</v>
      </c>
      <c r="U902">
        <v>0.765350003640349</v>
      </c>
      <c r="V902">
        <v>149.09899902343699</v>
      </c>
      <c r="W902">
        <v>1.49653999270338</v>
      </c>
      <c r="X902">
        <v>0.86254000663757302</v>
      </c>
    </row>
    <row r="903" spans="1:24" x14ac:dyDescent="0.25">
      <c r="A903" s="4">
        <v>45580</v>
      </c>
      <c r="B903">
        <v>4.93</v>
      </c>
      <c r="C903">
        <v>4.82</v>
      </c>
      <c r="D903">
        <v>4.7300000000000004</v>
      </c>
      <c r="E903">
        <v>4.6500000000000004</v>
      </c>
      <c r="F903">
        <v>4.42</v>
      </c>
      <c r="G903">
        <v>4.18</v>
      </c>
      <c r="H903">
        <v>3.95</v>
      </c>
      <c r="I903">
        <v>3.86</v>
      </c>
      <c r="J903">
        <v>3.86</v>
      </c>
      <c r="K903">
        <v>3.93</v>
      </c>
      <c r="L903">
        <v>4.03</v>
      </c>
      <c r="M903">
        <v>4.37</v>
      </c>
      <c r="N903">
        <v>4.32</v>
      </c>
      <c r="O903">
        <v>5.6375000000000002</v>
      </c>
      <c r="P903">
        <v>4246.55</v>
      </c>
      <c r="Q903">
        <v>928.37</v>
      </c>
      <c r="R903">
        <v>3.7639999999999998</v>
      </c>
      <c r="S903">
        <v>19.6982</v>
      </c>
      <c r="T903">
        <v>0.91666002824742998</v>
      </c>
      <c r="U903">
        <v>0.76526000579285702</v>
      </c>
      <c r="V903">
        <v>149.669998168945</v>
      </c>
      <c r="W903">
        <v>1.4867679620827201</v>
      </c>
      <c r="X903">
        <v>0.86210000514984098</v>
      </c>
    </row>
    <row r="904" spans="1:24" x14ac:dyDescent="0.25">
      <c r="A904" s="4">
        <v>45576</v>
      </c>
      <c r="B904">
        <v>4.97</v>
      </c>
      <c r="C904">
        <v>4.82</v>
      </c>
      <c r="D904">
        <v>4.7300000000000004</v>
      </c>
      <c r="E904">
        <v>4.6500000000000004</v>
      </c>
      <c r="F904">
        <v>4.4400000000000004</v>
      </c>
      <c r="G904">
        <v>4.18</v>
      </c>
      <c r="H904">
        <v>3.95</v>
      </c>
      <c r="I904">
        <v>3.85</v>
      </c>
      <c r="J904">
        <v>3.88</v>
      </c>
      <c r="K904">
        <v>3.97</v>
      </c>
      <c r="L904">
        <v>4.08</v>
      </c>
      <c r="M904">
        <v>4.4400000000000004</v>
      </c>
      <c r="N904">
        <v>4.3899999999999997</v>
      </c>
      <c r="O904">
        <v>5.6260000000000003</v>
      </c>
      <c r="P904">
        <v>4211.43</v>
      </c>
      <c r="Q904">
        <v>931.26</v>
      </c>
      <c r="R904">
        <v>3.7530000000000001</v>
      </c>
      <c r="S904">
        <v>19.286999999999999</v>
      </c>
      <c r="T904">
        <v>0.91459004466534899</v>
      </c>
      <c r="U904">
        <v>0.76556995554667995</v>
      </c>
      <c r="V904">
        <v>148.70399475097599</v>
      </c>
      <c r="W904">
        <v>1.48345999214643</v>
      </c>
      <c r="X904">
        <v>0.85654997825622503</v>
      </c>
    </row>
    <row r="905" spans="1:24" x14ac:dyDescent="0.25">
      <c r="A905" s="4">
        <v>45575</v>
      </c>
      <c r="B905">
        <v>4.9800000000000004</v>
      </c>
      <c r="C905">
        <v>4.84</v>
      </c>
      <c r="D905">
        <v>4.75</v>
      </c>
      <c r="E905">
        <v>4.6500000000000004</v>
      </c>
      <c r="F905">
        <v>4.45</v>
      </c>
      <c r="G905">
        <v>4.22</v>
      </c>
      <c r="H905">
        <v>3.98</v>
      </c>
      <c r="I905">
        <v>3.88</v>
      </c>
      <c r="J905">
        <v>3.91</v>
      </c>
      <c r="K905">
        <v>3.99</v>
      </c>
      <c r="L905">
        <v>4.09</v>
      </c>
      <c r="M905">
        <v>4.4400000000000004</v>
      </c>
      <c r="N905">
        <v>4.38</v>
      </c>
      <c r="O905">
        <v>5.5815999999999999</v>
      </c>
      <c r="P905">
        <v>4202</v>
      </c>
      <c r="Q905">
        <v>934.84</v>
      </c>
      <c r="R905">
        <v>3.7690000000000001</v>
      </c>
      <c r="S905">
        <v>19.4939</v>
      </c>
      <c r="T905">
        <v>0.913799983158889</v>
      </c>
      <c r="U905">
        <v>0.76520995408708103</v>
      </c>
      <c r="V905">
        <v>149.16000366210901</v>
      </c>
      <c r="W905">
        <v>1.48867095790931</v>
      </c>
      <c r="X905">
        <v>0.86046999692916804</v>
      </c>
    </row>
    <row r="906" spans="1:24" x14ac:dyDescent="0.25">
      <c r="A906" s="4">
        <v>45574</v>
      </c>
      <c r="B906">
        <v>4.93</v>
      </c>
      <c r="C906">
        <v>4.84</v>
      </c>
      <c r="D906">
        <v>4.75</v>
      </c>
      <c r="E906">
        <v>4.6500000000000004</v>
      </c>
      <c r="F906">
        <v>4.46</v>
      </c>
      <c r="G906">
        <v>4.24</v>
      </c>
      <c r="H906">
        <v>3.99</v>
      </c>
      <c r="I906">
        <v>3.89</v>
      </c>
      <c r="J906">
        <v>3.91</v>
      </c>
      <c r="K906">
        <v>3.97</v>
      </c>
      <c r="L906">
        <v>4.0599999999999996</v>
      </c>
      <c r="M906">
        <v>4.41</v>
      </c>
      <c r="N906">
        <v>4.34</v>
      </c>
      <c r="O906">
        <v>5.5734000000000004</v>
      </c>
      <c r="P906">
        <v>4235</v>
      </c>
      <c r="Q906">
        <v>933.62</v>
      </c>
      <c r="R906">
        <v>3.7639999999999998</v>
      </c>
      <c r="S906">
        <v>19.490200000000002</v>
      </c>
      <c r="T906">
        <v>0.91110000617999898</v>
      </c>
      <c r="U906">
        <v>0.76365999310680199</v>
      </c>
      <c r="V906">
        <v>148.15899658203099</v>
      </c>
      <c r="W906">
        <v>1.4837680413196199</v>
      </c>
      <c r="X906">
        <v>0.85740000009536699</v>
      </c>
    </row>
    <row r="907" spans="1:24" x14ac:dyDescent="0.25">
      <c r="A907" s="4">
        <v>45573</v>
      </c>
      <c r="B907">
        <v>4.96</v>
      </c>
      <c r="C907">
        <v>4.8499999999999996</v>
      </c>
      <c r="D907">
        <v>4.75</v>
      </c>
      <c r="E907">
        <v>4.6500000000000004</v>
      </c>
      <c r="F907">
        <v>4.4400000000000004</v>
      </c>
      <c r="G907">
        <v>4.21</v>
      </c>
      <c r="H907">
        <v>3.98</v>
      </c>
      <c r="I907">
        <v>3.86</v>
      </c>
      <c r="J907">
        <v>3.86</v>
      </c>
      <c r="K907">
        <v>3.94</v>
      </c>
      <c r="L907">
        <v>4.04</v>
      </c>
      <c r="M907">
        <v>4.38</v>
      </c>
      <c r="N907">
        <v>4.32</v>
      </c>
      <c r="O907">
        <v>5.5194000000000001</v>
      </c>
      <c r="P907">
        <v>4226.51</v>
      </c>
      <c r="Q907">
        <v>925.86</v>
      </c>
      <c r="R907">
        <v>3.742</v>
      </c>
      <c r="S907">
        <v>19.343499999999999</v>
      </c>
      <c r="T907">
        <v>0.91110000617999898</v>
      </c>
      <c r="U907">
        <v>0.76424997872681899</v>
      </c>
      <c r="V907">
        <v>148.14599609375</v>
      </c>
      <c r="W907">
        <v>1.48016592607858</v>
      </c>
      <c r="X907">
        <v>0.85457998514175404</v>
      </c>
    </row>
    <row r="908" spans="1:24" x14ac:dyDescent="0.25">
      <c r="A908" s="4">
        <v>45572</v>
      </c>
      <c r="B908">
        <v>5</v>
      </c>
      <c r="C908">
        <v>4.87</v>
      </c>
      <c r="D908">
        <v>4.7699999999999996</v>
      </c>
      <c r="E908">
        <v>4.67</v>
      </c>
      <c r="F908">
        <v>4.45</v>
      </c>
      <c r="G908">
        <v>4.24</v>
      </c>
      <c r="H908">
        <v>3.99</v>
      </c>
      <c r="I908">
        <v>3.89</v>
      </c>
      <c r="J908">
        <v>3.86</v>
      </c>
      <c r="K908">
        <v>3.92</v>
      </c>
      <c r="L908">
        <v>4.03</v>
      </c>
      <c r="M908">
        <v>4.37</v>
      </c>
      <c r="N908">
        <v>4.3</v>
      </c>
      <c r="O908">
        <v>5.4622999999999999</v>
      </c>
      <c r="P908">
        <v>4216</v>
      </c>
      <c r="Q908">
        <v>923.74</v>
      </c>
      <c r="R908">
        <v>3.742</v>
      </c>
      <c r="S908">
        <v>19.3049</v>
      </c>
      <c r="T908">
        <v>0.91119996272041404</v>
      </c>
      <c r="U908">
        <v>0.76189002240727899</v>
      </c>
      <c r="V908">
        <v>148.82000732421801</v>
      </c>
      <c r="W908">
        <v>1.4704601016293299</v>
      </c>
      <c r="X908">
        <v>0.85869002342224099</v>
      </c>
    </row>
    <row r="909" spans="1:24" x14ac:dyDescent="0.25">
      <c r="A909" s="4">
        <v>45569</v>
      </c>
      <c r="B909">
        <v>5.01</v>
      </c>
      <c r="C909">
        <v>4.88</v>
      </c>
      <c r="D909">
        <v>4.7300000000000004</v>
      </c>
      <c r="E909">
        <v>4.68</v>
      </c>
      <c r="F909">
        <v>4.45</v>
      </c>
      <c r="G909">
        <v>4.2</v>
      </c>
      <c r="H909">
        <v>3.93</v>
      </c>
      <c r="I909">
        <v>3.84</v>
      </c>
      <c r="J909">
        <v>3.81</v>
      </c>
      <c r="K909">
        <v>3.88</v>
      </c>
      <c r="L909">
        <v>3.98</v>
      </c>
      <c r="M909">
        <v>4.33</v>
      </c>
      <c r="N909">
        <v>4.26</v>
      </c>
      <c r="O909">
        <v>5.4683000000000002</v>
      </c>
      <c r="P909">
        <v>4169.3999999999996</v>
      </c>
      <c r="Q909">
        <v>919.49</v>
      </c>
      <c r="R909">
        <v>3.7309999999999999</v>
      </c>
      <c r="S909">
        <v>19.258700000000001</v>
      </c>
      <c r="T909">
        <v>0.90616003734992601</v>
      </c>
      <c r="U909">
        <v>0.76159998489257796</v>
      </c>
      <c r="V909">
        <v>146.83999633789</v>
      </c>
      <c r="W909">
        <v>1.4597899902870399</v>
      </c>
      <c r="X909">
        <v>0.85180997848510698</v>
      </c>
    </row>
    <row r="910" spans="1:24" x14ac:dyDescent="0.25">
      <c r="A910" s="4">
        <v>45568</v>
      </c>
      <c r="B910">
        <v>4.99</v>
      </c>
      <c r="C910">
        <v>4.8499999999999996</v>
      </c>
      <c r="D910">
        <v>4.68</v>
      </c>
      <c r="E910">
        <v>4.6100000000000003</v>
      </c>
      <c r="F910">
        <v>4.37</v>
      </c>
      <c r="G910">
        <v>4.0199999999999996</v>
      </c>
      <c r="H910">
        <v>3.7</v>
      </c>
      <c r="I910">
        <v>3.62</v>
      </c>
      <c r="J910">
        <v>3.62</v>
      </c>
      <c r="K910">
        <v>3.71</v>
      </c>
      <c r="L910">
        <v>3.85</v>
      </c>
      <c r="M910">
        <v>4.24</v>
      </c>
      <c r="N910">
        <v>4.18</v>
      </c>
      <c r="O910">
        <v>5.4847000000000001</v>
      </c>
      <c r="P910">
        <v>4188</v>
      </c>
      <c r="Q910">
        <v>908.23</v>
      </c>
      <c r="R910">
        <v>3.7269999999999999</v>
      </c>
      <c r="S910">
        <v>19.366199999999999</v>
      </c>
      <c r="T910">
        <v>0.90510000047474304</v>
      </c>
      <c r="U910">
        <v>0.75379997550417499</v>
      </c>
      <c r="V910">
        <v>146.58200073242099</v>
      </c>
      <c r="W910">
        <v>1.45199000643551</v>
      </c>
      <c r="X910">
        <v>0.84991002082824696</v>
      </c>
    </row>
    <row r="911" spans="1:24" x14ac:dyDescent="0.25">
      <c r="A911" s="4">
        <v>45567</v>
      </c>
      <c r="B911">
        <v>4.92</v>
      </c>
      <c r="C911">
        <v>4.83</v>
      </c>
      <c r="D911">
        <v>4.6900000000000004</v>
      </c>
      <c r="E911">
        <v>4.6100000000000003</v>
      </c>
      <c r="F911">
        <v>4.3600000000000003</v>
      </c>
      <c r="G911">
        <v>3.97</v>
      </c>
      <c r="H911">
        <v>3.63</v>
      </c>
      <c r="I911">
        <v>3.54</v>
      </c>
      <c r="J911">
        <v>3.55</v>
      </c>
      <c r="K911">
        <v>3.65</v>
      </c>
      <c r="L911">
        <v>3.79</v>
      </c>
      <c r="M911">
        <v>4.1900000000000004</v>
      </c>
      <c r="N911">
        <v>4.1399999999999997</v>
      </c>
      <c r="O911">
        <v>5.4302000000000001</v>
      </c>
      <c r="P911">
        <v>4184.75</v>
      </c>
      <c r="Q911">
        <v>901.13</v>
      </c>
      <c r="R911">
        <v>3.7120000000000002</v>
      </c>
      <c r="S911">
        <v>19.4162</v>
      </c>
      <c r="T911">
        <v>0.90384002889320103</v>
      </c>
      <c r="U911">
        <v>0.75335000018859299</v>
      </c>
      <c r="V911">
        <v>143.73599243164</v>
      </c>
      <c r="W911">
        <v>1.45348995972523</v>
      </c>
      <c r="X911">
        <v>0.84634000062942505</v>
      </c>
    </row>
    <row r="912" spans="1:24" x14ac:dyDescent="0.25">
      <c r="A912" s="4">
        <v>45566</v>
      </c>
      <c r="B912">
        <v>4.96</v>
      </c>
      <c r="C912">
        <v>4.87</v>
      </c>
      <c r="D912">
        <v>4.71</v>
      </c>
      <c r="E912">
        <v>4.63</v>
      </c>
      <c r="F912">
        <v>4.3600000000000003</v>
      </c>
      <c r="G912">
        <v>3.96</v>
      </c>
      <c r="H912">
        <v>3.61</v>
      </c>
      <c r="I912">
        <v>3.52</v>
      </c>
      <c r="J912">
        <v>3.51</v>
      </c>
      <c r="K912">
        <v>3.6</v>
      </c>
      <c r="L912">
        <v>3.74</v>
      </c>
      <c r="M912">
        <v>4.1399999999999997</v>
      </c>
      <c r="N912">
        <v>4.08</v>
      </c>
      <c r="O912">
        <v>5.4518000000000004</v>
      </c>
      <c r="P912">
        <v>4222.8500000000004</v>
      </c>
      <c r="Q912">
        <v>897.68</v>
      </c>
      <c r="R912">
        <v>3.718</v>
      </c>
      <c r="S912">
        <v>19.7027</v>
      </c>
      <c r="T912">
        <v>0.89793995092516499</v>
      </c>
      <c r="U912">
        <v>0.74759999739767002</v>
      </c>
      <c r="V912">
        <v>143.71000671386699</v>
      </c>
      <c r="W912">
        <v>1.44596394487877</v>
      </c>
      <c r="X912">
        <v>0.84530997276306097</v>
      </c>
    </row>
    <row r="913" spans="1:24" x14ac:dyDescent="0.25">
      <c r="A913" s="4">
        <v>45565</v>
      </c>
      <c r="B913">
        <v>4.93</v>
      </c>
      <c r="C913">
        <v>4.87</v>
      </c>
      <c r="D913">
        <v>4.7300000000000004</v>
      </c>
      <c r="E913">
        <v>4.6500000000000004</v>
      </c>
      <c r="F913">
        <v>4.38</v>
      </c>
      <c r="G913">
        <v>3.98</v>
      </c>
      <c r="H913">
        <v>3.66</v>
      </c>
      <c r="I913">
        <v>3.58</v>
      </c>
      <c r="J913">
        <v>3.58</v>
      </c>
      <c r="K913">
        <v>3.67</v>
      </c>
      <c r="L913">
        <v>3.81</v>
      </c>
      <c r="M913">
        <v>4.1900000000000004</v>
      </c>
      <c r="N913">
        <v>4.1399999999999997</v>
      </c>
      <c r="O913">
        <v>5.6558999999999999</v>
      </c>
      <c r="P913">
        <v>4179.99</v>
      </c>
      <c r="Q913">
        <v>917.38</v>
      </c>
      <c r="R913">
        <v>3.7490000000000001</v>
      </c>
      <c r="S913">
        <v>19.7027</v>
      </c>
      <c r="T913">
        <v>0.89526997028790001</v>
      </c>
      <c r="U913">
        <v>0.74719998460815396</v>
      </c>
      <c r="V913">
        <v>142.78300476074199</v>
      </c>
      <c r="W913">
        <v>1.4453399821964501</v>
      </c>
      <c r="X913">
        <v>0.84049999713897705</v>
      </c>
    </row>
    <row r="914" spans="1:24" x14ac:dyDescent="0.25">
      <c r="A914" s="4">
        <v>45562</v>
      </c>
      <c r="B914">
        <v>4.9000000000000004</v>
      </c>
      <c r="C914">
        <v>4.87</v>
      </c>
      <c r="D914">
        <v>4.68</v>
      </c>
      <c r="E914">
        <v>4.6399999999999997</v>
      </c>
      <c r="F914">
        <v>4.3499999999999996</v>
      </c>
      <c r="G914">
        <v>3.9</v>
      </c>
      <c r="H914">
        <v>3.55</v>
      </c>
      <c r="I914">
        <v>3.49</v>
      </c>
      <c r="J914">
        <v>3.5</v>
      </c>
      <c r="K914">
        <v>3.6</v>
      </c>
      <c r="L914">
        <v>3.75</v>
      </c>
      <c r="M914">
        <v>4.1500000000000004</v>
      </c>
      <c r="N914">
        <v>4.0999999999999996</v>
      </c>
      <c r="O914">
        <v>5.6558999999999999</v>
      </c>
      <c r="P914">
        <v>4179.99</v>
      </c>
      <c r="Q914">
        <v>917.38</v>
      </c>
      <c r="R914">
        <v>3.7490000000000001</v>
      </c>
      <c r="S914">
        <v>19.7027</v>
      </c>
      <c r="T914">
        <v>0.89468006840372105</v>
      </c>
      <c r="U914">
        <v>0.74550004070270204</v>
      </c>
      <c r="V914">
        <v>145.07600402832</v>
      </c>
      <c r="W914">
        <v>1.4507890341926699</v>
      </c>
      <c r="X914">
        <v>0.84623998403549106</v>
      </c>
    </row>
    <row r="915" spans="1:24" x14ac:dyDescent="0.25">
      <c r="A915" s="4">
        <v>45561</v>
      </c>
      <c r="B915">
        <v>4.9000000000000004</v>
      </c>
      <c r="C915">
        <v>4.87</v>
      </c>
      <c r="D915">
        <v>4.68</v>
      </c>
      <c r="E915">
        <v>4.6500000000000004</v>
      </c>
      <c r="F915">
        <v>4.38</v>
      </c>
      <c r="G915">
        <v>3.96</v>
      </c>
      <c r="H915">
        <v>3.6</v>
      </c>
      <c r="I915">
        <v>3.54</v>
      </c>
      <c r="J915">
        <v>3.55</v>
      </c>
      <c r="K915">
        <v>3.65</v>
      </c>
      <c r="L915">
        <v>3.79</v>
      </c>
      <c r="M915">
        <v>4.17</v>
      </c>
      <c r="N915">
        <v>4.12</v>
      </c>
      <c r="O915">
        <v>5.6558999999999999</v>
      </c>
      <c r="P915">
        <v>4179.99</v>
      </c>
      <c r="Q915">
        <v>917.38</v>
      </c>
      <c r="R915">
        <v>3.7490000000000001</v>
      </c>
      <c r="S915">
        <v>19.7027</v>
      </c>
      <c r="T915">
        <v>0.89839000858806295</v>
      </c>
      <c r="U915">
        <v>0.75098799508974601</v>
      </c>
      <c r="V915">
        <v>144.68299865722599</v>
      </c>
      <c r="W915">
        <v>1.46593195968385</v>
      </c>
      <c r="X915">
        <v>0.85057002305984497</v>
      </c>
    </row>
    <row r="916" spans="1:24" x14ac:dyDescent="0.25">
      <c r="A916" s="4">
        <v>45560</v>
      </c>
      <c r="B916">
        <v>4.79</v>
      </c>
      <c r="C916">
        <v>4.78</v>
      </c>
      <c r="D916">
        <v>4.6900000000000004</v>
      </c>
      <c r="E916">
        <v>4.6399999999999997</v>
      </c>
      <c r="F916">
        <v>4.3600000000000003</v>
      </c>
      <c r="G916">
        <v>3.89</v>
      </c>
      <c r="H916">
        <v>3.53</v>
      </c>
      <c r="I916">
        <v>3.49</v>
      </c>
      <c r="J916">
        <v>3.52</v>
      </c>
      <c r="K916">
        <v>3.65</v>
      </c>
      <c r="L916">
        <v>3.79</v>
      </c>
      <c r="M916">
        <v>4.18</v>
      </c>
      <c r="N916">
        <v>4.1399999999999997</v>
      </c>
      <c r="O916">
        <v>5.6558999999999999</v>
      </c>
      <c r="P916">
        <v>4179.99</v>
      </c>
      <c r="Q916">
        <v>917.38</v>
      </c>
      <c r="R916">
        <v>3.7490000000000001</v>
      </c>
      <c r="S916">
        <v>19.7027</v>
      </c>
      <c r="T916">
        <v>0.89355998513397705</v>
      </c>
      <c r="U916">
        <v>0.74475001722353695</v>
      </c>
      <c r="V916">
        <v>142.96299743652301</v>
      </c>
      <c r="W916">
        <v>1.44814200085124</v>
      </c>
      <c r="X916">
        <v>0.84150999784469604</v>
      </c>
    </row>
    <row r="917" spans="1:24" x14ac:dyDescent="0.25">
      <c r="A917" s="4">
        <v>45559</v>
      </c>
      <c r="B917">
        <v>4.78</v>
      </c>
      <c r="C917">
        <v>4.78</v>
      </c>
      <c r="D917">
        <v>4.6900000000000004</v>
      </c>
      <c r="E917">
        <v>4.63</v>
      </c>
      <c r="F917">
        <v>4.3600000000000003</v>
      </c>
      <c r="G917">
        <v>3.88</v>
      </c>
      <c r="H917">
        <v>3.49</v>
      </c>
      <c r="I917">
        <v>3.44</v>
      </c>
      <c r="J917">
        <v>3.47</v>
      </c>
      <c r="K917">
        <v>3.6</v>
      </c>
      <c r="L917">
        <v>3.74</v>
      </c>
      <c r="M917">
        <v>4.13</v>
      </c>
      <c r="N917">
        <v>4.09</v>
      </c>
      <c r="O917">
        <v>5.6558999999999999</v>
      </c>
      <c r="P917">
        <v>4179.99</v>
      </c>
      <c r="Q917">
        <v>917.38</v>
      </c>
      <c r="R917">
        <v>3.7490000000000001</v>
      </c>
      <c r="S917">
        <v>19.7027</v>
      </c>
      <c r="T917">
        <v>0.89995003858411604</v>
      </c>
      <c r="U917">
        <v>0.74907000341200403</v>
      </c>
      <c r="V917">
        <v>143.63800048828099</v>
      </c>
      <c r="W917">
        <v>1.46324997791242</v>
      </c>
      <c r="X917">
        <v>0.84732002019882202</v>
      </c>
    </row>
    <row r="918" spans="1:24" x14ac:dyDescent="0.25">
      <c r="A918" s="4">
        <v>45558</v>
      </c>
      <c r="B918">
        <v>4.8499999999999996</v>
      </c>
      <c r="C918">
        <v>4.84</v>
      </c>
      <c r="D918">
        <v>4.72</v>
      </c>
      <c r="E918">
        <v>4.6500000000000004</v>
      </c>
      <c r="F918">
        <v>4.4000000000000004</v>
      </c>
      <c r="G918">
        <v>3.91</v>
      </c>
      <c r="H918">
        <v>3.57</v>
      </c>
      <c r="I918">
        <v>3.47</v>
      </c>
      <c r="J918">
        <v>3.51</v>
      </c>
      <c r="K918">
        <v>3.62</v>
      </c>
      <c r="L918">
        <v>3.75</v>
      </c>
      <c r="M918">
        <v>4.12</v>
      </c>
      <c r="N918">
        <v>4.09</v>
      </c>
      <c r="O918">
        <v>5.6558999999999999</v>
      </c>
      <c r="P918">
        <v>4179.99</v>
      </c>
      <c r="Q918">
        <v>917.38</v>
      </c>
      <c r="R918">
        <v>3.7490000000000001</v>
      </c>
      <c r="S918">
        <v>19.7027</v>
      </c>
      <c r="T918">
        <v>0.89599001964241998</v>
      </c>
      <c r="U918">
        <v>0.75108999990061398</v>
      </c>
      <c r="V918">
        <v>144.00399780273401</v>
      </c>
      <c r="W918">
        <v>1.4684300787884801</v>
      </c>
      <c r="X918">
        <v>0.85089999437332098</v>
      </c>
    </row>
    <row r="919" spans="1:24" x14ac:dyDescent="0.25">
      <c r="A919" s="4">
        <v>45555</v>
      </c>
      <c r="B919">
        <v>4.87</v>
      </c>
      <c r="C919">
        <v>4.88</v>
      </c>
      <c r="D919">
        <v>4.75</v>
      </c>
      <c r="E919">
        <v>4.7</v>
      </c>
      <c r="F919">
        <v>4.43</v>
      </c>
      <c r="G919">
        <v>3.92</v>
      </c>
      <c r="H919">
        <v>3.55</v>
      </c>
      <c r="I919">
        <v>3.46</v>
      </c>
      <c r="J919">
        <v>3.48</v>
      </c>
      <c r="K919">
        <v>3.59</v>
      </c>
      <c r="L919">
        <v>3.73</v>
      </c>
      <c r="M919">
        <v>4.0999999999999996</v>
      </c>
      <c r="N919">
        <v>4.07</v>
      </c>
      <c r="O919">
        <v>5.6558999999999999</v>
      </c>
      <c r="P919">
        <v>4179.99</v>
      </c>
      <c r="Q919">
        <v>917.38</v>
      </c>
      <c r="R919">
        <v>3.7490000000000001</v>
      </c>
      <c r="S919">
        <v>19.7027</v>
      </c>
      <c r="T919">
        <v>0.89589997405837696</v>
      </c>
      <c r="U919">
        <v>0.75291002237474103</v>
      </c>
      <c r="V919">
        <v>142.85800170898401</v>
      </c>
      <c r="W919">
        <v>1.4685200516010399</v>
      </c>
      <c r="X919">
        <v>0.84777998924255304</v>
      </c>
    </row>
    <row r="920" spans="1:24" x14ac:dyDescent="0.25">
      <c r="A920" s="4">
        <v>45554</v>
      </c>
      <c r="B920">
        <v>4.8899999999999997</v>
      </c>
      <c r="C920">
        <v>4.91</v>
      </c>
      <c r="D920">
        <v>4.8</v>
      </c>
      <c r="E920">
        <v>4.7300000000000004</v>
      </c>
      <c r="F920">
        <v>4.46</v>
      </c>
      <c r="G920">
        <v>3.93</v>
      </c>
      <c r="H920">
        <v>3.59</v>
      </c>
      <c r="I920">
        <v>3.47</v>
      </c>
      <c r="J920">
        <v>3.49</v>
      </c>
      <c r="K920">
        <v>3.6</v>
      </c>
      <c r="L920">
        <v>3.73</v>
      </c>
      <c r="M920">
        <v>4.1100000000000003</v>
      </c>
      <c r="N920">
        <v>4.0599999999999996</v>
      </c>
      <c r="O920">
        <v>5.6558999999999999</v>
      </c>
      <c r="P920">
        <v>4179.99</v>
      </c>
      <c r="Q920">
        <v>917.38</v>
      </c>
      <c r="R920">
        <v>3.7490000000000001</v>
      </c>
      <c r="S920">
        <v>19.7027</v>
      </c>
      <c r="T920">
        <v>0.89969995014899495</v>
      </c>
      <c r="U920">
        <v>0.75750998471725095</v>
      </c>
      <c r="V920">
        <v>142.71000671386699</v>
      </c>
      <c r="W920">
        <v>1.47848105013895</v>
      </c>
      <c r="X920">
        <v>0.84729999303817705</v>
      </c>
    </row>
    <row r="921" spans="1:24" x14ac:dyDescent="0.25">
      <c r="A921" s="4">
        <v>45553</v>
      </c>
      <c r="B921">
        <v>4.91</v>
      </c>
      <c r="C921">
        <v>4.91</v>
      </c>
      <c r="D921">
        <v>4.84</v>
      </c>
      <c r="E921">
        <v>4.76</v>
      </c>
      <c r="F921">
        <v>4.5</v>
      </c>
      <c r="G921">
        <v>3.95</v>
      </c>
      <c r="H921">
        <v>3.61</v>
      </c>
      <c r="I921">
        <v>3.49</v>
      </c>
      <c r="J921">
        <v>3.47</v>
      </c>
      <c r="K921">
        <v>3.58</v>
      </c>
      <c r="L921">
        <v>3.7</v>
      </c>
      <c r="M921">
        <v>4.08</v>
      </c>
      <c r="N921">
        <v>4.03</v>
      </c>
      <c r="O921">
        <v>5.6558999999999999</v>
      </c>
      <c r="P921">
        <v>4179.99</v>
      </c>
      <c r="Q921">
        <v>917.38</v>
      </c>
      <c r="R921">
        <v>3.7490000000000001</v>
      </c>
      <c r="S921">
        <v>19.7027</v>
      </c>
      <c r="T921">
        <v>0.89903000107601405</v>
      </c>
      <c r="U921">
        <v>0.75945004519884995</v>
      </c>
      <c r="V921">
        <v>142.01499938964801</v>
      </c>
      <c r="W921">
        <v>1.4787001003532301</v>
      </c>
      <c r="X921">
        <v>0.84632998704910201</v>
      </c>
    </row>
    <row r="922" spans="1:24" x14ac:dyDescent="0.25">
      <c r="A922" s="4">
        <v>45552</v>
      </c>
      <c r="B922">
        <v>5.05</v>
      </c>
      <c r="C922">
        <v>5.05</v>
      </c>
      <c r="D922">
        <v>4.95</v>
      </c>
      <c r="E922">
        <v>4.87</v>
      </c>
      <c r="F922">
        <v>4.55</v>
      </c>
      <c r="G922">
        <v>3.99</v>
      </c>
      <c r="H922">
        <v>3.59</v>
      </c>
      <c r="I922">
        <v>3.45</v>
      </c>
      <c r="J922">
        <v>3.44</v>
      </c>
      <c r="K922">
        <v>3.53</v>
      </c>
      <c r="L922">
        <v>3.65</v>
      </c>
      <c r="M922">
        <v>4.0199999999999996</v>
      </c>
      <c r="N922">
        <v>3.96</v>
      </c>
      <c r="O922">
        <v>5.6558999999999999</v>
      </c>
      <c r="P922">
        <v>4179.99</v>
      </c>
      <c r="Q922">
        <v>917.38</v>
      </c>
      <c r="R922">
        <v>3.7490000000000001</v>
      </c>
      <c r="S922">
        <v>19.7027</v>
      </c>
      <c r="T922">
        <v>0.89851000392882197</v>
      </c>
      <c r="U922">
        <v>0.75695999898934896</v>
      </c>
      <c r="V922">
        <v>140.78999328613199</v>
      </c>
      <c r="W922">
        <v>1.4810650430511401</v>
      </c>
      <c r="X922">
        <v>0.84457999467849698</v>
      </c>
    </row>
    <row r="923" spans="1:24" x14ac:dyDescent="0.25">
      <c r="A923" s="4">
        <v>45551</v>
      </c>
      <c r="B923">
        <v>5.1100000000000003</v>
      </c>
      <c r="C923">
        <v>5.0999999999999996</v>
      </c>
      <c r="D923">
        <v>4.96</v>
      </c>
      <c r="E923">
        <v>4.88</v>
      </c>
      <c r="F923">
        <v>4.55</v>
      </c>
      <c r="G923">
        <v>3.96</v>
      </c>
      <c r="H923">
        <v>3.56</v>
      </c>
      <c r="I923">
        <v>3.42</v>
      </c>
      <c r="J923">
        <v>3.41</v>
      </c>
      <c r="K923">
        <v>3.51</v>
      </c>
      <c r="L923">
        <v>3.63</v>
      </c>
      <c r="M923">
        <v>4.01</v>
      </c>
      <c r="N923">
        <v>3.94</v>
      </c>
      <c r="O923">
        <v>5.6558999999999999</v>
      </c>
      <c r="P923">
        <v>4179.99</v>
      </c>
      <c r="Q923">
        <v>917.38</v>
      </c>
      <c r="R923">
        <v>3.7490000000000001</v>
      </c>
      <c r="S923">
        <v>19.7027</v>
      </c>
      <c r="T923">
        <v>0.90183998359862405</v>
      </c>
      <c r="U923">
        <v>0.76115101137823704</v>
      </c>
      <c r="V923">
        <v>140.78999328613199</v>
      </c>
      <c r="W923">
        <v>1.48947001668962</v>
      </c>
      <c r="X923">
        <v>0.84769999980926503</v>
      </c>
    </row>
    <row r="924" spans="1:24" x14ac:dyDescent="0.25">
      <c r="A924" s="4">
        <v>45548</v>
      </c>
      <c r="B924">
        <v>5.15</v>
      </c>
      <c r="C924">
        <v>5.17</v>
      </c>
      <c r="D924">
        <v>4.97</v>
      </c>
      <c r="E924">
        <v>4.92</v>
      </c>
      <c r="F924">
        <v>4.5999999999999996</v>
      </c>
      <c r="G924">
        <v>4</v>
      </c>
      <c r="H924">
        <v>3.57</v>
      </c>
      <c r="I924">
        <v>3.42</v>
      </c>
      <c r="J924">
        <v>3.43</v>
      </c>
      <c r="K924">
        <v>3.53</v>
      </c>
      <c r="L924">
        <v>3.66</v>
      </c>
      <c r="M924">
        <v>4.05</v>
      </c>
      <c r="N924">
        <v>3.98</v>
      </c>
      <c r="O924">
        <v>5.6558999999999999</v>
      </c>
      <c r="P924">
        <v>4179.99</v>
      </c>
      <c r="Q924">
        <v>917.38</v>
      </c>
      <c r="R924">
        <v>3.7490000000000001</v>
      </c>
      <c r="S924">
        <v>19.7027</v>
      </c>
      <c r="T924">
        <v>0.90270001593707405</v>
      </c>
      <c r="U924">
        <v>0.76147996721189404</v>
      </c>
      <c r="V924">
        <v>141.49899291992099</v>
      </c>
      <c r="W924">
        <v>1.4865690389322399</v>
      </c>
      <c r="X924">
        <v>0.84987998008728005</v>
      </c>
    </row>
    <row r="925" spans="1:24" x14ac:dyDescent="0.25">
      <c r="A925" s="4">
        <v>45547</v>
      </c>
      <c r="B925">
        <v>5.18</v>
      </c>
      <c r="C925">
        <v>5.22</v>
      </c>
      <c r="D925">
        <v>5.0599999999999996</v>
      </c>
      <c r="E925">
        <v>4.97</v>
      </c>
      <c r="F925">
        <v>4.68</v>
      </c>
      <c r="G925">
        <v>4.09</v>
      </c>
      <c r="H925">
        <v>3.64</v>
      </c>
      <c r="I925">
        <v>3.47</v>
      </c>
      <c r="J925">
        <v>3.47</v>
      </c>
      <c r="K925">
        <v>3.57</v>
      </c>
      <c r="L925">
        <v>3.68</v>
      </c>
      <c r="M925">
        <v>4.07</v>
      </c>
      <c r="N925">
        <v>4</v>
      </c>
      <c r="O925">
        <v>5.6558999999999999</v>
      </c>
      <c r="P925">
        <v>4179.99</v>
      </c>
      <c r="Q925">
        <v>917.38</v>
      </c>
      <c r="R925">
        <v>3.7490000000000001</v>
      </c>
      <c r="S925">
        <v>19.7027</v>
      </c>
      <c r="T925">
        <v>0.90819002877891897</v>
      </c>
      <c r="U925">
        <v>0.76689996849611597</v>
      </c>
      <c r="V925">
        <v>142.58999633789</v>
      </c>
      <c r="W925">
        <v>1.49767901573127</v>
      </c>
      <c r="X925">
        <v>0.85259997844696001</v>
      </c>
    </row>
    <row r="926" spans="1:24" x14ac:dyDescent="0.25">
      <c r="A926" s="4">
        <v>45546</v>
      </c>
      <c r="B926">
        <v>5.21</v>
      </c>
      <c r="C926">
        <v>5.19</v>
      </c>
      <c r="D926">
        <v>5.0999999999999996</v>
      </c>
      <c r="E926">
        <v>4.99</v>
      </c>
      <c r="F926">
        <v>4.72</v>
      </c>
      <c r="G926">
        <v>4.12</v>
      </c>
      <c r="H926">
        <v>3.62</v>
      </c>
      <c r="I926">
        <v>3.45</v>
      </c>
      <c r="J926">
        <v>3.45</v>
      </c>
      <c r="K926">
        <v>3.54</v>
      </c>
      <c r="L926">
        <v>3.65</v>
      </c>
      <c r="M926">
        <v>4.03</v>
      </c>
      <c r="N926">
        <v>3.96</v>
      </c>
      <c r="O926">
        <v>5.6558999999999999</v>
      </c>
      <c r="P926">
        <v>4179.99</v>
      </c>
      <c r="Q926">
        <v>917.38</v>
      </c>
      <c r="R926">
        <v>3.7490000000000001</v>
      </c>
      <c r="S926">
        <v>19.7027</v>
      </c>
      <c r="T926">
        <v>0.90736004082607902</v>
      </c>
      <c r="U926">
        <v>0.76450998671318104</v>
      </c>
      <c r="V926">
        <v>142.23399353027301</v>
      </c>
      <c r="W926">
        <v>1.50301396243203</v>
      </c>
      <c r="X926">
        <v>0.84662002325057895</v>
      </c>
    </row>
    <row r="927" spans="1:24" x14ac:dyDescent="0.25">
      <c r="A927" s="4">
        <v>45545</v>
      </c>
      <c r="B927">
        <v>5.18</v>
      </c>
      <c r="C927">
        <v>5.18</v>
      </c>
      <c r="D927">
        <v>5.0599999999999996</v>
      </c>
      <c r="E927">
        <v>4.92</v>
      </c>
      <c r="F927">
        <v>4.6500000000000004</v>
      </c>
      <c r="G927">
        <v>4.07</v>
      </c>
      <c r="H927">
        <v>3.59</v>
      </c>
      <c r="I927">
        <v>3.42</v>
      </c>
      <c r="J927">
        <v>3.43</v>
      </c>
      <c r="K927">
        <v>3.53</v>
      </c>
      <c r="L927">
        <v>3.65</v>
      </c>
      <c r="M927">
        <v>4.04</v>
      </c>
      <c r="N927">
        <v>3.97</v>
      </c>
      <c r="O927">
        <v>5.6558999999999999</v>
      </c>
      <c r="P927">
        <v>4179.99</v>
      </c>
      <c r="Q927">
        <v>917.38</v>
      </c>
      <c r="R927">
        <v>3.7490000000000001</v>
      </c>
      <c r="S927">
        <v>19.7027</v>
      </c>
      <c r="T927">
        <v>0.90600002224874499</v>
      </c>
      <c r="U927">
        <v>0.76503004540782604</v>
      </c>
      <c r="V927">
        <v>143.177001953125</v>
      </c>
      <c r="W927">
        <v>1.50197988964614</v>
      </c>
      <c r="X927">
        <v>0.84944999217987005</v>
      </c>
    </row>
    <row r="928" spans="1:24" x14ac:dyDescent="0.25">
      <c r="A928" s="4">
        <v>45544</v>
      </c>
      <c r="B928">
        <v>5.25</v>
      </c>
      <c r="C928">
        <v>5.25</v>
      </c>
      <c r="D928">
        <v>5.1100000000000003</v>
      </c>
      <c r="E928">
        <v>4.99</v>
      </c>
      <c r="F928">
        <v>4.68</v>
      </c>
      <c r="G928">
        <v>4.12</v>
      </c>
      <c r="H928">
        <v>3.68</v>
      </c>
      <c r="I928">
        <v>3.54</v>
      </c>
      <c r="J928">
        <v>3.49</v>
      </c>
      <c r="K928">
        <v>3.58</v>
      </c>
      <c r="L928">
        <v>3.7</v>
      </c>
      <c r="M928">
        <v>4.08</v>
      </c>
      <c r="N928">
        <v>4</v>
      </c>
      <c r="O928">
        <v>5.6558999999999999</v>
      </c>
      <c r="P928">
        <v>4179.99</v>
      </c>
      <c r="Q928">
        <v>917.38</v>
      </c>
      <c r="R928">
        <v>3.7490000000000001</v>
      </c>
      <c r="S928">
        <v>19.7027</v>
      </c>
      <c r="T928">
        <v>0.90193995502239199</v>
      </c>
      <c r="U928">
        <v>0.76142004166811506</v>
      </c>
      <c r="V928">
        <v>142.48599243164</v>
      </c>
      <c r="W928">
        <v>1.4990700738553</v>
      </c>
      <c r="X928">
        <v>0.84394001960754395</v>
      </c>
    </row>
    <row r="929" spans="1:24" x14ac:dyDescent="0.25">
      <c r="A929" s="4">
        <v>45541</v>
      </c>
      <c r="B929">
        <v>5.28</v>
      </c>
      <c r="C929">
        <v>5.28</v>
      </c>
      <c r="D929">
        <v>5.13</v>
      </c>
      <c r="E929">
        <v>5.0199999999999996</v>
      </c>
      <c r="F929">
        <v>4.6900000000000004</v>
      </c>
      <c r="G929">
        <v>4.0999999999999996</v>
      </c>
      <c r="H929">
        <v>3.66</v>
      </c>
      <c r="I929">
        <v>3.54</v>
      </c>
      <c r="J929">
        <v>3.5</v>
      </c>
      <c r="K929">
        <v>3.6</v>
      </c>
      <c r="L929">
        <v>3.72</v>
      </c>
      <c r="M929">
        <v>4.0999999999999996</v>
      </c>
      <c r="N929">
        <v>4.03</v>
      </c>
      <c r="O929">
        <v>5.6558999999999999</v>
      </c>
      <c r="P929">
        <v>4179.99</v>
      </c>
      <c r="Q929">
        <v>917.38</v>
      </c>
      <c r="R929">
        <v>3.7490000000000001</v>
      </c>
      <c r="S929">
        <v>19.7027</v>
      </c>
      <c r="T929">
        <v>0.89999995708465697</v>
      </c>
      <c r="U929">
        <v>0.75886998445279596</v>
      </c>
      <c r="V929">
        <v>143.39300537109301</v>
      </c>
      <c r="W929">
        <v>1.48356900173901</v>
      </c>
      <c r="X929">
        <v>0.84381002187728804</v>
      </c>
    </row>
    <row r="930" spans="1:24" x14ac:dyDescent="0.25">
      <c r="A930" s="4">
        <v>45540</v>
      </c>
      <c r="B930">
        <v>5.3</v>
      </c>
      <c r="C930">
        <v>5.29</v>
      </c>
      <c r="D930">
        <v>5.15</v>
      </c>
      <c r="E930">
        <v>5.04</v>
      </c>
      <c r="F930">
        <v>4.7300000000000004</v>
      </c>
      <c r="G930">
        <v>4.21</v>
      </c>
      <c r="H930">
        <v>3.75</v>
      </c>
      <c r="I930">
        <v>3.61</v>
      </c>
      <c r="J930">
        <v>3.54</v>
      </c>
      <c r="K930">
        <v>3.63</v>
      </c>
      <c r="L930">
        <v>3.73</v>
      </c>
      <c r="M930">
        <v>4.1100000000000003</v>
      </c>
      <c r="N930">
        <v>4.0199999999999996</v>
      </c>
      <c r="O930">
        <v>5.6558999999999999</v>
      </c>
      <c r="P930">
        <v>4179.99</v>
      </c>
      <c r="Q930">
        <v>917.38</v>
      </c>
      <c r="R930">
        <v>3.7490000000000001</v>
      </c>
      <c r="S930">
        <v>19.7027</v>
      </c>
      <c r="T930">
        <v>0.90249004863819104</v>
      </c>
      <c r="U930">
        <v>0.76076003379096802</v>
      </c>
      <c r="V930">
        <v>143.32400512695301</v>
      </c>
      <c r="W930">
        <v>1.4889399464478399</v>
      </c>
      <c r="X930">
        <v>0.84604001045226995</v>
      </c>
    </row>
    <row r="931" spans="1:24" x14ac:dyDescent="0.25">
      <c r="A931" s="4">
        <v>45539</v>
      </c>
      <c r="B931">
        <v>5.33</v>
      </c>
      <c r="C931">
        <v>5.28</v>
      </c>
      <c r="D931">
        <v>5.18</v>
      </c>
      <c r="E931">
        <v>5.05</v>
      </c>
      <c r="F931">
        <v>4.74</v>
      </c>
      <c r="G931">
        <v>4.2300000000000004</v>
      </c>
      <c r="H931">
        <v>3.76</v>
      </c>
      <c r="I931">
        <v>3.63</v>
      </c>
      <c r="J931">
        <v>3.56</v>
      </c>
      <c r="K931">
        <v>3.65</v>
      </c>
      <c r="L931">
        <v>3.77</v>
      </c>
      <c r="M931">
        <v>4.1399999999999997</v>
      </c>
      <c r="N931">
        <v>4.0599999999999996</v>
      </c>
      <c r="O931">
        <v>5.6558999999999999</v>
      </c>
      <c r="P931">
        <v>4179.99</v>
      </c>
      <c r="Q931">
        <v>917.38</v>
      </c>
      <c r="R931">
        <v>3.7490000000000001</v>
      </c>
      <c r="S931">
        <v>19.7027</v>
      </c>
      <c r="T931">
        <v>0.90507002077906495</v>
      </c>
      <c r="U931">
        <v>0.76254000135989097</v>
      </c>
      <c r="V931">
        <v>145.35299682617099</v>
      </c>
      <c r="W931">
        <v>1.4894249262088499</v>
      </c>
      <c r="X931">
        <v>0.84992998838424605</v>
      </c>
    </row>
    <row r="932" spans="1:24" x14ac:dyDescent="0.25">
      <c r="A932" s="4">
        <v>45538</v>
      </c>
      <c r="B932">
        <v>5.38</v>
      </c>
      <c r="C932">
        <v>5.31</v>
      </c>
      <c r="D932">
        <v>5.19</v>
      </c>
      <c r="E932">
        <v>5.0999999999999996</v>
      </c>
      <c r="F932">
        <v>4.8</v>
      </c>
      <c r="G932">
        <v>4.3499999999999996</v>
      </c>
      <c r="H932">
        <v>3.88</v>
      </c>
      <c r="I932">
        <v>3.73</v>
      </c>
      <c r="J932">
        <v>3.65</v>
      </c>
      <c r="K932">
        <v>3.73</v>
      </c>
      <c r="L932">
        <v>3.84</v>
      </c>
      <c r="M932">
        <v>4.21</v>
      </c>
      <c r="N932">
        <v>4.13</v>
      </c>
      <c r="O932">
        <v>5.6558999999999999</v>
      </c>
      <c r="P932">
        <v>4179.99</v>
      </c>
      <c r="Q932">
        <v>917.38</v>
      </c>
      <c r="R932">
        <v>3.7490000000000001</v>
      </c>
      <c r="S932">
        <v>19.7027</v>
      </c>
      <c r="T932">
        <v>0.903550011282785</v>
      </c>
      <c r="U932">
        <v>0.76091999335649196</v>
      </c>
      <c r="V932">
        <v>146.72200012207</v>
      </c>
      <c r="W932">
        <v>1.47334001978888</v>
      </c>
      <c r="X932">
        <v>0.85136997699737504</v>
      </c>
    </row>
    <row r="933" spans="1:24" x14ac:dyDescent="0.25">
      <c r="A933" s="4">
        <v>45534</v>
      </c>
      <c r="B933">
        <v>5.41</v>
      </c>
      <c r="C933">
        <v>5.32</v>
      </c>
      <c r="D933">
        <v>5.21</v>
      </c>
      <c r="E933">
        <v>5.12</v>
      </c>
      <c r="F933">
        <v>4.8899999999999997</v>
      </c>
      <c r="G933">
        <v>4.38</v>
      </c>
      <c r="H933">
        <v>3.91</v>
      </c>
      <c r="I933">
        <v>3.79</v>
      </c>
      <c r="J933">
        <v>3.71</v>
      </c>
      <c r="K933">
        <v>3.8</v>
      </c>
      <c r="L933">
        <v>3.91</v>
      </c>
      <c r="M933">
        <v>4.28</v>
      </c>
      <c r="N933">
        <v>4.2</v>
      </c>
      <c r="O933">
        <v>5.6558999999999999</v>
      </c>
      <c r="P933">
        <v>4179.99</v>
      </c>
      <c r="Q933">
        <v>917.38</v>
      </c>
      <c r="R933">
        <v>3.7490000000000001</v>
      </c>
      <c r="S933">
        <v>19.7027</v>
      </c>
      <c r="T933">
        <v>0.90249004863819104</v>
      </c>
      <c r="U933">
        <v>0.75951997615490097</v>
      </c>
      <c r="V933">
        <v>144.88999938964801</v>
      </c>
      <c r="W933">
        <v>1.4714970300736001</v>
      </c>
      <c r="X933">
        <v>0.84693998098373402</v>
      </c>
    </row>
    <row r="934" spans="1:24" x14ac:dyDescent="0.25">
      <c r="A934" s="4">
        <v>45533</v>
      </c>
      <c r="B934">
        <v>5.4</v>
      </c>
      <c r="C934">
        <v>5.33</v>
      </c>
      <c r="D934">
        <v>5.22</v>
      </c>
      <c r="E934">
        <v>5.12</v>
      </c>
      <c r="F934">
        <v>4.8899999999999997</v>
      </c>
      <c r="G934">
        <v>4.38</v>
      </c>
      <c r="H934">
        <v>3.87</v>
      </c>
      <c r="I934">
        <v>3.76</v>
      </c>
      <c r="J934">
        <v>3.66</v>
      </c>
      <c r="K934">
        <v>3.76</v>
      </c>
      <c r="L934">
        <v>3.87</v>
      </c>
      <c r="M934">
        <v>4.24</v>
      </c>
      <c r="N934">
        <v>4.1500000000000004</v>
      </c>
      <c r="O934">
        <v>5.6355000000000004</v>
      </c>
      <c r="P934">
        <v>4119.8</v>
      </c>
      <c r="Q934">
        <v>912.08</v>
      </c>
      <c r="R934">
        <v>3.7490000000000001</v>
      </c>
      <c r="S934">
        <v>19.8338</v>
      </c>
      <c r="T934">
        <v>0.89888000682362001</v>
      </c>
      <c r="U934">
        <v>0.75794001630519003</v>
      </c>
      <c r="V934">
        <v>144.43299865722599</v>
      </c>
      <c r="W934">
        <v>1.4742519763570801</v>
      </c>
      <c r="X934">
        <v>0.84182000160217196</v>
      </c>
    </row>
    <row r="935" spans="1:24" x14ac:dyDescent="0.25">
      <c r="A935" s="4">
        <v>45532</v>
      </c>
      <c r="B935">
        <v>5.47</v>
      </c>
      <c r="C935">
        <v>5.33</v>
      </c>
      <c r="D935">
        <v>5.21</v>
      </c>
      <c r="E935">
        <v>5.12</v>
      </c>
      <c r="F935">
        <v>4.87</v>
      </c>
      <c r="G935">
        <v>4.3600000000000003</v>
      </c>
      <c r="H935">
        <v>3.83</v>
      </c>
      <c r="I935">
        <v>3.72</v>
      </c>
      <c r="J935">
        <v>3.63</v>
      </c>
      <c r="K935">
        <v>3.74</v>
      </c>
      <c r="L935">
        <v>3.84</v>
      </c>
      <c r="M935">
        <v>4.22</v>
      </c>
      <c r="N935">
        <v>4.13</v>
      </c>
      <c r="O935">
        <v>5.5312000000000001</v>
      </c>
      <c r="P935">
        <v>4098</v>
      </c>
      <c r="Q935">
        <v>907.32</v>
      </c>
      <c r="R935">
        <v>3.7370000000000001</v>
      </c>
      <c r="S935">
        <v>19.6417</v>
      </c>
      <c r="T935">
        <v>0.89461995698286201</v>
      </c>
      <c r="U935">
        <v>0.75428996048806896</v>
      </c>
      <c r="V935">
        <v>143.975006103515</v>
      </c>
      <c r="W935">
        <v>1.4732099986968901</v>
      </c>
      <c r="X935">
        <v>0.84171998500823897</v>
      </c>
    </row>
    <row r="936" spans="1:24" x14ac:dyDescent="0.25">
      <c r="A936" s="4">
        <v>45531</v>
      </c>
      <c r="B936">
        <v>5.49</v>
      </c>
      <c r="C936">
        <v>5.33</v>
      </c>
      <c r="D936">
        <v>5.23</v>
      </c>
      <c r="E936">
        <v>5.12</v>
      </c>
      <c r="F936">
        <v>4.8899999999999997</v>
      </c>
      <c r="G936">
        <v>4.34</v>
      </c>
      <c r="H936">
        <v>3.83</v>
      </c>
      <c r="I936">
        <v>3.72</v>
      </c>
      <c r="J936">
        <v>3.66</v>
      </c>
      <c r="K936">
        <v>3.73</v>
      </c>
      <c r="L936">
        <v>3.83</v>
      </c>
      <c r="M936">
        <v>4.21</v>
      </c>
      <c r="N936">
        <v>4.13</v>
      </c>
      <c r="O936">
        <v>5.4965999999999999</v>
      </c>
      <c r="P936">
        <v>4037.7</v>
      </c>
      <c r="Q936">
        <v>907.35</v>
      </c>
      <c r="R936">
        <v>3.7349999999999999</v>
      </c>
      <c r="S936">
        <v>19.713100000000001</v>
      </c>
      <c r="T936">
        <v>0.89568005569299602</v>
      </c>
      <c r="U936">
        <v>0.75805001520418103</v>
      </c>
      <c r="V936">
        <v>144.51600646972599</v>
      </c>
      <c r="W936">
        <v>1.4764700244890001</v>
      </c>
      <c r="X936">
        <v>0.84710001945495605</v>
      </c>
    </row>
    <row r="937" spans="1:24" x14ac:dyDescent="0.25">
      <c r="A937" s="4">
        <v>45530</v>
      </c>
      <c r="B937">
        <v>5.49</v>
      </c>
      <c r="C937">
        <v>5.34</v>
      </c>
      <c r="D937">
        <v>5.24</v>
      </c>
      <c r="E937">
        <v>5.13</v>
      </c>
      <c r="F937">
        <v>4.91</v>
      </c>
      <c r="G937">
        <v>4.38</v>
      </c>
      <c r="H937">
        <v>3.91</v>
      </c>
      <c r="I937">
        <v>3.74</v>
      </c>
      <c r="J937">
        <v>3.66</v>
      </c>
      <c r="K937">
        <v>3.72</v>
      </c>
      <c r="L937">
        <v>3.82</v>
      </c>
      <c r="M937">
        <v>4.1900000000000004</v>
      </c>
      <c r="N937">
        <v>4.1100000000000003</v>
      </c>
      <c r="O937">
        <v>5.4917999999999996</v>
      </c>
      <c r="P937">
        <v>4027.5</v>
      </c>
      <c r="Q937">
        <v>911.01</v>
      </c>
      <c r="R937">
        <v>3.7429999999999999</v>
      </c>
      <c r="S937">
        <v>19.361699999999999</v>
      </c>
      <c r="T937">
        <v>0.89382000443254805</v>
      </c>
      <c r="U937">
        <v>0.75684997475093996</v>
      </c>
      <c r="V937">
        <v>144</v>
      </c>
      <c r="W937">
        <v>1.47323005020438</v>
      </c>
      <c r="X937">
        <v>0.84732002019882202</v>
      </c>
    </row>
    <row r="938" spans="1:24" x14ac:dyDescent="0.25">
      <c r="A938" s="4">
        <v>45527</v>
      </c>
      <c r="B938">
        <v>5.51</v>
      </c>
      <c r="C938">
        <v>5.35</v>
      </c>
      <c r="D938">
        <v>5.25</v>
      </c>
      <c r="E938">
        <v>5.13</v>
      </c>
      <c r="F938">
        <v>4.92</v>
      </c>
      <c r="G938">
        <v>4.3600000000000003</v>
      </c>
      <c r="H938">
        <v>3.9</v>
      </c>
      <c r="I938">
        <v>3.73</v>
      </c>
      <c r="J938">
        <v>3.65</v>
      </c>
      <c r="K938">
        <v>3.71</v>
      </c>
      <c r="L938">
        <v>3.81</v>
      </c>
      <c r="M938">
        <v>4.18</v>
      </c>
      <c r="N938">
        <v>4.0999999999999996</v>
      </c>
      <c r="O938">
        <v>5.5259999999999998</v>
      </c>
      <c r="P938">
        <v>4027.9</v>
      </c>
      <c r="Q938">
        <v>919.94</v>
      </c>
      <c r="R938">
        <v>3.7450000000000001</v>
      </c>
      <c r="S938">
        <v>19.0718</v>
      </c>
      <c r="T938">
        <v>0.89950999131115705</v>
      </c>
      <c r="U938">
        <v>0.76349005436969397</v>
      </c>
      <c r="V938">
        <v>146.20199584960901</v>
      </c>
      <c r="W938">
        <v>1.4907129962607799</v>
      </c>
      <c r="X938">
        <v>0.85170000791549605</v>
      </c>
    </row>
    <row r="939" spans="1:24" x14ac:dyDescent="0.25">
      <c r="A939" s="4">
        <v>45526</v>
      </c>
      <c r="B939">
        <v>5.51</v>
      </c>
      <c r="C939">
        <v>5.35</v>
      </c>
      <c r="D939">
        <v>5.28</v>
      </c>
      <c r="E939">
        <v>5.15</v>
      </c>
      <c r="F939">
        <v>4.96</v>
      </c>
      <c r="G939">
        <v>4.43</v>
      </c>
      <c r="H939">
        <v>3.99</v>
      </c>
      <c r="I939">
        <v>3.82</v>
      </c>
      <c r="J939">
        <v>3.72</v>
      </c>
      <c r="K939">
        <v>3.77</v>
      </c>
      <c r="L939">
        <v>3.86</v>
      </c>
      <c r="M939">
        <v>4.21</v>
      </c>
      <c r="N939">
        <v>4.13</v>
      </c>
      <c r="O939">
        <v>5.5521000000000003</v>
      </c>
      <c r="P939">
        <v>4067.3</v>
      </c>
      <c r="Q939">
        <v>918.97</v>
      </c>
      <c r="R939">
        <v>3.7519999999999998</v>
      </c>
      <c r="S939">
        <v>19.479099999999999</v>
      </c>
      <c r="T939">
        <v>0.89642998163563103</v>
      </c>
      <c r="U939">
        <v>0.763740019088474</v>
      </c>
      <c r="V939">
        <v>145.11799621582</v>
      </c>
      <c r="W939">
        <v>1.4815469987954899</v>
      </c>
      <c r="X939">
        <v>0.85110002756118697</v>
      </c>
    </row>
    <row r="940" spans="1:24" x14ac:dyDescent="0.25">
      <c r="A940" s="4">
        <v>45525</v>
      </c>
      <c r="B940">
        <v>5.45</v>
      </c>
      <c r="C940">
        <v>5.33</v>
      </c>
      <c r="D940">
        <v>5.26</v>
      </c>
      <c r="E940">
        <v>5.13</v>
      </c>
      <c r="F940">
        <v>4.92</v>
      </c>
      <c r="G940">
        <v>4.3600000000000003</v>
      </c>
      <c r="H940">
        <v>3.92</v>
      </c>
      <c r="I940">
        <v>3.74</v>
      </c>
      <c r="J940">
        <v>3.64</v>
      </c>
      <c r="K940">
        <v>3.69</v>
      </c>
      <c r="L940">
        <v>3.79</v>
      </c>
      <c r="M940">
        <v>4.1500000000000004</v>
      </c>
      <c r="N940">
        <v>4.0599999999999996</v>
      </c>
      <c r="O940">
        <v>5.4703999999999997</v>
      </c>
      <c r="P940">
        <v>4034.34</v>
      </c>
      <c r="Q940">
        <v>922.58</v>
      </c>
      <c r="R940">
        <v>3.7480000000000002</v>
      </c>
      <c r="S940">
        <v>19.343299999999999</v>
      </c>
      <c r="T940">
        <v>0.89863994681396897</v>
      </c>
      <c r="U940">
        <v>0.76713996418078101</v>
      </c>
      <c r="V940">
        <v>145.34700012207</v>
      </c>
      <c r="W940">
        <v>1.4820799346433799</v>
      </c>
      <c r="X940">
        <v>0.853559970855712</v>
      </c>
    </row>
    <row r="941" spans="1:24" x14ac:dyDescent="0.25">
      <c r="A941" s="4">
        <v>45524</v>
      </c>
      <c r="B941">
        <v>5.48</v>
      </c>
      <c r="C941">
        <v>5.36</v>
      </c>
      <c r="D941">
        <v>5.29</v>
      </c>
      <c r="E941">
        <v>5.17</v>
      </c>
      <c r="F941">
        <v>4.97</v>
      </c>
      <c r="G941">
        <v>4.43</v>
      </c>
      <c r="H941">
        <v>3.99</v>
      </c>
      <c r="I941">
        <v>3.8</v>
      </c>
      <c r="J941">
        <v>3.7</v>
      </c>
      <c r="K941">
        <v>3.73</v>
      </c>
      <c r="L941">
        <v>3.82</v>
      </c>
      <c r="M941">
        <v>4.1900000000000004</v>
      </c>
      <c r="N941">
        <v>4.07</v>
      </c>
      <c r="O941">
        <v>5.4543999999999997</v>
      </c>
      <c r="P941">
        <v>4012</v>
      </c>
      <c r="Q941">
        <v>929.36</v>
      </c>
      <c r="R941">
        <v>3.746</v>
      </c>
      <c r="S941">
        <v>18.995899999999999</v>
      </c>
      <c r="T941">
        <v>0.90199998731183995</v>
      </c>
      <c r="U941">
        <v>0.76980003718411605</v>
      </c>
      <c r="V941">
        <v>146.69900512695301</v>
      </c>
      <c r="W941">
        <v>1.4847100374823099</v>
      </c>
      <c r="X941">
        <v>0.86237001419067305</v>
      </c>
    </row>
    <row r="942" spans="1:24" x14ac:dyDescent="0.25">
      <c r="A942" s="4">
        <v>45523</v>
      </c>
      <c r="B942">
        <v>5.51</v>
      </c>
      <c r="C942">
        <v>5.39</v>
      </c>
      <c r="D942">
        <v>5.31</v>
      </c>
      <c r="E942">
        <v>5.19</v>
      </c>
      <c r="F942">
        <v>5</v>
      </c>
      <c r="G942">
        <v>4.4800000000000004</v>
      </c>
      <c r="H942">
        <v>4.0599999999999996</v>
      </c>
      <c r="I942">
        <v>3.86</v>
      </c>
      <c r="J942">
        <v>3.75</v>
      </c>
      <c r="K942">
        <v>3.78</v>
      </c>
      <c r="L942">
        <v>3.86</v>
      </c>
      <c r="M942">
        <v>4.2300000000000004</v>
      </c>
      <c r="N942">
        <v>4.1100000000000003</v>
      </c>
      <c r="O942">
        <v>5.4234</v>
      </c>
      <c r="P942">
        <v>4031</v>
      </c>
      <c r="Q942">
        <v>933.84</v>
      </c>
      <c r="R942">
        <v>3.738</v>
      </c>
      <c r="S942">
        <v>18.698499999999999</v>
      </c>
      <c r="T942">
        <v>0.90703000021084601</v>
      </c>
      <c r="U942">
        <v>0.77237001429075602</v>
      </c>
      <c r="V942">
        <v>147.95599365234301</v>
      </c>
      <c r="W942">
        <v>1.49857999828322</v>
      </c>
      <c r="X942">
        <v>0.86757999658584595</v>
      </c>
    </row>
    <row r="943" spans="1:24" x14ac:dyDescent="0.25">
      <c r="A943" s="4">
        <v>45520</v>
      </c>
      <c r="B943">
        <v>5.53</v>
      </c>
      <c r="C943">
        <v>5.4</v>
      </c>
      <c r="D943">
        <v>5.33</v>
      </c>
      <c r="E943">
        <v>5.21</v>
      </c>
      <c r="F943">
        <v>5.0199999999999996</v>
      </c>
      <c r="G943">
        <v>4.49</v>
      </c>
      <c r="H943">
        <v>4.0599999999999996</v>
      </c>
      <c r="I943">
        <v>3.87</v>
      </c>
      <c r="J943">
        <v>3.77</v>
      </c>
      <c r="K943">
        <v>3.81</v>
      </c>
      <c r="L943">
        <v>3.89</v>
      </c>
      <c r="M943">
        <v>4.26</v>
      </c>
      <c r="N943">
        <v>4.1500000000000004</v>
      </c>
      <c r="O943">
        <v>5.4629000000000003</v>
      </c>
      <c r="P943">
        <v>4031</v>
      </c>
      <c r="Q943">
        <v>931.39</v>
      </c>
      <c r="R943">
        <v>3.7330000000000001</v>
      </c>
      <c r="S943">
        <v>18.6294</v>
      </c>
      <c r="T943">
        <v>0.91135003767140199</v>
      </c>
      <c r="U943">
        <v>0.77764000213585205</v>
      </c>
      <c r="V943">
        <v>149.22200012207</v>
      </c>
      <c r="W943">
        <v>1.5122899355187001</v>
      </c>
      <c r="X943">
        <v>0.87248998880386297</v>
      </c>
    </row>
    <row r="944" spans="1:24" x14ac:dyDescent="0.25">
      <c r="A944" s="4">
        <v>45519</v>
      </c>
      <c r="B944">
        <v>5.53</v>
      </c>
      <c r="C944">
        <v>5.4</v>
      </c>
      <c r="D944">
        <v>5.34</v>
      </c>
      <c r="E944">
        <v>5.22</v>
      </c>
      <c r="F944">
        <v>5.04</v>
      </c>
      <c r="G944">
        <v>4.5199999999999996</v>
      </c>
      <c r="H944">
        <v>4.08</v>
      </c>
      <c r="I944">
        <v>3.9</v>
      </c>
      <c r="J944">
        <v>3.79</v>
      </c>
      <c r="K944">
        <v>3.83</v>
      </c>
      <c r="L944">
        <v>3.92</v>
      </c>
      <c r="M944">
        <v>4.28</v>
      </c>
      <c r="N944">
        <v>4.18</v>
      </c>
      <c r="O944">
        <v>5.4648000000000003</v>
      </c>
      <c r="P944">
        <v>4011</v>
      </c>
      <c r="Q944">
        <v>932.28</v>
      </c>
      <c r="R944">
        <v>3.74</v>
      </c>
      <c r="S944">
        <v>18.647400000000001</v>
      </c>
      <c r="T944">
        <v>0.90800000649452195</v>
      </c>
      <c r="U944">
        <v>0.77950000390279295</v>
      </c>
      <c r="V944">
        <v>147.253005981445</v>
      </c>
      <c r="W944">
        <v>1.5151499497786201</v>
      </c>
      <c r="X944">
        <v>0.86480599641799905</v>
      </c>
    </row>
    <row r="945" spans="1:24" x14ac:dyDescent="0.25">
      <c r="A945" s="4">
        <v>45518</v>
      </c>
      <c r="B945">
        <v>5.49</v>
      </c>
      <c r="C945">
        <v>5.39</v>
      </c>
      <c r="D945">
        <v>5.32</v>
      </c>
      <c r="E945">
        <v>5.21</v>
      </c>
      <c r="F945">
        <v>5</v>
      </c>
      <c r="G945">
        <v>4.42</v>
      </c>
      <c r="H945">
        <v>3.94</v>
      </c>
      <c r="I945">
        <v>3.76</v>
      </c>
      <c r="J945">
        <v>3.67</v>
      </c>
      <c r="K945">
        <v>3.72</v>
      </c>
      <c r="L945">
        <v>3.83</v>
      </c>
      <c r="M945">
        <v>4.22</v>
      </c>
      <c r="N945">
        <v>4.12</v>
      </c>
      <c r="O945">
        <v>5.4499000000000004</v>
      </c>
      <c r="P945">
        <v>4020</v>
      </c>
      <c r="Q945">
        <v>932.28</v>
      </c>
      <c r="R945">
        <v>3.7360000000000002</v>
      </c>
      <c r="S945">
        <v>18.830300000000001</v>
      </c>
      <c r="T945">
        <v>0.90934001637517203</v>
      </c>
      <c r="U945">
        <v>0.777200005447788</v>
      </c>
      <c r="V945">
        <v>146.97099304199199</v>
      </c>
      <c r="W945">
        <v>1.5063420520537401</v>
      </c>
      <c r="X945">
        <v>0.86505001783370905</v>
      </c>
    </row>
    <row r="946" spans="1:24" x14ac:dyDescent="0.25">
      <c r="A946" s="4">
        <v>45517</v>
      </c>
      <c r="B946">
        <v>5.48</v>
      </c>
      <c r="C946">
        <v>5.39</v>
      </c>
      <c r="D946">
        <v>5.32</v>
      </c>
      <c r="E946">
        <v>5.18</v>
      </c>
      <c r="F946">
        <v>4.97</v>
      </c>
      <c r="G946">
        <v>4.4000000000000004</v>
      </c>
      <c r="H946">
        <v>3.93</v>
      </c>
      <c r="I946">
        <v>3.75</v>
      </c>
      <c r="J946">
        <v>3.68</v>
      </c>
      <c r="K946">
        <v>3.74</v>
      </c>
      <c r="L946">
        <v>3.85</v>
      </c>
      <c r="M946">
        <v>4.25</v>
      </c>
      <c r="N946">
        <v>4.16</v>
      </c>
      <c r="O946">
        <v>5.4871999999999996</v>
      </c>
      <c r="P946">
        <v>4034.9</v>
      </c>
      <c r="Q946">
        <v>931.96</v>
      </c>
      <c r="R946">
        <v>3.742</v>
      </c>
      <c r="S946">
        <v>19.0017</v>
      </c>
      <c r="T946">
        <v>0.91439005894161896</v>
      </c>
      <c r="U946">
        <v>0.78301002596496305</v>
      </c>
      <c r="V946">
        <v>146.98199462890599</v>
      </c>
      <c r="W946">
        <v>1.51853000006245</v>
      </c>
      <c r="X946">
        <v>0.86473000049590998</v>
      </c>
    </row>
    <row r="947" spans="1:24" x14ac:dyDescent="0.25">
      <c r="A947" s="4">
        <v>45516</v>
      </c>
      <c r="B947">
        <v>5.53</v>
      </c>
      <c r="C947">
        <v>5.4</v>
      </c>
      <c r="D947">
        <v>5.33</v>
      </c>
      <c r="E947">
        <v>5.2</v>
      </c>
      <c r="F947">
        <v>5.0199999999999996</v>
      </c>
      <c r="G947">
        <v>4.47</v>
      </c>
      <c r="H947">
        <v>4.01</v>
      </c>
      <c r="I947">
        <v>3.82</v>
      </c>
      <c r="J947">
        <v>3.75</v>
      </c>
      <c r="K947">
        <v>3.8</v>
      </c>
      <c r="L947">
        <v>3.9</v>
      </c>
      <c r="M947">
        <v>4.3</v>
      </c>
      <c r="N947">
        <v>4.1900000000000004</v>
      </c>
      <c r="O947">
        <v>5.4908000000000001</v>
      </c>
      <c r="P947">
        <v>4051.1</v>
      </c>
      <c r="Q947">
        <v>932.62</v>
      </c>
      <c r="R947">
        <v>3.742</v>
      </c>
      <c r="S947">
        <v>19.084399999999999</v>
      </c>
      <c r="T947">
        <v>0.91627004195443595</v>
      </c>
      <c r="U947">
        <v>0.78428998151517204</v>
      </c>
      <c r="V947">
        <v>147.04200744628901</v>
      </c>
      <c r="W947">
        <v>1.5221199918093</v>
      </c>
      <c r="X947">
        <v>0.86504000425338701</v>
      </c>
    </row>
    <row r="948" spans="1:24" x14ac:dyDescent="0.25">
      <c r="A948" s="4">
        <v>45513</v>
      </c>
      <c r="B948">
        <v>5.54</v>
      </c>
      <c r="C948">
        <v>5.4</v>
      </c>
      <c r="D948">
        <v>5.33</v>
      </c>
      <c r="E948">
        <v>5.22</v>
      </c>
      <c r="F948">
        <v>5.0199999999999996</v>
      </c>
      <c r="G948">
        <v>4.5</v>
      </c>
      <c r="H948">
        <v>4.05</v>
      </c>
      <c r="I948">
        <v>3.86</v>
      </c>
      <c r="J948">
        <v>3.8</v>
      </c>
      <c r="K948">
        <v>3.85</v>
      </c>
      <c r="L948">
        <v>3.94</v>
      </c>
      <c r="M948">
        <v>4.33</v>
      </c>
      <c r="N948">
        <v>4.2300000000000004</v>
      </c>
      <c r="O948">
        <v>5.5111999999999997</v>
      </c>
      <c r="P948">
        <v>4072.69</v>
      </c>
      <c r="Q948">
        <v>937.18</v>
      </c>
      <c r="R948">
        <v>3.7349999999999999</v>
      </c>
      <c r="S948">
        <v>18.828900000000001</v>
      </c>
      <c r="T948">
        <v>0.91610993832978205</v>
      </c>
      <c r="U948">
        <v>0.78447004042888702</v>
      </c>
      <c r="V948">
        <v>147.66900634765599</v>
      </c>
      <c r="W948">
        <v>1.5169899877418001</v>
      </c>
      <c r="X948">
        <v>0.86685001850128096</v>
      </c>
    </row>
    <row r="949" spans="1:24" x14ac:dyDescent="0.25">
      <c r="A949" s="4">
        <v>45512</v>
      </c>
      <c r="B949">
        <v>5.55</v>
      </c>
      <c r="C949">
        <v>5.42</v>
      </c>
      <c r="D949">
        <v>5.34</v>
      </c>
      <c r="E949">
        <v>5.21</v>
      </c>
      <c r="F949">
        <v>5.01</v>
      </c>
      <c r="G949">
        <v>4.4800000000000004</v>
      </c>
      <c r="H949">
        <v>4.04</v>
      </c>
      <c r="I949">
        <v>3.86</v>
      </c>
      <c r="J949">
        <v>3.83</v>
      </c>
      <c r="K949">
        <v>3.89</v>
      </c>
      <c r="L949">
        <v>3.99</v>
      </c>
      <c r="M949">
        <v>4.38</v>
      </c>
      <c r="N949">
        <v>4.28</v>
      </c>
      <c r="O949">
        <v>5.6169000000000002</v>
      </c>
      <c r="P949">
        <v>4060</v>
      </c>
      <c r="Q949">
        <v>943.96</v>
      </c>
      <c r="R949">
        <v>3.7240000000000002</v>
      </c>
      <c r="S949">
        <v>18.9681</v>
      </c>
      <c r="T949">
        <v>0.91507002810898297</v>
      </c>
      <c r="U949">
        <v>0.78862002626286598</v>
      </c>
      <c r="V949">
        <v>146.12399291992099</v>
      </c>
      <c r="W949">
        <v>1.53469002441458</v>
      </c>
      <c r="X949">
        <v>0.85926997661590498</v>
      </c>
    </row>
    <row r="950" spans="1:24" x14ac:dyDescent="0.25">
      <c r="A950" s="4">
        <v>45511</v>
      </c>
      <c r="B950">
        <v>5.5</v>
      </c>
      <c r="C950">
        <v>5.43</v>
      </c>
      <c r="D950">
        <v>5.34</v>
      </c>
      <c r="E950">
        <v>5.21</v>
      </c>
      <c r="F950">
        <v>4.99</v>
      </c>
      <c r="G950">
        <v>4.45</v>
      </c>
      <c r="H950">
        <v>4</v>
      </c>
      <c r="I950">
        <v>3.81</v>
      </c>
      <c r="J950">
        <v>3.79</v>
      </c>
      <c r="K950">
        <v>3.85</v>
      </c>
      <c r="L950">
        <v>3.96</v>
      </c>
      <c r="M950">
        <v>4.3499999999999996</v>
      </c>
      <c r="N950">
        <v>4.26</v>
      </c>
      <c r="O950">
        <v>5.609</v>
      </c>
      <c r="P950">
        <v>4139.8</v>
      </c>
      <c r="Q950">
        <v>947.18</v>
      </c>
      <c r="R950">
        <v>3.7360000000000002</v>
      </c>
      <c r="S950">
        <v>19.2864</v>
      </c>
      <c r="T950">
        <v>0.91522996813947499</v>
      </c>
      <c r="U950">
        <v>0.78834995690139598</v>
      </c>
      <c r="V950">
        <v>144.73199462890599</v>
      </c>
      <c r="W950">
        <v>1.5349190269047801</v>
      </c>
      <c r="X950">
        <v>0.85255002975463801</v>
      </c>
    </row>
    <row r="951" spans="1:24" x14ac:dyDescent="0.25">
      <c r="A951" s="4">
        <v>45510</v>
      </c>
      <c r="B951">
        <v>5.5</v>
      </c>
      <c r="C951">
        <v>5.43</v>
      </c>
      <c r="D951">
        <v>5.34</v>
      </c>
      <c r="E951">
        <v>5.18</v>
      </c>
      <c r="F951">
        <v>5</v>
      </c>
      <c r="G951">
        <v>4.46</v>
      </c>
      <c r="H951">
        <v>3.99</v>
      </c>
      <c r="I951">
        <v>3.76</v>
      </c>
      <c r="J951">
        <v>3.73</v>
      </c>
      <c r="K951">
        <v>3.79</v>
      </c>
      <c r="L951">
        <v>3.9</v>
      </c>
      <c r="M951">
        <v>4.28</v>
      </c>
      <c r="N951">
        <v>4.18</v>
      </c>
      <c r="O951">
        <v>5.6524999999999999</v>
      </c>
      <c r="P951">
        <v>4139.8</v>
      </c>
      <c r="Q951">
        <v>957.57</v>
      </c>
      <c r="R951">
        <v>3.7210000000000001</v>
      </c>
      <c r="S951">
        <v>19.525700000000001</v>
      </c>
      <c r="T951">
        <v>0.913160069015441</v>
      </c>
      <c r="U951">
        <v>0.78193995046954001</v>
      </c>
      <c r="V951">
        <v>145.78999328613199</v>
      </c>
      <c r="W951">
        <v>1.53480191960749</v>
      </c>
      <c r="X951">
        <v>0.85483002662658603</v>
      </c>
    </row>
    <row r="952" spans="1:24" x14ac:dyDescent="0.25">
      <c r="A952" s="4">
        <v>45509</v>
      </c>
      <c r="B952">
        <v>5.52</v>
      </c>
      <c r="C952">
        <v>5.43</v>
      </c>
      <c r="D952">
        <v>5.35</v>
      </c>
      <c r="E952">
        <v>5.14</v>
      </c>
      <c r="F952">
        <v>4.91</v>
      </c>
      <c r="G952">
        <v>4.34</v>
      </c>
      <c r="H952">
        <v>3.89</v>
      </c>
      <c r="I952">
        <v>3.71</v>
      </c>
      <c r="J952">
        <v>3.62</v>
      </c>
      <c r="K952">
        <v>3.66</v>
      </c>
      <c r="L952">
        <v>3.78</v>
      </c>
      <c r="M952">
        <v>4.16</v>
      </c>
      <c r="N952">
        <v>4.0599999999999996</v>
      </c>
      <c r="O952">
        <v>5.7643000000000004</v>
      </c>
      <c r="P952">
        <v>4158.8999999999996</v>
      </c>
      <c r="Q952">
        <v>951.11</v>
      </c>
      <c r="R952">
        <v>3.7210000000000001</v>
      </c>
      <c r="S952">
        <v>19.397200000000002</v>
      </c>
      <c r="T952">
        <v>0.916520015518963</v>
      </c>
      <c r="U952">
        <v>0.781990027832837</v>
      </c>
      <c r="V952">
        <v>145.58399963378901</v>
      </c>
      <c r="W952">
        <v>1.53911999651392</v>
      </c>
      <c r="X952">
        <v>0.85610002279281605</v>
      </c>
    </row>
    <row r="953" spans="1:24" x14ac:dyDescent="0.25">
      <c r="A953" s="4">
        <v>45506</v>
      </c>
      <c r="B953">
        <v>5.54</v>
      </c>
      <c r="C953">
        <v>5.43</v>
      </c>
      <c r="D953">
        <v>5.29</v>
      </c>
      <c r="E953">
        <v>5.14</v>
      </c>
      <c r="F953">
        <v>4.88</v>
      </c>
      <c r="G953">
        <v>4.33</v>
      </c>
      <c r="H953">
        <v>3.88</v>
      </c>
      <c r="I953">
        <v>3.7</v>
      </c>
      <c r="J953">
        <v>3.62</v>
      </c>
      <c r="K953">
        <v>3.68</v>
      </c>
      <c r="L953">
        <v>3.8</v>
      </c>
      <c r="M953">
        <v>4.1900000000000004</v>
      </c>
      <c r="N953">
        <v>4.1100000000000003</v>
      </c>
      <c r="O953">
        <v>5.7363</v>
      </c>
      <c r="P953">
        <v>4138.1000000000004</v>
      </c>
      <c r="Q953">
        <v>938.94</v>
      </c>
      <c r="R953">
        <v>3.7360000000000002</v>
      </c>
      <c r="S953">
        <v>19.162400000000002</v>
      </c>
      <c r="T953">
        <v>0.92699001922469704</v>
      </c>
      <c r="U953">
        <v>0.78561003095479998</v>
      </c>
      <c r="V953">
        <v>149.20100402832</v>
      </c>
      <c r="W953">
        <v>1.5396700136032799</v>
      </c>
      <c r="X953">
        <v>0.87290000915527299</v>
      </c>
    </row>
    <row r="954" spans="1:24" x14ac:dyDescent="0.25">
      <c r="A954" s="4">
        <v>45505</v>
      </c>
      <c r="B954">
        <v>5.55</v>
      </c>
      <c r="C954">
        <v>5.46</v>
      </c>
      <c r="D954">
        <v>5.37</v>
      </c>
      <c r="E954">
        <v>5.28</v>
      </c>
      <c r="F954">
        <v>5.08</v>
      </c>
      <c r="G954">
        <v>4.62</v>
      </c>
      <c r="H954">
        <v>4.16</v>
      </c>
      <c r="I954">
        <v>3.96</v>
      </c>
      <c r="J954">
        <v>3.84</v>
      </c>
      <c r="K954">
        <v>3.89</v>
      </c>
      <c r="L954">
        <v>3.99</v>
      </c>
      <c r="M954">
        <v>4.3499999999999996</v>
      </c>
      <c r="N954">
        <v>4.2699999999999996</v>
      </c>
      <c r="O954">
        <v>5.6677999999999997</v>
      </c>
      <c r="P954">
        <v>4087</v>
      </c>
      <c r="Q954">
        <v>943.78</v>
      </c>
      <c r="R954">
        <v>3.7410000000000001</v>
      </c>
      <c r="S954">
        <v>18.772099999999998</v>
      </c>
      <c r="T954">
        <v>0.92388002809325598</v>
      </c>
      <c r="U954">
        <v>0.77802002319607799</v>
      </c>
      <c r="V954">
        <v>149.74400329589801</v>
      </c>
      <c r="W954">
        <v>1.5274169033356999</v>
      </c>
      <c r="X954">
        <v>0.87813997268676702</v>
      </c>
    </row>
    <row r="955" spans="1:24" x14ac:dyDescent="0.25">
      <c r="A955" s="4">
        <v>45504</v>
      </c>
      <c r="B955">
        <v>5.49</v>
      </c>
      <c r="C955">
        <v>5.51</v>
      </c>
      <c r="D955">
        <v>5.41</v>
      </c>
      <c r="E955">
        <v>5.32</v>
      </c>
      <c r="F955">
        <v>5.14</v>
      </c>
      <c r="G955">
        <v>4.7300000000000004</v>
      </c>
      <c r="H955">
        <v>4.29</v>
      </c>
      <c r="I955">
        <v>4.0999999999999996</v>
      </c>
      <c r="J955">
        <v>3.97</v>
      </c>
      <c r="K955">
        <v>4</v>
      </c>
      <c r="L955">
        <v>4.09</v>
      </c>
      <c r="M955">
        <v>4.4400000000000004</v>
      </c>
      <c r="N955">
        <v>4.3499999999999996</v>
      </c>
      <c r="O955">
        <v>5.6618000000000004</v>
      </c>
      <c r="P955">
        <v>4066.43</v>
      </c>
      <c r="Q955">
        <v>956.58</v>
      </c>
      <c r="R955">
        <v>3.7269999999999999</v>
      </c>
      <c r="S955">
        <v>18.632000000000001</v>
      </c>
      <c r="T955">
        <v>0.92455003918692602</v>
      </c>
      <c r="U955">
        <v>0.77899995096779096</v>
      </c>
      <c r="V955">
        <v>152.669998168945</v>
      </c>
      <c r="W955">
        <v>1.5287009289173601</v>
      </c>
      <c r="X955">
        <v>0.88203001022338801</v>
      </c>
    </row>
    <row r="956" spans="1:24" x14ac:dyDescent="0.25">
      <c r="A956" s="4">
        <v>45503</v>
      </c>
      <c r="B956">
        <v>5.5</v>
      </c>
      <c r="C956">
        <v>5.5</v>
      </c>
      <c r="D956">
        <v>5.4</v>
      </c>
      <c r="E956">
        <v>5.35</v>
      </c>
      <c r="F956">
        <v>5.16</v>
      </c>
      <c r="G956">
        <v>4.78</v>
      </c>
      <c r="H956">
        <v>4.3499999999999996</v>
      </c>
      <c r="I956">
        <v>4.16</v>
      </c>
      <c r="J956">
        <v>4.03</v>
      </c>
      <c r="K956">
        <v>4.0599999999999996</v>
      </c>
      <c r="L956">
        <v>4.1500000000000004</v>
      </c>
      <c r="M956">
        <v>4.5</v>
      </c>
      <c r="N956">
        <v>4.4000000000000004</v>
      </c>
      <c r="O956">
        <v>5.6528999999999998</v>
      </c>
      <c r="P956">
        <v>4082.09</v>
      </c>
      <c r="Q956">
        <v>956.63</v>
      </c>
      <c r="R956">
        <v>3.7269999999999999</v>
      </c>
      <c r="S956">
        <v>18.755500000000001</v>
      </c>
      <c r="T956">
        <v>0.92426002305414201</v>
      </c>
      <c r="U956">
        <v>0.77758002895042799</v>
      </c>
      <c r="V956">
        <v>153.83299255371</v>
      </c>
      <c r="W956">
        <v>1.52638995727127</v>
      </c>
      <c r="X956">
        <v>0.886099994182586</v>
      </c>
    </row>
    <row r="957" spans="1:24" x14ac:dyDescent="0.25">
      <c r="A957" s="4">
        <v>45502</v>
      </c>
      <c r="B957">
        <v>5.5</v>
      </c>
      <c r="C957">
        <v>5.51</v>
      </c>
      <c r="D957">
        <v>5.41</v>
      </c>
      <c r="E957">
        <v>5.36</v>
      </c>
      <c r="F957">
        <v>5.18</v>
      </c>
      <c r="G957">
        <v>4.79</v>
      </c>
      <c r="H957">
        <v>4.3600000000000003</v>
      </c>
      <c r="I957">
        <v>4.1900000000000004</v>
      </c>
      <c r="J957">
        <v>4.05</v>
      </c>
      <c r="K957">
        <v>4.08</v>
      </c>
      <c r="L957">
        <v>4.17</v>
      </c>
      <c r="M957">
        <v>4.51</v>
      </c>
      <c r="N957">
        <v>4.42</v>
      </c>
      <c r="O957">
        <v>5.6475999999999997</v>
      </c>
      <c r="P957">
        <v>4068.95</v>
      </c>
      <c r="Q957">
        <v>950.29</v>
      </c>
      <c r="R957">
        <v>3.74</v>
      </c>
      <c r="S957">
        <v>18.6204</v>
      </c>
      <c r="T957">
        <v>0.92133998463007005</v>
      </c>
      <c r="U957">
        <v>0.77710000037055005</v>
      </c>
      <c r="V957">
        <v>154.13900756835901</v>
      </c>
      <c r="W957">
        <v>1.52555302517443</v>
      </c>
      <c r="X957">
        <v>0.88429999351501398</v>
      </c>
    </row>
    <row r="958" spans="1:24" x14ac:dyDescent="0.25">
      <c r="A958" s="4">
        <v>45499</v>
      </c>
      <c r="B958">
        <v>5.49</v>
      </c>
      <c r="C958">
        <v>5.51</v>
      </c>
      <c r="D958">
        <v>5.38</v>
      </c>
      <c r="E958">
        <v>5.36</v>
      </c>
      <c r="F958">
        <v>5.18</v>
      </c>
      <c r="G958">
        <v>4.79</v>
      </c>
      <c r="H958">
        <v>4.3600000000000003</v>
      </c>
      <c r="I958">
        <v>4.2</v>
      </c>
      <c r="J958">
        <v>4.0599999999999996</v>
      </c>
      <c r="K958">
        <v>4.0999999999999996</v>
      </c>
      <c r="L958">
        <v>4.2</v>
      </c>
      <c r="M958">
        <v>4.53</v>
      </c>
      <c r="N958">
        <v>4.45</v>
      </c>
      <c r="O958">
        <v>5.6462000000000003</v>
      </c>
      <c r="P958">
        <v>4024.9</v>
      </c>
      <c r="Q958">
        <v>947.39</v>
      </c>
      <c r="R958">
        <v>3.74</v>
      </c>
      <c r="S958">
        <v>18.442699999999999</v>
      </c>
      <c r="T958">
        <v>0.92155000771198403</v>
      </c>
      <c r="U958">
        <v>0.77779999990727899</v>
      </c>
      <c r="V958">
        <v>153.697006225585</v>
      </c>
      <c r="W958">
        <v>1.5283509690697099</v>
      </c>
      <c r="X958">
        <v>0.88063997030258101</v>
      </c>
    </row>
    <row r="959" spans="1:24" x14ac:dyDescent="0.25">
      <c r="A959" s="4">
        <v>45498</v>
      </c>
      <c r="B959">
        <v>5.49</v>
      </c>
      <c r="C959">
        <v>5.52</v>
      </c>
      <c r="D959">
        <v>5.39</v>
      </c>
      <c r="E959">
        <v>5.37</v>
      </c>
      <c r="F959">
        <v>5.19</v>
      </c>
      <c r="G959">
        <v>4.83</v>
      </c>
      <c r="H959">
        <v>4.41</v>
      </c>
      <c r="I959">
        <v>4.26</v>
      </c>
      <c r="J959">
        <v>4.13</v>
      </c>
      <c r="K959">
        <v>4.18</v>
      </c>
      <c r="L959">
        <v>4.2699999999999996</v>
      </c>
      <c r="M959">
        <v>4.59</v>
      </c>
      <c r="N959">
        <v>4.5</v>
      </c>
      <c r="O959">
        <v>5.6398999999999999</v>
      </c>
      <c r="P959">
        <v>4030.5</v>
      </c>
      <c r="Q959">
        <v>948.79</v>
      </c>
      <c r="R959">
        <v>3.74</v>
      </c>
      <c r="S959">
        <v>18.452400000000001</v>
      </c>
      <c r="T959">
        <v>0.92255001705186102</v>
      </c>
      <c r="U959">
        <v>0.77519998210922203</v>
      </c>
      <c r="V959">
        <v>153.89100646972599</v>
      </c>
      <c r="W959">
        <v>1.5209590848507799</v>
      </c>
      <c r="X959">
        <v>0.88502001762390103</v>
      </c>
    </row>
    <row r="960" spans="1:24" x14ac:dyDescent="0.25">
      <c r="A960" s="4">
        <v>45497</v>
      </c>
      <c r="B960">
        <v>5.5</v>
      </c>
      <c r="C960">
        <v>5.5</v>
      </c>
      <c r="D960">
        <v>5.4</v>
      </c>
      <c r="E960">
        <v>5.37</v>
      </c>
      <c r="F960">
        <v>5.19</v>
      </c>
      <c r="G960">
        <v>4.82</v>
      </c>
      <c r="H960">
        <v>4.37</v>
      </c>
      <c r="I960">
        <v>4.24</v>
      </c>
      <c r="J960">
        <v>4.12</v>
      </c>
      <c r="K960">
        <v>4.2</v>
      </c>
      <c r="L960">
        <v>4.28</v>
      </c>
      <c r="M960">
        <v>4.62</v>
      </c>
      <c r="N960">
        <v>4.54</v>
      </c>
      <c r="O960">
        <v>5.6342999999999996</v>
      </c>
      <c r="P960">
        <v>4040</v>
      </c>
      <c r="Q960">
        <v>946.69</v>
      </c>
      <c r="R960">
        <v>3.7749999999999999</v>
      </c>
      <c r="S960">
        <v>18.3705</v>
      </c>
      <c r="T960">
        <v>0.92160002249999995</v>
      </c>
      <c r="U960">
        <v>0.77509998970673799</v>
      </c>
      <c r="V960">
        <v>155.76800537109301</v>
      </c>
      <c r="W960">
        <v>1.51238004646788</v>
      </c>
      <c r="X960">
        <v>0.89152002334594704</v>
      </c>
    </row>
    <row r="961" spans="1:24" x14ac:dyDescent="0.25">
      <c r="A961" s="4">
        <v>45496</v>
      </c>
      <c r="B961">
        <v>5.49</v>
      </c>
      <c r="C961">
        <v>5.51</v>
      </c>
      <c r="D961">
        <v>5.41</v>
      </c>
      <c r="E961">
        <v>5.38</v>
      </c>
      <c r="F961">
        <v>5.22</v>
      </c>
      <c r="G961">
        <v>4.8499999999999996</v>
      </c>
      <c r="H961">
        <v>4.4000000000000004</v>
      </c>
      <c r="I961">
        <v>4.26</v>
      </c>
      <c r="J961">
        <v>4.1500000000000004</v>
      </c>
      <c r="K961">
        <v>4.18</v>
      </c>
      <c r="L961">
        <v>4.25</v>
      </c>
      <c r="M961">
        <v>4.5599999999999996</v>
      </c>
      <c r="N961">
        <v>4.4800000000000004</v>
      </c>
      <c r="O961">
        <v>5.5804</v>
      </c>
      <c r="P961">
        <v>4015</v>
      </c>
      <c r="Q961">
        <v>949.1</v>
      </c>
      <c r="R961">
        <v>3.7549999999999999</v>
      </c>
      <c r="S961">
        <v>18.169</v>
      </c>
      <c r="T961">
        <v>0.91829004192760799</v>
      </c>
      <c r="U961">
        <v>0.77324999652025805</v>
      </c>
      <c r="V961">
        <v>156.89100646972599</v>
      </c>
      <c r="W961">
        <v>1.5060000903031801</v>
      </c>
      <c r="X961">
        <v>0.88950002193450906</v>
      </c>
    </row>
    <row r="962" spans="1:24" x14ac:dyDescent="0.25">
      <c r="A962" s="4">
        <v>45495</v>
      </c>
      <c r="B962">
        <v>5.49</v>
      </c>
      <c r="C962">
        <v>5.51</v>
      </c>
      <c r="D962">
        <v>5.43</v>
      </c>
      <c r="E962">
        <v>5.39</v>
      </c>
      <c r="F962">
        <v>5.24</v>
      </c>
      <c r="G962">
        <v>4.88</v>
      </c>
      <c r="H962">
        <v>4.5</v>
      </c>
      <c r="I962">
        <v>4.29</v>
      </c>
      <c r="J962">
        <v>4.17</v>
      </c>
      <c r="K962">
        <v>4.2</v>
      </c>
      <c r="L962">
        <v>4.26</v>
      </c>
      <c r="M962">
        <v>4.57</v>
      </c>
      <c r="N962">
        <v>4.4800000000000004</v>
      </c>
      <c r="O962">
        <v>5.5594999999999999</v>
      </c>
      <c r="P962">
        <v>3995.5</v>
      </c>
      <c r="Q962">
        <v>943.77</v>
      </c>
      <c r="R962">
        <v>3.7549999999999999</v>
      </c>
      <c r="S962">
        <v>17.940799999999999</v>
      </c>
      <c r="T962">
        <v>0.91750000027343603</v>
      </c>
      <c r="U962">
        <v>0.77321001214113505</v>
      </c>
      <c r="V962">
        <v>157.42199707031199</v>
      </c>
      <c r="W962">
        <v>1.4933600319443301</v>
      </c>
      <c r="X962">
        <v>0.88801002502441395</v>
      </c>
    </row>
    <row r="963" spans="1:24" x14ac:dyDescent="0.25">
      <c r="A963" s="4">
        <v>45492</v>
      </c>
      <c r="B963">
        <v>5.48</v>
      </c>
      <c r="C963">
        <v>5.52</v>
      </c>
      <c r="D963">
        <v>5.43</v>
      </c>
      <c r="E963">
        <v>5.39</v>
      </c>
      <c r="F963">
        <v>5.24</v>
      </c>
      <c r="G963">
        <v>4.87</v>
      </c>
      <c r="H963">
        <v>4.49</v>
      </c>
      <c r="I963">
        <v>4.28</v>
      </c>
      <c r="J963">
        <v>4.16</v>
      </c>
      <c r="K963">
        <v>4.18</v>
      </c>
      <c r="L963">
        <v>4.25</v>
      </c>
      <c r="M963">
        <v>4.55</v>
      </c>
      <c r="N963">
        <v>4.45</v>
      </c>
      <c r="O963">
        <v>5.5540000000000003</v>
      </c>
      <c r="P963">
        <v>4037.9</v>
      </c>
      <c r="Q963">
        <v>940.15</v>
      </c>
      <c r="R963">
        <v>3.7519999999999998</v>
      </c>
      <c r="S963">
        <v>18.0825</v>
      </c>
      <c r="T963">
        <v>0.91729994376094803</v>
      </c>
      <c r="U963">
        <v>0.77209994306313701</v>
      </c>
      <c r="V963">
        <v>157.14999389648401</v>
      </c>
      <c r="W963">
        <v>1.4913129936516201</v>
      </c>
      <c r="X963">
        <v>0.88730001449584905</v>
      </c>
    </row>
    <row r="964" spans="1:24" x14ac:dyDescent="0.25">
      <c r="A964" s="4">
        <v>45491</v>
      </c>
      <c r="B964">
        <v>5.48</v>
      </c>
      <c r="C964">
        <v>5.52</v>
      </c>
      <c r="D964">
        <v>5.43</v>
      </c>
      <c r="E964">
        <v>5.4</v>
      </c>
      <c r="F964">
        <v>5.23</v>
      </c>
      <c r="G964">
        <v>4.8600000000000003</v>
      </c>
      <c r="H964">
        <v>4.46</v>
      </c>
      <c r="I964">
        <v>4.24</v>
      </c>
      <c r="J964">
        <v>4.1100000000000003</v>
      </c>
      <c r="K964">
        <v>4.1399999999999997</v>
      </c>
      <c r="L964">
        <v>4.2</v>
      </c>
      <c r="M964">
        <v>4.51</v>
      </c>
      <c r="N964">
        <v>4.41</v>
      </c>
      <c r="O964">
        <v>5.5423</v>
      </c>
      <c r="P964">
        <v>4045</v>
      </c>
      <c r="Q964">
        <v>921.91</v>
      </c>
      <c r="R964">
        <v>3.74</v>
      </c>
      <c r="S964">
        <v>17.9788</v>
      </c>
      <c r="T964">
        <v>0.91405996487422303</v>
      </c>
      <c r="U964">
        <v>0.76878997580796604</v>
      </c>
      <c r="V964">
        <v>155.68600463867099</v>
      </c>
      <c r="W964">
        <v>1.48573006393684</v>
      </c>
      <c r="X964">
        <v>0.88235002756118697</v>
      </c>
    </row>
    <row r="965" spans="1:24" x14ac:dyDescent="0.25">
      <c r="A965" s="4">
        <v>45490</v>
      </c>
      <c r="B965">
        <v>5.47</v>
      </c>
      <c r="C965">
        <v>5.5</v>
      </c>
      <c r="D965">
        <v>5.43</v>
      </c>
      <c r="E965">
        <v>5.4</v>
      </c>
      <c r="F965">
        <v>5.23</v>
      </c>
      <c r="G965">
        <v>4.8499999999999996</v>
      </c>
      <c r="H965">
        <v>4.42</v>
      </c>
      <c r="I965">
        <v>4.1900000000000004</v>
      </c>
      <c r="J965">
        <v>4.07</v>
      </c>
      <c r="K965">
        <v>4.09</v>
      </c>
      <c r="L965">
        <v>4.16</v>
      </c>
      <c r="M965">
        <v>4.46</v>
      </c>
      <c r="N965">
        <v>4.37</v>
      </c>
      <c r="O965">
        <v>5.4667000000000003</v>
      </c>
      <c r="P965">
        <v>3995.7</v>
      </c>
      <c r="Q965">
        <v>910.79</v>
      </c>
      <c r="R965">
        <v>3.722</v>
      </c>
      <c r="S965">
        <v>17.719200000000001</v>
      </c>
      <c r="T965">
        <v>0.91722000575571705</v>
      </c>
      <c r="U965">
        <v>0.77055297406562495</v>
      </c>
      <c r="V965">
        <v>158.350006103515</v>
      </c>
      <c r="W965">
        <v>1.4854430316424401</v>
      </c>
      <c r="X965">
        <v>0.89322000741958596</v>
      </c>
    </row>
    <row r="966" spans="1:24" x14ac:dyDescent="0.25">
      <c r="A966" s="4">
        <v>45489</v>
      </c>
      <c r="B966">
        <v>5.48</v>
      </c>
      <c r="C966">
        <v>5.5</v>
      </c>
      <c r="D966">
        <v>5.43</v>
      </c>
      <c r="E966">
        <v>5.4</v>
      </c>
      <c r="F966">
        <v>5.23</v>
      </c>
      <c r="G966">
        <v>4.8499999999999996</v>
      </c>
      <c r="H966">
        <v>4.43</v>
      </c>
      <c r="I966">
        <v>4.21</v>
      </c>
      <c r="J966">
        <v>4.09</v>
      </c>
      <c r="K966">
        <v>4.1100000000000003</v>
      </c>
      <c r="L966">
        <v>4.17</v>
      </c>
      <c r="M966">
        <v>4.4800000000000004</v>
      </c>
      <c r="N966">
        <v>4.38</v>
      </c>
      <c r="O966">
        <v>5.4271000000000003</v>
      </c>
      <c r="P966">
        <v>3984.45</v>
      </c>
      <c r="Q966">
        <v>910.14</v>
      </c>
      <c r="R966">
        <v>3.7109999999999999</v>
      </c>
      <c r="S966">
        <v>17.643899999999999</v>
      </c>
      <c r="T966">
        <v>0.91729994376094803</v>
      </c>
      <c r="U966">
        <v>0.77100999308365503</v>
      </c>
      <c r="V966">
        <v>158.14100646972599</v>
      </c>
      <c r="W966">
        <v>1.4785679587864</v>
      </c>
      <c r="X966">
        <v>0.89547002315521196</v>
      </c>
    </row>
    <row r="967" spans="1:24" x14ac:dyDescent="0.25">
      <c r="A967" s="4">
        <v>45488</v>
      </c>
      <c r="B967">
        <v>5.48</v>
      </c>
      <c r="C967">
        <v>5.51</v>
      </c>
      <c r="D967">
        <v>5.43</v>
      </c>
      <c r="E967">
        <v>5.4</v>
      </c>
      <c r="F967">
        <v>5.23</v>
      </c>
      <c r="G967">
        <v>4.8499999999999996</v>
      </c>
      <c r="H967">
        <v>4.4400000000000004</v>
      </c>
      <c r="I967">
        <v>4.2300000000000004</v>
      </c>
      <c r="J967">
        <v>4.13</v>
      </c>
      <c r="K967">
        <v>4.16</v>
      </c>
      <c r="L967">
        <v>4.2300000000000004</v>
      </c>
      <c r="M967">
        <v>4.5599999999999996</v>
      </c>
      <c r="N967">
        <v>4.46</v>
      </c>
      <c r="O967">
        <v>5.4560000000000004</v>
      </c>
      <c r="P967">
        <v>3948.65</v>
      </c>
      <c r="Q967">
        <v>910.14</v>
      </c>
      <c r="R967">
        <v>3.718</v>
      </c>
      <c r="S967">
        <v>17.764900000000001</v>
      </c>
      <c r="T967">
        <v>0.91864995840749097</v>
      </c>
      <c r="U967">
        <v>0.77120002824218803</v>
      </c>
      <c r="V967">
        <v>158.31300354003901</v>
      </c>
      <c r="W967">
        <v>1.4766689832564699</v>
      </c>
      <c r="X967">
        <v>0.89688998460769598</v>
      </c>
    </row>
    <row r="968" spans="1:24" x14ac:dyDescent="0.25">
      <c r="A968" s="4">
        <v>45485</v>
      </c>
      <c r="B968">
        <v>5.47</v>
      </c>
      <c r="C968">
        <v>5.52</v>
      </c>
      <c r="D968">
        <v>5.43</v>
      </c>
      <c r="E968">
        <v>5.41</v>
      </c>
      <c r="F968">
        <v>5.23</v>
      </c>
      <c r="G968">
        <v>4.87</v>
      </c>
      <c r="H968">
        <v>4.45</v>
      </c>
      <c r="I968">
        <v>4.22</v>
      </c>
      <c r="J968">
        <v>4.0999999999999996</v>
      </c>
      <c r="K968">
        <v>4.13</v>
      </c>
      <c r="L968">
        <v>4.18</v>
      </c>
      <c r="M968">
        <v>4.5</v>
      </c>
      <c r="N968">
        <v>4.3899999999999997</v>
      </c>
      <c r="O968">
        <v>5.4526000000000003</v>
      </c>
      <c r="P968">
        <v>3922.95</v>
      </c>
      <c r="Q968">
        <v>908.92</v>
      </c>
      <c r="R968">
        <v>3.7229999999999999</v>
      </c>
      <c r="S968">
        <v>17.622299999999999</v>
      </c>
      <c r="T968">
        <v>0.91972999088121099</v>
      </c>
      <c r="U968">
        <v>0.77376995590070696</v>
      </c>
      <c r="V968">
        <v>158.20100402832</v>
      </c>
      <c r="W968">
        <v>1.4774320471025</v>
      </c>
      <c r="X968">
        <v>0.89603000879287698</v>
      </c>
    </row>
    <row r="969" spans="1:24" x14ac:dyDescent="0.25">
      <c r="A969" s="4">
        <v>45484</v>
      </c>
      <c r="B969">
        <v>5.48</v>
      </c>
      <c r="C969">
        <v>5.53</v>
      </c>
      <c r="D969">
        <v>5.44</v>
      </c>
      <c r="E969">
        <v>5.41</v>
      </c>
      <c r="F969">
        <v>5.25</v>
      </c>
      <c r="G969">
        <v>4.91</v>
      </c>
      <c r="H969">
        <v>4.5</v>
      </c>
      <c r="I969">
        <v>4.26</v>
      </c>
      <c r="J969">
        <v>4.13</v>
      </c>
      <c r="K969">
        <v>4.1500000000000004</v>
      </c>
      <c r="L969">
        <v>4.2</v>
      </c>
      <c r="M969">
        <v>4.51</v>
      </c>
      <c r="N969">
        <v>4.41</v>
      </c>
      <c r="O969">
        <v>5.4097</v>
      </c>
      <c r="P969">
        <v>3981.5</v>
      </c>
      <c r="Q969">
        <v>918.86</v>
      </c>
      <c r="R969">
        <v>3.7559999999999998</v>
      </c>
      <c r="S969">
        <v>17.787099999999999</v>
      </c>
      <c r="T969">
        <v>0.92308003804733196</v>
      </c>
      <c r="U969">
        <v>0.77804997041249901</v>
      </c>
      <c r="V969">
        <v>161.60699462890599</v>
      </c>
      <c r="W969">
        <v>1.4810870087026899</v>
      </c>
      <c r="X969">
        <v>0.89920002222061102</v>
      </c>
    </row>
    <row r="970" spans="1:24" x14ac:dyDescent="0.25">
      <c r="A970" s="4">
        <v>45483</v>
      </c>
      <c r="B970">
        <v>5.46</v>
      </c>
      <c r="C970">
        <v>5.5</v>
      </c>
      <c r="D970">
        <v>5.46</v>
      </c>
      <c r="E970">
        <v>5.46</v>
      </c>
      <c r="F970">
        <v>5.33</v>
      </c>
      <c r="G970">
        <v>5.01</v>
      </c>
      <c r="H970">
        <v>4.62</v>
      </c>
      <c r="I970">
        <v>4.38</v>
      </c>
      <c r="J970">
        <v>4.24</v>
      </c>
      <c r="K970">
        <v>4.24</v>
      </c>
      <c r="L970">
        <v>4.28</v>
      </c>
      <c r="M970">
        <v>4.58</v>
      </c>
      <c r="N970">
        <v>4.47</v>
      </c>
      <c r="O970">
        <v>5.3963999999999999</v>
      </c>
      <c r="P970">
        <v>3968</v>
      </c>
      <c r="Q970">
        <v>932.31</v>
      </c>
      <c r="R970">
        <v>3.7810000000000001</v>
      </c>
      <c r="S970">
        <v>17.8078</v>
      </c>
      <c r="T970">
        <v>0.92466000154319195</v>
      </c>
      <c r="U970">
        <v>0.782000014915466</v>
      </c>
      <c r="V970">
        <v>161.33099365234301</v>
      </c>
      <c r="W970">
        <v>1.48335008052355</v>
      </c>
      <c r="X970">
        <v>0.897400021553039</v>
      </c>
    </row>
    <row r="971" spans="1:24" x14ac:dyDescent="0.25">
      <c r="A971" s="4">
        <v>45482</v>
      </c>
      <c r="B971">
        <v>5.45</v>
      </c>
      <c r="C971">
        <v>5.51</v>
      </c>
      <c r="D971">
        <v>5.46</v>
      </c>
      <c r="E971">
        <v>5.46</v>
      </c>
      <c r="F971">
        <v>5.34</v>
      </c>
      <c r="G971">
        <v>5.0199999999999996</v>
      </c>
      <c r="H971">
        <v>4.62</v>
      </c>
      <c r="I971">
        <v>4.37</v>
      </c>
      <c r="J971">
        <v>4.24</v>
      </c>
      <c r="K971">
        <v>4.25</v>
      </c>
      <c r="L971">
        <v>4.3</v>
      </c>
      <c r="M971">
        <v>4.59</v>
      </c>
      <c r="N971">
        <v>4.49</v>
      </c>
      <c r="O971">
        <v>5.4383999999999997</v>
      </c>
      <c r="P971">
        <v>4014.44</v>
      </c>
      <c r="Q971">
        <v>939.17</v>
      </c>
      <c r="R971">
        <v>3.7829999999999999</v>
      </c>
      <c r="S971">
        <v>17.914300000000001</v>
      </c>
      <c r="T971">
        <v>0.92327998186152604</v>
      </c>
      <c r="U971">
        <v>0.78029998815867996</v>
      </c>
      <c r="V971">
        <v>160.85699462890599</v>
      </c>
      <c r="W971">
        <v>1.4829749560160399</v>
      </c>
      <c r="X971">
        <v>0.89780998229980402</v>
      </c>
    </row>
    <row r="972" spans="1:24" x14ac:dyDescent="0.25">
      <c r="A972" s="4">
        <v>45481</v>
      </c>
      <c r="B972">
        <v>5.48</v>
      </c>
      <c r="C972">
        <v>5.53</v>
      </c>
      <c r="D972">
        <v>5.46</v>
      </c>
      <c r="E972">
        <v>5.46</v>
      </c>
      <c r="F972">
        <v>5.33</v>
      </c>
      <c r="G972">
        <v>4.99</v>
      </c>
      <c r="H972">
        <v>4.62</v>
      </c>
      <c r="I972">
        <v>4.4000000000000004</v>
      </c>
      <c r="J972">
        <v>4.2300000000000004</v>
      </c>
      <c r="K972">
        <v>4.2300000000000004</v>
      </c>
      <c r="L972">
        <v>4.28</v>
      </c>
      <c r="M972">
        <v>4.57</v>
      </c>
      <c r="N972">
        <v>4.46</v>
      </c>
      <c r="O972">
        <v>5.4717000000000002</v>
      </c>
      <c r="P972">
        <v>4050</v>
      </c>
      <c r="Q972">
        <v>933.51</v>
      </c>
      <c r="R972">
        <v>3.7869999999999999</v>
      </c>
      <c r="S972">
        <v>17.9894</v>
      </c>
      <c r="T972">
        <v>0.92369996285867695</v>
      </c>
      <c r="U972">
        <v>0.78085295206740601</v>
      </c>
      <c r="V972">
        <v>160.63800048828099</v>
      </c>
      <c r="W972">
        <v>1.48222999015275</v>
      </c>
      <c r="X972">
        <v>0.89522999525070102</v>
      </c>
    </row>
    <row r="973" spans="1:24" x14ac:dyDescent="0.25">
      <c r="A973" s="4">
        <v>45478</v>
      </c>
      <c r="B973">
        <v>5.48</v>
      </c>
      <c r="C973">
        <v>5.53</v>
      </c>
      <c r="D973">
        <v>5.46</v>
      </c>
      <c r="E973">
        <v>5.46</v>
      </c>
      <c r="F973">
        <v>5.34</v>
      </c>
      <c r="G973">
        <v>4.9800000000000004</v>
      </c>
      <c r="H973">
        <v>4.5999999999999996</v>
      </c>
      <c r="I973">
        <v>4.3899999999999997</v>
      </c>
      <c r="J973">
        <v>4.22</v>
      </c>
      <c r="K973">
        <v>4.2300000000000004</v>
      </c>
      <c r="L973">
        <v>4.28</v>
      </c>
      <c r="M973">
        <v>4.57</v>
      </c>
      <c r="N973">
        <v>4.47</v>
      </c>
      <c r="O973">
        <v>5.4966999999999997</v>
      </c>
      <c r="P973">
        <v>4083.02</v>
      </c>
      <c r="Q973">
        <v>936.55</v>
      </c>
      <c r="R973">
        <v>3.79</v>
      </c>
      <c r="S973">
        <v>18.0838</v>
      </c>
      <c r="T973">
        <v>0.92501003730757703</v>
      </c>
      <c r="U973">
        <v>0.78396000262048704</v>
      </c>
      <c r="V973">
        <v>161.35800170898401</v>
      </c>
      <c r="W973">
        <v>1.48696996965563</v>
      </c>
      <c r="X973">
        <v>0.90025001764297397</v>
      </c>
    </row>
    <row r="974" spans="1:24" x14ac:dyDescent="0.25">
      <c r="A974" s="4">
        <v>45476</v>
      </c>
      <c r="B974">
        <v>5.49</v>
      </c>
      <c r="C974">
        <v>5.54</v>
      </c>
      <c r="D974">
        <v>5.47</v>
      </c>
      <c r="E974">
        <v>5.47</v>
      </c>
      <c r="F974">
        <v>5.36</v>
      </c>
      <c r="G974">
        <v>5.04</v>
      </c>
      <c r="H974">
        <v>4.71</v>
      </c>
      <c r="I974">
        <v>4.4800000000000004</v>
      </c>
      <c r="J974">
        <v>4.33</v>
      </c>
      <c r="K974">
        <v>4.33</v>
      </c>
      <c r="L974">
        <v>4.3600000000000003</v>
      </c>
      <c r="M974">
        <v>4.6399999999999997</v>
      </c>
      <c r="N974">
        <v>4.53</v>
      </c>
      <c r="O974">
        <v>5.5860000000000003</v>
      </c>
      <c r="P974">
        <v>4104.5</v>
      </c>
      <c r="Q974">
        <v>946.99</v>
      </c>
      <c r="R974">
        <v>3.8</v>
      </c>
      <c r="S974">
        <v>18.186399999999999</v>
      </c>
      <c r="T974">
        <v>0.93036994053738797</v>
      </c>
      <c r="U974">
        <v>0.78799997219467199</v>
      </c>
      <c r="V974">
        <v>161.50399780273401</v>
      </c>
      <c r="W974">
        <v>1.4996329848148999</v>
      </c>
      <c r="X974">
        <v>0.90368998050689697</v>
      </c>
    </row>
    <row r="975" spans="1:24" x14ac:dyDescent="0.25">
      <c r="A975" s="4">
        <v>45475</v>
      </c>
      <c r="B975">
        <v>5.48</v>
      </c>
      <c r="C975">
        <v>5.47</v>
      </c>
      <c r="D975">
        <v>5.47</v>
      </c>
      <c r="E975">
        <v>5.44</v>
      </c>
      <c r="F975">
        <v>5.36</v>
      </c>
      <c r="G975">
        <v>5.07</v>
      </c>
      <c r="H975">
        <v>4.74</v>
      </c>
      <c r="I975">
        <v>4.54</v>
      </c>
      <c r="J975">
        <v>4.3899999999999997</v>
      </c>
      <c r="K975">
        <v>4.4000000000000004</v>
      </c>
      <c r="L975">
        <v>4.43</v>
      </c>
      <c r="M975">
        <v>4.71</v>
      </c>
      <c r="N975">
        <v>4.5999999999999996</v>
      </c>
      <c r="O975">
        <v>5.6673999999999998</v>
      </c>
      <c r="P975">
        <v>4130</v>
      </c>
      <c r="Q975">
        <v>943.89</v>
      </c>
      <c r="R975">
        <v>3.8130000000000002</v>
      </c>
      <c r="S975">
        <v>18.2697</v>
      </c>
      <c r="T975">
        <v>0.93135000212058805</v>
      </c>
      <c r="U975">
        <v>0.79078002985854901</v>
      </c>
      <c r="V975">
        <v>161.51199340820301</v>
      </c>
      <c r="W975">
        <v>1.50271994451015</v>
      </c>
      <c r="X975">
        <v>0.90315997600555398</v>
      </c>
    </row>
    <row r="976" spans="1:24" x14ac:dyDescent="0.25">
      <c r="A976" s="4">
        <v>45474</v>
      </c>
      <c r="B976">
        <v>5.48</v>
      </c>
      <c r="C976">
        <v>5.48</v>
      </c>
      <c r="D976">
        <v>5.47</v>
      </c>
      <c r="E976">
        <v>5.45</v>
      </c>
      <c r="F976">
        <v>5.37</v>
      </c>
      <c r="G976">
        <v>5.0999999999999996</v>
      </c>
      <c r="H976">
        <v>4.7699999999999996</v>
      </c>
      <c r="I976">
        <v>4.58</v>
      </c>
      <c r="J976">
        <v>4.4400000000000004</v>
      </c>
      <c r="K976">
        <v>4.45</v>
      </c>
      <c r="L976">
        <v>4.4800000000000004</v>
      </c>
      <c r="M976">
        <v>4.76</v>
      </c>
      <c r="N976">
        <v>4.6399999999999997</v>
      </c>
      <c r="O976">
        <v>5.5890000000000004</v>
      </c>
      <c r="P976">
        <v>4136.5</v>
      </c>
      <c r="Q976">
        <v>944.34</v>
      </c>
      <c r="R976">
        <v>3.8359999999999999</v>
      </c>
      <c r="S976">
        <v>18.364000000000001</v>
      </c>
      <c r="T976">
        <v>0.93150999507294896</v>
      </c>
      <c r="U976">
        <v>0.79059996891738504</v>
      </c>
      <c r="V976">
        <v>160.90699768066401</v>
      </c>
      <c r="W976">
        <v>1.49835006783436</v>
      </c>
      <c r="X976">
        <v>0.90020000934600797</v>
      </c>
    </row>
    <row r="977" spans="1:24" x14ac:dyDescent="0.25">
      <c r="A977" s="4">
        <v>45471</v>
      </c>
      <c r="B977">
        <v>5.47</v>
      </c>
      <c r="C977">
        <v>5.47</v>
      </c>
      <c r="D977">
        <v>5.48</v>
      </c>
      <c r="E977">
        <v>5.45</v>
      </c>
      <c r="F977">
        <v>5.33</v>
      </c>
      <c r="G977">
        <v>5.09</v>
      </c>
      <c r="H977">
        <v>4.71</v>
      </c>
      <c r="I977">
        <v>4.5199999999999996</v>
      </c>
      <c r="J977">
        <v>4.33</v>
      </c>
      <c r="K977">
        <v>4.33</v>
      </c>
      <c r="L977">
        <v>4.3600000000000003</v>
      </c>
      <c r="M977">
        <v>4.6100000000000003</v>
      </c>
      <c r="N977">
        <v>4.51</v>
      </c>
      <c r="O977">
        <v>5.5586000000000002</v>
      </c>
      <c r="P977">
        <v>4136.5</v>
      </c>
      <c r="Q977">
        <v>951.02</v>
      </c>
      <c r="R977">
        <v>3.84</v>
      </c>
      <c r="S977">
        <v>18.286200000000001</v>
      </c>
      <c r="T977">
        <v>0.93383998384489297</v>
      </c>
      <c r="U977">
        <v>0.79078002985854901</v>
      </c>
      <c r="V977">
        <v>160.68699645996</v>
      </c>
      <c r="W977">
        <v>1.5036239047401001</v>
      </c>
      <c r="X977">
        <v>0.89851999282836903</v>
      </c>
    </row>
    <row r="978" spans="1:24" x14ac:dyDescent="0.25">
      <c r="A978" s="4">
        <v>45470</v>
      </c>
      <c r="B978">
        <v>5.48</v>
      </c>
      <c r="C978">
        <v>5.46</v>
      </c>
      <c r="D978">
        <v>5.49</v>
      </c>
      <c r="E978">
        <v>5.45</v>
      </c>
      <c r="F978">
        <v>5.35</v>
      </c>
      <c r="G978">
        <v>5.0999999999999996</v>
      </c>
      <c r="H978">
        <v>4.7</v>
      </c>
      <c r="I978">
        <v>4.49</v>
      </c>
      <c r="J978">
        <v>4.29</v>
      </c>
      <c r="K978">
        <v>4.2699999999999996</v>
      </c>
      <c r="L978">
        <v>4.29</v>
      </c>
      <c r="M978">
        <v>4.53</v>
      </c>
      <c r="N978">
        <v>4.43</v>
      </c>
      <c r="O978">
        <v>5.5225999999999997</v>
      </c>
      <c r="P978">
        <v>4167</v>
      </c>
      <c r="Q978">
        <v>947.78</v>
      </c>
      <c r="R978">
        <v>3.83</v>
      </c>
      <c r="S978">
        <v>18.408799999999999</v>
      </c>
      <c r="T978">
        <v>0.936320008929443</v>
      </c>
      <c r="U978">
        <v>0.79228004181741596</v>
      </c>
      <c r="V978">
        <v>160.621002197265</v>
      </c>
      <c r="W978">
        <v>1.5049400363972401</v>
      </c>
      <c r="X978">
        <v>0.89670002460479703</v>
      </c>
    </row>
    <row r="979" spans="1:24" x14ac:dyDescent="0.25">
      <c r="A979" s="4">
        <v>45469</v>
      </c>
      <c r="B979">
        <v>5.44</v>
      </c>
      <c r="C979">
        <v>5.46</v>
      </c>
      <c r="D979">
        <v>5.5</v>
      </c>
      <c r="E979">
        <v>5.46</v>
      </c>
      <c r="F979">
        <v>5.36</v>
      </c>
      <c r="G979">
        <v>5.13</v>
      </c>
      <c r="H979">
        <v>4.71</v>
      </c>
      <c r="I979">
        <v>4.53</v>
      </c>
      <c r="J979">
        <v>4.32</v>
      </c>
      <c r="K979">
        <v>4.32</v>
      </c>
      <c r="L979">
        <v>4.32</v>
      </c>
      <c r="M979">
        <v>4.55</v>
      </c>
      <c r="N979">
        <v>4.45</v>
      </c>
      <c r="O979">
        <v>5.5094000000000003</v>
      </c>
      <c r="P979">
        <v>4137</v>
      </c>
      <c r="Q979">
        <v>942.31</v>
      </c>
      <c r="R979">
        <v>3.8250000000000002</v>
      </c>
      <c r="S979">
        <v>18.364799999999999</v>
      </c>
      <c r="T979">
        <v>0.93373998762227395</v>
      </c>
      <c r="U979">
        <v>0.788395005013107</v>
      </c>
      <c r="V979">
        <v>159.68600463867099</v>
      </c>
      <c r="W979">
        <v>1.50493598655056</v>
      </c>
      <c r="X979">
        <v>0.89520001411437899</v>
      </c>
    </row>
    <row r="980" spans="1:24" x14ac:dyDescent="0.25">
      <c r="A980" s="4">
        <v>45468</v>
      </c>
      <c r="B980">
        <v>5.43</v>
      </c>
      <c r="C980">
        <v>5.46</v>
      </c>
      <c r="D980">
        <v>5.49</v>
      </c>
      <c r="E980">
        <v>5.44</v>
      </c>
      <c r="F980">
        <v>5.37</v>
      </c>
      <c r="G980">
        <v>5.0999999999999996</v>
      </c>
      <c r="H980">
        <v>4.6500000000000004</v>
      </c>
      <c r="I980">
        <v>4.45</v>
      </c>
      <c r="J980">
        <v>4.25</v>
      </c>
      <c r="K980">
        <v>4.2300000000000004</v>
      </c>
      <c r="L980">
        <v>4.2300000000000004</v>
      </c>
      <c r="M980">
        <v>4.46</v>
      </c>
      <c r="N980">
        <v>4.3600000000000003</v>
      </c>
      <c r="O980">
        <v>5.4286500000000002</v>
      </c>
      <c r="P980">
        <v>4101.5</v>
      </c>
      <c r="Q980">
        <v>941.72</v>
      </c>
      <c r="R980">
        <v>3.8119999999999998</v>
      </c>
      <c r="S980">
        <v>18.129100000000001</v>
      </c>
      <c r="T980">
        <v>0.93172995873384101</v>
      </c>
      <c r="U980">
        <v>0.78842998012337995</v>
      </c>
      <c r="V980">
        <v>159.68600463867099</v>
      </c>
      <c r="W980">
        <v>1.50271994451015</v>
      </c>
      <c r="X980">
        <v>0.89319002628326405</v>
      </c>
    </row>
    <row r="981" spans="1:24" x14ac:dyDescent="0.25">
      <c r="A981" s="4">
        <v>45467</v>
      </c>
      <c r="B981">
        <v>5.42</v>
      </c>
      <c r="C981">
        <v>5.46</v>
      </c>
      <c r="D981">
        <v>5.5</v>
      </c>
      <c r="E981">
        <v>5.45</v>
      </c>
      <c r="F981">
        <v>5.37</v>
      </c>
      <c r="G981">
        <v>5.0999999999999996</v>
      </c>
      <c r="H981">
        <v>4.71</v>
      </c>
      <c r="I981">
        <v>4.46</v>
      </c>
      <c r="J981">
        <v>4.2699999999999996</v>
      </c>
      <c r="K981">
        <v>4.25</v>
      </c>
      <c r="L981">
        <v>4.25</v>
      </c>
      <c r="M981">
        <v>4.4800000000000004</v>
      </c>
      <c r="N981">
        <v>4.38</v>
      </c>
      <c r="O981">
        <v>5.3997000000000002</v>
      </c>
      <c r="P981">
        <v>4090</v>
      </c>
      <c r="Q981">
        <v>937.34</v>
      </c>
      <c r="R981">
        <v>3.8069999999999999</v>
      </c>
      <c r="S981">
        <v>17.970500000000001</v>
      </c>
      <c r="T981">
        <v>0.93564995129685902</v>
      </c>
      <c r="U981">
        <v>0.79120001856185895</v>
      </c>
      <c r="V981">
        <v>159.86099243164</v>
      </c>
      <c r="W981">
        <v>1.50715898036262</v>
      </c>
      <c r="X981">
        <v>0.89410001039505005</v>
      </c>
    </row>
    <row r="982" spans="1:24" x14ac:dyDescent="0.25">
      <c r="A982" s="4">
        <v>45464</v>
      </c>
      <c r="B982">
        <v>5.42</v>
      </c>
      <c r="C982">
        <v>5.46</v>
      </c>
      <c r="D982">
        <v>5.49</v>
      </c>
      <c r="E982">
        <v>5.45</v>
      </c>
      <c r="F982">
        <v>5.36</v>
      </c>
      <c r="G982">
        <v>5.0999999999999996</v>
      </c>
      <c r="H982">
        <v>4.7</v>
      </c>
      <c r="I982">
        <v>4.45</v>
      </c>
      <c r="J982">
        <v>4.26</v>
      </c>
      <c r="K982">
        <v>4.25</v>
      </c>
      <c r="L982">
        <v>4.25</v>
      </c>
      <c r="M982">
        <v>4.49</v>
      </c>
      <c r="N982">
        <v>4.3899999999999997</v>
      </c>
      <c r="O982">
        <v>5.4413</v>
      </c>
      <c r="P982">
        <v>4149.99</v>
      </c>
      <c r="Q982">
        <v>927.92</v>
      </c>
      <c r="R982">
        <v>3.7989999999999999</v>
      </c>
      <c r="S982">
        <v>18.117100000000001</v>
      </c>
      <c r="T982">
        <v>0.93401996862998105</v>
      </c>
      <c r="U982">
        <v>0.78986001715758902</v>
      </c>
      <c r="V982">
        <v>158.93099975585901</v>
      </c>
      <c r="W982">
        <v>1.5013440063972501</v>
      </c>
      <c r="X982">
        <v>0.89148998260498002</v>
      </c>
    </row>
    <row r="983" spans="1:24" x14ac:dyDescent="0.25">
      <c r="A983" s="4">
        <v>45463</v>
      </c>
      <c r="B983">
        <v>5.42</v>
      </c>
      <c r="C983">
        <v>5.46</v>
      </c>
      <c r="D983">
        <v>5.5</v>
      </c>
      <c r="E983">
        <v>5.46</v>
      </c>
      <c r="F983">
        <v>5.37</v>
      </c>
      <c r="G983">
        <v>5.0999999999999996</v>
      </c>
      <c r="H983">
        <v>4.7</v>
      </c>
      <c r="I983">
        <v>4.45</v>
      </c>
      <c r="J983">
        <v>4.26</v>
      </c>
      <c r="K983">
        <v>4.25</v>
      </c>
      <c r="L983">
        <v>4.25</v>
      </c>
      <c r="M983">
        <v>4.49</v>
      </c>
      <c r="N983">
        <v>4.3899999999999997</v>
      </c>
      <c r="O983">
        <v>5.4250999999999996</v>
      </c>
      <c r="P983">
        <v>4173</v>
      </c>
      <c r="Q983">
        <v>934.91</v>
      </c>
      <c r="R983">
        <v>3.8029999999999999</v>
      </c>
      <c r="S983">
        <v>18.3706</v>
      </c>
      <c r="T983">
        <v>0.93009998071856603</v>
      </c>
      <c r="U983">
        <v>0.78604001167167903</v>
      </c>
      <c r="V983">
        <v>157.95799255371</v>
      </c>
      <c r="W983">
        <v>1.4980600118132399</v>
      </c>
      <c r="X983">
        <v>0.88429999351501398</v>
      </c>
    </row>
    <row r="984" spans="1:24" x14ac:dyDescent="0.25">
      <c r="A984" s="4">
        <v>45461</v>
      </c>
      <c r="B984">
        <v>5.4</v>
      </c>
      <c r="C984">
        <v>5.46</v>
      </c>
      <c r="D984">
        <v>5.5</v>
      </c>
      <c r="E984">
        <v>5.45</v>
      </c>
      <c r="F984">
        <v>5.37</v>
      </c>
      <c r="G984">
        <v>5.09</v>
      </c>
      <c r="H984">
        <v>4.6900000000000004</v>
      </c>
      <c r="I984">
        <v>4.43</v>
      </c>
      <c r="J984">
        <v>4.24</v>
      </c>
      <c r="K984">
        <v>4.22</v>
      </c>
      <c r="L984">
        <v>4.22</v>
      </c>
      <c r="M984">
        <v>4.47</v>
      </c>
      <c r="N984">
        <v>4.3600000000000003</v>
      </c>
      <c r="O984">
        <v>5.4070999999999998</v>
      </c>
      <c r="P984">
        <v>4149</v>
      </c>
      <c r="Q984">
        <v>938.68</v>
      </c>
      <c r="R984">
        <v>3.8090000000000002</v>
      </c>
      <c r="S984">
        <v>18.410699999999999</v>
      </c>
      <c r="T984">
        <v>0.93103999774471102</v>
      </c>
      <c r="U984">
        <v>0.78641096350672601</v>
      </c>
      <c r="V984">
        <v>157.69999694824199</v>
      </c>
      <c r="W984">
        <v>1.51010004227721</v>
      </c>
      <c r="X984">
        <v>0.888300001621246</v>
      </c>
    </row>
    <row r="985" spans="1:24" x14ac:dyDescent="0.25">
      <c r="A985" s="4">
        <v>45460</v>
      </c>
      <c r="B985">
        <v>5.45</v>
      </c>
      <c r="C985">
        <v>5.47</v>
      </c>
      <c r="D985">
        <v>5.52</v>
      </c>
      <c r="E985">
        <v>5.46</v>
      </c>
      <c r="F985">
        <v>5.39</v>
      </c>
      <c r="G985">
        <v>5.1100000000000003</v>
      </c>
      <c r="H985">
        <v>4.75</v>
      </c>
      <c r="I985">
        <v>4.5</v>
      </c>
      <c r="J985">
        <v>4.3</v>
      </c>
      <c r="K985">
        <v>4.28</v>
      </c>
      <c r="L985">
        <v>4.28</v>
      </c>
      <c r="M985">
        <v>4.5199999999999996</v>
      </c>
      <c r="N985">
        <v>4.4000000000000004</v>
      </c>
      <c r="O985">
        <v>5.4127000000000001</v>
      </c>
      <c r="P985">
        <v>4130</v>
      </c>
      <c r="Q985">
        <v>928.47</v>
      </c>
      <c r="R985">
        <v>3.7930000000000001</v>
      </c>
      <c r="S985">
        <v>18.544699999999999</v>
      </c>
      <c r="T985">
        <v>0.93439003389535902</v>
      </c>
      <c r="U985">
        <v>0.78844998846735703</v>
      </c>
      <c r="V985">
        <v>157.54600524902301</v>
      </c>
      <c r="W985">
        <v>1.5121999716077399</v>
      </c>
      <c r="X985">
        <v>0.89073002338409402</v>
      </c>
    </row>
    <row r="986" spans="1:24" x14ac:dyDescent="0.25">
      <c r="A986" s="4">
        <v>45457</v>
      </c>
      <c r="B986">
        <v>5.47</v>
      </c>
      <c r="C986">
        <v>5.47</v>
      </c>
      <c r="D986">
        <v>5.51</v>
      </c>
      <c r="E986">
        <v>5.45</v>
      </c>
      <c r="F986">
        <v>5.36</v>
      </c>
      <c r="G986">
        <v>5.07</v>
      </c>
      <c r="H986">
        <v>4.67</v>
      </c>
      <c r="I986">
        <v>4.41</v>
      </c>
      <c r="J986">
        <v>4.22</v>
      </c>
      <c r="K986">
        <v>4.2</v>
      </c>
      <c r="L986">
        <v>4.2</v>
      </c>
      <c r="M986">
        <v>4.46</v>
      </c>
      <c r="N986">
        <v>4.34</v>
      </c>
      <c r="O986">
        <v>5.3627000000000002</v>
      </c>
      <c r="P986">
        <v>4130.5</v>
      </c>
      <c r="Q986">
        <v>919.49</v>
      </c>
      <c r="R986">
        <v>3.78</v>
      </c>
      <c r="S986">
        <v>18.463200000000001</v>
      </c>
      <c r="T986">
        <v>0.93119998756713795</v>
      </c>
      <c r="U986">
        <v>0.78400000747680598</v>
      </c>
      <c r="V986">
        <v>157.128005981445</v>
      </c>
      <c r="W986">
        <v>1.5075900615536599</v>
      </c>
      <c r="X986">
        <v>0.89393001794814997</v>
      </c>
    </row>
    <row r="987" spans="1:24" x14ac:dyDescent="0.25">
      <c r="A987" s="4">
        <v>45456</v>
      </c>
      <c r="B987">
        <v>5.47</v>
      </c>
      <c r="C987">
        <v>5.47</v>
      </c>
      <c r="D987">
        <v>5.51</v>
      </c>
      <c r="E987">
        <v>5.45</v>
      </c>
      <c r="F987">
        <v>5.36</v>
      </c>
      <c r="G987">
        <v>5.07</v>
      </c>
      <c r="H987">
        <v>4.68</v>
      </c>
      <c r="I987">
        <v>4.42</v>
      </c>
      <c r="J987">
        <v>4.24</v>
      </c>
      <c r="K987">
        <v>4.2300000000000004</v>
      </c>
      <c r="L987">
        <v>4.24</v>
      </c>
      <c r="M987">
        <v>4.5</v>
      </c>
      <c r="N987">
        <v>4.4000000000000004</v>
      </c>
      <c r="O987">
        <v>5.3971</v>
      </c>
      <c r="P987">
        <v>4148</v>
      </c>
      <c r="Q987">
        <v>914.86</v>
      </c>
      <c r="R987">
        <v>3.7719999999999998</v>
      </c>
      <c r="S987">
        <v>18.473199999999999</v>
      </c>
      <c r="T987">
        <v>0.92479996366333095</v>
      </c>
      <c r="U987">
        <v>0.78148000541816598</v>
      </c>
      <c r="V987">
        <v>156.80000305175699</v>
      </c>
      <c r="W987">
        <v>1.5008480124911301</v>
      </c>
      <c r="X987">
        <v>0.89425998926162698</v>
      </c>
    </row>
    <row r="988" spans="1:24" x14ac:dyDescent="0.25">
      <c r="A988" s="4">
        <v>45455</v>
      </c>
      <c r="B988">
        <v>5.47</v>
      </c>
      <c r="C988">
        <v>5.47</v>
      </c>
      <c r="D988">
        <v>5.51</v>
      </c>
      <c r="E988">
        <v>5.47</v>
      </c>
      <c r="F988">
        <v>5.38</v>
      </c>
      <c r="G988">
        <v>5.13</v>
      </c>
      <c r="H988">
        <v>4.75</v>
      </c>
      <c r="I988">
        <v>4.4800000000000004</v>
      </c>
      <c r="J988">
        <v>4.32</v>
      </c>
      <c r="K988">
        <v>4.3099999999999996</v>
      </c>
      <c r="L988">
        <v>4.3099999999999996</v>
      </c>
      <c r="M988">
        <v>4.5599999999999996</v>
      </c>
      <c r="N988">
        <v>4.47</v>
      </c>
      <c r="O988">
        <v>5.3887999999999998</v>
      </c>
      <c r="P988">
        <v>4021.38</v>
      </c>
      <c r="Q988">
        <v>924.18</v>
      </c>
      <c r="R988">
        <v>3.7730000000000001</v>
      </c>
      <c r="S988">
        <v>18.759699999999999</v>
      </c>
      <c r="T988">
        <v>0.93107006915480095</v>
      </c>
      <c r="U988">
        <v>0.78490002232517497</v>
      </c>
      <c r="V988">
        <v>157.10499572753901</v>
      </c>
      <c r="W988">
        <v>1.51338603701284</v>
      </c>
      <c r="X988">
        <v>0.897780001163482</v>
      </c>
    </row>
    <row r="989" spans="1:24" x14ac:dyDescent="0.25">
      <c r="A989" s="4">
        <v>45454</v>
      </c>
      <c r="B989">
        <v>5.46</v>
      </c>
      <c r="C989">
        <v>5.47</v>
      </c>
      <c r="D989">
        <v>5.52</v>
      </c>
      <c r="E989">
        <v>5.46</v>
      </c>
      <c r="F989">
        <v>5.39</v>
      </c>
      <c r="G989">
        <v>5.17</v>
      </c>
      <c r="H989">
        <v>4.8099999999999996</v>
      </c>
      <c r="I989">
        <v>4.57</v>
      </c>
      <c r="J989">
        <v>4.41</v>
      </c>
      <c r="K989">
        <v>4.4000000000000004</v>
      </c>
      <c r="L989">
        <v>4.3899999999999997</v>
      </c>
      <c r="M989">
        <v>4.62</v>
      </c>
      <c r="N989">
        <v>4.53</v>
      </c>
      <c r="O989">
        <v>5.35215</v>
      </c>
      <c r="P989">
        <v>3994.77</v>
      </c>
      <c r="Q989">
        <v>923.24</v>
      </c>
      <c r="R989">
        <v>3.77</v>
      </c>
      <c r="S989">
        <v>18.4879</v>
      </c>
      <c r="T989">
        <v>0.92899999756359997</v>
      </c>
      <c r="U989">
        <v>0.78577001331909102</v>
      </c>
      <c r="V989">
        <v>157.03999328613199</v>
      </c>
      <c r="W989">
        <v>1.5131000926679501</v>
      </c>
      <c r="X989">
        <v>0.89657998085021895</v>
      </c>
    </row>
    <row r="990" spans="1:24" x14ac:dyDescent="0.25">
      <c r="A990" s="4">
        <v>45453</v>
      </c>
      <c r="B990">
        <v>5.47</v>
      </c>
      <c r="C990">
        <v>5.48</v>
      </c>
      <c r="D990">
        <v>5.52</v>
      </c>
      <c r="E990">
        <v>5.46</v>
      </c>
      <c r="F990">
        <v>5.4</v>
      </c>
      <c r="G990">
        <v>5.16</v>
      </c>
      <c r="H990">
        <v>4.87</v>
      </c>
      <c r="I990">
        <v>4.62</v>
      </c>
      <c r="J990">
        <v>4.4800000000000004</v>
      </c>
      <c r="K990">
        <v>4.47</v>
      </c>
      <c r="L990">
        <v>4.47</v>
      </c>
      <c r="M990">
        <v>4.68</v>
      </c>
      <c r="N990">
        <v>4.59</v>
      </c>
      <c r="O990">
        <v>5.3662999999999998</v>
      </c>
      <c r="P990">
        <v>3932.3</v>
      </c>
      <c r="Q990">
        <v>916.84</v>
      </c>
      <c r="R990">
        <v>3.7789999999999999</v>
      </c>
      <c r="S990">
        <v>18.292999999999999</v>
      </c>
      <c r="T990">
        <v>0.92773995789861097</v>
      </c>
      <c r="U990">
        <v>0.78558001392552201</v>
      </c>
      <c r="V990">
        <v>156.83299255371</v>
      </c>
      <c r="W990">
        <v>1.5191300441698301</v>
      </c>
      <c r="X990">
        <v>0.89609998464584295</v>
      </c>
    </row>
    <row r="991" spans="1:24" x14ac:dyDescent="0.25">
      <c r="A991" s="4">
        <v>45450</v>
      </c>
      <c r="B991">
        <v>5.47</v>
      </c>
      <c r="C991">
        <v>5.47</v>
      </c>
      <c r="D991">
        <v>5.52</v>
      </c>
      <c r="E991">
        <v>5.47</v>
      </c>
      <c r="F991">
        <v>5.4</v>
      </c>
      <c r="G991">
        <v>5.17</v>
      </c>
      <c r="H991">
        <v>4.87</v>
      </c>
      <c r="I991">
        <v>4.6500000000000004</v>
      </c>
      <c r="J991">
        <v>4.46</v>
      </c>
      <c r="K991">
        <v>4.45</v>
      </c>
      <c r="L991">
        <v>4.43</v>
      </c>
      <c r="M991">
        <v>4.6399999999999997</v>
      </c>
      <c r="N991">
        <v>4.55</v>
      </c>
      <c r="O991">
        <v>5.2798999999999996</v>
      </c>
      <c r="P991">
        <v>3932.3</v>
      </c>
      <c r="Q991">
        <v>910.45</v>
      </c>
      <c r="R991">
        <v>3.7549999999999999</v>
      </c>
      <c r="S991">
        <v>18.3628</v>
      </c>
      <c r="T991">
        <v>0.91790007388188</v>
      </c>
      <c r="U991">
        <v>0.78166001446543898</v>
      </c>
      <c r="V991">
        <v>155.697006225585</v>
      </c>
      <c r="W991">
        <v>1.4993400200576701</v>
      </c>
      <c r="X991">
        <v>0.88972002267837502</v>
      </c>
    </row>
    <row r="992" spans="1:24" x14ac:dyDescent="0.25">
      <c r="A992" s="4">
        <v>45449</v>
      </c>
      <c r="B992">
        <v>5.48</v>
      </c>
      <c r="C992">
        <v>5.47</v>
      </c>
      <c r="D992">
        <v>5.51</v>
      </c>
      <c r="E992">
        <v>5.45</v>
      </c>
      <c r="F992">
        <v>5.36</v>
      </c>
      <c r="G992">
        <v>5.08</v>
      </c>
      <c r="H992">
        <v>4.72</v>
      </c>
      <c r="I992">
        <v>4.49</v>
      </c>
      <c r="J992">
        <v>4.29</v>
      </c>
      <c r="K992">
        <v>4.28</v>
      </c>
      <c r="L992">
        <v>4.28</v>
      </c>
      <c r="M992">
        <v>4.51</v>
      </c>
      <c r="N992">
        <v>4.43</v>
      </c>
      <c r="O992">
        <v>5.2678000000000003</v>
      </c>
      <c r="P992">
        <v>3934.99</v>
      </c>
      <c r="Q992">
        <v>906.25</v>
      </c>
      <c r="R992">
        <v>3.7549999999999999</v>
      </c>
      <c r="S992">
        <v>17.888100000000001</v>
      </c>
      <c r="T992">
        <v>0.91957996614200199</v>
      </c>
      <c r="U992">
        <v>0.78156999957700601</v>
      </c>
      <c r="V992">
        <v>155.92900085449199</v>
      </c>
      <c r="W992">
        <v>1.50199992515612</v>
      </c>
      <c r="X992">
        <v>0.89249998331069902</v>
      </c>
    </row>
    <row r="993" spans="1:24" x14ac:dyDescent="0.25">
      <c r="A993" s="4">
        <v>45448</v>
      </c>
      <c r="B993">
        <v>5.48</v>
      </c>
      <c r="C993">
        <v>5.48</v>
      </c>
      <c r="D993">
        <v>5.51</v>
      </c>
      <c r="E993">
        <v>5.46</v>
      </c>
      <c r="F993">
        <v>5.37</v>
      </c>
      <c r="G993">
        <v>5.08</v>
      </c>
      <c r="H993">
        <v>4.72</v>
      </c>
      <c r="I993">
        <v>4.5</v>
      </c>
      <c r="J993">
        <v>4.3099999999999996</v>
      </c>
      <c r="K993">
        <v>4.29</v>
      </c>
      <c r="L993">
        <v>4.29</v>
      </c>
      <c r="M993">
        <v>4.5199999999999996</v>
      </c>
      <c r="N993">
        <v>4.4400000000000004</v>
      </c>
      <c r="O993">
        <v>5.2838000000000003</v>
      </c>
      <c r="P993">
        <v>3938.38</v>
      </c>
      <c r="Q993">
        <v>905.37</v>
      </c>
      <c r="R993">
        <v>3.7480000000000002</v>
      </c>
      <c r="S993">
        <v>17.532900000000001</v>
      </c>
      <c r="T993">
        <v>0.91896002035850599</v>
      </c>
      <c r="U993">
        <v>0.78289997124535005</v>
      </c>
      <c r="V993">
        <v>155.12399291992099</v>
      </c>
      <c r="W993">
        <v>1.5046189512105901</v>
      </c>
      <c r="X993">
        <v>0.88994997739791804</v>
      </c>
    </row>
    <row r="994" spans="1:24" x14ac:dyDescent="0.25">
      <c r="A994" s="4">
        <v>45447</v>
      </c>
      <c r="B994">
        <v>5.48</v>
      </c>
      <c r="C994">
        <v>5.48</v>
      </c>
      <c r="D994">
        <v>5.52</v>
      </c>
      <c r="E994">
        <v>5.45</v>
      </c>
      <c r="F994">
        <v>5.38</v>
      </c>
      <c r="G994">
        <v>5.1100000000000003</v>
      </c>
      <c r="H994">
        <v>4.7699999999999996</v>
      </c>
      <c r="I994">
        <v>4.55</v>
      </c>
      <c r="J994">
        <v>4.3499999999999996</v>
      </c>
      <c r="K994">
        <v>4.33</v>
      </c>
      <c r="L994">
        <v>4.33</v>
      </c>
      <c r="M994">
        <v>4.5599999999999996</v>
      </c>
      <c r="N994">
        <v>4.4800000000000004</v>
      </c>
      <c r="O994">
        <v>5.2683999999999997</v>
      </c>
      <c r="P994">
        <v>3936.7</v>
      </c>
      <c r="Q994">
        <v>907.94</v>
      </c>
      <c r="R994">
        <v>3.7440000000000002</v>
      </c>
      <c r="S994">
        <v>17.8828</v>
      </c>
      <c r="T994">
        <v>0.91681000347768005</v>
      </c>
      <c r="U994">
        <v>0.78063001619401395</v>
      </c>
      <c r="V994">
        <v>156.07600402832</v>
      </c>
      <c r="W994">
        <v>1.49474999988863</v>
      </c>
      <c r="X994">
        <v>0.89502000808715798</v>
      </c>
    </row>
    <row r="995" spans="1:24" x14ac:dyDescent="0.25">
      <c r="A995" s="4">
        <v>45446</v>
      </c>
      <c r="B995">
        <v>5.49</v>
      </c>
      <c r="C995">
        <v>5.49</v>
      </c>
      <c r="D995">
        <v>5.52</v>
      </c>
      <c r="E995">
        <v>5.46</v>
      </c>
      <c r="F995">
        <v>5.39</v>
      </c>
      <c r="G995">
        <v>5.14</v>
      </c>
      <c r="H995">
        <v>4.82</v>
      </c>
      <c r="I995">
        <v>4.62</v>
      </c>
      <c r="J995">
        <v>4.42</v>
      </c>
      <c r="K995">
        <v>4.41</v>
      </c>
      <c r="L995">
        <v>4.41</v>
      </c>
      <c r="M995">
        <v>4.63</v>
      </c>
      <c r="N995">
        <v>4.55</v>
      </c>
      <c r="O995">
        <v>5.2370000000000001</v>
      </c>
      <c r="P995">
        <v>3865.4</v>
      </c>
      <c r="Q995">
        <v>916.77</v>
      </c>
      <c r="R995">
        <v>3.7269999999999999</v>
      </c>
      <c r="S995">
        <v>17.714099999999998</v>
      </c>
      <c r="T995">
        <v>0.92139999591397204</v>
      </c>
      <c r="U995">
        <v>0.78469994652116704</v>
      </c>
      <c r="V995">
        <v>157.17999267578099</v>
      </c>
      <c r="W995">
        <v>1.50220004065029</v>
      </c>
      <c r="X995">
        <v>0.901319980621337</v>
      </c>
    </row>
    <row r="996" spans="1:24" x14ac:dyDescent="0.25">
      <c r="A996" s="4">
        <v>45443</v>
      </c>
      <c r="B996">
        <v>5.48</v>
      </c>
      <c r="C996">
        <v>5.48</v>
      </c>
      <c r="D996">
        <v>5.46</v>
      </c>
      <c r="E996">
        <v>5.46</v>
      </c>
      <c r="F996">
        <v>5.42</v>
      </c>
      <c r="G996">
        <v>5.18</v>
      </c>
      <c r="H996">
        <v>4.8899999999999997</v>
      </c>
      <c r="I996">
        <v>4.6900000000000004</v>
      </c>
      <c r="J996">
        <v>4.5199999999999996</v>
      </c>
      <c r="K996">
        <v>4.5199999999999996</v>
      </c>
      <c r="L996">
        <v>4.51</v>
      </c>
      <c r="M996">
        <v>4.7300000000000004</v>
      </c>
      <c r="N996">
        <v>4.6500000000000004</v>
      </c>
      <c r="O996">
        <v>5.2412999999999998</v>
      </c>
      <c r="P996">
        <v>3865.4</v>
      </c>
      <c r="Q996">
        <v>917.98</v>
      </c>
      <c r="R996">
        <v>3.7229999999999999</v>
      </c>
      <c r="S996">
        <v>16.9682</v>
      </c>
      <c r="T996">
        <v>0.92289997987766104</v>
      </c>
      <c r="U996">
        <v>0.78551998674788603</v>
      </c>
      <c r="V996">
        <v>156.95300292968699</v>
      </c>
      <c r="W996">
        <v>1.50822704471493</v>
      </c>
      <c r="X996">
        <v>0.90331000089645297</v>
      </c>
    </row>
    <row r="997" spans="1:24" x14ac:dyDescent="0.25">
      <c r="A997" s="4">
        <v>45442</v>
      </c>
      <c r="B997">
        <v>5.48</v>
      </c>
      <c r="C997">
        <v>5.48</v>
      </c>
      <c r="D997">
        <v>5.46</v>
      </c>
      <c r="E997">
        <v>5.48</v>
      </c>
      <c r="F997">
        <v>5.42</v>
      </c>
      <c r="G997">
        <v>5.19</v>
      </c>
      <c r="H997">
        <v>4.92</v>
      </c>
      <c r="I997">
        <v>4.74</v>
      </c>
      <c r="J997">
        <v>4.57</v>
      </c>
      <c r="K997">
        <v>4.57</v>
      </c>
      <c r="L997">
        <v>4.55</v>
      </c>
      <c r="M997">
        <v>4.76</v>
      </c>
      <c r="N997">
        <v>4.6900000000000004</v>
      </c>
      <c r="O997">
        <v>5.1969000000000003</v>
      </c>
      <c r="P997">
        <v>3865.88</v>
      </c>
      <c r="Q997">
        <v>907.67</v>
      </c>
      <c r="R997">
        <v>3.7469999999999999</v>
      </c>
      <c r="S997">
        <v>17.001200000000001</v>
      </c>
      <c r="T997">
        <v>0.92576995401172602</v>
      </c>
      <c r="U997">
        <v>0.78752599666029799</v>
      </c>
      <c r="V997">
        <v>157.60800170898401</v>
      </c>
      <c r="W997">
        <v>1.5120129899683099</v>
      </c>
      <c r="X997">
        <v>0.91280001401901201</v>
      </c>
    </row>
    <row r="998" spans="1:24" x14ac:dyDescent="0.25">
      <c r="A998" s="4">
        <v>45441</v>
      </c>
      <c r="B998">
        <v>5.5</v>
      </c>
      <c r="C998">
        <v>5.48</v>
      </c>
      <c r="D998">
        <v>5.46</v>
      </c>
      <c r="E998">
        <v>5.47</v>
      </c>
      <c r="F998">
        <v>5.43</v>
      </c>
      <c r="G998">
        <v>5.22</v>
      </c>
      <c r="H998">
        <v>4.96</v>
      </c>
      <c r="I998">
        <v>4.79</v>
      </c>
      <c r="J998">
        <v>4.63</v>
      </c>
      <c r="K998">
        <v>4.63</v>
      </c>
      <c r="L998">
        <v>4.6100000000000003</v>
      </c>
      <c r="M998">
        <v>4.82</v>
      </c>
      <c r="N998">
        <v>4.74</v>
      </c>
      <c r="O998">
        <v>5.1969000000000003</v>
      </c>
      <c r="P998">
        <v>3877</v>
      </c>
      <c r="Q998">
        <v>898.13</v>
      </c>
      <c r="R998">
        <v>3.7570000000000001</v>
      </c>
      <c r="S998">
        <v>16.9557</v>
      </c>
      <c r="T998">
        <v>0.92149999835222896</v>
      </c>
      <c r="U998">
        <v>0.78380002401311399</v>
      </c>
      <c r="V998">
        <v>157.26199340820301</v>
      </c>
      <c r="W998">
        <v>1.50421195442647</v>
      </c>
      <c r="X998">
        <v>0.91228997707366899</v>
      </c>
    </row>
    <row r="999" spans="1:24" x14ac:dyDescent="0.25">
      <c r="A999" s="4">
        <v>45440</v>
      </c>
      <c r="B999">
        <v>5.5</v>
      </c>
      <c r="C999">
        <v>5.48</v>
      </c>
      <c r="D999">
        <v>5.46</v>
      </c>
      <c r="E999">
        <v>5.51</v>
      </c>
      <c r="F999">
        <v>5.43</v>
      </c>
      <c r="G999">
        <v>5.21</v>
      </c>
      <c r="H999">
        <v>4.9400000000000004</v>
      </c>
      <c r="I999">
        <v>4.75</v>
      </c>
      <c r="J999">
        <v>4.5599999999999996</v>
      </c>
      <c r="K999">
        <v>4.5599999999999996</v>
      </c>
      <c r="L999">
        <v>4.54</v>
      </c>
      <c r="M999">
        <v>4.74</v>
      </c>
      <c r="N999">
        <v>4.66</v>
      </c>
      <c r="O999">
        <v>5.1535000000000002</v>
      </c>
      <c r="P999">
        <v>3842.3</v>
      </c>
      <c r="Q999">
        <v>900.28</v>
      </c>
      <c r="R999">
        <v>3.7480000000000002</v>
      </c>
      <c r="S999">
        <v>16.8049</v>
      </c>
      <c r="T999">
        <v>0.92064996161492696</v>
      </c>
      <c r="U999">
        <v>0.78293994106162601</v>
      </c>
      <c r="V999">
        <v>156.84500122070301</v>
      </c>
      <c r="W999">
        <v>1.5024900875618801</v>
      </c>
      <c r="X999">
        <v>0.91320002079009999</v>
      </c>
    </row>
    <row r="1000" spans="1:24" x14ac:dyDescent="0.25">
      <c r="A1000" s="4">
        <v>45436</v>
      </c>
      <c r="B1000">
        <v>5.56</v>
      </c>
      <c r="C1000">
        <v>5.53</v>
      </c>
      <c r="D1000">
        <v>5.46</v>
      </c>
      <c r="E1000">
        <v>5.51</v>
      </c>
      <c r="F1000">
        <v>5.44</v>
      </c>
      <c r="G1000">
        <v>5.21</v>
      </c>
      <c r="H1000">
        <v>4.93</v>
      </c>
      <c r="I1000">
        <v>4.71</v>
      </c>
      <c r="J1000">
        <v>4.53</v>
      </c>
      <c r="K1000">
        <v>4.49</v>
      </c>
      <c r="L1000">
        <v>4.46</v>
      </c>
      <c r="M1000">
        <v>4.6500000000000004</v>
      </c>
      <c r="N1000">
        <v>4.57</v>
      </c>
      <c r="O1000">
        <v>5.1505000000000001</v>
      </c>
      <c r="P1000">
        <v>3875</v>
      </c>
      <c r="Q1000">
        <v>908.95</v>
      </c>
      <c r="R1000">
        <v>3.7410000000000001</v>
      </c>
      <c r="S1000">
        <v>16.694199999999999</v>
      </c>
      <c r="T1000">
        <v>0.924839931490953</v>
      </c>
      <c r="U1000">
        <v>0.78776997807213101</v>
      </c>
      <c r="V1000">
        <v>156.97300720214801</v>
      </c>
      <c r="W1000">
        <v>1.51480999568505</v>
      </c>
      <c r="X1000">
        <v>0.91433000564575195</v>
      </c>
    </row>
    <row r="1001" spans="1:24" x14ac:dyDescent="0.25">
      <c r="A1001" s="4">
        <v>45435</v>
      </c>
      <c r="B1001">
        <v>5.51</v>
      </c>
      <c r="C1001">
        <v>5.48</v>
      </c>
      <c r="D1001">
        <v>5.46</v>
      </c>
      <c r="E1001">
        <v>5.51</v>
      </c>
      <c r="F1001">
        <v>5.44</v>
      </c>
      <c r="G1001">
        <v>5.2</v>
      </c>
      <c r="H1001">
        <v>4.91</v>
      </c>
      <c r="I1001">
        <v>4.71</v>
      </c>
      <c r="J1001">
        <v>4.5199999999999996</v>
      </c>
      <c r="K1001">
        <v>4.5</v>
      </c>
      <c r="L1001">
        <v>4.47</v>
      </c>
      <c r="M1001">
        <v>4.67</v>
      </c>
      <c r="N1001">
        <v>4.58</v>
      </c>
      <c r="O1001">
        <v>5.1440000000000001</v>
      </c>
      <c r="P1001">
        <v>3868</v>
      </c>
      <c r="Q1001">
        <v>904.67</v>
      </c>
      <c r="R1001">
        <v>3.7349999999999999</v>
      </c>
      <c r="S1001">
        <v>16.733000000000001</v>
      </c>
      <c r="T1001">
        <v>0.92377004770483695</v>
      </c>
      <c r="U1001">
        <v>0.78609997102473805</v>
      </c>
      <c r="V1001">
        <v>156.70399475097599</v>
      </c>
      <c r="W1001">
        <v>1.5107599627199899</v>
      </c>
      <c r="X1001">
        <v>0.91500002145767201</v>
      </c>
    </row>
    <row r="1002" spans="1:24" x14ac:dyDescent="0.25">
      <c r="A1002" s="4">
        <v>45434</v>
      </c>
      <c r="B1002">
        <v>5.49</v>
      </c>
      <c r="C1002">
        <v>5.48</v>
      </c>
      <c r="D1002">
        <v>5.45</v>
      </c>
      <c r="E1002">
        <v>5.5</v>
      </c>
      <c r="F1002">
        <v>5.43</v>
      </c>
      <c r="G1002">
        <v>5.16</v>
      </c>
      <c r="H1002">
        <v>4.8600000000000003</v>
      </c>
      <c r="I1002">
        <v>4.6399999999999997</v>
      </c>
      <c r="J1002">
        <v>4.47</v>
      </c>
      <c r="K1002">
        <v>4.4400000000000004</v>
      </c>
      <c r="L1002">
        <v>4.43</v>
      </c>
      <c r="M1002">
        <v>4.63</v>
      </c>
      <c r="N1002">
        <v>4.55</v>
      </c>
      <c r="O1002">
        <v>5.1498999999999997</v>
      </c>
      <c r="P1002">
        <v>3826.5</v>
      </c>
      <c r="Q1002">
        <v>886.79</v>
      </c>
      <c r="R1002">
        <v>3.7349999999999999</v>
      </c>
      <c r="S1002">
        <v>16.673999999999999</v>
      </c>
      <c r="T1002">
        <v>0.92121998551061501</v>
      </c>
      <c r="U1002">
        <v>0.78669999426992299</v>
      </c>
      <c r="V1002">
        <v>156.25100708007801</v>
      </c>
      <c r="W1002">
        <v>1.4999029997137301</v>
      </c>
      <c r="X1002">
        <v>0.91115999221801702</v>
      </c>
    </row>
    <row r="1003" spans="1:24" x14ac:dyDescent="0.25">
      <c r="A1003" s="4">
        <v>45433</v>
      </c>
      <c r="B1003">
        <v>5.5</v>
      </c>
      <c r="C1003">
        <v>5.47</v>
      </c>
      <c r="D1003">
        <v>5.45</v>
      </c>
      <c r="E1003">
        <v>5.51</v>
      </c>
      <c r="F1003">
        <v>5.42</v>
      </c>
      <c r="G1003">
        <v>5.14</v>
      </c>
      <c r="H1003">
        <v>4.82</v>
      </c>
      <c r="I1003">
        <v>4.6100000000000003</v>
      </c>
      <c r="J1003">
        <v>4.43</v>
      </c>
      <c r="K1003">
        <v>4.42</v>
      </c>
      <c r="L1003">
        <v>4.41</v>
      </c>
      <c r="M1003">
        <v>4.6500000000000004</v>
      </c>
      <c r="N1003">
        <v>4.55</v>
      </c>
      <c r="O1003">
        <v>5.1033999999999997</v>
      </c>
      <c r="P1003">
        <v>3815</v>
      </c>
      <c r="Q1003">
        <v>897.11</v>
      </c>
      <c r="R1003">
        <v>3.7309999999999999</v>
      </c>
      <c r="S1003">
        <v>16.636600000000001</v>
      </c>
      <c r="T1003">
        <v>0.92073999827016995</v>
      </c>
      <c r="U1003">
        <v>0.78673002316689999</v>
      </c>
      <c r="V1003">
        <v>156.36999511718699</v>
      </c>
      <c r="W1003">
        <v>1.4987800068162</v>
      </c>
      <c r="X1003">
        <v>0.91012001037597601</v>
      </c>
    </row>
    <row r="1004" spans="1:24" x14ac:dyDescent="0.25">
      <c r="A1004" s="4">
        <v>45432</v>
      </c>
      <c r="B1004">
        <v>5.5</v>
      </c>
      <c r="C1004">
        <v>5.47</v>
      </c>
      <c r="D1004">
        <v>5.45</v>
      </c>
      <c r="E1004">
        <v>5.51</v>
      </c>
      <c r="F1004">
        <v>5.43</v>
      </c>
      <c r="G1004">
        <v>5.15</v>
      </c>
      <c r="H1004">
        <v>4.82</v>
      </c>
      <c r="I1004">
        <v>4.62</v>
      </c>
      <c r="J1004">
        <v>4.46</v>
      </c>
      <c r="K1004">
        <v>4.4400000000000004</v>
      </c>
      <c r="L1004">
        <v>4.4400000000000004</v>
      </c>
      <c r="M1004">
        <v>4.68</v>
      </c>
      <c r="N1004">
        <v>4.58</v>
      </c>
      <c r="O1004">
        <v>5.1082000000000001</v>
      </c>
      <c r="P1004">
        <v>3832</v>
      </c>
      <c r="Q1004">
        <v>897.11</v>
      </c>
      <c r="R1004">
        <v>3.7330000000000001</v>
      </c>
      <c r="S1004">
        <v>16.5517</v>
      </c>
      <c r="T1004">
        <v>0.91950003343194797</v>
      </c>
      <c r="U1004">
        <v>0.78700001726245905</v>
      </c>
      <c r="V1004">
        <v>155.75399780273401</v>
      </c>
      <c r="W1004">
        <v>1.49238008208385</v>
      </c>
      <c r="X1004">
        <v>0.90869998931884699</v>
      </c>
    </row>
    <row r="1005" spans="1:24" x14ac:dyDescent="0.25">
      <c r="A1005" s="4">
        <v>45429</v>
      </c>
      <c r="B1005">
        <v>5.5</v>
      </c>
      <c r="C1005">
        <v>5.47</v>
      </c>
      <c r="D1005">
        <v>5.46</v>
      </c>
      <c r="E1005">
        <v>5.5</v>
      </c>
      <c r="F1005">
        <v>5.41</v>
      </c>
      <c r="G1005">
        <v>5.14</v>
      </c>
      <c r="H1005">
        <v>4.83</v>
      </c>
      <c r="I1005">
        <v>4.5999999999999996</v>
      </c>
      <c r="J1005">
        <v>4.4400000000000004</v>
      </c>
      <c r="K1005">
        <v>4.43</v>
      </c>
      <c r="L1005">
        <v>4.42</v>
      </c>
      <c r="M1005">
        <v>4.66</v>
      </c>
      <c r="N1005">
        <v>4.5599999999999996</v>
      </c>
      <c r="O1005">
        <v>5.1154000000000002</v>
      </c>
      <c r="P1005">
        <v>3827</v>
      </c>
      <c r="Q1005">
        <v>901.53</v>
      </c>
      <c r="R1005">
        <v>3.738</v>
      </c>
      <c r="S1005">
        <v>16.604399999999998</v>
      </c>
      <c r="T1005">
        <v>0.92014997752443195</v>
      </c>
      <c r="U1005">
        <v>0.78914097299636399</v>
      </c>
      <c r="V1005">
        <v>155.37899780273401</v>
      </c>
      <c r="W1005">
        <v>1.4963000117369301</v>
      </c>
      <c r="X1005">
        <v>0.90599000453948897</v>
      </c>
    </row>
    <row r="1006" spans="1:24" x14ac:dyDescent="0.25">
      <c r="A1006" s="4">
        <v>45428</v>
      </c>
      <c r="B1006">
        <v>5.51</v>
      </c>
      <c r="C1006">
        <v>5.47</v>
      </c>
      <c r="D1006">
        <v>5.45</v>
      </c>
      <c r="E1006">
        <v>5.53</v>
      </c>
      <c r="F1006">
        <v>5.41</v>
      </c>
      <c r="G1006">
        <v>5.13</v>
      </c>
      <c r="H1006">
        <v>4.78</v>
      </c>
      <c r="I1006">
        <v>4.58</v>
      </c>
      <c r="J1006">
        <v>4.4000000000000004</v>
      </c>
      <c r="K1006">
        <v>4.3899999999999997</v>
      </c>
      <c r="L1006">
        <v>4.38</v>
      </c>
      <c r="M1006">
        <v>4.62</v>
      </c>
      <c r="N1006">
        <v>4.5199999999999996</v>
      </c>
      <c r="O1006">
        <v>5.1266999999999996</v>
      </c>
      <c r="P1006">
        <v>3829.5</v>
      </c>
      <c r="Q1006">
        <v>909.06</v>
      </c>
      <c r="R1006">
        <v>3.7309999999999999</v>
      </c>
      <c r="S1006">
        <v>16.681799999999999</v>
      </c>
      <c r="T1006">
        <v>0.91829004192760799</v>
      </c>
      <c r="U1006">
        <v>0.78802003274536403</v>
      </c>
      <c r="V1006">
        <v>154.28199768066401</v>
      </c>
      <c r="W1006">
        <v>1.4923000373047901</v>
      </c>
      <c r="X1006">
        <v>0.90052998065948398</v>
      </c>
    </row>
    <row r="1007" spans="1:24" x14ac:dyDescent="0.25">
      <c r="A1007" s="4">
        <v>45427</v>
      </c>
      <c r="B1007">
        <v>5.49</v>
      </c>
      <c r="C1007">
        <v>5.46</v>
      </c>
      <c r="D1007">
        <v>5.45</v>
      </c>
      <c r="E1007">
        <v>5.5</v>
      </c>
      <c r="F1007">
        <v>5.4</v>
      </c>
      <c r="G1007">
        <v>5.0999999999999996</v>
      </c>
      <c r="H1007">
        <v>4.7300000000000004</v>
      </c>
      <c r="I1007">
        <v>4.51</v>
      </c>
      <c r="J1007">
        <v>4.3499999999999996</v>
      </c>
      <c r="K1007">
        <v>4.3499999999999996</v>
      </c>
      <c r="L1007">
        <v>4.3600000000000003</v>
      </c>
      <c r="M1007">
        <v>4.6100000000000003</v>
      </c>
      <c r="N1007">
        <v>4.5199999999999996</v>
      </c>
      <c r="O1007">
        <v>5.1420000000000003</v>
      </c>
      <c r="P1007">
        <v>3824.9</v>
      </c>
      <c r="Q1007">
        <v>916.87</v>
      </c>
      <c r="R1007">
        <v>3.7170000000000001</v>
      </c>
      <c r="S1007">
        <v>16.686399999999999</v>
      </c>
      <c r="T1007">
        <v>0.92467997897684895</v>
      </c>
      <c r="U1007">
        <v>0.79457997064775898</v>
      </c>
      <c r="V1007">
        <v>156.49800109863199</v>
      </c>
      <c r="W1007">
        <v>1.50919995620974</v>
      </c>
      <c r="X1007">
        <v>0.90670001506805398</v>
      </c>
    </row>
    <row r="1008" spans="1:24" x14ac:dyDescent="0.25">
      <c r="A1008" s="4">
        <v>45426</v>
      </c>
      <c r="B1008">
        <v>5.5</v>
      </c>
      <c r="C1008">
        <v>5.47</v>
      </c>
      <c r="D1008">
        <v>5.44</v>
      </c>
      <c r="E1008">
        <v>5.51</v>
      </c>
      <c r="F1008">
        <v>5.43</v>
      </c>
      <c r="G1008">
        <v>5.16</v>
      </c>
      <c r="H1008">
        <v>4.8099999999999996</v>
      </c>
      <c r="I1008">
        <v>4.62</v>
      </c>
      <c r="J1008">
        <v>4.46</v>
      </c>
      <c r="K1008">
        <v>4.45</v>
      </c>
      <c r="L1008">
        <v>4.45</v>
      </c>
      <c r="M1008">
        <v>4.6900000000000004</v>
      </c>
      <c r="N1008">
        <v>4.59</v>
      </c>
      <c r="O1008">
        <v>5.1353</v>
      </c>
      <c r="P1008">
        <v>3846.25</v>
      </c>
      <c r="Q1008">
        <v>922.1</v>
      </c>
      <c r="R1008">
        <v>3.7170000000000001</v>
      </c>
      <c r="S1008">
        <v>16.843599999999999</v>
      </c>
      <c r="T1008">
        <v>0.92647995494726798</v>
      </c>
      <c r="U1008">
        <v>0.79605999739220901</v>
      </c>
      <c r="V1008">
        <v>156.23300170898401</v>
      </c>
      <c r="W1008">
        <v>1.5121999716077399</v>
      </c>
      <c r="X1008">
        <v>0.90789997577667203</v>
      </c>
    </row>
    <row r="1009" spans="1:24" x14ac:dyDescent="0.25">
      <c r="A1009" s="4">
        <v>45425</v>
      </c>
      <c r="B1009">
        <v>5.5</v>
      </c>
      <c r="C1009">
        <v>5.47</v>
      </c>
      <c r="D1009">
        <v>5.45</v>
      </c>
      <c r="E1009">
        <v>5.51</v>
      </c>
      <c r="F1009">
        <v>5.43</v>
      </c>
      <c r="G1009">
        <v>5.16</v>
      </c>
      <c r="H1009">
        <v>4.8499999999999996</v>
      </c>
      <c r="I1009">
        <v>4.66</v>
      </c>
      <c r="J1009">
        <v>4.5</v>
      </c>
      <c r="K1009">
        <v>4.49</v>
      </c>
      <c r="L1009">
        <v>4.4800000000000004</v>
      </c>
      <c r="M1009">
        <v>4.72</v>
      </c>
      <c r="N1009">
        <v>4.63</v>
      </c>
      <c r="O1009">
        <v>5.1409000000000002</v>
      </c>
      <c r="P1009">
        <v>3890</v>
      </c>
      <c r="Q1009">
        <v>922</v>
      </c>
      <c r="R1009">
        <v>3.7240000000000002</v>
      </c>
      <c r="S1009">
        <v>16.8123</v>
      </c>
      <c r="T1009">
        <v>0.92847004362651697</v>
      </c>
      <c r="U1009">
        <v>0.79853996199118604</v>
      </c>
      <c r="V1009">
        <v>155.81799316406199</v>
      </c>
      <c r="W1009">
        <v>1.51491996816153</v>
      </c>
      <c r="X1009">
        <v>0.90644997358322099</v>
      </c>
    </row>
    <row r="1010" spans="1:24" x14ac:dyDescent="0.25">
      <c r="A1010" s="4">
        <v>45422</v>
      </c>
      <c r="B1010">
        <v>5.51</v>
      </c>
      <c r="C1010">
        <v>5.47</v>
      </c>
      <c r="D1010">
        <v>5.47</v>
      </c>
      <c r="E1010">
        <v>5.51</v>
      </c>
      <c r="F1010">
        <v>5.43</v>
      </c>
      <c r="G1010">
        <v>5.17</v>
      </c>
      <c r="H1010">
        <v>4.87</v>
      </c>
      <c r="I1010">
        <v>4.6500000000000004</v>
      </c>
      <c r="J1010">
        <v>4.5199999999999996</v>
      </c>
      <c r="K1010">
        <v>4.51</v>
      </c>
      <c r="L1010">
        <v>4.5</v>
      </c>
      <c r="M1010">
        <v>4.74</v>
      </c>
      <c r="N1010">
        <v>4.6399999999999997</v>
      </c>
      <c r="O1010">
        <v>5.1460999999999997</v>
      </c>
      <c r="P1010">
        <v>3890</v>
      </c>
      <c r="Q1010">
        <v>930.99</v>
      </c>
      <c r="R1010">
        <v>3.7149999999999999</v>
      </c>
      <c r="S1010">
        <v>16.784500000000001</v>
      </c>
      <c r="T1010">
        <v>0.92720006428474799</v>
      </c>
      <c r="U1010">
        <v>0.79835999733518603</v>
      </c>
      <c r="V1010">
        <v>155.38900756835901</v>
      </c>
      <c r="W1010">
        <v>1.5103461021968101</v>
      </c>
      <c r="X1010">
        <v>0.90584999322891202</v>
      </c>
    </row>
    <row r="1011" spans="1:24" x14ac:dyDescent="0.25">
      <c r="A1011" s="4">
        <v>45421</v>
      </c>
      <c r="B1011">
        <v>5.51</v>
      </c>
      <c r="C1011">
        <v>5.48</v>
      </c>
      <c r="D1011">
        <v>5.46</v>
      </c>
      <c r="E1011">
        <v>5.5</v>
      </c>
      <c r="F1011">
        <v>5.41</v>
      </c>
      <c r="G1011">
        <v>5.12</v>
      </c>
      <c r="H1011">
        <v>4.8</v>
      </c>
      <c r="I1011">
        <v>4.5999999999999996</v>
      </c>
      <c r="J1011">
        <v>4.47</v>
      </c>
      <c r="K1011">
        <v>4.46</v>
      </c>
      <c r="L1011">
        <v>4.45</v>
      </c>
      <c r="M1011">
        <v>4.7</v>
      </c>
      <c r="N1011">
        <v>4.5999999999999996</v>
      </c>
      <c r="O1011">
        <v>5.1574</v>
      </c>
      <c r="P1011">
        <v>3900</v>
      </c>
      <c r="Q1011">
        <v>936.76</v>
      </c>
      <c r="R1011">
        <v>3.69</v>
      </c>
      <c r="S1011">
        <v>16.7926</v>
      </c>
      <c r="T1011">
        <v>0.93049997326725797</v>
      </c>
      <c r="U1011">
        <v>0.80042999478918497</v>
      </c>
      <c r="V1011">
        <v>155.41900634765599</v>
      </c>
      <c r="W1011">
        <v>1.5204960721099301</v>
      </c>
      <c r="X1011">
        <v>0.90798997879028298</v>
      </c>
    </row>
    <row r="1012" spans="1:24" x14ac:dyDescent="0.25">
      <c r="A1012" s="4">
        <v>45420</v>
      </c>
      <c r="B1012">
        <v>5.51</v>
      </c>
      <c r="C1012">
        <v>5.47</v>
      </c>
      <c r="D1012">
        <v>5.45</v>
      </c>
      <c r="E1012">
        <v>5.5</v>
      </c>
      <c r="F1012">
        <v>5.41</v>
      </c>
      <c r="G1012">
        <v>5.13</v>
      </c>
      <c r="H1012">
        <v>4.84</v>
      </c>
      <c r="I1012">
        <v>4.63</v>
      </c>
      <c r="J1012">
        <v>4.5</v>
      </c>
      <c r="K1012">
        <v>4.49</v>
      </c>
      <c r="L1012">
        <v>4.4800000000000004</v>
      </c>
      <c r="M1012">
        <v>4.7300000000000004</v>
      </c>
      <c r="N1012">
        <v>4.6399999999999997</v>
      </c>
      <c r="O1012">
        <v>5.0884</v>
      </c>
      <c r="P1012">
        <v>3905</v>
      </c>
      <c r="Q1012">
        <v>934.29</v>
      </c>
      <c r="R1012">
        <v>3.722</v>
      </c>
      <c r="S1012">
        <v>16.8963</v>
      </c>
      <c r="T1012">
        <v>0.93019001868007301</v>
      </c>
      <c r="U1012">
        <v>0.79990998327443397</v>
      </c>
      <c r="V1012">
        <v>154.74800109863199</v>
      </c>
      <c r="W1012">
        <v>1.5176349406319001</v>
      </c>
      <c r="X1012">
        <v>0.90847998857498102</v>
      </c>
    </row>
    <row r="1013" spans="1:24" x14ac:dyDescent="0.25">
      <c r="A1013" s="4">
        <v>45419</v>
      </c>
      <c r="B1013">
        <v>5.51</v>
      </c>
      <c r="C1013">
        <v>5.48</v>
      </c>
      <c r="D1013">
        <v>5.45</v>
      </c>
      <c r="E1013">
        <v>5.51</v>
      </c>
      <c r="F1013">
        <v>5.41</v>
      </c>
      <c r="G1013">
        <v>5.13</v>
      </c>
      <c r="H1013">
        <v>4.82</v>
      </c>
      <c r="I1013">
        <v>4.5999999999999996</v>
      </c>
      <c r="J1013">
        <v>4.4800000000000004</v>
      </c>
      <c r="K1013">
        <v>4.47</v>
      </c>
      <c r="L1013">
        <v>4.47</v>
      </c>
      <c r="M1013">
        <v>4.7</v>
      </c>
      <c r="N1013">
        <v>4.6100000000000003</v>
      </c>
      <c r="O1013">
        <v>5.0606999999999998</v>
      </c>
      <c r="P1013">
        <v>3888</v>
      </c>
      <c r="Q1013">
        <v>930.17</v>
      </c>
      <c r="R1013">
        <v>3.7210000000000001</v>
      </c>
      <c r="S1013">
        <v>16.903500000000001</v>
      </c>
      <c r="T1013">
        <v>0.92872003578213602</v>
      </c>
      <c r="U1013">
        <v>0.79619003036939195</v>
      </c>
      <c r="V1013">
        <v>154.23699951171801</v>
      </c>
      <c r="W1013">
        <v>1.5096800225031799</v>
      </c>
      <c r="X1013">
        <v>0.90670001506805398</v>
      </c>
    </row>
    <row r="1014" spans="1:24" x14ac:dyDescent="0.25">
      <c r="A1014" s="4">
        <v>45418</v>
      </c>
      <c r="B1014">
        <v>5.51</v>
      </c>
      <c r="C1014">
        <v>5.48</v>
      </c>
      <c r="D1014">
        <v>5.45</v>
      </c>
      <c r="E1014">
        <v>5.5</v>
      </c>
      <c r="F1014">
        <v>5.42</v>
      </c>
      <c r="G1014">
        <v>5.12</v>
      </c>
      <c r="H1014">
        <v>4.82</v>
      </c>
      <c r="I1014">
        <v>4.6399999999999997</v>
      </c>
      <c r="J1014">
        <v>4.4800000000000004</v>
      </c>
      <c r="K1014">
        <v>4.4800000000000004</v>
      </c>
      <c r="L1014">
        <v>4.49</v>
      </c>
      <c r="M1014">
        <v>4.7300000000000004</v>
      </c>
      <c r="N1014">
        <v>4.6399999999999997</v>
      </c>
      <c r="O1014">
        <v>5.0724</v>
      </c>
      <c r="P1014">
        <v>3897</v>
      </c>
      <c r="Q1014">
        <v>938.29</v>
      </c>
      <c r="R1014">
        <v>3.7250000000000001</v>
      </c>
      <c r="S1014">
        <v>16.8813</v>
      </c>
      <c r="T1014">
        <v>0.92953004182249499</v>
      </c>
      <c r="U1014">
        <v>0.79737997725141296</v>
      </c>
      <c r="V1014">
        <v>153.565994262695</v>
      </c>
      <c r="W1014">
        <v>1.51306993491096</v>
      </c>
      <c r="X1014">
        <v>0.90593999624252297</v>
      </c>
    </row>
    <row r="1015" spans="1:24" x14ac:dyDescent="0.25">
      <c r="A1015" s="4">
        <v>45415</v>
      </c>
      <c r="B1015">
        <v>5.51</v>
      </c>
      <c r="C1015">
        <v>5.48</v>
      </c>
      <c r="D1015">
        <v>5.45</v>
      </c>
      <c r="E1015">
        <v>5.5</v>
      </c>
      <c r="F1015">
        <v>5.41</v>
      </c>
      <c r="G1015">
        <v>5.12</v>
      </c>
      <c r="H1015">
        <v>4.8099999999999996</v>
      </c>
      <c r="I1015">
        <v>4.63</v>
      </c>
      <c r="J1015">
        <v>4.4800000000000004</v>
      </c>
      <c r="K1015">
        <v>4.49</v>
      </c>
      <c r="L1015">
        <v>4.5</v>
      </c>
      <c r="M1015">
        <v>4.75</v>
      </c>
      <c r="N1015">
        <v>4.66</v>
      </c>
      <c r="O1015">
        <v>5.0664999999999996</v>
      </c>
      <c r="P1015">
        <v>3913.1</v>
      </c>
      <c r="Q1015">
        <v>954.36</v>
      </c>
      <c r="R1015">
        <v>3.72</v>
      </c>
      <c r="S1015">
        <v>16.962299999999999</v>
      </c>
      <c r="T1015">
        <v>0.93169994816489599</v>
      </c>
      <c r="U1015">
        <v>0.79740999321471095</v>
      </c>
      <c r="V1015">
        <v>153.044998168945</v>
      </c>
      <c r="W1015">
        <v>1.5217459844364301</v>
      </c>
      <c r="X1015">
        <v>0.90977001190185502</v>
      </c>
    </row>
    <row r="1016" spans="1:24" x14ac:dyDescent="0.25">
      <c r="A1016" s="4">
        <v>45414</v>
      </c>
      <c r="B1016">
        <v>5.51</v>
      </c>
      <c r="C1016">
        <v>5.47</v>
      </c>
      <c r="D1016">
        <v>5.46</v>
      </c>
      <c r="E1016">
        <v>5.5</v>
      </c>
      <c r="F1016">
        <v>5.42</v>
      </c>
      <c r="G1016">
        <v>5.16</v>
      </c>
      <c r="H1016">
        <v>4.87</v>
      </c>
      <c r="I1016">
        <v>4.71</v>
      </c>
      <c r="J1016">
        <v>4.57</v>
      </c>
      <c r="K1016">
        <v>4.57</v>
      </c>
      <c r="L1016">
        <v>4.58</v>
      </c>
      <c r="M1016">
        <v>4.82</v>
      </c>
      <c r="N1016">
        <v>4.72</v>
      </c>
      <c r="O1016">
        <v>5.1181000000000001</v>
      </c>
      <c r="P1016">
        <v>3903.1</v>
      </c>
      <c r="Q1016">
        <v>954.25</v>
      </c>
      <c r="R1016">
        <v>3.7229999999999999</v>
      </c>
      <c r="S1016">
        <v>16.994199999999999</v>
      </c>
      <c r="T1016">
        <v>0.93270002980910205</v>
      </c>
      <c r="U1016">
        <v>0.79748997101655394</v>
      </c>
      <c r="V1016">
        <v>155.70399475097599</v>
      </c>
      <c r="W1016">
        <v>1.5309480769178101</v>
      </c>
      <c r="X1016">
        <v>0.91636002063751198</v>
      </c>
    </row>
    <row r="1017" spans="1:24" x14ac:dyDescent="0.25">
      <c r="A1017" s="4">
        <v>45413</v>
      </c>
      <c r="B1017">
        <v>5.47</v>
      </c>
      <c r="C1017">
        <v>5.5</v>
      </c>
      <c r="D1017">
        <v>5.46</v>
      </c>
      <c r="E1017">
        <v>5.51</v>
      </c>
      <c r="F1017">
        <v>5.43</v>
      </c>
      <c r="G1017">
        <v>5.21</v>
      </c>
      <c r="H1017">
        <v>4.96</v>
      </c>
      <c r="I1017">
        <v>4.79</v>
      </c>
      <c r="J1017">
        <v>4.6399999999999997</v>
      </c>
      <c r="K1017">
        <v>4.6399999999999997</v>
      </c>
      <c r="L1017">
        <v>4.63</v>
      </c>
      <c r="M1017">
        <v>4.8499999999999996</v>
      </c>
      <c r="N1017">
        <v>4.74</v>
      </c>
      <c r="O1017">
        <v>5.1715</v>
      </c>
      <c r="P1017">
        <v>3924.48</v>
      </c>
      <c r="Q1017">
        <v>943.62</v>
      </c>
      <c r="R1017">
        <v>3.7650000000000001</v>
      </c>
      <c r="S1017">
        <v>17.126799999999999</v>
      </c>
      <c r="T1017">
        <v>0.93751000949623797</v>
      </c>
      <c r="U1017">
        <v>0.80062999707277704</v>
      </c>
      <c r="V1017">
        <v>157.72200012207</v>
      </c>
      <c r="W1017">
        <v>1.54368597137192</v>
      </c>
      <c r="X1017">
        <v>0.91948997974395696</v>
      </c>
    </row>
    <row r="1018" spans="1:24" x14ac:dyDescent="0.25">
      <c r="A1018" s="4">
        <v>45412</v>
      </c>
      <c r="B1018">
        <v>5.48</v>
      </c>
      <c r="C1018">
        <v>5.51</v>
      </c>
      <c r="D1018">
        <v>5.46</v>
      </c>
      <c r="E1018">
        <v>5.45</v>
      </c>
      <c r="F1018">
        <v>5.44</v>
      </c>
      <c r="G1018">
        <v>5.25</v>
      </c>
      <c r="H1018">
        <v>5.04</v>
      </c>
      <c r="I1018">
        <v>4.87</v>
      </c>
      <c r="J1018">
        <v>4.72</v>
      </c>
      <c r="K1018">
        <v>4.71</v>
      </c>
      <c r="L1018">
        <v>4.6900000000000004</v>
      </c>
      <c r="M1018">
        <v>4.9000000000000004</v>
      </c>
      <c r="N1018">
        <v>4.79</v>
      </c>
      <c r="O1018">
        <v>5.1715</v>
      </c>
      <c r="P1018">
        <v>3924.48</v>
      </c>
      <c r="Q1018">
        <v>943.62</v>
      </c>
      <c r="R1018">
        <v>3.7650000000000001</v>
      </c>
      <c r="S1018">
        <v>17.126799999999999</v>
      </c>
      <c r="T1018">
        <v>0.93321001199023401</v>
      </c>
      <c r="U1018">
        <v>0.79619003036939195</v>
      </c>
      <c r="V1018">
        <v>156.31399536132801</v>
      </c>
      <c r="W1018">
        <v>1.52394904551168</v>
      </c>
      <c r="X1018">
        <v>0.91071999073028498</v>
      </c>
    </row>
    <row r="1019" spans="1:24" x14ac:dyDescent="0.25">
      <c r="A1019" s="4">
        <v>45411</v>
      </c>
      <c r="B1019">
        <v>5.48</v>
      </c>
      <c r="C1019">
        <v>5.51</v>
      </c>
      <c r="D1019">
        <v>5.45</v>
      </c>
      <c r="E1019">
        <v>5.45</v>
      </c>
      <c r="F1019">
        <v>5.43</v>
      </c>
      <c r="G1019">
        <v>5.2</v>
      </c>
      <c r="H1019">
        <v>4.97</v>
      </c>
      <c r="I1019">
        <v>4.8</v>
      </c>
      <c r="J1019">
        <v>4.6500000000000004</v>
      </c>
      <c r="K1019">
        <v>4.6399999999999997</v>
      </c>
      <c r="L1019">
        <v>4.63</v>
      </c>
      <c r="M1019">
        <v>4.8600000000000003</v>
      </c>
      <c r="N1019">
        <v>4.75</v>
      </c>
      <c r="O1019">
        <v>5.1151999999999997</v>
      </c>
      <c r="P1019">
        <v>3866.4</v>
      </c>
      <c r="Q1019">
        <v>947.68</v>
      </c>
      <c r="R1019">
        <v>3.73</v>
      </c>
      <c r="S1019">
        <v>17.0185</v>
      </c>
      <c r="T1019">
        <v>0.93398003534125595</v>
      </c>
      <c r="U1019">
        <v>0.79933001408635995</v>
      </c>
      <c r="V1019">
        <v>158.22399902343699</v>
      </c>
      <c r="W1019">
        <v>1.52872502675712</v>
      </c>
      <c r="X1019">
        <v>0.913688004016876</v>
      </c>
    </row>
    <row r="1020" spans="1:24" x14ac:dyDescent="0.25">
      <c r="A1020" s="4">
        <v>45408</v>
      </c>
      <c r="B1020">
        <v>5.48</v>
      </c>
      <c r="C1020">
        <v>5.51</v>
      </c>
      <c r="D1020">
        <v>5.46</v>
      </c>
      <c r="E1020">
        <v>5.45</v>
      </c>
      <c r="F1020">
        <v>5.4</v>
      </c>
      <c r="G1020">
        <v>5.21</v>
      </c>
      <c r="H1020">
        <v>4.96</v>
      </c>
      <c r="I1020">
        <v>4.84</v>
      </c>
      <c r="J1020">
        <v>4.68</v>
      </c>
      <c r="K1020">
        <v>4.68</v>
      </c>
      <c r="L1020">
        <v>4.67</v>
      </c>
      <c r="M1020">
        <v>4.8899999999999997</v>
      </c>
      <c r="N1020">
        <v>4.78</v>
      </c>
      <c r="O1020">
        <v>5.1181000000000001</v>
      </c>
      <c r="P1020">
        <v>3901</v>
      </c>
      <c r="Q1020">
        <v>948.61</v>
      </c>
      <c r="R1020">
        <v>3.7410000000000001</v>
      </c>
      <c r="S1020">
        <v>17.146599999999999</v>
      </c>
      <c r="T1020">
        <v>0.93199993378258195</v>
      </c>
      <c r="U1020">
        <v>0.79941997650325403</v>
      </c>
      <c r="V1020">
        <v>155.59700012207</v>
      </c>
      <c r="W1020">
        <v>1.5329900193830199</v>
      </c>
      <c r="X1020">
        <v>0.912519991397857</v>
      </c>
    </row>
    <row r="1021" spans="1:24" x14ac:dyDescent="0.25">
      <c r="A1021" s="4">
        <v>45407</v>
      </c>
      <c r="B1021">
        <v>5.48</v>
      </c>
      <c r="C1021">
        <v>5.51</v>
      </c>
      <c r="D1021">
        <v>5.47</v>
      </c>
      <c r="E1021">
        <v>5.46</v>
      </c>
      <c r="F1021">
        <v>5.41</v>
      </c>
      <c r="G1021">
        <v>5.21</v>
      </c>
      <c r="H1021">
        <v>4.96</v>
      </c>
      <c r="I1021">
        <v>4.8499999999999996</v>
      </c>
      <c r="J1021">
        <v>4.7</v>
      </c>
      <c r="K1021">
        <v>4.71</v>
      </c>
      <c r="L1021">
        <v>4.7</v>
      </c>
      <c r="M1021">
        <v>4.93</v>
      </c>
      <c r="N1021">
        <v>4.82</v>
      </c>
      <c r="O1021">
        <v>5.1676000000000002</v>
      </c>
      <c r="P1021">
        <v>3957.57</v>
      </c>
      <c r="Q1021">
        <v>954.58</v>
      </c>
      <c r="R1021">
        <v>3.754</v>
      </c>
      <c r="S1021">
        <v>17.2136</v>
      </c>
      <c r="T1021">
        <v>0.93459001400334996</v>
      </c>
      <c r="U1021">
        <v>0.80260005199108897</v>
      </c>
      <c r="V1021">
        <v>155.25900268554599</v>
      </c>
      <c r="W1021">
        <v>1.53917209992223</v>
      </c>
      <c r="X1021">
        <v>0.91443997621536199</v>
      </c>
    </row>
    <row r="1022" spans="1:24" x14ac:dyDescent="0.25">
      <c r="A1022" s="4">
        <v>45406</v>
      </c>
      <c r="B1022">
        <v>5.49</v>
      </c>
      <c r="C1022">
        <v>5.5</v>
      </c>
      <c r="D1022">
        <v>5.46</v>
      </c>
      <c r="E1022">
        <v>5.44</v>
      </c>
      <c r="F1022">
        <v>5.4</v>
      </c>
      <c r="G1022">
        <v>5.17</v>
      </c>
      <c r="H1022">
        <v>4.8899999999999997</v>
      </c>
      <c r="I1022">
        <v>4.78</v>
      </c>
      <c r="J1022">
        <v>4.6399999999999997</v>
      </c>
      <c r="K1022">
        <v>4.66</v>
      </c>
      <c r="L1022">
        <v>4.6500000000000004</v>
      </c>
      <c r="M1022">
        <v>4.88</v>
      </c>
      <c r="N1022">
        <v>4.78</v>
      </c>
      <c r="O1022">
        <v>5.1589</v>
      </c>
      <c r="P1022">
        <v>3939.99</v>
      </c>
      <c r="Q1022">
        <v>950.77</v>
      </c>
      <c r="R1022">
        <v>3.7309999999999999</v>
      </c>
      <c r="S1022">
        <v>17.07</v>
      </c>
      <c r="T1022">
        <v>0.93420002280761705</v>
      </c>
      <c r="U1022">
        <v>0.80299994658541995</v>
      </c>
      <c r="V1022">
        <v>154.74400329589801</v>
      </c>
      <c r="W1022">
        <v>1.54109292458506</v>
      </c>
      <c r="X1022">
        <v>0.91140002012252797</v>
      </c>
    </row>
    <row r="1023" spans="1:24" x14ac:dyDescent="0.25">
      <c r="A1023" s="4">
        <v>45405</v>
      </c>
      <c r="B1023">
        <v>5.49</v>
      </c>
      <c r="C1023">
        <v>5.5</v>
      </c>
      <c r="D1023">
        <v>5.45</v>
      </c>
      <c r="E1023">
        <v>5.44</v>
      </c>
      <c r="F1023">
        <v>5.39</v>
      </c>
      <c r="G1023">
        <v>5.14</v>
      </c>
      <c r="H1023">
        <v>4.8600000000000003</v>
      </c>
      <c r="I1023">
        <v>4.76</v>
      </c>
      <c r="J1023">
        <v>4.63</v>
      </c>
      <c r="K1023">
        <v>4.62</v>
      </c>
      <c r="L1023">
        <v>4.6100000000000003</v>
      </c>
      <c r="M1023">
        <v>4.84</v>
      </c>
      <c r="N1023">
        <v>4.7300000000000004</v>
      </c>
      <c r="O1023">
        <v>5.1623000000000001</v>
      </c>
      <c r="P1023">
        <v>3910.1</v>
      </c>
      <c r="Q1023">
        <v>953.75</v>
      </c>
      <c r="R1023">
        <v>3.706</v>
      </c>
      <c r="S1023">
        <v>16.961500000000001</v>
      </c>
      <c r="T1023">
        <v>0.938609979986051</v>
      </c>
      <c r="U1023">
        <v>0.80970002054990897</v>
      </c>
      <c r="V1023">
        <v>154.81300354003901</v>
      </c>
      <c r="W1023">
        <v>1.5496999567526799</v>
      </c>
      <c r="X1023">
        <v>0.91188997030258101</v>
      </c>
    </row>
    <row r="1024" spans="1:24" x14ac:dyDescent="0.25">
      <c r="A1024" s="4">
        <v>45404</v>
      </c>
      <c r="B1024">
        <v>5.49</v>
      </c>
      <c r="C1024">
        <v>5.5</v>
      </c>
      <c r="D1024">
        <v>5.42</v>
      </c>
      <c r="E1024">
        <v>5.44</v>
      </c>
      <c r="F1024">
        <v>5.39</v>
      </c>
      <c r="G1024">
        <v>5.16</v>
      </c>
      <c r="H1024">
        <v>4.97</v>
      </c>
      <c r="I1024">
        <v>4.8099999999999996</v>
      </c>
      <c r="J1024">
        <v>4.66</v>
      </c>
      <c r="K1024">
        <v>4.6500000000000004</v>
      </c>
      <c r="L1024">
        <v>4.62</v>
      </c>
      <c r="M1024">
        <v>4.84</v>
      </c>
      <c r="N1024">
        <v>4.72</v>
      </c>
      <c r="O1024">
        <v>5.2039999999999997</v>
      </c>
      <c r="P1024">
        <v>3915.85</v>
      </c>
      <c r="Q1024">
        <v>956.32</v>
      </c>
      <c r="R1024">
        <v>3.6949999999999998</v>
      </c>
      <c r="S1024">
        <v>17.1389</v>
      </c>
      <c r="T1024">
        <v>0.93824002820332097</v>
      </c>
      <c r="U1024">
        <v>0.80803001091840199</v>
      </c>
      <c r="V1024">
        <v>154.63999938964801</v>
      </c>
      <c r="W1024">
        <v>1.5561800478154899</v>
      </c>
      <c r="X1024">
        <v>0.910983026027679</v>
      </c>
    </row>
    <row r="1025" spans="1:24" x14ac:dyDescent="0.25">
      <c r="A1025" s="4">
        <v>45401</v>
      </c>
      <c r="B1025">
        <v>5.49</v>
      </c>
      <c r="C1025">
        <v>5.51</v>
      </c>
      <c r="D1025">
        <v>5.45</v>
      </c>
      <c r="E1025">
        <v>5.44</v>
      </c>
      <c r="F1025">
        <v>5.39</v>
      </c>
      <c r="G1025">
        <v>5.17</v>
      </c>
      <c r="H1025">
        <v>4.97</v>
      </c>
      <c r="I1025">
        <v>4.8099999999999996</v>
      </c>
      <c r="J1025">
        <v>4.66</v>
      </c>
      <c r="K1025">
        <v>4.6500000000000004</v>
      </c>
      <c r="L1025">
        <v>4.62</v>
      </c>
      <c r="M1025">
        <v>4.83</v>
      </c>
      <c r="N1025">
        <v>4.72</v>
      </c>
      <c r="O1025">
        <v>5.2266000000000004</v>
      </c>
      <c r="P1025">
        <v>3906</v>
      </c>
      <c r="Q1025">
        <v>968.44</v>
      </c>
      <c r="R1025">
        <v>3.681</v>
      </c>
      <c r="S1025">
        <v>17.116599999999998</v>
      </c>
      <c r="T1025">
        <v>0.93948005317510697</v>
      </c>
      <c r="U1025">
        <v>0.804009943774181</v>
      </c>
      <c r="V1025">
        <v>154.61000061035099</v>
      </c>
      <c r="W1025">
        <v>1.5564930493094</v>
      </c>
      <c r="X1025">
        <v>0.91210001707077004</v>
      </c>
    </row>
    <row r="1026" spans="1:24" x14ac:dyDescent="0.25">
      <c r="A1026" s="4">
        <v>45400</v>
      </c>
      <c r="B1026">
        <v>5.49</v>
      </c>
      <c r="C1026">
        <v>5.52</v>
      </c>
      <c r="D1026">
        <v>5.46</v>
      </c>
      <c r="E1026">
        <v>5.44</v>
      </c>
      <c r="F1026">
        <v>5.39</v>
      </c>
      <c r="G1026">
        <v>5.18</v>
      </c>
      <c r="H1026">
        <v>4.9800000000000004</v>
      </c>
      <c r="I1026">
        <v>4.83</v>
      </c>
      <c r="J1026">
        <v>4.68</v>
      </c>
      <c r="K1026">
        <v>4.67</v>
      </c>
      <c r="L1026">
        <v>4.6399999999999997</v>
      </c>
      <c r="M1026">
        <v>4.8499999999999996</v>
      </c>
      <c r="N1026">
        <v>4.74</v>
      </c>
      <c r="O1026">
        <v>5.2508999999999997</v>
      </c>
      <c r="P1026">
        <v>3943.8</v>
      </c>
      <c r="Q1026">
        <v>974.97</v>
      </c>
      <c r="R1026">
        <v>3.7280000000000002</v>
      </c>
      <c r="S1026">
        <v>17.0566</v>
      </c>
      <c r="T1026">
        <v>0.93725997582160703</v>
      </c>
      <c r="U1026">
        <v>0.80296996949165</v>
      </c>
      <c r="V1026">
        <v>154.34199523925699</v>
      </c>
      <c r="W1026">
        <v>1.55284003075096</v>
      </c>
      <c r="X1026">
        <v>0.91039997339248602</v>
      </c>
    </row>
    <row r="1027" spans="1:24" x14ac:dyDescent="0.25">
      <c r="A1027" s="4">
        <v>45399</v>
      </c>
      <c r="B1027">
        <v>5.49</v>
      </c>
      <c r="C1027">
        <v>5.49</v>
      </c>
      <c r="D1027">
        <v>5.45</v>
      </c>
      <c r="E1027">
        <v>5.44</v>
      </c>
      <c r="F1027">
        <v>5.38</v>
      </c>
      <c r="G1027">
        <v>5.16</v>
      </c>
      <c r="H1027">
        <v>4.93</v>
      </c>
      <c r="I1027">
        <v>4.7699999999999996</v>
      </c>
      <c r="J1027">
        <v>4.62</v>
      </c>
      <c r="K1027">
        <v>4.6100000000000003</v>
      </c>
      <c r="L1027">
        <v>4.59</v>
      </c>
      <c r="M1027">
        <v>4.8099999999999996</v>
      </c>
      <c r="N1027">
        <v>4.71</v>
      </c>
      <c r="O1027">
        <v>5.2465999999999999</v>
      </c>
      <c r="P1027">
        <v>3899.1</v>
      </c>
      <c r="Q1027">
        <v>985.05</v>
      </c>
      <c r="R1027">
        <v>3.746</v>
      </c>
      <c r="S1027">
        <v>16.977399999999999</v>
      </c>
      <c r="T1027">
        <v>0.94148998734894296</v>
      </c>
      <c r="U1027">
        <v>0.804440018277915</v>
      </c>
      <c r="V1027">
        <v>154.697998046875</v>
      </c>
      <c r="W1027">
        <v>1.55938095873228</v>
      </c>
      <c r="X1027">
        <v>0.91255998611450195</v>
      </c>
    </row>
    <row r="1028" spans="1:24" x14ac:dyDescent="0.25">
      <c r="A1028" s="4">
        <v>45398</v>
      </c>
      <c r="B1028">
        <v>5.49</v>
      </c>
      <c r="C1028">
        <v>5.51</v>
      </c>
      <c r="D1028">
        <v>5.45</v>
      </c>
      <c r="E1028">
        <v>5.44</v>
      </c>
      <c r="F1028">
        <v>5.39</v>
      </c>
      <c r="G1028">
        <v>5.18</v>
      </c>
      <c r="H1028">
        <v>4.97</v>
      </c>
      <c r="I1028">
        <v>4.83</v>
      </c>
      <c r="J1028">
        <v>4.6900000000000004</v>
      </c>
      <c r="K1028">
        <v>4.6900000000000004</v>
      </c>
      <c r="L1028">
        <v>4.67</v>
      </c>
      <c r="M1028">
        <v>4.88</v>
      </c>
      <c r="N1028">
        <v>4.7699999999999996</v>
      </c>
      <c r="O1028">
        <v>5.2631500000000004</v>
      </c>
      <c r="P1028">
        <v>3919</v>
      </c>
      <c r="Q1028">
        <v>978.07</v>
      </c>
      <c r="R1028">
        <v>3.754</v>
      </c>
      <c r="S1028">
        <v>17.046500000000002</v>
      </c>
      <c r="T1028">
        <v>0.94111005466412001</v>
      </c>
      <c r="U1028">
        <v>0.80338000414494104</v>
      </c>
      <c r="V1028">
        <v>154.20599365234301</v>
      </c>
      <c r="W1028">
        <v>1.55219195603551</v>
      </c>
      <c r="X1028">
        <v>0.91159999370574896</v>
      </c>
    </row>
    <row r="1029" spans="1:24" x14ac:dyDescent="0.25">
      <c r="A1029" s="4">
        <v>45397</v>
      </c>
      <c r="B1029">
        <v>5.49</v>
      </c>
      <c r="C1029">
        <v>5.51</v>
      </c>
      <c r="D1029">
        <v>5.45</v>
      </c>
      <c r="E1029">
        <v>5.44</v>
      </c>
      <c r="F1029">
        <v>5.38</v>
      </c>
      <c r="G1029">
        <v>5.16</v>
      </c>
      <c r="H1029">
        <v>4.93</v>
      </c>
      <c r="I1029">
        <v>4.78</v>
      </c>
      <c r="J1029">
        <v>4.6500000000000004</v>
      </c>
      <c r="K1029">
        <v>4.6500000000000004</v>
      </c>
      <c r="L1029">
        <v>4.63</v>
      </c>
      <c r="M1029">
        <v>4.8499999999999996</v>
      </c>
      <c r="N1029">
        <v>4.74</v>
      </c>
      <c r="O1029">
        <v>5.1742999999999997</v>
      </c>
      <c r="P1029">
        <v>3911</v>
      </c>
      <c r="Q1029">
        <v>964.59</v>
      </c>
      <c r="R1029">
        <v>3.738</v>
      </c>
      <c r="S1029">
        <v>16.724599999999999</v>
      </c>
      <c r="T1029">
        <v>0.93899998376905902</v>
      </c>
      <c r="U1029">
        <v>0.80245003106542201</v>
      </c>
      <c r="V1029">
        <v>153.28300476074199</v>
      </c>
      <c r="W1029">
        <v>1.5442099774542899</v>
      </c>
      <c r="X1029">
        <v>0.91377002000808705</v>
      </c>
    </row>
    <row r="1030" spans="1:24" x14ac:dyDescent="0.25">
      <c r="A1030" s="4">
        <v>45394</v>
      </c>
      <c r="B1030">
        <v>5.48</v>
      </c>
      <c r="C1030">
        <v>5.5</v>
      </c>
      <c r="D1030">
        <v>5.45</v>
      </c>
      <c r="E1030">
        <v>5.42</v>
      </c>
      <c r="F1030">
        <v>5.36</v>
      </c>
      <c r="G1030">
        <v>5.13</v>
      </c>
      <c r="H1030">
        <v>4.88</v>
      </c>
      <c r="I1030">
        <v>4.7</v>
      </c>
      <c r="J1030">
        <v>4.54</v>
      </c>
      <c r="K1030">
        <v>4.53</v>
      </c>
      <c r="L1030">
        <v>4.5</v>
      </c>
      <c r="M1030">
        <v>4.7300000000000004</v>
      </c>
      <c r="N1030">
        <v>4.6100000000000003</v>
      </c>
      <c r="O1030">
        <v>5.1360999999999999</v>
      </c>
      <c r="P1030">
        <v>3855.88</v>
      </c>
      <c r="Q1030">
        <v>957.03</v>
      </c>
      <c r="R1030">
        <v>3.7040000000000002</v>
      </c>
      <c r="S1030">
        <v>16.654499999999999</v>
      </c>
      <c r="T1030">
        <v>0.93224001995924799</v>
      </c>
      <c r="U1030">
        <v>0.79650996680974195</v>
      </c>
      <c r="V1030">
        <v>153.19200134277301</v>
      </c>
      <c r="W1030">
        <v>1.5289100343214299</v>
      </c>
      <c r="X1030">
        <v>0.90982997417449896</v>
      </c>
    </row>
    <row r="1031" spans="1:24" x14ac:dyDescent="0.25">
      <c r="A1031" s="4">
        <v>45393</v>
      </c>
      <c r="B1031">
        <v>5.48</v>
      </c>
      <c r="C1031">
        <v>5.51</v>
      </c>
      <c r="D1031">
        <v>5.45</v>
      </c>
      <c r="E1031">
        <v>5.44</v>
      </c>
      <c r="F1031">
        <v>5.38</v>
      </c>
      <c r="G1031">
        <v>5.17</v>
      </c>
      <c r="H1031">
        <v>4.93</v>
      </c>
      <c r="I1031">
        <v>4.7699999999999996</v>
      </c>
      <c r="J1031">
        <v>4.6100000000000003</v>
      </c>
      <c r="K1031">
        <v>4.5999999999999996</v>
      </c>
      <c r="L1031">
        <v>4.5599999999999996</v>
      </c>
      <c r="M1031">
        <v>4.7699999999999996</v>
      </c>
      <c r="N1031">
        <v>4.6500000000000004</v>
      </c>
      <c r="O1031">
        <v>5.0762</v>
      </c>
      <c r="P1031">
        <v>3828.79</v>
      </c>
      <c r="Q1031">
        <v>953.51</v>
      </c>
      <c r="R1031">
        <v>3.69</v>
      </c>
      <c r="S1031">
        <v>16.436</v>
      </c>
      <c r="T1031">
        <v>0.93095000179784104</v>
      </c>
      <c r="U1031">
        <v>0.79759999513183599</v>
      </c>
      <c r="V1031">
        <v>152.96400451660099</v>
      </c>
      <c r="W1031">
        <v>1.5367589998673601</v>
      </c>
      <c r="X1031">
        <v>0.91303998231887795</v>
      </c>
    </row>
    <row r="1032" spans="1:24" x14ac:dyDescent="0.25">
      <c r="A1032" s="4">
        <v>45392</v>
      </c>
      <c r="B1032">
        <v>5.49</v>
      </c>
      <c r="C1032">
        <v>5.5</v>
      </c>
      <c r="D1032">
        <v>5.45</v>
      </c>
      <c r="E1032">
        <v>5.44</v>
      </c>
      <c r="F1032">
        <v>5.4</v>
      </c>
      <c r="G1032">
        <v>5.19</v>
      </c>
      <c r="H1032">
        <v>4.97</v>
      </c>
      <c r="I1032">
        <v>4.7699999999999996</v>
      </c>
      <c r="J1032">
        <v>4.6100000000000003</v>
      </c>
      <c r="K1032">
        <v>4.59</v>
      </c>
      <c r="L1032">
        <v>4.55</v>
      </c>
      <c r="M1032">
        <v>4.76</v>
      </c>
      <c r="N1032">
        <v>4.6399999999999997</v>
      </c>
      <c r="O1032">
        <v>5.0651000000000002</v>
      </c>
      <c r="P1032">
        <v>3810.6</v>
      </c>
      <c r="Q1032">
        <v>940.61</v>
      </c>
      <c r="R1032">
        <v>3.714</v>
      </c>
      <c r="S1032">
        <v>16.440999999999999</v>
      </c>
      <c r="T1032">
        <v>0.92086998122167296</v>
      </c>
      <c r="U1032">
        <v>0.788789989073586</v>
      </c>
      <c r="V1032">
        <v>151.77699279785099</v>
      </c>
      <c r="W1032">
        <v>1.5086368957279701</v>
      </c>
      <c r="X1032">
        <v>0.90298002958297696</v>
      </c>
    </row>
    <row r="1033" spans="1:24" x14ac:dyDescent="0.25">
      <c r="A1033" s="4">
        <v>45391</v>
      </c>
      <c r="B1033">
        <v>5.48</v>
      </c>
      <c r="C1033">
        <v>5.49</v>
      </c>
      <c r="D1033">
        <v>5.43</v>
      </c>
      <c r="E1033">
        <v>5.41</v>
      </c>
      <c r="F1033">
        <v>5.34</v>
      </c>
      <c r="G1033">
        <v>5.03</v>
      </c>
      <c r="H1033">
        <v>4.74</v>
      </c>
      <c r="I1033">
        <v>4.5199999999999996</v>
      </c>
      <c r="J1033">
        <v>4.37</v>
      </c>
      <c r="K1033">
        <v>4.38</v>
      </c>
      <c r="L1033">
        <v>4.3600000000000003</v>
      </c>
      <c r="M1033">
        <v>4.5999999999999996</v>
      </c>
      <c r="N1033">
        <v>4.5</v>
      </c>
      <c r="O1033">
        <v>5.0076999999999998</v>
      </c>
      <c r="P1033">
        <v>3776.78</v>
      </c>
      <c r="Q1033">
        <v>946.71</v>
      </c>
      <c r="R1033">
        <v>3.69</v>
      </c>
      <c r="S1033">
        <v>16.4069</v>
      </c>
      <c r="T1033">
        <v>0.92049993964732002</v>
      </c>
      <c r="U1033">
        <v>0.78996995450091501</v>
      </c>
      <c r="V1033">
        <v>151.843002319335</v>
      </c>
      <c r="W1033">
        <v>1.51400497484602</v>
      </c>
      <c r="X1033">
        <v>0.905009984970092</v>
      </c>
    </row>
    <row r="1034" spans="1:24" x14ac:dyDescent="0.25">
      <c r="A1034" s="4">
        <v>45390</v>
      </c>
      <c r="B1034">
        <v>5.48</v>
      </c>
      <c r="C1034">
        <v>5.49</v>
      </c>
      <c r="D1034">
        <v>5.43</v>
      </c>
      <c r="E1034">
        <v>5.41</v>
      </c>
      <c r="F1034">
        <v>5.35</v>
      </c>
      <c r="G1034">
        <v>5.07</v>
      </c>
      <c r="H1034">
        <v>4.78</v>
      </c>
      <c r="I1034">
        <v>4.5999999999999996</v>
      </c>
      <c r="J1034">
        <v>4.43</v>
      </c>
      <c r="K1034">
        <v>4.43</v>
      </c>
      <c r="L1034">
        <v>4.42</v>
      </c>
      <c r="M1034">
        <v>4.6500000000000004</v>
      </c>
      <c r="N1034">
        <v>4.55</v>
      </c>
      <c r="O1034">
        <v>5.0418000000000003</v>
      </c>
      <c r="P1034">
        <v>3768.36</v>
      </c>
      <c r="Q1034">
        <v>948.92</v>
      </c>
      <c r="R1034">
        <v>3.6880000000000002</v>
      </c>
      <c r="S1034">
        <v>16.3368</v>
      </c>
      <c r="T1034">
        <v>0.92332002167025096</v>
      </c>
      <c r="U1034">
        <v>0.79206003206156494</v>
      </c>
      <c r="V1034">
        <v>151.69000244140599</v>
      </c>
      <c r="W1034">
        <v>1.52202001761227</v>
      </c>
      <c r="X1034">
        <v>0.90316998958587602</v>
      </c>
    </row>
    <row r="1035" spans="1:24" x14ac:dyDescent="0.25">
      <c r="A1035" s="4">
        <v>45387</v>
      </c>
      <c r="B1035">
        <v>5.47</v>
      </c>
      <c r="C1035">
        <v>5.5</v>
      </c>
      <c r="D1035">
        <v>5.43</v>
      </c>
      <c r="E1035">
        <v>5.41</v>
      </c>
      <c r="F1035">
        <v>5.34</v>
      </c>
      <c r="G1035">
        <v>5.05</v>
      </c>
      <c r="H1035">
        <v>4.7300000000000004</v>
      </c>
      <c r="I1035">
        <v>4.54</v>
      </c>
      <c r="J1035">
        <v>4.38</v>
      </c>
      <c r="K1035">
        <v>4.3899999999999997</v>
      </c>
      <c r="L1035">
        <v>4.3899999999999997</v>
      </c>
      <c r="M1035">
        <v>4.6500000000000004</v>
      </c>
      <c r="N1035">
        <v>4.54</v>
      </c>
      <c r="O1035">
        <v>5.0517000000000003</v>
      </c>
      <c r="P1035">
        <v>3766</v>
      </c>
      <c r="Q1035">
        <v>942.72</v>
      </c>
      <c r="R1035">
        <v>3.6760000000000002</v>
      </c>
      <c r="S1035">
        <v>16.46</v>
      </c>
      <c r="T1035">
        <v>0.922759983191761</v>
      </c>
      <c r="U1035">
        <v>0.79112704232354902</v>
      </c>
      <c r="V1035">
        <v>151.29200744628901</v>
      </c>
      <c r="W1035">
        <v>1.51798000964502</v>
      </c>
      <c r="X1035">
        <v>0.90151000022888095</v>
      </c>
    </row>
    <row r="1036" spans="1:24" x14ac:dyDescent="0.25">
      <c r="A1036" s="4">
        <v>45386</v>
      </c>
      <c r="B1036">
        <v>5.47</v>
      </c>
      <c r="C1036">
        <v>5.49</v>
      </c>
      <c r="D1036">
        <v>5.41</v>
      </c>
      <c r="E1036">
        <v>5.4</v>
      </c>
      <c r="F1036">
        <v>5.32</v>
      </c>
      <c r="G1036">
        <v>5</v>
      </c>
      <c r="H1036">
        <v>4.6500000000000004</v>
      </c>
      <c r="I1036">
        <v>4.46</v>
      </c>
      <c r="J1036">
        <v>4.3</v>
      </c>
      <c r="K1036">
        <v>4.3099999999999996</v>
      </c>
      <c r="L1036">
        <v>4.3099999999999996</v>
      </c>
      <c r="M1036">
        <v>4.57</v>
      </c>
      <c r="N1036">
        <v>4.47</v>
      </c>
      <c r="O1036">
        <v>5.0233999999999996</v>
      </c>
      <c r="P1036">
        <v>3768.65</v>
      </c>
      <c r="Q1036">
        <v>962.83</v>
      </c>
      <c r="R1036">
        <v>3.6850000000000001</v>
      </c>
      <c r="S1036">
        <v>16.6052</v>
      </c>
      <c r="T1036">
        <v>0.92264996484769202</v>
      </c>
      <c r="U1036">
        <v>0.79040003045288199</v>
      </c>
      <c r="V1036">
        <v>151.58099365234301</v>
      </c>
      <c r="W1036">
        <v>1.5223020227564701</v>
      </c>
      <c r="X1036">
        <v>0.90289002656936601</v>
      </c>
    </row>
    <row r="1037" spans="1:24" x14ac:dyDescent="0.25">
      <c r="A1037" s="4">
        <v>45385</v>
      </c>
      <c r="B1037">
        <v>5.47</v>
      </c>
      <c r="C1037">
        <v>5.44</v>
      </c>
      <c r="D1037">
        <v>5.42</v>
      </c>
      <c r="E1037">
        <v>5.4</v>
      </c>
      <c r="F1037">
        <v>5.33</v>
      </c>
      <c r="G1037">
        <v>5.03</v>
      </c>
      <c r="H1037">
        <v>4.68</v>
      </c>
      <c r="I1037">
        <v>4.4800000000000004</v>
      </c>
      <c r="J1037">
        <v>4.34</v>
      </c>
      <c r="K1037">
        <v>4.3600000000000003</v>
      </c>
      <c r="L1037">
        <v>4.3600000000000003</v>
      </c>
      <c r="M1037">
        <v>4.6100000000000003</v>
      </c>
      <c r="N1037">
        <v>4.51</v>
      </c>
      <c r="O1037">
        <v>5.0720999999999998</v>
      </c>
      <c r="P1037">
        <v>3813</v>
      </c>
      <c r="Q1037">
        <v>979.96</v>
      </c>
      <c r="R1037">
        <v>3.6869999999999998</v>
      </c>
      <c r="S1037">
        <v>16.5425</v>
      </c>
      <c r="T1037">
        <v>0.92862997375493095</v>
      </c>
      <c r="U1037">
        <v>0.795109954276908</v>
      </c>
      <c r="V1037">
        <v>151.53999328613199</v>
      </c>
      <c r="W1037">
        <v>1.53506101187371</v>
      </c>
      <c r="X1037">
        <v>0.90781998634338301</v>
      </c>
    </row>
    <row r="1038" spans="1:24" x14ac:dyDescent="0.25">
      <c r="A1038" s="4">
        <v>45384</v>
      </c>
      <c r="B1038">
        <v>5.49</v>
      </c>
      <c r="C1038">
        <v>5.45</v>
      </c>
      <c r="D1038">
        <v>5.42</v>
      </c>
      <c r="E1038">
        <v>5.4</v>
      </c>
      <c r="F1038">
        <v>5.34</v>
      </c>
      <c r="G1038">
        <v>5.05</v>
      </c>
      <c r="H1038">
        <v>4.7</v>
      </c>
      <c r="I1038">
        <v>4.51</v>
      </c>
      <c r="J1038">
        <v>4.3499999999999996</v>
      </c>
      <c r="K1038">
        <v>4.37</v>
      </c>
      <c r="L1038">
        <v>4.3600000000000003</v>
      </c>
      <c r="M1038">
        <v>4.6100000000000003</v>
      </c>
      <c r="N1038">
        <v>4.51</v>
      </c>
      <c r="O1038">
        <v>5.04725</v>
      </c>
      <c r="P1038">
        <v>3828</v>
      </c>
      <c r="Q1038">
        <v>982.59</v>
      </c>
      <c r="R1038">
        <v>3.7040000000000002</v>
      </c>
      <c r="S1038">
        <v>16.561</v>
      </c>
      <c r="T1038">
        <v>0.93133997207292796</v>
      </c>
      <c r="U1038">
        <v>0.79710001293245603</v>
      </c>
      <c r="V1038">
        <v>151.58099365234301</v>
      </c>
      <c r="W1038">
        <v>1.5413299309428401</v>
      </c>
      <c r="X1038">
        <v>0.90507000684738104</v>
      </c>
    </row>
    <row r="1039" spans="1:24" x14ac:dyDescent="0.25">
      <c r="A1039" s="4">
        <v>45383</v>
      </c>
      <c r="B1039">
        <v>5.49</v>
      </c>
      <c r="C1039">
        <v>5.47</v>
      </c>
      <c r="D1039">
        <v>5.44</v>
      </c>
      <c r="E1039">
        <v>5.41</v>
      </c>
      <c r="F1039">
        <v>5.36</v>
      </c>
      <c r="G1039">
        <v>5.0599999999999996</v>
      </c>
      <c r="H1039">
        <v>4.72</v>
      </c>
      <c r="I1039">
        <v>4.51</v>
      </c>
      <c r="J1039">
        <v>4.34</v>
      </c>
      <c r="K1039">
        <v>4.33</v>
      </c>
      <c r="L1039">
        <v>4.33</v>
      </c>
      <c r="M1039">
        <v>4.58</v>
      </c>
      <c r="N1039">
        <v>4.47</v>
      </c>
      <c r="O1039">
        <v>5.0529000000000002</v>
      </c>
      <c r="P1039">
        <v>3865.3</v>
      </c>
      <c r="Q1039">
        <v>981.71</v>
      </c>
      <c r="R1039">
        <v>3.7250000000000001</v>
      </c>
      <c r="S1039">
        <v>16.6312</v>
      </c>
      <c r="T1039">
        <v>0.926549950599734</v>
      </c>
      <c r="U1039">
        <v>0.79131003068415195</v>
      </c>
      <c r="V1039">
        <v>151.39799499511699</v>
      </c>
      <c r="W1039">
        <v>1.5306899520991499</v>
      </c>
      <c r="X1039">
        <v>0.90200001001357999</v>
      </c>
    </row>
    <row r="1040" spans="1:24" x14ac:dyDescent="0.25">
      <c r="A1040" s="4">
        <v>45379</v>
      </c>
      <c r="B1040">
        <v>5.49</v>
      </c>
      <c r="C1040">
        <v>5.48</v>
      </c>
      <c r="D1040">
        <v>5.46</v>
      </c>
      <c r="E1040">
        <v>5.42</v>
      </c>
      <c r="F1040">
        <v>5.38</v>
      </c>
      <c r="G1040">
        <v>5.03</v>
      </c>
      <c r="H1040">
        <v>4.59</v>
      </c>
      <c r="I1040">
        <v>4.4000000000000004</v>
      </c>
      <c r="J1040">
        <v>4.21</v>
      </c>
      <c r="K1040">
        <v>4.2</v>
      </c>
      <c r="L1040">
        <v>4.2</v>
      </c>
      <c r="M1040">
        <v>4.45</v>
      </c>
      <c r="N1040">
        <v>4.34</v>
      </c>
      <c r="O1040">
        <v>4.9958999999999998</v>
      </c>
      <c r="P1040">
        <v>3862.62</v>
      </c>
      <c r="Q1040">
        <v>982.38</v>
      </c>
      <c r="R1040">
        <v>3.7170000000000001</v>
      </c>
      <c r="S1040">
        <v>16.5625</v>
      </c>
      <c r="T1040">
        <v>0.92477998104492698</v>
      </c>
      <c r="U1040">
        <v>0.79259998834051604</v>
      </c>
      <c r="V1040">
        <v>151.28700256347599</v>
      </c>
      <c r="W1040">
        <v>1.53327204101589</v>
      </c>
      <c r="X1040">
        <v>0.90549999475479104</v>
      </c>
    </row>
    <row r="1041" spans="1:24" x14ac:dyDescent="0.25">
      <c r="A1041" s="4">
        <v>45378</v>
      </c>
      <c r="B1041">
        <v>5.5</v>
      </c>
      <c r="C1041">
        <v>5.47</v>
      </c>
      <c r="D1041">
        <v>5.45</v>
      </c>
      <c r="E1041">
        <v>5.41</v>
      </c>
      <c r="F1041">
        <v>5.36</v>
      </c>
      <c r="G1041">
        <v>4.99</v>
      </c>
      <c r="H1041">
        <v>4.54</v>
      </c>
      <c r="I1041">
        <v>4.3600000000000003</v>
      </c>
      <c r="J1041">
        <v>4.18</v>
      </c>
      <c r="K1041">
        <v>4.18</v>
      </c>
      <c r="L1041">
        <v>4.2</v>
      </c>
      <c r="M1041">
        <v>4.45</v>
      </c>
      <c r="N1041">
        <v>4.3600000000000003</v>
      </c>
      <c r="O1041">
        <v>4.9852999999999996</v>
      </c>
      <c r="P1041">
        <v>3862.62</v>
      </c>
      <c r="Q1041">
        <v>981.71</v>
      </c>
      <c r="R1041">
        <v>3.7170000000000001</v>
      </c>
      <c r="S1041">
        <v>16.5625</v>
      </c>
      <c r="T1041">
        <v>0.92315998486162498</v>
      </c>
      <c r="U1041">
        <v>0.79185995251827701</v>
      </c>
      <c r="V1041">
        <v>151.52999877929599</v>
      </c>
      <c r="W1041">
        <v>1.5292899416913801</v>
      </c>
      <c r="X1041">
        <v>0.90364998579025202</v>
      </c>
    </row>
    <row r="1042" spans="1:24" x14ac:dyDescent="0.25">
      <c r="A1042" s="4">
        <v>45377</v>
      </c>
      <c r="B1042">
        <v>5.5</v>
      </c>
      <c r="C1042">
        <v>5.47</v>
      </c>
      <c r="D1042">
        <v>5.46</v>
      </c>
      <c r="E1042">
        <v>5.41</v>
      </c>
      <c r="F1042">
        <v>5.36</v>
      </c>
      <c r="G1042">
        <v>5</v>
      </c>
      <c r="H1042">
        <v>4.5599999999999996</v>
      </c>
      <c r="I1042">
        <v>4.38</v>
      </c>
      <c r="J1042">
        <v>4.22</v>
      </c>
      <c r="K1042">
        <v>4.2300000000000004</v>
      </c>
      <c r="L1042">
        <v>4.24</v>
      </c>
      <c r="M1042">
        <v>4.49</v>
      </c>
      <c r="N1042">
        <v>4.4000000000000004</v>
      </c>
      <c r="O1042">
        <v>4.9866999999999999</v>
      </c>
      <c r="P1042">
        <v>3847.3</v>
      </c>
      <c r="Q1042">
        <v>977.76</v>
      </c>
      <c r="R1042">
        <v>3.7170000000000001</v>
      </c>
      <c r="S1042">
        <v>16.657499999999999</v>
      </c>
      <c r="T1042">
        <v>0.92266001155991095</v>
      </c>
      <c r="U1042">
        <v>0.79127002273651603</v>
      </c>
      <c r="V1042">
        <v>151.37300109863199</v>
      </c>
      <c r="W1042">
        <v>1.52931001541596</v>
      </c>
      <c r="X1042">
        <v>0.89946997165679898</v>
      </c>
    </row>
    <row r="1043" spans="1:24" x14ac:dyDescent="0.25">
      <c r="A1043" s="4">
        <v>45376</v>
      </c>
      <c r="B1043">
        <v>5.51</v>
      </c>
      <c r="C1043">
        <v>5.48</v>
      </c>
      <c r="D1043">
        <v>5.46</v>
      </c>
      <c r="E1043">
        <v>5.41</v>
      </c>
      <c r="F1043">
        <v>5.36</v>
      </c>
      <c r="G1043">
        <v>5</v>
      </c>
      <c r="H1043">
        <v>4.54</v>
      </c>
      <c r="I1043">
        <v>4.3899999999999997</v>
      </c>
      <c r="J1043">
        <v>4.2300000000000004</v>
      </c>
      <c r="K1043">
        <v>4.25</v>
      </c>
      <c r="L1043">
        <v>4.25</v>
      </c>
      <c r="M1043">
        <v>4.51</v>
      </c>
      <c r="N1043">
        <v>4.42</v>
      </c>
      <c r="O1043">
        <v>4.9866000000000001</v>
      </c>
      <c r="P1043">
        <v>3896.3</v>
      </c>
      <c r="Q1043">
        <v>980.24</v>
      </c>
      <c r="R1043">
        <v>3.706</v>
      </c>
      <c r="S1043">
        <v>16.6815</v>
      </c>
      <c r="T1043">
        <v>0.92528000983011105</v>
      </c>
      <c r="U1043">
        <v>0.79378004669790903</v>
      </c>
      <c r="V1043">
        <v>151.30499267578099</v>
      </c>
      <c r="W1043">
        <v>1.5347298948581301</v>
      </c>
      <c r="X1043">
        <v>0.89762002229690496</v>
      </c>
    </row>
    <row r="1044" spans="1:24" x14ac:dyDescent="0.25">
      <c r="A1044" s="4">
        <v>45373</v>
      </c>
      <c r="B1044">
        <v>5.51</v>
      </c>
      <c r="C1044">
        <v>5.47</v>
      </c>
      <c r="D1044">
        <v>5.46</v>
      </c>
      <c r="E1044">
        <v>5.4</v>
      </c>
      <c r="F1044">
        <v>5.34</v>
      </c>
      <c r="G1044">
        <v>4.9800000000000004</v>
      </c>
      <c r="H1044">
        <v>4.59</v>
      </c>
      <c r="I1044">
        <v>4.3600000000000003</v>
      </c>
      <c r="J1044">
        <v>4.2</v>
      </c>
      <c r="K1044">
        <v>4.22</v>
      </c>
      <c r="L1044">
        <v>4.22</v>
      </c>
      <c r="M1044">
        <v>4.47</v>
      </c>
      <c r="N1044">
        <v>4.3899999999999997</v>
      </c>
      <c r="O1044">
        <v>4.9893999999999998</v>
      </c>
      <c r="P1044">
        <v>3896.3</v>
      </c>
      <c r="Q1044">
        <v>971.54</v>
      </c>
      <c r="R1044">
        <v>3.7029999999999998</v>
      </c>
      <c r="S1044">
        <v>16.7668</v>
      </c>
      <c r="T1044">
        <v>0.92061005200828305</v>
      </c>
      <c r="U1044">
        <v>0.78977003710275495</v>
      </c>
      <c r="V1044">
        <v>151.63299560546801</v>
      </c>
      <c r="W1044">
        <v>1.52110001577564</v>
      </c>
      <c r="X1044">
        <v>0.89767998456954901</v>
      </c>
    </row>
    <row r="1045" spans="1:24" x14ac:dyDescent="0.25">
      <c r="A1045" s="4">
        <v>45372</v>
      </c>
      <c r="B1045">
        <v>5.51</v>
      </c>
      <c r="C1045">
        <v>5.48</v>
      </c>
      <c r="D1045">
        <v>5.48</v>
      </c>
      <c r="E1045">
        <v>5.4</v>
      </c>
      <c r="F1045">
        <v>5.36</v>
      </c>
      <c r="G1045">
        <v>5.01</v>
      </c>
      <c r="H1045">
        <v>4.62</v>
      </c>
      <c r="I1045">
        <v>4.42</v>
      </c>
      <c r="J1045">
        <v>4.26</v>
      </c>
      <c r="K1045">
        <v>4.28</v>
      </c>
      <c r="L1045">
        <v>4.2699999999999996</v>
      </c>
      <c r="M1045">
        <v>4.53</v>
      </c>
      <c r="N1045">
        <v>4.4400000000000004</v>
      </c>
      <c r="O1045">
        <v>4.9804000000000004</v>
      </c>
      <c r="P1045">
        <v>3904.95</v>
      </c>
      <c r="Q1045">
        <v>975.91</v>
      </c>
      <c r="R1045">
        <v>3.6859999999999999</v>
      </c>
      <c r="S1045">
        <v>16.737300000000001</v>
      </c>
      <c r="T1045">
        <v>0.91430992969108704</v>
      </c>
      <c r="U1045">
        <v>0.78135000191877002</v>
      </c>
      <c r="V1045">
        <v>150.759994506835</v>
      </c>
      <c r="W1045">
        <v>1.51565694937425</v>
      </c>
      <c r="X1045">
        <v>0.88555002212524403</v>
      </c>
    </row>
    <row r="1046" spans="1:24" x14ac:dyDescent="0.25">
      <c r="A1046" s="4">
        <v>45371</v>
      </c>
      <c r="B1046">
        <v>5.5</v>
      </c>
      <c r="C1046">
        <v>5.47</v>
      </c>
      <c r="D1046">
        <v>5.47</v>
      </c>
      <c r="E1046">
        <v>5.41</v>
      </c>
      <c r="F1046">
        <v>5.36</v>
      </c>
      <c r="G1046">
        <v>5.01</v>
      </c>
      <c r="H1046">
        <v>4.59</v>
      </c>
      <c r="I1046">
        <v>4.41</v>
      </c>
      <c r="J1046">
        <v>4.25</v>
      </c>
      <c r="K1046">
        <v>4.28</v>
      </c>
      <c r="L1046">
        <v>4.2699999999999996</v>
      </c>
      <c r="M1046">
        <v>4.53</v>
      </c>
      <c r="N1046">
        <v>4.45</v>
      </c>
      <c r="O1046">
        <v>5.0117000000000003</v>
      </c>
      <c r="P1046">
        <v>3895.95</v>
      </c>
      <c r="Q1046">
        <v>962.06</v>
      </c>
      <c r="R1046">
        <v>3.6920000000000002</v>
      </c>
      <c r="S1046">
        <v>16.672899999999998</v>
      </c>
      <c r="T1046">
        <v>0.92053004114431503</v>
      </c>
      <c r="U1046">
        <v>0.78620002185605098</v>
      </c>
      <c r="V1046">
        <v>151.03500366210901</v>
      </c>
      <c r="W1046">
        <v>1.5322380488432099</v>
      </c>
      <c r="X1046">
        <v>0.88854002952575595</v>
      </c>
    </row>
    <row r="1047" spans="1:24" x14ac:dyDescent="0.25">
      <c r="A1047" s="4">
        <v>45370</v>
      </c>
      <c r="B1047">
        <v>5.52</v>
      </c>
      <c r="C1047">
        <v>5.48</v>
      </c>
      <c r="D1047">
        <v>5.48</v>
      </c>
      <c r="E1047">
        <v>5.41</v>
      </c>
      <c r="F1047">
        <v>5.39</v>
      </c>
      <c r="G1047">
        <v>5.0599999999999996</v>
      </c>
      <c r="H1047">
        <v>4.68</v>
      </c>
      <c r="I1047">
        <v>4.47</v>
      </c>
      <c r="J1047">
        <v>4.3099999999999996</v>
      </c>
      <c r="K1047">
        <v>4.3099999999999996</v>
      </c>
      <c r="L1047">
        <v>4.3</v>
      </c>
      <c r="M1047">
        <v>4.54</v>
      </c>
      <c r="N1047">
        <v>4.4400000000000004</v>
      </c>
      <c r="O1047">
        <v>5.0349000000000004</v>
      </c>
      <c r="P1047">
        <v>3871.75</v>
      </c>
      <c r="Q1047">
        <v>945.11</v>
      </c>
      <c r="R1047">
        <v>3.6989999999999998</v>
      </c>
      <c r="S1047">
        <v>16.818300000000001</v>
      </c>
      <c r="T1047">
        <v>0.91962996894993798</v>
      </c>
      <c r="U1047">
        <v>0.78571996583471104</v>
      </c>
      <c r="V1047">
        <v>149.14399719238199</v>
      </c>
      <c r="W1047">
        <v>1.5249700749949799</v>
      </c>
      <c r="X1047">
        <v>0.88751000165939298</v>
      </c>
    </row>
    <row r="1048" spans="1:24" x14ac:dyDescent="0.25">
      <c r="A1048" s="4">
        <v>45369</v>
      </c>
      <c r="B1048">
        <v>5.52</v>
      </c>
      <c r="C1048">
        <v>5.48</v>
      </c>
      <c r="D1048">
        <v>5.48</v>
      </c>
      <c r="E1048">
        <v>5.41</v>
      </c>
      <c r="F1048">
        <v>5.39</v>
      </c>
      <c r="G1048">
        <v>5.0599999999999996</v>
      </c>
      <c r="H1048">
        <v>4.7300000000000004</v>
      </c>
      <c r="I1048">
        <v>4.5199999999999996</v>
      </c>
      <c r="J1048">
        <v>4.3600000000000003</v>
      </c>
      <c r="K1048">
        <v>4.3499999999999996</v>
      </c>
      <c r="L1048">
        <v>4.34</v>
      </c>
      <c r="M1048">
        <v>4.57</v>
      </c>
      <c r="N1048">
        <v>4.46</v>
      </c>
      <c r="O1048">
        <v>5.0121000000000002</v>
      </c>
      <c r="P1048">
        <v>3897</v>
      </c>
      <c r="Q1048">
        <v>941.42</v>
      </c>
      <c r="R1048">
        <v>3.7029999999999998</v>
      </c>
      <c r="S1048">
        <v>16.709900000000001</v>
      </c>
      <c r="T1048">
        <v>0.91890002450441499</v>
      </c>
      <c r="U1048">
        <v>0.78545996874305601</v>
      </c>
      <c r="V1048">
        <v>148.95500183105401</v>
      </c>
      <c r="W1048">
        <v>1.5248600245235999</v>
      </c>
      <c r="X1048">
        <v>0.88358998298644997</v>
      </c>
    </row>
    <row r="1049" spans="1:24" x14ac:dyDescent="0.25">
      <c r="A1049" s="4">
        <v>45366</v>
      </c>
      <c r="B1049">
        <v>5.52</v>
      </c>
      <c r="C1049">
        <v>5.48</v>
      </c>
      <c r="D1049">
        <v>5.48</v>
      </c>
      <c r="E1049">
        <v>5.41</v>
      </c>
      <c r="F1049">
        <v>5.38</v>
      </c>
      <c r="G1049">
        <v>5.05</v>
      </c>
      <c r="H1049">
        <v>4.72</v>
      </c>
      <c r="I1049">
        <v>4.51</v>
      </c>
      <c r="J1049">
        <v>4.33</v>
      </c>
      <c r="K1049">
        <v>4.33</v>
      </c>
      <c r="L1049">
        <v>4.3099999999999996</v>
      </c>
      <c r="M1049">
        <v>4.55</v>
      </c>
      <c r="N1049">
        <v>4.43</v>
      </c>
      <c r="O1049">
        <v>4.9934000000000003</v>
      </c>
      <c r="P1049">
        <v>3879.25</v>
      </c>
      <c r="Q1049">
        <v>945.56</v>
      </c>
      <c r="R1049">
        <v>3.6859999999999999</v>
      </c>
      <c r="S1049">
        <v>16.709900000000001</v>
      </c>
      <c r="T1049">
        <v>0.91882997214683604</v>
      </c>
      <c r="U1049">
        <v>0.78456997028240405</v>
      </c>
      <c r="V1049">
        <v>148.29600524902301</v>
      </c>
      <c r="W1049">
        <v>1.5199190449918101</v>
      </c>
      <c r="X1049">
        <v>0.88427001237869196</v>
      </c>
    </row>
    <row r="1050" spans="1:24" x14ac:dyDescent="0.25">
      <c r="A1050" s="4">
        <v>45365</v>
      </c>
      <c r="B1050">
        <v>5.52</v>
      </c>
      <c r="C1050">
        <v>5.48</v>
      </c>
      <c r="D1050">
        <v>5.48</v>
      </c>
      <c r="E1050">
        <v>5.42</v>
      </c>
      <c r="F1050">
        <v>5.38</v>
      </c>
      <c r="G1050">
        <v>5.04</v>
      </c>
      <c r="H1050">
        <v>4.68</v>
      </c>
      <c r="I1050">
        <v>4.46</v>
      </c>
      <c r="J1050">
        <v>4.29</v>
      </c>
      <c r="K1050">
        <v>4.3</v>
      </c>
      <c r="L1050">
        <v>4.29</v>
      </c>
      <c r="M1050">
        <v>4.54</v>
      </c>
      <c r="N1050">
        <v>4.4400000000000004</v>
      </c>
      <c r="O1050">
        <v>4.9764999999999997</v>
      </c>
      <c r="P1050">
        <v>3890.9</v>
      </c>
      <c r="Q1050">
        <v>948.88</v>
      </c>
      <c r="R1050">
        <v>3.6850000000000001</v>
      </c>
      <c r="S1050">
        <v>16.6934</v>
      </c>
      <c r="T1050">
        <v>0.912799970924836</v>
      </c>
      <c r="U1050">
        <v>0.78112001772943096</v>
      </c>
      <c r="V1050">
        <v>147.621002197265</v>
      </c>
      <c r="W1050">
        <v>1.50884204047281</v>
      </c>
      <c r="X1050">
        <v>0.87838000059127797</v>
      </c>
    </row>
    <row r="1051" spans="1:24" x14ac:dyDescent="0.25">
      <c r="A1051" s="4">
        <v>45364</v>
      </c>
      <c r="B1051">
        <v>5.52</v>
      </c>
      <c r="C1051">
        <v>5.47</v>
      </c>
      <c r="D1051">
        <v>5.48</v>
      </c>
      <c r="E1051">
        <v>5.41</v>
      </c>
      <c r="F1051">
        <v>5.37</v>
      </c>
      <c r="G1051">
        <v>5.01</v>
      </c>
      <c r="H1051">
        <v>4.6100000000000003</v>
      </c>
      <c r="I1051">
        <v>4.37</v>
      </c>
      <c r="J1051">
        <v>4.1900000000000004</v>
      </c>
      <c r="K1051">
        <v>4.2</v>
      </c>
      <c r="L1051">
        <v>4.1900000000000004</v>
      </c>
      <c r="M1051">
        <v>4.45</v>
      </c>
      <c r="N1051">
        <v>4.3499999999999996</v>
      </c>
      <c r="O1051">
        <v>4.9800000000000004</v>
      </c>
      <c r="P1051">
        <v>3902.99</v>
      </c>
      <c r="Q1051">
        <v>965.18</v>
      </c>
      <c r="R1051">
        <v>3.6720000000000002</v>
      </c>
      <c r="S1051">
        <v>16.675899999999999</v>
      </c>
      <c r="T1051">
        <v>0.91509997517147601</v>
      </c>
      <c r="U1051">
        <v>0.78149995379162096</v>
      </c>
      <c r="V1051">
        <v>147.61900329589801</v>
      </c>
      <c r="W1051">
        <v>1.5134780535427099</v>
      </c>
      <c r="X1051">
        <v>0.87739002704620295</v>
      </c>
    </row>
    <row r="1052" spans="1:24" x14ac:dyDescent="0.25">
      <c r="A1052" s="4">
        <v>45363</v>
      </c>
      <c r="B1052">
        <v>5.52</v>
      </c>
      <c r="C1052">
        <v>5.48</v>
      </c>
      <c r="D1052">
        <v>5.48</v>
      </c>
      <c r="E1052">
        <v>5.41</v>
      </c>
      <c r="F1052">
        <v>5.37</v>
      </c>
      <c r="G1052">
        <v>5</v>
      </c>
      <c r="H1052">
        <v>4.58</v>
      </c>
      <c r="I1052">
        <v>4.33</v>
      </c>
      <c r="J1052">
        <v>4.1500000000000004</v>
      </c>
      <c r="K1052">
        <v>4.16</v>
      </c>
      <c r="L1052">
        <v>4.16</v>
      </c>
      <c r="M1052">
        <v>4.42</v>
      </c>
      <c r="N1052">
        <v>4.3099999999999996</v>
      </c>
      <c r="O1052">
        <v>4.9809999999999999</v>
      </c>
      <c r="P1052">
        <v>3925.25</v>
      </c>
      <c r="Q1052">
        <v>966.29</v>
      </c>
      <c r="R1052">
        <v>3.68</v>
      </c>
      <c r="S1052">
        <v>16.799499999999998</v>
      </c>
      <c r="T1052">
        <v>0.91479999415477697</v>
      </c>
      <c r="U1052">
        <v>0.78004298480393297</v>
      </c>
      <c r="V1052">
        <v>146.73199462890599</v>
      </c>
      <c r="W1052">
        <v>1.5116000770521301</v>
      </c>
      <c r="X1052">
        <v>0.877250015735626</v>
      </c>
    </row>
    <row r="1053" spans="1:24" x14ac:dyDescent="0.25">
      <c r="A1053" s="4">
        <v>45362</v>
      </c>
      <c r="B1053">
        <v>5.5</v>
      </c>
      <c r="C1053">
        <v>5.47</v>
      </c>
      <c r="D1053">
        <v>5.48</v>
      </c>
      <c r="E1053">
        <v>5.41</v>
      </c>
      <c r="F1053">
        <v>5.35</v>
      </c>
      <c r="G1053">
        <v>4.95</v>
      </c>
      <c r="H1053">
        <v>4.51</v>
      </c>
      <c r="I1053">
        <v>4.26</v>
      </c>
      <c r="J1053">
        <v>4.08</v>
      </c>
      <c r="K1053">
        <v>4.09</v>
      </c>
      <c r="L1053">
        <v>4.0999999999999996</v>
      </c>
      <c r="M1053">
        <v>4.3600000000000003</v>
      </c>
      <c r="N1053">
        <v>4.26</v>
      </c>
      <c r="O1053">
        <v>4.9774000000000003</v>
      </c>
      <c r="P1053">
        <v>3915.15</v>
      </c>
      <c r="Q1053">
        <v>964.95</v>
      </c>
      <c r="R1053">
        <v>3.6869999999999998</v>
      </c>
      <c r="S1053">
        <v>16.8003</v>
      </c>
      <c r="T1053">
        <v>0.91382994669929496</v>
      </c>
      <c r="U1053">
        <v>0.77789996883247103</v>
      </c>
      <c r="V1053">
        <v>146.774002075195</v>
      </c>
      <c r="W1053">
        <v>1.5095900971732601</v>
      </c>
      <c r="X1053">
        <v>0.87751001119613603</v>
      </c>
    </row>
    <row r="1054" spans="1:24" x14ac:dyDescent="0.25">
      <c r="A1054" s="4">
        <v>45359</v>
      </c>
      <c r="B1054">
        <v>5.51</v>
      </c>
      <c r="C1054">
        <v>5.48</v>
      </c>
      <c r="D1054">
        <v>5.46</v>
      </c>
      <c r="E1054">
        <v>5.4</v>
      </c>
      <c r="F1054">
        <v>5.34</v>
      </c>
      <c r="G1054">
        <v>4.92</v>
      </c>
      <c r="H1054">
        <v>4.4800000000000004</v>
      </c>
      <c r="I1054">
        <v>4.25</v>
      </c>
      <c r="J1054">
        <v>4.0599999999999996</v>
      </c>
      <c r="K1054">
        <v>4.08</v>
      </c>
      <c r="L1054">
        <v>4.09</v>
      </c>
      <c r="M1054">
        <v>4.3600000000000003</v>
      </c>
      <c r="N1054">
        <v>4.26</v>
      </c>
      <c r="O1054">
        <v>4.9748000000000001</v>
      </c>
      <c r="P1054">
        <v>3904.5</v>
      </c>
      <c r="Q1054">
        <v>983.8</v>
      </c>
      <c r="R1054">
        <v>3.6859999999999999</v>
      </c>
      <c r="S1054">
        <v>16.807700000000001</v>
      </c>
      <c r="T1054">
        <v>0.91322995538583096</v>
      </c>
      <c r="U1054">
        <v>0.78029998815867996</v>
      </c>
      <c r="V1054">
        <v>147.86799621582</v>
      </c>
      <c r="W1054">
        <v>1.51027703419148</v>
      </c>
      <c r="X1054">
        <v>0.87709999084472601</v>
      </c>
    </row>
    <row r="1055" spans="1:24" x14ac:dyDescent="0.25">
      <c r="A1055" s="4">
        <v>45358</v>
      </c>
      <c r="B1055">
        <v>5.51</v>
      </c>
      <c r="C1055">
        <v>5.48</v>
      </c>
      <c r="D1055">
        <v>5.47</v>
      </c>
      <c r="E1055">
        <v>5.4</v>
      </c>
      <c r="F1055">
        <v>5.34</v>
      </c>
      <c r="G1055">
        <v>4.93</v>
      </c>
      <c r="H1055">
        <v>4.5</v>
      </c>
      <c r="I1055">
        <v>4.28</v>
      </c>
      <c r="J1055">
        <v>4.07</v>
      </c>
      <c r="K1055">
        <v>4.09</v>
      </c>
      <c r="L1055">
        <v>4.09</v>
      </c>
      <c r="M1055">
        <v>4.3499999999999996</v>
      </c>
      <c r="N1055">
        <v>4.25</v>
      </c>
      <c r="O1055">
        <v>4.9360999999999997</v>
      </c>
      <c r="P1055">
        <v>3918.95</v>
      </c>
      <c r="Q1055">
        <v>981.26</v>
      </c>
      <c r="R1055">
        <v>3.7090000000000001</v>
      </c>
      <c r="S1055">
        <v>16.866</v>
      </c>
      <c r="T1055">
        <v>0.91746999626826298</v>
      </c>
      <c r="U1055">
        <v>0.78520999241149703</v>
      </c>
      <c r="V1055">
        <v>149.26899719238199</v>
      </c>
      <c r="W1055">
        <v>1.52292799993754</v>
      </c>
      <c r="X1055">
        <v>0.88209998607635498</v>
      </c>
    </row>
    <row r="1056" spans="1:24" x14ac:dyDescent="0.25">
      <c r="A1056" s="4">
        <v>45357</v>
      </c>
      <c r="B1056">
        <v>5.5</v>
      </c>
      <c r="C1056">
        <v>5.47</v>
      </c>
      <c r="D1056">
        <v>5.47</v>
      </c>
      <c r="E1056">
        <v>5.4</v>
      </c>
      <c r="F1056">
        <v>5.35</v>
      </c>
      <c r="G1056">
        <v>4.95</v>
      </c>
      <c r="H1056">
        <v>4.55</v>
      </c>
      <c r="I1056">
        <v>4.32</v>
      </c>
      <c r="J1056">
        <v>4.12</v>
      </c>
      <c r="K1056">
        <v>4.12</v>
      </c>
      <c r="L1056">
        <v>4.1100000000000003</v>
      </c>
      <c r="M1056">
        <v>4.3600000000000003</v>
      </c>
      <c r="N1056">
        <v>4.24</v>
      </c>
      <c r="O1056">
        <v>4.9394999999999998</v>
      </c>
      <c r="P1056">
        <v>3920.6</v>
      </c>
      <c r="Q1056">
        <v>976.36</v>
      </c>
      <c r="R1056">
        <v>3.7330000000000001</v>
      </c>
      <c r="S1056">
        <v>16.891100000000002</v>
      </c>
      <c r="T1056">
        <v>0.92114998359992994</v>
      </c>
      <c r="U1056">
        <v>0.78710000193288998</v>
      </c>
      <c r="V1056">
        <v>150.04899597167901</v>
      </c>
      <c r="W1056">
        <v>1.53753894660555</v>
      </c>
      <c r="X1056">
        <v>0.88358002901077204</v>
      </c>
    </row>
    <row r="1057" spans="1:24" x14ac:dyDescent="0.25">
      <c r="A1057" s="4">
        <v>45356</v>
      </c>
      <c r="B1057">
        <v>5.5</v>
      </c>
      <c r="C1057">
        <v>5.47</v>
      </c>
      <c r="D1057">
        <v>5.47</v>
      </c>
      <c r="E1057">
        <v>5.4</v>
      </c>
      <c r="F1057">
        <v>5.35</v>
      </c>
      <c r="G1057">
        <v>4.9400000000000004</v>
      </c>
      <c r="H1057">
        <v>4.54</v>
      </c>
      <c r="I1057">
        <v>4.32</v>
      </c>
      <c r="J1057">
        <v>4.13</v>
      </c>
      <c r="K1057">
        <v>4.1500000000000004</v>
      </c>
      <c r="L1057">
        <v>4.13</v>
      </c>
      <c r="M1057">
        <v>4.3899999999999997</v>
      </c>
      <c r="N1057">
        <v>4.2699999999999996</v>
      </c>
      <c r="O1057">
        <v>4.9485000000000001</v>
      </c>
      <c r="P1057">
        <v>3945</v>
      </c>
      <c r="Q1057">
        <v>971.92</v>
      </c>
      <c r="R1057">
        <v>3.7450000000000001</v>
      </c>
      <c r="S1057">
        <v>16.948899999999998</v>
      </c>
      <c r="T1057">
        <v>0.92121998551061501</v>
      </c>
      <c r="U1057">
        <v>0.78789998077355305</v>
      </c>
      <c r="V1057">
        <v>150.46600341796801</v>
      </c>
      <c r="W1057">
        <v>1.5366599083932699</v>
      </c>
      <c r="X1057">
        <v>0.88520002365112305</v>
      </c>
    </row>
    <row r="1058" spans="1:24" x14ac:dyDescent="0.25">
      <c r="A1058" s="4">
        <v>45355</v>
      </c>
      <c r="B1058">
        <v>5.51</v>
      </c>
      <c r="C1058">
        <v>5.49</v>
      </c>
      <c r="D1058">
        <v>5.48</v>
      </c>
      <c r="E1058">
        <v>5.42</v>
      </c>
      <c r="F1058">
        <v>5.37</v>
      </c>
      <c r="G1058">
        <v>4.9800000000000004</v>
      </c>
      <c r="H1058">
        <v>4.6100000000000003</v>
      </c>
      <c r="I1058">
        <v>4.3899999999999997</v>
      </c>
      <c r="J1058">
        <v>4.21</v>
      </c>
      <c r="K1058">
        <v>4.2300000000000004</v>
      </c>
      <c r="L1058">
        <v>4.22</v>
      </c>
      <c r="M1058">
        <v>4.4800000000000004</v>
      </c>
      <c r="N1058">
        <v>4.3600000000000003</v>
      </c>
      <c r="O1058">
        <v>4.9471999999999996</v>
      </c>
      <c r="P1058">
        <v>3940.8</v>
      </c>
      <c r="Q1058">
        <v>966.41</v>
      </c>
      <c r="R1058">
        <v>3.7690000000000001</v>
      </c>
      <c r="S1058">
        <v>16.9619</v>
      </c>
      <c r="T1058">
        <v>0.92228001263480397</v>
      </c>
      <c r="U1058">
        <v>0.78987005752601702</v>
      </c>
      <c r="V1058">
        <v>150.10499572753901</v>
      </c>
      <c r="W1058">
        <v>1.5318901045300399</v>
      </c>
      <c r="X1058">
        <v>0.88334000110626198</v>
      </c>
    </row>
    <row r="1059" spans="1:24" x14ac:dyDescent="0.25">
      <c r="A1059" s="4">
        <v>45352</v>
      </c>
      <c r="B1059">
        <v>5.54</v>
      </c>
      <c r="C1059">
        <v>5.49</v>
      </c>
      <c r="D1059">
        <v>5.42</v>
      </c>
      <c r="E1059">
        <v>5.41</v>
      </c>
      <c r="F1059">
        <v>5.27</v>
      </c>
      <c r="G1059">
        <v>4.9400000000000004</v>
      </c>
      <c r="H1059">
        <v>4.54</v>
      </c>
      <c r="I1059">
        <v>4.32</v>
      </c>
      <c r="J1059">
        <v>4.17</v>
      </c>
      <c r="K1059">
        <v>4.2</v>
      </c>
      <c r="L1059">
        <v>4.1900000000000004</v>
      </c>
      <c r="M1059">
        <v>4.46</v>
      </c>
      <c r="N1059">
        <v>4.33</v>
      </c>
      <c r="O1059">
        <v>4.9592999999999998</v>
      </c>
      <c r="P1059">
        <v>3947.25</v>
      </c>
      <c r="Q1059">
        <v>969.91</v>
      </c>
      <c r="R1059">
        <v>3.7669999999999999</v>
      </c>
      <c r="S1059">
        <v>17.023199999999999</v>
      </c>
      <c r="T1059">
        <v>0.92550000187557901</v>
      </c>
      <c r="U1059">
        <v>0.79205001072607994</v>
      </c>
      <c r="V1059">
        <v>150.09500122070301</v>
      </c>
      <c r="W1059">
        <v>1.5388400540499401</v>
      </c>
      <c r="X1059">
        <v>0.88440001010894698</v>
      </c>
    </row>
    <row r="1060" spans="1:24" x14ac:dyDescent="0.25">
      <c r="A1060" s="4">
        <v>45351</v>
      </c>
      <c r="B1060">
        <v>5.53</v>
      </c>
      <c r="C1060">
        <v>5.5</v>
      </c>
      <c r="D1060">
        <v>5.45</v>
      </c>
      <c r="E1060">
        <v>5.43</v>
      </c>
      <c r="F1060">
        <v>5.3</v>
      </c>
      <c r="G1060">
        <v>5.01</v>
      </c>
      <c r="H1060">
        <v>4.6399999999999997</v>
      </c>
      <c r="I1060">
        <v>4.43</v>
      </c>
      <c r="J1060">
        <v>4.26</v>
      </c>
      <c r="K1060">
        <v>4.28</v>
      </c>
      <c r="L1060">
        <v>4.25</v>
      </c>
      <c r="M1060">
        <v>4.51</v>
      </c>
      <c r="N1060">
        <v>4.38</v>
      </c>
      <c r="O1060">
        <v>4.9829999999999997</v>
      </c>
      <c r="P1060">
        <v>3927</v>
      </c>
      <c r="Q1060">
        <v>980.19</v>
      </c>
      <c r="R1060">
        <v>3.7789999999999999</v>
      </c>
      <c r="S1060">
        <v>17.054300000000001</v>
      </c>
      <c r="T1060">
        <v>0.92260998313070297</v>
      </c>
      <c r="U1060">
        <v>0.78970000070604596</v>
      </c>
      <c r="V1060">
        <v>150.656005859375</v>
      </c>
      <c r="W1060">
        <v>1.5397169259029999</v>
      </c>
      <c r="X1060">
        <v>0.87870997190475397</v>
      </c>
    </row>
    <row r="1061" spans="1:24" x14ac:dyDescent="0.25">
      <c r="A1061" s="4">
        <v>45350</v>
      </c>
      <c r="B1061">
        <v>5.5</v>
      </c>
      <c r="C1061">
        <v>5.51</v>
      </c>
      <c r="D1061">
        <v>5.45</v>
      </c>
      <c r="E1061">
        <v>5.43</v>
      </c>
      <c r="F1061">
        <v>5.31</v>
      </c>
      <c r="G1061">
        <v>5</v>
      </c>
      <c r="H1061">
        <v>4.6399999999999997</v>
      </c>
      <c r="I1061">
        <v>4.4400000000000004</v>
      </c>
      <c r="J1061">
        <v>4.26</v>
      </c>
      <c r="K1061">
        <v>4.28</v>
      </c>
      <c r="L1061">
        <v>4.2699999999999996</v>
      </c>
      <c r="M1061">
        <v>4.53</v>
      </c>
      <c r="N1061">
        <v>4.4000000000000004</v>
      </c>
      <c r="O1061">
        <v>4.9554</v>
      </c>
      <c r="P1061">
        <v>3924.7</v>
      </c>
      <c r="Q1061">
        <v>984.53</v>
      </c>
      <c r="R1061">
        <v>3.794</v>
      </c>
      <c r="S1061">
        <v>17.111599999999999</v>
      </c>
      <c r="T1061">
        <v>0.92209996232942804</v>
      </c>
      <c r="U1061">
        <v>0.78854003858377197</v>
      </c>
      <c r="V1061">
        <v>150.49499511718699</v>
      </c>
      <c r="W1061">
        <v>1.5281410422230399</v>
      </c>
      <c r="X1061">
        <v>0.87879997491836503</v>
      </c>
    </row>
    <row r="1062" spans="1:24" x14ac:dyDescent="0.25">
      <c r="A1062" s="4">
        <v>45349</v>
      </c>
      <c r="B1062">
        <v>5.5</v>
      </c>
      <c r="C1062">
        <v>5.52</v>
      </c>
      <c r="D1062">
        <v>5.45</v>
      </c>
      <c r="E1062">
        <v>5.47</v>
      </c>
      <c r="F1062">
        <v>5.33</v>
      </c>
      <c r="G1062">
        <v>5.03</v>
      </c>
      <c r="H1062">
        <v>4.7</v>
      </c>
      <c r="I1062">
        <v>4.5</v>
      </c>
      <c r="J1062">
        <v>4.32</v>
      </c>
      <c r="K1062">
        <v>4.34</v>
      </c>
      <c r="L1062">
        <v>4.3099999999999996</v>
      </c>
      <c r="M1062">
        <v>4.57</v>
      </c>
      <c r="N1062">
        <v>4.4400000000000004</v>
      </c>
      <c r="O1062">
        <v>4.9572000000000003</v>
      </c>
      <c r="P1062">
        <v>3933.5</v>
      </c>
      <c r="Q1062">
        <v>986.85</v>
      </c>
      <c r="R1062">
        <v>3.7869999999999999</v>
      </c>
      <c r="S1062">
        <v>17.058900000000001</v>
      </c>
      <c r="T1062">
        <v>0.92157997543510395</v>
      </c>
      <c r="U1062">
        <v>0.788360033005719</v>
      </c>
      <c r="V1062">
        <v>150.565994262695</v>
      </c>
      <c r="W1062">
        <v>1.5291459560456999</v>
      </c>
      <c r="X1062">
        <v>0.87989997863769498</v>
      </c>
    </row>
    <row r="1063" spans="1:24" x14ac:dyDescent="0.25">
      <c r="A1063" s="4">
        <v>45348</v>
      </c>
      <c r="B1063">
        <v>5.5</v>
      </c>
      <c r="C1063">
        <v>5.52</v>
      </c>
      <c r="D1063">
        <v>5.47</v>
      </c>
      <c r="E1063">
        <v>5.47</v>
      </c>
      <c r="F1063">
        <v>5.34</v>
      </c>
      <c r="G1063">
        <v>5.03</v>
      </c>
      <c r="H1063">
        <v>4.6900000000000004</v>
      </c>
      <c r="I1063">
        <v>4.4800000000000004</v>
      </c>
      <c r="J1063">
        <v>4.29</v>
      </c>
      <c r="K1063">
        <v>4.32</v>
      </c>
      <c r="L1063">
        <v>4.28</v>
      </c>
      <c r="M1063">
        <v>4.53</v>
      </c>
      <c r="N1063">
        <v>4.4000000000000004</v>
      </c>
      <c r="O1063">
        <v>4.9816000000000003</v>
      </c>
      <c r="P1063">
        <v>3957.59</v>
      </c>
      <c r="Q1063">
        <v>983.76</v>
      </c>
      <c r="R1063">
        <v>3.7970000000000002</v>
      </c>
      <c r="S1063">
        <v>17.089400000000001</v>
      </c>
      <c r="T1063">
        <v>0.92421002461627</v>
      </c>
      <c r="U1063">
        <v>0.7890999964066</v>
      </c>
      <c r="V1063">
        <v>150.49800109863199</v>
      </c>
      <c r="W1063">
        <v>1.52313995385155</v>
      </c>
      <c r="X1063">
        <v>0.88125002384185702</v>
      </c>
    </row>
    <row r="1064" spans="1:24" x14ac:dyDescent="0.25">
      <c r="A1064" s="4">
        <v>45345</v>
      </c>
      <c r="B1064">
        <v>5.49</v>
      </c>
      <c r="C1064">
        <v>5.51</v>
      </c>
      <c r="D1064">
        <v>5.46</v>
      </c>
      <c r="E1064">
        <v>5.46</v>
      </c>
      <c r="F1064">
        <v>5.32</v>
      </c>
      <c r="G1064">
        <v>5</v>
      </c>
      <c r="H1064">
        <v>4.67</v>
      </c>
      <c r="I1064">
        <v>4.45</v>
      </c>
      <c r="J1064">
        <v>4.28</v>
      </c>
      <c r="K1064">
        <v>4.28</v>
      </c>
      <c r="L1064">
        <v>4.26</v>
      </c>
      <c r="M1064">
        <v>4.51</v>
      </c>
      <c r="N1064">
        <v>4.37</v>
      </c>
      <c r="O1064">
        <v>4.9847999999999999</v>
      </c>
      <c r="P1064">
        <v>3964.23</v>
      </c>
      <c r="Q1064">
        <v>972.77</v>
      </c>
      <c r="R1064">
        <v>3.7949999999999999</v>
      </c>
      <c r="S1064">
        <v>17.1205</v>
      </c>
      <c r="T1064">
        <v>0.92372996885665504</v>
      </c>
      <c r="U1064">
        <v>0.78966000672310799</v>
      </c>
      <c r="V1064">
        <v>150.48300170898401</v>
      </c>
      <c r="W1064">
        <v>1.5245989607561401</v>
      </c>
      <c r="X1064">
        <v>0.87994998693466098</v>
      </c>
    </row>
    <row r="1065" spans="1:24" x14ac:dyDescent="0.25">
      <c r="A1065" s="4">
        <v>45344</v>
      </c>
      <c r="B1065">
        <v>5.49</v>
      </c>
      <c r="C1065">
        <v>5.51</v>
      </c>
      <c r="D1065">
        <v>5.45</v>
      </c>
      <c r="E1065">
        <v>5.45</v>
      </c>
      <c r="F1065">
        <v>5.32</v>
      </c>
      <c r="G1065">
        <v>5.0199999999999996</v>
      </c>
      <c r="H1065">
        <v>4.6900000000000004</v>
      </c>
      <c r="I1065">
        <v>4.49</v>
      </c>
      <c r="J1065">
        <v>4.33</v>
      </c>
      <c r="K1065">
        <v>4.3499999999999996</v>
      </c>
      <c r="L1065">
        <v>4.33</v>
      </c>
      <c r="M1065">
        <v>4.58</v>
      </c>
      <c r="N1065">
        <v>4.47</v>
      </c>
      <c r="O1065">
        <v>4.9416000000000002</v>
      </c>
      <c r="P1065">
        <v>3929</v>
      </c>
      <c r="Q1065">
        <v>967.52</v>
      </c>
      <c r="R1065">
        <v>3.7850000000000001</v>
      </c>
      <c r="S1065">
        <v>17.110600000000002</v>
      </c>
      <c r="T1065">
        <v>0.92417998742289698</v>
      </c>
      <c r="U1065">
        <v>0.79126002138171403</v>
      </c>
      <c r="V1065">
        <v>150.35499572753901</v>
      </c>
      <c r="W1065">
        <v>1.52597207044102</v>
      </c>
      <c r="X1065">
        <v>0.87924998998641901</v>
      </c>
    </row>
    <row r="1066" spans="1:24" x14ac:dyDescent="0.25">
      <c r="A1066" s="4">
        <v>45343</v>
      </c>
      <c r="B1066">
        <v>5.5</v>
      </c>
      <c r="C1066">
        <v>5.5</v>
      </c>
      <c r="D1066">
        <v>5.44</v>
      </c>
      <c r="E1066">
        <v>5.45</v>
      </c>
      <c r="F1066">
        <v>5.32</v>
      </c>
      <c r="G1066">
        <v>4.9800000000000004</v>
      </c>
      <c r="H1066">
        <v>4.6399999999999997</v>
      </c>
      <c r="I1066">
        <v>4.43</v>
      </c>
      <c r="J1066">
        <v>4.3</v>
      </c>
      <c r="K1066">
        <v>4.33</v>
      </c>
      <c r="L1066">
        <v>4.32</v>
      </c>
      <c r="M1066">
        <v>4.59</v>
      </c>
      <c r="N1066">
        <v>4.49</v>
      </c>
      <c r="O1066">
        <v>4.93</v>
      </c>
      <c r="P1066">
        <v>3925.11</v>
      </c>
      <c r="Q1066">
        <v>963.68</v>
      </c>
      <c r="R1066">
        <v>3.7949999999999999</v>
      </c>
      <c r="S1066">
        <v>17.048300000000001</v>
      </c>
      <c r="T1066">
        <v>0.92479996366333095</v>
      </c>
      <c r="U1066">
        <v>0.79192999876423298</v>
      </c>
      <c r="V1066">
        <v>149.93899536132801</v>
      </c>
      <c r="W1066">
        <v>1.5259019822736799</v>
      </c>
      <c r="X1066">
        <v>0.88181000947952204</v>
      </c>
    </row>
    <row r="1067" spans="1:24" x14ac:dyDescent="0.25">
      <c r="A1067" s="4">
        <v>45342</v>
      </c>
      <c r="B1067">
        <v>5.49</v>
      </c>
      <c r="C1067">
        <v>5.49</v>
      </c>
      <c r="D1067">
        <v>5.44</v>
      </c>
      <c r="E1067">
        <v>5.45</v>
      </c>
      <c r="F1067">
        <v>5.32</v>
      </c>
      <c r="G1067">
        <v>4.97</v>
      </c>
      <c r="H1067">
        <v>4.59</v>
      </c>
      <c r="I1067">
        <v>4.38</v>
      </c>
      <c r="J1067">
        <v>4.25</v>
      </c>
      <c r="K1067">
        <v>4.28</v>
      </c>
      <c r="L1067">
        <v>4.2699999999999996</v>
      </c>
      <c r="M1067">
        <v>4.5599999999999996</v>
      </c>
      <c r="N1067">
        <v>4.4400000000000004</v>
      </c>
      <c r="O1067">
        <v>4.9405000000000001</v>
      </c>
      <c r="P1067">
        <v>3927</v>
      </c>
      <c r="Q1067">
        <v>966.23</v>
      </c>
      <c r="R1067">
        <v>3.782</v>
      </c>
      <c r="S1067">
        <v>17.0731</v>
      </c>
      <c r="T1067">
        <v>0.92804006789202997</v>
      </c>
      <c r="U1067">
        <v>0.794429998487586</v>
      </c>
      <c r="V1067">
        <v>150.27000427246</v>
      </c>
      <c r="W1067">
        <v>1.53120992228048</v>
      </c>
      <c r="X1067">
        <v>0.88274699449539096</v>
      </c>
    </row>
    <row r="1068" spans="1:24" x14ac:dyDescent="0.25">
      <c r="A1068" s="4">
        <v>45338</v>
      </c>
      <c r="B1068">
        <v>5.48</v>
      </c>
      <c r="C1068">
        <v>5.51</v>
      </c>
      <c r="D1068">
        <v>5.44</v>
      </c>
      <c r="E1068">
        <v>5.45</v>
      </c>
      <c r="F1068">
        <v>5.31</v>
      </c>
      <c r="G1068">
        <v>4.9800000000000004</v>
      </c>
      <c r="H1068">
        <v>4.6399999999999997</v>
      </c>
      <c r="I1068">
        <v>4.43</v>
      </c>
      <c r="J1068">
        <v>4.29</v>
      </c>
      <c r="K1068">
        <v>4.3099999999999996</v>
      </c>
      <c r="L1068">
        <v>4.3</v>
      </c>
      <c r="M1068">
        <v>4.58</v>
      </c>
      <c r="N1068">
        <v>4.45</v>
      </c>
      <c r="O1068">
        <v>4.9757999999999996</v>
      </c>
      <c r="P1068">
        <v>3909.1</v>
      </c>
      <c r="Q1068">
        <v>961.94</v>
      </c>
      <c r="R1068">
        <v>3.8180000000000001</v>
      </c>
      <c r="S1068">
        <v>17.048999999999999</v>
      </c>
      <c r="T1068">
        <v>0.92817006631708199</v>
      </c>
      <c r="U1068">
        <v>0.79369998517360796</v>
      </c>
      <c r="V1068">
        <v>149.94599914550699</v>
      </c>
      <c r="W1068">
        <v>1.53244994277477</v>
      </c>
      <c r="X1068">
        <v>0.87980002164840698</v>
      </c>
    </row>
    <row r="1069" spans="1:24" x14ac:dyDescent="0.25">
      <c r="A1069" s="4">
        <v>45337</v>
      </c>
      <c r="B1069">
        <v>5.49</v>
      </c>
      <c r="C1069">
        <v>5.51</v>
      </c>
      <c r="D1069">
        <v>5.43</v>
      </c>
      <c r="E1069">
        <v>5.45</v>
      </c>
      <c r="F1069">
        <v>5.3</v>
      </c>
      <c r="G1069">
        <v>4.93</v>
      </c>
      <c r="H1069">
        <v>4.5599999999999996</v>
      </c>
      <c r="I1069">
        <v>4.3600000000000003</v>
      </c>
      <c r="J1069">
        <v>4.22</v>
      </c>
      <c r="K1069">
        <v>4.25</v>
      </c>
      <c r="L1069">
        <v>4.24</v>
      </c>
      <c r="M1069">
        <v>4.54</v>
      </c>
      <c r="N1069">
        <v>4.42</v>
      </c>
      <c r="O1069">
        <v>4.9706999999999999</v>
      </c>
      <c r="P1069">
        <v>3910</v>
      </c>
      <c r="Q1069">
        <v>959.86</v>
      </c>
      <c r="R1069">
        <v>3.84</v>
      </c>
      <c r="S1069">
        <v>17.045400000000001</v>
      </c>
      <c r="T1069">
        <v>0.93177994614551196</v>
      </c>
      <c r="U1069">
        <v>0.79565000311104295</v>
      </c>
      <c r="V1069">
        <v>150.54400634765599</v>
      </c>
      <c r="W1069">
        <v>1.53874605688215</v>
      </c>
      <c r="X1069">
        <v>0.88510000705718905</v>
      </c>
    </row>
    <row r="1070" spans="1:24" x14ac:dyDescent="0.25">
      <c r="A1070" s="4">
        <v>45336</v>
      </c>
      <c r="B1070">
        <v>5.48</v>
      </c>
      <c r="C1070">
        <v>5.51</v>
      </c>
      <c r="D1070">
        <v>5.43</v>
      </c>
      <c r="E1070">
        <v>5.45</v>
      </c>
      <c r="F1070">
        <v>5.31</v>
      </c>
      <c r="G1070">
        <v>4.9400000000000004</v>
      </c>
      <c r="H1070">
        <v>4.5599999999999996</v>
      </c>
      <c r="I1070">
        <v>4.38</v>
      </c>
      <c r="J1070">
        <v>4.25</v>
      </c>
      <c r="K1070">
        <v>4.2699999999999996</v>
      </c>
      <c r="L1070">
        <v>4.2699999999999996</v>
      </c>
      <c r="M1070">
        <v>4.57</v>
      </c>
      <c r="N1070">
        <v>4.45</v>
      </c>
      <c r="O1070">
        <v>4.9720000000000004</v>
      </c>
      <c r="P1070">
        <v>3918</v>
      </c>
      <c r="Q1070">
        <v>971.56</v>
      </c>
      <c r="R1070">
        <v>3.8740000000000001</v>
      </c>
      <c r="S1070">
        <v>17.102900000000002</v>
      </c>
      <c r="T1070">
        <v>0.933799961996161</v>
      </c>
      <c r="U1070">
        <v>0.79423999969702097</v>
      </c>
      <c r="V1070">
        <v>150.72399902343699</v>
      </c>
      <c r="W1070">
        <v>1.54957099408913</v>
      </c>
      <c r="X1070">
        <v>0.88740998506545998</v>
      </c>
    </row>
    <row r="1071" spans="1:24" x14ac:dyDescent="0.25">
      <c r="A1071" s="4">
        <v>45335</v>
      </c>
      <c r="B1071">
        <v>5.48</v>
      </c>
      <c r="C1071">
        <v>5.52</v>
      </c>
      <c r="D1071">
        <v>5.45</v>
      </c>
      <c r="E1071">
        <v>5.46</v>
      </c>
      <c r="F1071">
        <v>5.32</v>
      </c>
      <c r="G1071">
        <v>4.99</v>
      </c>
      <c r="H1071">
        <v>4.6399999999999997</v>
      </c>
      <c r="I1071">
        <v>4.4400000000000004</v>
      </c>
      <c r="J1071">
        <v>4.3099999999999996</v>
      </c>
      <c r="K1071">
        <v>4.33</v>
      </c>
      <c r="L1071">
        <v>4.3099999999999996</v>
      </c>
      <c r="M1071">
        <v>4.59</v>
      </c>
      <c r="N1071">
        <v>4.46</v>
      </c>
      <c r="O1071">
        <v>4.9714</v>
      </c>
      <c r="P1071">
        <v>3924.25</v>
      </c>
      <c r="Q1071">
        <v>972.22</v>
      </c>
      <c r="R1071">
        <v>3.883</v>
      </c>
      <c r="S1071">
        <v>17.223800000000001</v>
      </c>
      <c r="T1071">
        <v>0.92830996311596503</v>
      </c>
      <c r="U1071">
        <v>0.79191998071888203</v>
      </c>
      <c r="V1071">
        <v>149.40499877929599</v>
      </c>
      <c r="W1071">
        <v>1.5316519370578301</v>
      </c>
      <c r="X1071">
        <v>0.87580001354217496</v>
      </c>
    </row>
    <row r="1072" spans="1:24" x14ac:dyDescent="0.25">
      <c r="A1072" s="4">
        <v>45334</v>
      </c>
      <c r="B1072">
        <v>5.49</v>
      </c>
      <c r="C1072">
        <v>5.51</v>
      </c>
      <c r="D1072">
        <v>5.43</v>
      </c>
      <c r="E1072">
        <v>5.43</v>
      </c>
      <c r="F1072">
        <v>5.27</v>
      </c>
      <c r="G1072">
        <v>4.87</v>
      </c>
      <c r="H1072">
        <v>4.46</v>
      </c>
      <c r="I1072">
        <v>4.25</v>
      </c>
      <c r="J1072">
        <v>4.13</v>
      </c>
      <c r="K1072">
        <v>4.16</v>
      </c>
      <c r="L1072">
        <v>4.17</v>
      </c>
      <c r="M1072">
        <v>4.4800000000000004</v>
      </c>
      <c r="N1072">
        <v>4.37</v>
      </c>
      <c r="O1072">
        <v>4.9714</v>
      </c>
      <c r="P1072">
        <v>3914.25</v>
      </c>
      <c r="Q1072">
        <v>968.73</v>
      </c>
      <c r="R1072">
        <v>3.867</v>
      </c>
      <c r="S1072">
        <v>17.096699999999998</v>
      </c>
      <c r="T1072">
        <v>0.92608003652827298</v>
      </c>
      <c r="U1072">
        <v>0.79131003068415195</v>
      </c>
      <c r="V1072">
        <v>149.16700744628901</v>
      </c>
      <c r="W1072">
        <v>1.5324300664808601</v>
      </c>
      <c r="X1072">
        <v>0.87415999174117998</v>
      </c>
    </row>
    <row r="1073" spans="1:24" x14ac:dyDescent="0.25">
      <c r="A1073" s="4">
        <v>45331</v>
      </c>
      <c r="B1073">
        <v>5.49</v>
      </c>
      <c r="C1073">
        <v>5.51</v>
      </c>
      <c r="D1073">
        <v>5.44</v>
      </c>
      <c r="E1073">
        <v>5.43</v>
      </c>
      <c r="F1073">
        <v>5.26</v>
      </c>
      <c r="G1073">
        <v>4.8600000000000003</v>
      </c>
      <c r="H1073">
        <v>4.4800000000000004</v>
      </c>
      <c r="I1073">
        <v>4.25</v>
      </c>
      <c r="J1073">
        <v>4.1399999999999997</v>
      </c>
      <c r="K1073">
        <v>4.17</v>
      </c>
      <c r="L1073">
        <v>4.17</v>
      </c>
      <c r="M1073">
        <v>4.4800000000000004</v>
      </c>
      <c r="N1073">
        <v>4.37</v>
      </c>
      <c r="O1073">
        <v>4.9714</v>
      </c>
      <c r="P1073">
        <v>3922.63</v>
      </c>
      <c r="Q1073">
        <v>957.86</v>
      </c>
      <c r="R1073">
        <v>3.8620000000000001</v>
      </c>
      <c r="S1073">
        <v>17.088699999999999</v>
      </c>
      <c r="T1073">
        <v>0.92788003296677601</v>
      </c>
      <c r="U1073">
        <v>0.792360041651616</v>
      </c>
      <c r="V1073">
        <v>149.25900268554599</v>
      </c>
      <c r="W1073">
        <v>1.53902991818395</v>
      </c>
      <c r="X1073">
        <v>0.87344998121261597</v>
      </c>
    </row>
    <row r="1074" spans="1:24" x14ac:dyDescent="0.25">
      <c r="A1074" s="4">
        <v>45330</v>
      </c>
      <c r="B1074">
        <v>5.49</v>
      </c>
      <c r="C1074">
        <v>5.51</v>
      </c>
      <c r="D1074">
        <v>5.44</v>
      </c>
      <c r="E1074">
        <v>5.42</v>
      </c>
      <c r="F1074">
        <v>5.24</v>
      </c>
      <c r="G1074">
        <v>4.83</v>
      </c>
      <c r="H1074">
        <v>4.46</v>
      </c>
      <c r="I1074">
        <v>4.22</v>
      </c>
      <c r="J1074">
        <v>4.12</v>
      </c>
      <c r="K1074">
        <v>4.1500000000000004</v>
      </c>
      <c r="L1074">
        <v>4.1500000000000004</v>
      </c>
      <c r="M1074">
        <v>4.47</v>
      </c>
      <c r="N1074">
        <v>4.3600000000000003</v>
      </c>
      <c r="O1074">
        <v>4.9801000000000002</v>
      </c>
      <c r="P1074">
        <v>3949</v>
      </c>
      <c r="Q1074">
        <v>947.9</v>
      </c>
      <c r="R1074">
        <v>3.86</v>
      </c>
      <c r="S1074">
        <v>17.1646</v>
      </c>
      <c r="T1074">
        <v>0.92800998655766298</v>
      </c>
      <c r="U1074">
        <v>0.79192999876423298</v>
      </c>
      <c r="V1074">
        <v>148.08599853515599</v>
      </c>
      <c r="W1074">
        <v>1.5333000667160099</v>
      </c>
      <c r="X1074">
        <v>0.87391000986099199</v>
      </c>
    </row>
    <row r="1075" spans="1:24" x14ac:dyDescent="0.25">
      <c r="A1075" s="4">
        <v>45329</v>
      </c>
      <c r="B1075">
        <v>5.47</v>
      </c>
      <c r="C1075">
        <v>5.49</v>
      </c>
      <c r="D1075">
        <v>5.43</v>
      </c>
      <c r="E1075">
        <v>5.4</v>
      </c>
      <c r="F1075">
        <v>5.23</v>
      </c>
      <c r="G1075">
        <v>4.83</v>
      </c>
      <c r="H1075">
        <v>4.41</v>
      </c>
      <c r="I1075">
        <v>4.16</v>
      </c>
      <c r="J1075">
        <v>4.0599999999999996</v>
      </c>
      <c r="K1075">
        <v>4.09</v>
      </c>
      <c r="L1075">
        <v>4.09</v>
      </c>
      <c r="M1075">
        <v>4.41</v>
      </c>
      <c r="N1075">
        <v>4.3099999999999996</v>
      </c>
      <c r="O1075">
        <v>4.9604999999999997</v>
      </c>
      <c r="P1075">
        <v>3960</v>
      </c>
      <c r="Q1075">
        <v>949.81</v>
      </c>
      <c r="R1075">
        <v>3.8410000000000002</v>
      </c>
      <c r="S1075">
        <v>17.072399999999998</v>
      </c>
      <c r="T1075">
        <v>0.92960997664729195</v>
      </c>
      <c r="U1075">
        <v>0.79323998214677405</v>
      </c>
      <c r="V1075">
        <v>147.81799316406199</v>
      </c>
      <c r="W1075">
        <v>1.5314699000709799</v>
      </c>
      <c r="X1075">
        <v>0.86949998140335005</v>
      </c>
    </row>
    <row r="1076" spans="1:24" x14ac:dyDescent="0.25">
      <c r="A1076" s="4">
        <v>45328</v>
      </c>
      <c r="B1076">
        <v>5.48</v>
      </c>
      <c r="C1076">
        <v>5.5</v>
      </c>
      <c r="D1076">
        <v>5.44</v>
      </c>
      <c r="E1076">
        <v>5.41</v>
      </c>
      <c r="F1076">
        <v>5.23</v>
      </c>
      <c r="G1076">
        <v>4.82</v>
      </c>
      <c r="H1076">
        <v>4.3899999999999997</v>
      </c>
      <c r="I1076">
        <v>4.1399999999999997</v>
      </c>
      <c r="J1076">
        <v>4.03</v>
      </c>
      <c r="K1076">
        <v>4.07</v>
      </c>
      <c r="L1076">
        <v>4.09</v>
      </c>
      <c r="M1076">
        <v>4.3899999999999997</v>
      </c>
      <c r="N1076">
        <v>4.29</v>
      </c>
      <c r="O1076">
        <v>4.9683999999999999</v>
      </c>
      <c r="P1076">
        <v>3956</v>
      </c>
      <c r="Q1076">
        <v>955.73</v>
      </c>
      <c r="R1076">
        <v>3.8610000000000002</v>
      </c>
      <c r="S1076">
        <v>17.056000000000001</v>
      </c>
      <c r="T1076">
        <v>0.930939980363783</v>
      </c>
      <c r="U1076">
        <v>0.797800027104974</v>
      </c>
      <c r="V1076">
        <v>148.63999938964801</v>
      </c>
      <c r="W1076">
        <v>1.5431400366147201</v>
      </c>
      <c r="X1076">
        <v>0.87070000171661299</v>
      </c>
    </row>
    <row r="1077" spans="1:24" x14ac:dyDescent="0.25">
      <c r="A1077" s="4">
        <v>45327</v>
      </c>
      <c r="B1077">
        <v>5.49</v>
      </c>
      <c r="C1077">
        <v>5.5</v>
      </c>
      <c r="D1077">
        <v>5.42</v>
      </c>
      <c r="E1077">
        <v>5.42</v>
      </c>
      <c r="F1077">
        <v>5.25</v>
      </c>
      <c r="G1077">
        <v>4.87</v>
      </c>
      <c r="H1077">
        <v>4.46</v>
      </c>
      <c r="I1077">
        <v>4.2699999999999996</v>
      </c>
      <c r="J1077">
        <v>4.13</v>
      </c>
      <c r="K1077">
        <v>4.16</v>
      </c>
      <c r="L1077">
        <v>4.17</v>
      </c>
      <c r="M1077">
        <v>4.46</v>
      </c>
      <c r="N1077">
        <v>4.3499999999999996</v>
      </c>
      <c r="O1077">
        <v>5.0049999999999999</v>
      </c>
      <c r="P1077">
        <v>3957</v>
      </c>
      <c r="Q1077">
        <v>943.84</v>
      </c>
      <c r="R1077">
        <v>3.8610000000000002</v>
      </c>
      <c r="S1077">
        <v>17.146899999999999</v>
      </c>
      <c r="T1077">
        <v>0.92764003275035201</v>
      </c>
      <c r="U1077">
        <v>0.79227001491395899</v>
      </c>
      <c r="V1077">
        <v>148.50100708007801</v>
      </c>
      <c r="W1077">
        <v>1.5372600014990301</v>
      </c>
      <c r="X1077">
        <v>0.86698001623153598</v>
      </c>
    </row>
    <row r="1078" spans="1:24" x14ac:dyDescent="0.25">
      <c r="A1078" s="4">
        <v>45324</v>
      </c>
      <c r="B1078">
        <v>5.49</v>
      </c>
      <c r="C1078">
        <v>5.51</v>
      </c>
      <c r="D1078">
        <v>5.43</v>
      </c>
      <c r="E1078">
        <v>5.42</v>
      </c>
      <c r="F1078">
        <v>5.22</v>
      </c>
      <c r="G1078">
        <v>4.8099999999999996</v>
      </c>
      <c r="H1078">
        <v>4.3600000000000003</v>
      </c>
      <c r="I1078">
        <v>4.1399999999999997</v>
      </c>
      <c r="J1078">
        <v>3.99</v>
      </c>
      <c r="K1078">
        <v>4.0199999999999996</v>
      </c>
      <c r="L1078">
        <v>4.03</v>
      </c>
      <c r="M1078">
        <v>4.33</v>
      </c>
      <c r="N1078">
        <v>4.22</v>
      </c>
      <c r="O1078">
        <v>4.9467999999999996</v>
      </c>
      <c r="P1078">
        <v>3938.99</v>
      </c>
      <c r="Q1078">
        <v>936.01</v>
      </c>
      <c r="R1078">
        <v>3.83</v>
      </c>
      <c r="S1078">
        <v>17.146899999999999</v>
      </c>
      <c r="T1078">
        <v>0.91956998639380605</v>
      </c>
      <c r="U1078">
        <v>0.78447994423376499</v>
      </c>
      <c r="V1078">
        <v>146.45100402832</v>
      </c>
      <c r="W1078">
        <v>1.52093605850284</v>
      </c>
      <c r="X1078">
        <v>0.85762000083923295</v>
      </c>
    </row>
    <row r="1079" spans="1:24" x14ac:dyDescent="0.25">
      <c r="A1079" s="4">
        <v>45323</v>
      </c>
      <c r="B1079">
        <v>5.49</v>
      </c>
      <c r="C1079">
        <v>5.51</v>
      </c>
      <c r="D1079">
        <v>5.42</v>
      </c>
      <c r="E1079">
        <v>5.38</v>
      </c>
      <c r="F1079">
        <v>5.15</v>
      </c>
      <c r="G1079">
        <v>4.68</v>
      </c>
      <c r="H1079">
        <v>4.2</v>
      </c>
      <c r="I1079">
        <v>3.96</v>
      </c>
      <c r="J1079">
        <v>3.8</v>
      </c>
      <c r="K1079">
        <v>3.83</v>
      </c>
      <c r="L1079">
        <v>3.87</v>
      </c>
      <c r="M1079">
        <v>4.21</v>
      </c>
      <c r="N1079">
        <v>4.0999999999999996</v>
      </c>
      <c r="O1079">
        <v>4.9347000000000003</v>
      </c>
      <c r="P1079">
        <v>3888.99</v>
      </c>
      <c r="Q1079">
        <v>932.26</v>
      </c>
      <c r="R1079">
        <v>3.81</v>
      </c>
      <c r="S1079">
        <v>17.0915</v>
      </c>
      <c r="T1079">
        <v>0.92558996842651697</v>
      </c>
      <c r="U1079">
        <v>0.788740001132062</v>
      </c>
      <c r="V1079">
        <v>146.996002197265</v>
      </c>
      <c r="W1079">
        <v>1.5240399975182499</v>
      </c>
      <c r="X1079">
        <v>0.86233997344970703</v>
      </c>
    </row>
    <row r="1080" spans="1:24" x14ac:dyDescent="0.25">
      <c r="A1080" s="4">
        <v>45322</v>
      </c>
      <c r="B1080">
        <v>5.53</v>
      </c>
      <c r="C1080">
        <v>5.46</v>
      </c>
      <c r="D1080">
        <v>5.42</v>
      </c>
      <c r="E1080">
        <v>5.4</v>
      </c>
      <c r="F1080">
        <v>5.18</v>
      </c>
      <c r="G1080">
        <v>4.7300000000000004</v>
      </c>
      <c r="H1080">
        <v>4.2699999999999996</v>
      </c>
      <c r="I1080">
        <v>4.05</v>
      </c>
      <c r="J1080">
        <v>3.91</v>
      </c>
      <c r="K1080">
        <v>3.95</v>
      </c>
      <c r="L1080">
        <v>3.99</v>
      </c>
      <c r="M1080">
        <v>4.34</v>
      </c>
      <c r="N1080">
        <v>4.22</v>
      </c>
      <c r="O1080">
        <v>4.9531999999999998</v>
      </c>
      <c r="P1080">
        <v>3911.6</v>
      </c>
      <c r="Q1080">
        <v>932.66</v>
      </c>
      <c r="R1080">
        <v>3.8079999999999998</v>
      </c>
      <c r="S1080">
        <v>17.133600000000001</v>
      </c>
      <c r="T1080">
        <v>0.922219988054225</v>
      </c>
      <c r="U1080">
        <v>0.78767995581499495</v>
      </c>
      <c r="V1080">
        <v>147.36900329589801</v>
      </c>
      <c r="W1080">
        <v>1.5163459939408399</v>
      </c>
      <c r="X1080">
        <v>0.86185997724533003</v>
      </c>
    </row>
    <row r="1081" spans="1:24" x14ac:dyDescent="0.25">
      <c r="A1081" s="4">
        <v>45321</v>
      </c>
      <c r="B1081">
        <v>5.53</v>
      </c>
      <c r="C1081">
        <v>5.47</v>
      </c>
      <c r="D1081">
        <v>5.42</v>
      </c>
      <c r="E1081">
        <v>5.38</v>
      </c>
      <c r="F1081">
        <v>5.19</v>
      </c>
      <c r="G1081">
        <v>4.8</v>
      </c>
      <c r="H1081">
        <v>4.3600000000000003</v>
      </c>
      <c r="I1081">
        <v>4.1399999999999997</v>
      </c>
      <c r="J1081">
        <v>4</v>
      </c>
      <c r="K1081">
        <v>4.03</v>
      </c>
      <c r="L1081">
        <v>4.0599999999999996</v>
      </c>
      <c r="M1081">
        <v>4.4000000000000004</v>
      </c>
      <c r="N1081">
        <v>4.28</v>
      </c>
      <c r="O1081">
        <v>4.9634999999999998</v>
      </c>
      <c r="P1081">
        <v>3918.35</v>
      </c>
      <c r="Q1081">
        <v>927.63</v>
      </c>
      <c r="R1081">
        <v>3.8069999999999999</v>
      </c>
      <c r="S1081">
        <v>17.148499999999999</v>
      </c>
      <c r="T1081">
        <v>0.92297999705785605</v>
      </c>
      <c r="U1081">
        <v>0.78658004911361901</v>
      </c>
      <c r="V1081">
        <v>147.468002319335</v>
      </c>
      <c r="W1081">
        <v>1.5118998966997299</v>
      </c>
      <c r="X1081">
        <v>0.86132001876830999</v>
      </c>
    </row>
    <row r="1082" spans="1:24" x14ac:dyDescent="0.25">
      <c r="A1082" s="4">
        <v>45320</v>
      </c>
      <c r="B1082">
        <v>5.53</v>
      </c>
      <c r="C1082">
        <v>5.46</v>
      </c>
      <c r="D1082">
        <v>5.42</v>
      </c>
      <c r="E1082">
        <v>5.37</v>
      </c>
      <c r="F1082">
        <v>5.19</v>
      </c>
      <c r="G1082">
        <v>4.76</v>
      </c>
      <c r="H1082">
        <v>4.29</v>
      </c>
      <c r="I1082">
        <v>4.0999999999999996</v>
      </c>
      <c r="J1082">
        <v>3.97</v>
      </c>
      <c r="K1082">
        <v>4.0199999999999996</v>
      </c>
      <c r="L1082">
        <v>4.08</v>
      </c>
      <c r="M1082">
        <v>4.42</v>
      </c>
      <c r="N1082">
        <v>4.3099999999999996</v>
      </c>
      <c r="O1082">
        <v>4.9222000000000001</v>
      </c>
      <c r="P1082">
        <v>3931</v>
      </c>
      <c r="Q1082">
        <v>916.16</v>
      </c>
      <c r="R1082">
        <v>3.8090000000000002</v>
      </c>
      <c r="S1082">
        <v>17.217400000000001</v>
      </c>
      <c r="T1082">
        <v>0.92220995092237401</v>
      </c>
      <c r="U1082">
        <v>0.787549951767469</v>
      </c>
      <c r="V1082">
        <v>148.13999938964801</v>
      </c>
      <c r="W1082">
        <v>1.5200800285510701</v>
      </c>
      <c r="X1082">
        <v>0.86413997411727905</v>
      </c>
    </row>
    <row r="1083" spans="1:24" x14ac:dyDescent="0.25">
      <c r="A1083" s="4">
        <v>45317</v>
      </c>
      <c r="B1083">
        <v>5.54</v>
      </c>
      <c r="C1083">
        <v>5.45</v>
      </c>
      <c r="D1083">
        <v>5.44</v>
      </c>
      <c r="E1083">
        <v>5.39</v>
      </c>
      <c r="F1083">
        <v>5.19</v>
      </c>
      <c r="G1083">
        <v>4.78</v>
      </c>
      <c r="H1083">
        <v>4.34</v>
      </c>
      <c r="I1083">
        <v>4.1500000000000004</v>
      </c>
      <c r="J1083">
        <v>4.04</v>
      </c>
      <c r="K1083">
        <v>4.0999999999999996</v>
      </c>
      <c r="L1083">
        <v>4.1500000000000004</v>
      </c>
      <c r="M1083">
        <v>4.49</v>
      </c>
      <c r="N1083">
        <v>4.38</v>
      </c>
      <c r="O1083">
        <v>4.9122000000000003</v>
      </c>
      <c r="P1083">
        <v>3905</v>
      </c>
      <c r="Q1083">
        <v>910.97</v>
      </c>
      <c r="R1083">
        <v>3.7919999999999998</v>
      </c>
      <c r="S1083">
        <v>17.144300000000001</v>
      </c>
      <c r="T1083">
        <v>0.92190995170764001</v>
      </c>
      <c r="U1083">
        <v>0.78688994535788703</v>
      </c>
      <c r="V1083">
        <v>147.72300720214801</v>
      </c>
      <c r="W1083">
        <v>1.51839998884994</v>
      </c>
      <c r="X1083">
        <v>0.86690002679824796</v>
      </c>
    </row>
    <row r="1084" spans="1:24" x14ac:dyDescent="0.25">
      <c r="A1084" s="4">
        <v>45316</v>
      </c>
      <c r="B1084">
        <v>5.54</v>
      </c>
      <c r="C1084">
        <v>5.48</v>
      </c>
      <c r="D1084">
        <v>5.44</v>
      </c>
      <c r="E1084">
        <v>5.39</v>
      </c>
      <c r="F1084">
        <v>5.19</v>
      </c>
      <c r="G1084">
        <v>4.76</v>
      </c>
      <c r="H1084">
        <v>4.28</v>
      </c>
      <c r="I1084">
        <v>4.12</v>
      </c>
      <c r="J1084">
        <v>4.01</v>
      </c>
      <c r="K1084">
        <v>4.07</v>
      </c>
      <c r="L1084">
        <v>4.1399999999999997</v>
      </c>
      <c r="M1084">
        <v>4.49</v>
      </c>
      <c r="N1084">
        <v>4.38</v>
      </c>
      <c r="O1084">
        <v>4.9229000000000003</v>
      </c>
      <c r="P1084">
        <v>3943.06</v>
      </c>
      <c r="Q1084">
        <v>908.51</v>
      </c>
      <c r="R1084">
        <v>3.7629999999999999</v>
      </c>
      <c r="S1084">
        <v>17.2105</v>
      </c>
      <c r="T1084">
        <v>0.91896998687155595</v>
      </c>
      <c r="U1084">
        <v>0.78623996088955195</v>
      </c>
      <c r="V1084">
        <v>147.59100341796801</v>
      </c>
      <c r="W1084">
        <v>1.5205199119655901</v>
      </c>
      <c r="X1084">
        <v>0.86302000284194902</v>
      </c>
    </row>
    <row r="1085" spans="1:24" x14ac:dyDescent="0.25">
      <c r="A1085" s="4">
        <v>45315</v>
      </c>
      <c r="B1085">
        <v>5.52</v>
      </c>
      <c r="C1085">
        <v>5.44</v>
      </c>
      <c r="D1085">
        <v>5.44</v>
      </c>
      <c r="E1085">
        <v>5.4</v>
      </c>
      <c r="F1085">
        <v>5.22</v>
      </c>
      <c r="G1085">
        <v>4.83</v>
      </c>
      <c r="H1085">
        <v>4.34</v>
      </c>
      <c r="I1085">
        <v>4.1900000000000004</v>
      </c>
      <c r="J1085">
        <v>4.0599999999999996</v>
      </c>
      <c r="K1085">
        <v>4.1399999999999997</v>
      </c>
      <c r="L1085">
        <v>4.18</v>
      </c>
      <c r="M1085">
        <v>4.5199999999999996</v>
      </c>
      <c r="N1085">
        <v>4.41</v>
      </c>
      <c r="O1085">
        <v>4.9188999999999998</v>
      </c>
      <c r="P1085">
        <v>3912</v>
      </c>
      <c r="Q1085">
        <v>908.87</v>
      </c>
      <c r="R1085">
        <v>3.7589999999999999</v>
      </c>
      <c r="S1085">
        <v>17.212800000000001</v>
      </c>
      <c r="T1085">
        <v>0.92098999028463302</v>
      </c>
      <c r="U1085">
        <v>0.78789998077355305</v>
      </c>
      <c r="V1085">
        <v>148.25100708007801</v>
      </c>
      <c r="W1085">
        <v>1.5183029759604001</v>
      </c>
      <c r="X1085">
        <v>0.86959999799728305</v>
      </c>
    </row>
    <row r="1086" spans="1:24" x14ac:dyDescent="0.25">
      <c r="A1086" s="4">
        <v>45314</v>
      </c>
      <c r="B1086">
        <v>5.53</v>
      </c>
      <c r="C1086">
        <v>5.46</v>
      </c>
      <c r="D1086">
        <v>5.45</v>
      </c>
      <c r="E1086">
        <v>5.38</v>
      </c>
      <c r="F1086">
        <v>5.21</v>
      </c>
      <c r="G1086">
        <v>4.8099999999999996</v>
      </c>
      <c r="H1086">
        <v>4.3099999999999996</v>
      </c>
      <c r="I1086">
        <v>4.16</v>
      </c>
      <c r="J1086">
        <v>4.0599999999999996</v>
      </c>
      <c r="K1086">
        <v>4.1100000000000003</v>
      </c>
      <c r="L1086">
        <v>4.1399999999999997</v>
      </c>
      <c r="M1086">
        <v>4.4800000000000004</v>
      </c>
      <c r="N1086">
        <v>4.38</v>
      </c>
      <c r="O1086">
        <v>4.9711999999999996</v>
      </c>
      <c r="P1086">
        <v>3961.45</v>
      </c>
      <c r="Q1086">
        <v>905.63</v>
      </c>
      <c r="R1086">
        <v>3.7669999999999999</v>
      </c>
      <c r="S1086">
        <v>17.317900000000002</v>
      </c>
      <c r="T1086">
        <v>0.91909997402207799</v>
      </c>
      <c r="U1086">
        <v>0.78697004158030204</v>
      </c>
      <c r="V1086">
        <v>148.141998291015</v>
      </c>
      <c r="W1086">
        <v>1.52193110132345</v>
      </c>
      <c r="X1086">
        <v>0.86912000179290705</v>
      </c>
    </row>
    <row r="1087" spans="1:24" x14ac:dyDescent="0.25">
      <c r="A1087" s="4">
        <v>45313</v>
      </c>
      <c r="B1087">
        <v>5.53</v>
      </c>
      <c r="C1087">
        <v>5.47</v>
      </c>
      <c r="D1087">
        <v>5.46</v>
      </c>
      <c r="E1087">
        <v>5.39</v>
      </c>
      <c r="F1087">
        <v>5.22</v>
      </c>
      <c r="G1087">
        <v>4.83</v>
      </c>
      <c r="H1087">
        <v>4.37</v>
      </c>
      <c r="I1087">
        <v>4.1399999999999997</v>
      </c>
      <c r="J1087">
        <v>4.03</v>
      </c>
      <c r="K1087">
        <v>4.07</v>
      </c>
      <c r="L1087">
        <v>4.1100000000000003</v>
      </c>
      <c r="M1087">
        <v>4.4400000000000004</v>
      </c>
      <c r="N1087">
        <v>4.32</v>
      </c>
      <c r="O1087">
        <v>4.9486999999999997</v>
      </c>
      <c r="P1087">
        <v>3904.5</v>
      </c>
      <c r="Q1087">
        <v>910.73</v>
      </c>
      <c r="R1087">
        <v>3.7389999999999999</v>
      </c>
      <c r="S1087">
        <v>17.183900000000001</v>
      </c>
      <c r="T1087">
        <v>0.91807999478172597</v>
      </c>
      <c r="U1087">
        <v>0.78741001244858599</v>
      </c>
      <c r="V1087">
        <v>148.121002197265</v>
      </c>
      <c r="W1087">
        <v>1.5161900479134101</v>
      </c>
      <c r="X1087">
        <v>0.86848002672195401</v>
      </c>
    </row>
    <row r="1088" spans="1:24" x14ac:dyDescent="0.25">
      <c r="A1088" s="4">
        <v>45310</v>
      </c>
      <c r="B1088">
        <v>5.54</v>
      </c>
      <c r="C1088">
        <v>5.47</v>
      </c>
      <c r="D1088">
        <v>5.45</v>
      </c>
      <c r="E1088">
        <v>5.39</v>
      </c>
      <c r="F1088">
        <v>5.21</v>
      </c>
      <c r="G1088">
        <v>4.84</v>
      </c>
      <c r="H1088">
        <v>4.3899999999999997</v>
      </c>
      <c r="I1088">
        <v>4.18</v>
      </c>
      <c r="J1088">
        <v>4.08</v>
      </c>
      <c r="K1088">
        <v>4.12</v>
      </c>
      <c r="L1088">
        <v>4.1500000000000004</v>
      </c>
      <c r="M1088">
        <v>4.47</v>
      </c>
      <c r="N1088">
        <v>4.3600000000000003</v>
      </c>
      <c r="O1088">
        <v>4.9219999999999997</v>
      </c>
      <c r="P1088">
        <v>3912.77</v>
      </c>
      <c r="Q1088">
        <v>918.62</v>
      </c>
      <c r="R1088">
        <v>3.74</v>
      </c>
      <c r="S1088">
        <v>17.096699999999998</v>
      </c>
      <c r="T1088">
        <v>0.91919000991333899</v>
      </c>
      <c r="U1088">
        <v>0.78679001404357696</v>
      </c>
      <c r="V1088">
        <v>148.128005981445</v>
      </c>
      <c r="W1088">
        <v>1.51909992066411</v>
      </c>
      <c r="X1088">
        <v>0.86808001995086603</v>
      </c>
    </row>
    <row r="1089" spans="1:24" x14ac:dyDescent="0.25">
      <c r="A1089" s="4">
        <v>45309</v>
      </c>
      <c r="B1089">
        <v>5.53</v>
      </c>
      <c r="C1089">
        <v>5.48</v>
      </c>
      <c r="D1089">
        <v>5.45</v>
      </c>
      <c r="E1089">
        <v>5.39</v>
      </c>
      <c r="F1089">
        <v>5.2</v>
      </c>
      <c r="G1089">
        <v>4.8</v>
      </c>
      <c r="H1089">
        <v>4.34</v>
      </c>
      <c r="I1089">
        <v>4.13</v>
      </c>
      <c r="J1089">
        <v>4.04</v>
      </c>
      <c r="K1089">
        <v>4.0999999999999996</v>
      </c>
      <c r="L1089">
        <v>4.1399999999999997</v>
      </c>
      <c r="M1089">
        <v>4.4800000000000004</v>
      </c>
      <c r="N1089">
        <v>4.37</v>
      </c>
      <c r="O1089">
        <v>4.9400000000000004</v>
      </c>
      <c r="P1089">
        <v>3912</v>
      </c>
      <c r="Q1089">
        <v>926.77</v>
      </c>
      <c r="R1089">
        <v>3.7450000000000001</v>
      </c>
      <c r="S1089">
        <v>17.190100000000001</v>
      </c>
      <c r="T1089">
        <v>0.91863003947807897</v>
      </c>
      <c r="U1089">
        <v>0.78883998335167904</v>
      </c>
      <c r="V1089">
        <v>148.11799621582</v>
      </c>
      <c r="W1089">
        <v>1.5262520709710301</v>
      </c>
      <c r="X1089">
        <v>0.86432200670242298</v>
      </c>
    </row>
    <row r="1090" spans="1:24" x14ac:dyDescent="0.25">
      <c r="A1090" s="4">
        <v>45308</v>
      </c>
      <c r="B1090">
        <v>5.54</v>
      </c>
      <c r="C1090">
        <v>5.47</v>
      </c>
      <c r="D1090">
        <v>5.47</v>
      </c>
      <c r="E1090">
        <v>5.4</v>
      </c>
      <c r="F1090">
        <v>5.2</v>
      </c>
      <c r="G1090">
        <v>4.8</v>
      </c>
      <c r="H1090">
        <v>4.34</v>
      </c>
      <c r="I1090">
        <v>4.12</v>
      </c>
      <c r="J1090">
        <v>4.0199999999999996</v>
      </c>
      <c r="K1090">
        <v>4.07</v>
      </c>
      <c r="L1090">
        <v>4.0999999999999996</v>
      </c>
      <c r="M1090">
        <v>4.42</v>
      </c>
      <c r="N1090">
        <v>4.3099999999999996</v>
      </c>
      <c r="O1090">
        <v>4.9343000000000004</v>
      </c>
      <c r="P1090">
        <v>3966.5</v>
      </c>
      <c r="Q1090">
        <v>922.06</v>
      </c>
      <c r="R1090">
        <v>3.7429999999999999</v>
      </c>
      <c r="S1090">
        <v>17.230399999999999</v>
      </c>
      <c r="T1090">
        <v>0.91921992506950001</v>
      </c>
      <c r="U1090">
        <v>0.79123001883420996</v>
      </c>
      <c r="V1090">
        <v>147.246002197265</v>
      </c>
      <c r="W1090">
        <v>1.51770399680125</v>
      </c>
      <c r="X1090">
        <v>0.86129999160766602</v>
      </c>
    </row>
    <row r="1091" spans="1:24" x14ac:dyDescent="0.25">
      <c r="A1091" s="4">
        <v>45307</v>
      </c>
      <c r="B1091">
        <v>5.54</v>
      </c>
      <c r="C1091">
        <v>5.47</v>
      </c>
      <c r="D1091">
        <v>5.45</v>
      </c>
      <c r="E1091">
        <v>5.37</v>
      </c>
      <c r="F1091">
        <v>5.18</v>
      </c>
      <c r="G1091">
        <v>4.7</v>
      </c>
      <c r="H1091">
        <v>4.22</v>
      </c>
      <c r="I1091">
        <v>4.0199999999999996</v>
      </c>
      <c r="J1091">
        <v>3.95</v>
      </c>
      <c r="K1091">
        <v>4.01</v>
      </c>
      <c r="L1091">
        <v>4.07</v>
      </c>
      <c r="M1091">
        <v>4.43</v>
      </c>
      <c r="N1091">
        <v>4.3</v>
      </c>
      <c r="O1091">
        <v>4.9035000000000002</v>
      </c>
      <c r="P1091">
        <v>3943</v>
      </c>
      <c r="Q1091">
        <v>912.02</v>
      </c>
      <c r="R1091">
        <v>3.72</v>
      </c>
      <c r="S1091">
        <v>17.1874</v>
      </c>
      <c r="T1091">
        <v>0.91360004426086605</v>
      </c>
      <c r="U1091">
        <v>0.78640005249786704</v>
      </c>
      <c r="V1091">
        <v>145.79400634765599</v>
      </c>
      <c r="W1091">
        <v>1.5036690504403301</v>
      </c>
      <c r="X1091">
        <v>0.85597997903823797</v>
      </c>
    </row>
    <row r="1092" spans="1:24" x14ac:dyDescent="0.25">
      <c r="A1092" s="4">
        <v>45303</v>
      </c>
      <c r="B1092">
        <v>5.55</v>
      </c>
      <c r="C1092">
        <v>5.47</v>
      </c>
      <c r="D1092">
        <v>5.45</v>
      </c>
      <c r="E1092">
        <v>5.37</v>
      </c>
      <c r="F1092">
        <v>5.16</v>
      </c>
      <c r="G1092">
        <v>4.6500000000000004</v>
      </c>
      <c r="H1092">
        <v>4.1399999999999997</v>
      </c>
      <c r="I1092">
        <v>3.92</v>
      </c>
      <c r="J1092">
        <v>3.84</v>
      </c>
      <c r="K1092">
        <v>3.91</v>
      </c>
      <c r="L1092">
        <v>3.96</v>
      </c>
      <c r="M1092">
        <v>4.32</v>
      </c>
      <c r="N1092">
        <v>4.2</v>
      </c>
      <c r="O1092">
        <v>4.8540000000000001</v>
      </c>
      <c r="P1092">
        <v>3909</v>
      </c>
      <c r="Q1092">
        <v>911.37</v>
      </c>
      <c r="R1092">
        <v>3.6949999999999998</v>
      </c>
      <c r="S1092">
        <v>16.861599999999999</v>
      </c>
      <c r="T1092">
        <v>0.91061004171155702</v>
      </c>
      <c r="U1092">
        <v>0.78261000177352602</v>
      </c>
      <c r="V1092">
        <v>145.04600524902301</v>
      </c>
      <c r="W1092">
        <v>1.4928719551992899</v>
      </c>
      <c r="X1092">
        <v>0.85101002454757602</v>
      </c>
    </row>
    <row r="1093" spans="1:24" x14ac:dyDescent="0.25">
      <c r="A1093" s="4">
        <v>45302</v>
      </c>
      <c r="B1093">
        <v>5.54</v>
      </c>
      <c r="C1093">
        <v>5.47</v>
      </c>
      <c r="D1093">
        <v>5.46</v>
      </c>
      <c r="E1093">
        <v>5.38</v>
      </c>
      <c r="F1093">
        <v>5.22</v>
      </c>
      <c r="G1093">
        <v>4.75</v>
      </c>
      <c r="H1093">
        <v>4.26</v>
      </c>
      <c r="I1093">
        <v>4.0199999999999996</v>
      </c>
      <c r="J1093">
        <v>3.9</v>
      </c>
      <c r="K1093">
        <v>3.95</v>
      </c>
      <c r="L1093">
        <v>3.98</v>
      </c>
      <c r="M1093">
        <v>4.32</v>
      </c>
      <c r="N1093">
        <v>4.18</v>
      </c>
      <c r="O1093">
        <v>4.8791000000000002</v>
      </c>
      <c r="P1093">
        <v>3927.5</v>
      </c>
      <c r="Q1093">
        <v>919.07</v>
      </c>
      <c r="R1093">
        <v>3.6989999999999998</v>
      </c>
      <c r="S1093">
        <v>16.922799999999999</v>
      </c>
      <c r="T1093">
        <v>0.91114998170880501</v>
      </c>
      <c r="U1093">
        <v>0.78460996403009198</v>
      </c>
      <c r="V1093">
        <v>145.73399353027301</v>
      </c>
      <c r="W1093">
        <v>1.4916469910852601</v>
      </c>
      <c r="X1093">
        <v>0.850499987602233</v>
      </c>
    </row>
    <row r="1094" spans="1:24" x14ac:dyDescent="0.25">
      <c r="A1094" s="4">
        <v>45301</v>
      </c>
      <c r="B1094">
        <v>5.53</v>
      </c>
      <c r="C1094">
        <v>5.46</v>
      </c>
      <c r="D1094">
        <v>5.46</v>
      </c>
      <c r="E1094">
        <v>5.39</v>
      </c>
      <c r="F1094">
        <v>5.23</v>
      </c>
      <c r="G1094">
        <v>4.82</v>
      </c>
      <c r="H1094">
        <v>4.37</v>
      </c>
      <c r="I1094">
        <v>4.0999999999999996</v>
      </c>
      <c r="J1094">
        <v>3.99</v>
      </c>
      <c r="K1094">
        <v>4.01</v>
      </c>
      <c r="L1094">
        <v>4.04</v>
      </c>
      <c r="M1094">
        <v>4.3499999999999996</v>
      </c>
      <c r="N1094">
        <v>4.2</v>
      </c>
      <c r="O1094">
        <v>4.8898000000000001</v>
      </c>
      <c r="P1094">
        <v>3934</v>
      </c>
      <c r="Q1094">
        <v>914.71</v>
      </c>
      <c r="R1094">
        <v>3.6970000000000001</v>
      </c>
      <c r="S1094">
        <v>16.990300000000001</v>
      </c>
      <c r="T1094">
        <v>0.91471001824925702</v>
      </c>
      <c r="U1094">
        <v>0.78659996367349305</v>
      </c>
      <c r="V1094">
        <v>144.42799377441401</v>
      </c>
      <c r="W1094">
        <v>1.49595298967844</v>
      </c>
      <c r="X1094">
        <v>0.85237002372741699</v>
      </c>
    </row>
    <row r="1095" spans="1:24" x14ac:dyDescent="0.25">
      <c r="A1095" s="4">
        <v>45300</v>
      </c>
      <c r="B1095">
        <v>5.53</v>
      </c>
      <c r="C1095">
        <v>5.46</v>
      </c>
      <c r="D1095">
        <v>5.47</v>
      </c>
      <c r="E1095">
        <v>5.38</v>
      </c>
      <c r="F1095">
        <v>5.24</v>
      </c>
      <c r="G1095">
        <v>4.82</v>
      </c>
      <c r="H1095">
        <v>4.3600000000000003</v>
      </c>
      <c r="I1095">
        <v>4.09</v>
      </c>
      <c r="J1095">
        <v>3.97</v>
      </c>
      <c r="K1095">
        <v>4</v>
      </c>
      <c r="L1095">
        <v>4.0199999999999996</v>
      </c>
      <c r="M1095">
        <v>4.33</v>
      </c>
      <c r="N1095">
        <v>4.18</v>
      </c>
      <c r="O1095">
        <v>4.8933999999999997</v>
      </c>
      <c r="P1095">
        <v>3942</v>
      </c>
      <c r="Q1095">
        <v>901.31</v>
      </c>
      <c r="R1095">
        <v>3.706</v>
      </c>
      <c r="S1095">
        <v>16.957599999999999</v>
      </c>
      <c r="T1095">
        <v>0.91310003293801101</v>
      </c>
      <c r="U1095">
        <v>0.78460996403009198</v>
      </c>
      <c r="V1095">
        <v>144.22999572753901</v>
      </c>
      <c r="W1095">
        <v>1.4880949941774599</v>
      </c>
      <c r="X1095">
        <v>0.84789997339248602</v>
      </c>
    </row>
    <row r="1096" spans="1:24" x14ac:dyDescent="0.25">
      <c r="A1096" s="4">
        <v>45299</v>
      </c>
      <c r="B1096">
        <v>5.54</v>
      </c>
      <c r="C1096">
        <v>5.48</v>
      </c>
      <c r="D1096">
        <v>5.49</v>
      </c>
      <c r="E1096">
        <v>5.39</v>
      </c>
      <c r="F1096">
        <v>5.24</v>
      </c>
      <c r="G1096">
        <v>4.82</v>
      </c>
      <c r="H1096">
        <v>4.3600000000000003</v>
      </c>
      <c r="I1096">
        <v>4.1100000000000003</v>
      </c>
      <c r="J1096">
        <v>3.97</v>
      </c>
      <c r="K1096">
        <v>3.99</v>
      </c>
      <c r="L1096">
        <v>4.01</v>
      </c>
      <c r="M1096">
        <v>4.33</v>
      </c>
      <c r="N1096">
        <v>4.17</v>
      </c>
      <c r="O1096">
        <v>4.8846999999999996</v>
      </c>
      <c r="P1096">
        <v>3873</v>
      </c>
      <c r="Q1096">
        <v>893.07</v>
      </c>
      <c r="R1096">
        <v>3.6960000000000002</v>
      </c>
      <c r="S1096">
        <v>16.809999999999999</v>
      </c>
      <c r="T1096">
        <v>0.91388997923850801</v>
      </c>
      <c r="U1096">
        <v>0.78630002445527003</v>
      </c>
      <c r="V1096">
        <v>144.71600341796801</v>
      </c>
      <c r="W1096">
        <v>1.48888999918443</v>
      </c>
      <c r="X1096">
        <v>0.85073000192642201</v>
      </c>
    </row>
    <row r="1097" spans="1:24" x14ac:dyDescent="0.25">
      <c r="A1097" s="4">
        <v>45296</v>
      </c>
      <c r="B1097">
        <v>5.54</v>
      </c>
      <c r="C1097">
        <v>5.48</v>
      </c>
      <c r="D1097">
        <v>5.47</v>
      </c>
      <c r="E1097">
        <v>5.41</v>
      </c>
      <c r="F1097">
        <v>5.24</v>
      </c>
      <c r="G1097">
        <v>4.84</v>
      </c>
      <c r="H1097">
        <v>4.4000000000000004</v>
      </c>
      <c r="I1097">
        <v>4.17</v>
      </c>
      <c r="J1097">
        <v>4.0199999999999996</v>
      </c>
      <c r="K1097">
        <v>4.04</v>
      </c>
      <c r="L1097">
        <v>4.05</v>
      </c>
      <c r="M1097">
        <v>4.37</v>
      </c>
      <c r="N1097">
        <v>4.21</v>
      </c>
      <c r="O1097">
        <v>4.8895999999999997</v>
      </c>
      <c r="P1097">
        <v>3873</v>
      </c>
      <c r="Q1097">
        <v>884.45</v>
      </c>
      <c r="R1097">
        <v>3.7160000000000002</v>
      </c>
      <c r="S1097">
        <v>16.883199999999999</v>
      </c>
      <c r="T1097">
        <v>0.91345996998475698</v>
      </c>
      <c r="U1097">
        <v>0.78838996648175697</v>
      </c>
      <c r="V1097">
        <v>144.76499938964801</v>
      </c>
      <c r="W1097">
        <v>1.4910700478394701</v>
      </c>
      <c r="X1097">
        <v>0.85000002384185702</v>
      </c>
    </row>
    <row r="1098" spans="1:24" x14ac:dyDescent="0.25">
      <c r="A1098" s="4">
        <v>45295</v>
      </c>
      <c r="B1098">
        <v>5.56</v>
      </c>
      <c r="C1098">
        <v>5.48</v>
      </c>
      <c r="D1098">
        <v>5.48</v>
      </c>
      <c r="E1098">
        <v>5.41</v>
      </c>
      <c r="F1098">
        <v>5.25</v>
      </c>
      <c r="G1098">
        <v>4.8499999999999996</v>
      </c>
      <c r="H1098">
        <v>4.38</v>
      </c>
      <c r="I1098">
        <v>4.1399999999999997</v>
      </c>
      <c r="J1098">
        <v>3.97</v>
      </c>
      <c r="K1098">
        <v>3.99</v>
      </c>
      <c r="L1098">
        <v>3.99</v>
      </c>
      <c r="M1098">
        <v>4.3</v>
      </c>
      <c r="N1098">
        <v>4.13</v>
      </c>
      <c r="O1098">
        <v>4.9184999999999999</v>
      </c>
      <c r="P1098">
        <v>3934.77</v>
      </c>
      <c r="Q1098">
        <v>884.39</v>
      </c>
      <c r="R1098">
        <v>3.7250000000000001</v>
      </c>
      <c r="S1098">
        <v>17.034800000000001</v>
      </c>
      <c r="T1098">
        <v>0.91509997517147601</v>
      </c>
      <c r="U1098">
        <v>0.788999948269132</v>
      </c>
      <c r="V1098">
        <v>142.99899291992099</v>
      </c>
      <c r="W1098">
        <v>1.4845600048915399</v>
      </c>
      <c r="X1098">
        <v>0.84890002012252797</v>
      </c>
    </row>
    <row r="1099" spans="1:24" x14ac:dyDescent="0.25">
      <c r="A1099" s="4">
        <v>45294</v>
      </c>
      <c r="B1099">
        <v>5.54</v>
      </c>
      <c r="C1099">
        <v>5.54</v>
      </c>
      <c r="D1099">
        <v>5.48</v>
      </c>
      <c r="E1099">
        <v>5.41</v>
      </c>
      <c r="F1099">
        <v>5.25</v>
      </c>
      <c r="G1099">
        <v>4.8099999999999996</v>
      </c>
      <c r="H1099">
        <v>4.33</v>
      </c>
      <c r="I1099">
        <v>4.07</v>
      </c>
      <c r="J1099">
        <v>3.9</v>
      </c>
      <c r="K1099">
        <v>3.92</v>
      </c>
      <c r="L1099">
        <v>3.91</v>
      </c>
      <c r="M1099">
        <v>4.21</v>
      </c>
      <c r="N1099">
        <v>4.05</v>
      </c>
      <c r="O1099">
        <v>4.9208999999999996</v>
      </c>
      <c r="P1099">
        <v>3922.5</v>
      </c>
      <c r="Q1099">
        <v>880.92</v>
      </c>
      <c r="R1099">
        <v>3.7330000000000001</v>
      </c>
      <c r="S1099">
        <v>17.0364</v>
      </c>
      <c r="T1099">
        <v>0.91393000531344004</v>
      </c>
      <c r="U1099">
        <v>0.79220005813578998</v>
      </c>
      <c r="V1099">
        <v>142.15499877929599</v>
      </c>
      <c r="W1099">
        <v>1.47804405584092</v>
      </c>
      <c r="X1099">
        <v>0.85012000799178999</v>
      </c>
    </row>
    <row r="1100" spans="1:24" x14ac:dyDescent="0.25">
      <c r="A1100" s="4">
        <v>45293</v>
      </c>
      <c r="B1100">
        <v>5.55</v>
      </c>
      <c r="C1100">
        <v>5.54</v>
      </c>
      <c r="D1100">
        <v>5.46</v>
      </c>
      <c r="E1100">
        <v>5.41</v>
      </c>
      <c r="F1100">
        <v>5.24</v>
      </c>
      <c r="G1100">
        <v>4.8</v>
      </c>
      <c r="H1100">
        <v>4.33</v>
      </c>
      <c r="I1100">
        <v>4.09</v>
      </c>
      <c r="J1100">
        <v>3.93</v>
      </c>
      <c r="K1100">
        <v>3.95</v>
      </c>
      <c r="L1100">
        <v>3.95</v>
      </c>
      <c r="M1100">
        <v>4.25</v>
      </c>
      <c r="N1100">
        <v>4.08</v>
      </c>
      <c r="O1100">
        <v>4.8913000000000002</v>
      </c>
      <c r="P1100">
        <v>3880</v>
      </c>
      <c r="Q1100">
        <v>877.12</v>
      </c>
      <c r="R1100">
        <v>3.7040000000000002</v>
      </c>
      <c r="S1100">
        <v>17.044</v>
      </c>
      <c r="T1100">
        <v>0.905900029276549</v>
      </c>
      <c r="U1100">
        <v>0.78561996356515995</v>
      </c>
      <c r="V1100">
        <v>141.12600708007801</v>
      </c>
      <c r="W1100">
        <v>1.4683200698749199</v>
      </c>
      <c r="X1100">
        <v>0.84188997745513905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</vt:lpstr>
      <vt:lpstr>Risk</vt:lpstr>
      <vt:lpstr>Q</vt:lpstr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RAMIREZ JOAQUIN ADRIAN</dc:creator>
  <cp:lastModifiedBy>RODRIGUEZ RAMIREZ JOAQUIN ADRIAN</cp:lastModifiedBy>
  <dcterms:created xsi:type="dcterms:W3CDTF">2026-04-03T17:08:00Z</dcterms:created>
  <dcterms:modified xsi:type="dcterms:W3CDTF">2026-04-08T11:13:01Z</dcterms:modified>
</cp:coreProperties>
</file>