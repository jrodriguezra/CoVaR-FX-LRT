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F068996-2539-43FC-9EA3-0A0DDDFB0E1B}" xr6:coauthVersionLast="47" xr6:coauthVersionMax="47" xr10:uidLastSave="{00000000-0000-0000-0000-000000000000}"/>
  <bookViews>
    <workbookView xWindow="-120" yWindow="-120" windowWidth="20730" windowHeight="11040" xr2:uid="{A5E3CFE4-95D0-4C8E-86EE-33210E569316}"/>
  </bookViews>
  <sheets>
    <sheet name="Risk" sheetId="2" r:id="rId1"/>
    <sheet name="Q" sheetId="1" r:id="rId2"/>
    <sheet name="Hist" sheetId="4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O6" i="4"/>
  <c r="P6" i="4"/>
  <c r="Q6" i="4"/>
  <c r="R6" i="4"/>
  <c r="S6" i="4"/>
  <c r="O7" i="4"/>
  <c r="P7" i="4"/>
  <c r="Q7" i="4"/>
  <c r="R7" i="4"/>
  <c r="S7" i="4"/>
  <c r="O8" i="4"/>
  <c r="P8" i="4"/>
  <c r="Q8" i="4"/>
  <c r="R8" i="4"/>
  <c r="S8" i="4"/>
  <c r="O9" i="4"/>
  <c r="P9" i="4"/>
  <c r="Q9" i="4"/>
  <c r="R9" i="4"/>
  <c r="S9" i="4"/>
  <c r="O10" i="4"/>
  <c r="P10" i="4"/>
  <c r="Q10" i="4"/>
  <c r="R10" i="4"/>
  <c r="S10" i="4"/>
  <c r="O11" i="4"/>
  <c r="P11" i="4"/>
  <c r="Q11" i="4"/>
  <c r="R11" i="4"/>
  <c r="S11" i="4"/>
  <c r="O12" i="4"/>
  <c r="P12" i="4"/>
  <c r="Q12" i="4"/>
  <c r="R12" i="4"/>
  <c r="S12" i="4"/>
  <c r="O13" i="4"/>
  <c r="P13" i="4"/>
  <c r="Q13" i="4"/>
  <c r="R13" i="4"/>
  <c r="S13" i="4"/>
  <c r="O14" i="4"/>
  <c r="P14" i="4"/>
  <c r="Q14" i="4"/>
  <c r="R14" i="4"/>
  <c r="S14" i="4"/>
  <c r="O15" i="4"/>
  <c r="P15" i="4"/>
  <c r="Q15" i="4"/>
  <c r="R15" i="4"/>
  <c r="S15" i="4"/>
  <c r="O16" i="4"/>
  <c r="P16" i="4"/>
  <c r="Q16" i="4"/>
  <c r="R16" i="4"/>
  <c r="S16" i="4"/>
  <c r="O17" i="4"/>
  <c r="P17" i="4"/>
  <c r="Q17" i="4"/>
  <c r="R17" i="4"/>
  <c r="S17" i="4"/>
  <c r="O18" i="4"/>
  <c r="P18" i="4"/>
  <c r="Q18" i="4"/>
  <c r="R18" i="4"/>
  <c r="S18" i="4"/>
  <c r="O19" i="4"/>
  <c r="P19" i="4"/>
  <c r="Q19" i="4"/>
  <c r="R19" i="4"/>
  <c r="S19" i="4"/>
  <c r="O20" i="4"/>
  <c r="P20" i="4"/>
  <c r="Q20" i="4"/>
  <c r="R20" i="4"/>
  <c r="S20" i="4"/>
  <c r="O21" i="4"/>
  <c r="P21" i="4"/>
  <c r="Q21" i="4"/>
  <c r="R21" i="4"/>
  <c r="S21" i="4"/>
  <c r="O22" i="4"/>
  <c r="P22" i="4"/>
  <c r="Q22" i="4"/>
  <c r="R22" i="4"/>
  <c r="S22" i="4"/>
  <c r="O23" i="4"/>
  <c r="P23" i="4"/>
  <c r="Q23" i="4"/>
  <c r="R23" i="4"/>
  <c r="S23" i="4"/>
  <c r="O24" i="4"/>
  <c r="P24" i="4"/>
  <c r="Q24" i="4"/>
  <c r="R24" i="4"/>
  <c r="S24" i="4"/>
  <c r="O25" i="4"/>
  <c r="P25" i="4"/>
  <c r="Q25" i="4"/>
  <c r="R25" i="4"/>
  <c r="S25" i="4"/>
  <c r="O26" i="4"/>
  <c r="P26" i="4"/>
  <c r="Q26" i="4"/>
  <c r="R26" i="4"/>
  <c r="S26" i="4"/>
  <c r="O27" i="4"/>
  <c r="P27" i="4"/>
  <c r="Q27" i="4"/>
  <c r="R27" i="4"/>
  <c r="S27" i="4"/>
  <c r="O28" i="4"/>
  <c r="P28" i="4"/>
  <c r="Q28" i="4"/>
  <c r="R28" i="4"/>
  <c r="S28" i="4"/>
  <c r="O29" i="4"/>
  <c r="P29" i="4"/>
  <c r="Q29" i="4"/>
  <c r="R29" i="4"/>
  <c r="S29" i="4"/>
  <c r="O30" i="4"/>
  <c r="P30" i="4"/>
  <c r="Q30" i="4"/>
  <c r="R30" i="4"/>
  <c r="S30" i="4"/>
  <c r="O31" i="4"/>
  <c r="P31" i="4"/>
  <c r="Q31" i="4"/>
  <c r="R31" i="4"/>
  <c r="S31" i="4"/>
  <c r="O32" i="4"/>
  <c r="P32" i="4"/>
  <c r="Q32" i="4"/>
  <c r="R32" i="4"/>
  <c r="S32" i="4"/>
  <c r="O33" i="4"/>
  <c r="P33" i="4"/>
  <c r="Q33" i="4"/>
  <c r="R33" i="4"/>
  <c r="S33" i="4"/>
  <c r="O34" i="4"/>
  <c r="P34" i="4"/>
  <c r="Q34" i="4"/>
  <c r="R34" i="4"/>
  <c r="S34" i="4"/>
  <c r="O35" i="4"/>
  <c r="P35" i="4"/>
  <c r="Q35" i="4"/>
  <c r="R35" i="4"/>
  <c r="S35" i="4"/>
  <c r="O36" i="4"/>
  <c r="P36" i="4"/>
  <c r="Q36" i="4"/>
  <c r="R36" i="4"/>
  <c r="S36" i="4"/>
  <c r="O37" i="4"/>
  <c r="P37" i="4"/>
  <c r="Q37" i="4"/>
  <c r="R37" i="4"/>
  <c r="S37" i="4"/>
  <c r="O38" i="4"/>
  <c r="P38" i="4"/>
  <c r="Q38" i="4"/>
  <c r="R38" i="4"/>
  <c r="S38" i="4"/>
  <c r="O39" i="4"/>
  <c r="P39" i="4"/>
  <c r="Q39" i="4"/>
  <c r="R39" i="4"/>
  <c r="S39" i="4"/>
  <c r="O40" i="4"/>
  <c r="P40" i="4"/>
  <c r="Q40" i="4"/>
  <c r="R40" i="4"/>
  <c r="S40" i="4"/>
  <c r="O41" i="4"/>
  <c r="P41" i="4"/>
  <c r="Q41" i="4"/>
  <c r="R41" i="4"/>
  <c r="S41" i="4"/>
  <c r="O42" i="4"/>
  <c r="P42" i="4"/>
  <c r="Q42" i="4"/>
  <c r="R42" i="4"/>
  <c r="S42" i="4"/>
  <c r="O43" i="4"/>
  <c r="P43" i="4"/>
  <c r="Q43" i="4"/>
  <c r="R43" i="4"/>
  <c r="S43" i="4"/>
  <c r="O44" i="4"/>
  <c r="P44" i="4"/>
  <c r="Q44" i="4"/>
  <c r="R44" i="4"/>
  <c r="S44" i="4"/>
  <c r="O45" i="4"/>
  <c r="P45" i="4"/>
  <c r="Q45" i="4"/>
  <c r="R45" i="4"/>
  <c r="S45" i="4"/>
  <c r="O46" i="4"/>
  <c r="P46" i="4"/>
  <c r="Q46" i="4"/>
  <c r="R46" i="4"/>
  <c r="S46" i="4"/>
  <c r="O47" i="4"/>
  <c r="P47" i="4"/>
  <c r="Q47" i="4"/>
  <c r="R47" i="4"/>
  <c r="S47" i="4"/>
  <c r="O48" i="4"/>
  <c r="P48" i="4"/>
  <c r="Q48" i="4"/>
  <c r="R48" i="4"/>
  <c r="S48" i="4"/>
  <c r="O49" i="4"/>
  <c r="P49" i="4"/>
  <c r="Q49" i="4"/>
  <c r="R49" i="4"/>
  <c r="S49" i="4"/>
  <c r="O50" i="4"/>
  <c r="P50" i="4"/>
  <c r="Q50" i="4"/>
  <c r="R50" i="4"/>
  <c r="S50" i="4"/>
  <c r="O51" i="4"/>
  <c r="P51" i="4"/>
  <c r="Q51" i="4"/>
  <c r="R51" i="4"/>
  <c r="S51" i="4"/>
  <c r="O52" i="4"/>
  <c r="P52" i="4"/>
  <c r="Q52" i="4"/>
  <c r="R52" i="4"/>
  <c r="S52" i="4"/>
  <c r="O53" i="4"/>
  <c r="P53" i="4"/>
  <c r="Q53" i="4"/>
  <c r="R53" i="4"/>
  <c r="S53" i="4"/>
  <c r="O54" i="4"/>
  <c r="P54" i="4"/>
  <c r="Q54" i="4"/>
  <c r="R54" i="4"/>
  <c r="S54" i="4"/>
  <c r="O55" i="4"/>
  <c r="P55" i="4"/>
  <c r="Q55" i="4"/>
  <c r="R55" i="4"/>
  <c r="S55" i="4"/>
  <c r="O56" i="4"/>
  <c r="P56" i="4"/>
  <c r="Q56" i="4"/>
  <c r="R56" i="4"/>
  <c r="S56" i="4"/>
  <c r="O57" i="4"/>
  <c r="P57" i="4"/>
  <c r="Q57" i="4"/>
  <c r="R57" i="4"/>
  <c r="S57" i="4"/>
  <c r="O58" i="4"/>
  <c r="P58" i="4"/>
  <c r="Q58" i="4"/>
  <c r="R58" i="4"/>
  <c r="S58" i="4"/>
  <c r="O59" i="4"/>
  <c r="P59" i="4"/>
  <c r="Q59" i="4"/>
  <c r="R59" i="4"/>
  <c r="S59" i="4"/>
  <c r="O60" i="4"/>
  <c r="P60" i="4"/>
  <c r="Q60" i="4"/>
  <c r="R60" i="4"/>
  <c r="S60" i="4"/>
  <c r="O61" i="4"/>
  <c r="P61" i="4"/>
  <c r="Q61" i="4"/>
  <c r="R61" i="4"/>
  <c r="S61" i="4"/>
  <c r="O62" i="4"/>
  <c r="P62" i="4"/>
  <c r="Q62" i="4"/>
  <c r="R62" i="4"/>
  <c r="S62" i="4"/>
  <c r="O63" i="4"/>
  <c r="P63" i="4"/>
  <c r="Q63" i="4"/>
  <c r="R63" i="4"/>
  <c r="S63" i="4"/>
  <c r="O64" i="4"/>
  <c r="P64" i="4"/>
  <c r="Q64" i="4"/>
  <c r="R64" i="4"/>
  <c r="S64" i="4"/>
  <c r="O65" i="4"/>
  <c r="P65" i="4"/>
  <c r="Q65" i="4"/>
  <c r="R65" i="4"/>
  <c r="S65" i="4"/>
  <c r="O66" i="4"/>
  <c r="P66" i="4"/>
  <c r="Q66" i="4"/>
  <c r="R66" i="4"/>
  <c r="S66" i="4"/>
  <c r="O67" i="4"/>
  <c r="P67" i="4"/>
  <c r="Q67" i="4"/>
  <c r="R67" i="4"/>
  <c r="S67" i="4"/>
  <c r="O68" i="4"/>
  <c r="P68" i="4"/>
  <c r="Q68" i="4"/>
  <c r="R68" i="4"/>
  <c r="S68" i="4"/>
  <c r="O69" i="4"/>
  <c r="P69" i="4"/>
  <c r="Q69" i="4"/>
  <c r="R69" i="4"/>
  <c r="S69" i="4"/>
  <c r="O70" i="4"/>
  <c r="P70" i="4"/>
  <c r="Q70" i="4"/>
  <c r="R70" i="4"/>
  <c r="S70" i="4"/>
  <c r="O71" i="4"/>
  <c r="P71" i="4"/>
  <c r="Q71" i="4"/>
  <c r="R71" i="4"/>
  <c r="S71" i="4"/>
  <c r="O72" i="4"/>
  <c r="P72" i="4"/>
  <c r="Q72" i="4"/>
  <c r="R72" i="4"/>
  <c r="S72" i="4"/>
  <c r="O73" i="4"/>
  <c r="P73" i="4"/>
  <c r="Q73" i="4"/>
  <c r="R73" i="4"/>
  <c r="S73" i="4"/>
  <c r="O74" i="4"/>
  <c r="P74" i="4"/>
  <c r="Q74" i="4"/>
  <c r="R74" i="4"/>
  <c r="S74" i="4"/>
  <c r="O75" i="4"/>
  <c r="P75" i="4"/>
  <c r="Q75" i="4"/>
  <c r="R75" i="4"/>
  <c r="S75" i="4"/>
  <c r="O76" i="4"/>
  <c r="P76" i="4"/>
  <c r="Q76" i="4"/>
  <c r="R76" i="4"/>
  <c r="S76" i="4"/>
  <c r="O77" i="4"/>
  <c r="P77" i="4"/>
  <c r="Q77" i="4"/>
  <c r="R77" i="4"/>
  <c r="S77" i="4"/>
  <c r="O78" i="4"/>
  <c r="P78" i="4"/>
  <c r="Q78" i="4"/>
  <c r="R78" i="4"/>
  <c r="S78" i="4"/>
  <c r="O79" i="4"/>
  <c r="P79" i="4"/>
  <c r="Q79" i="4"/>
  <c r="R79" i="4"/>
  <c r="S79" i="4"/>
  <c r="O80" i="4"/>
  <c r="P80" i="4"/>
  <c r="Q80" i="4"/>
  <c r="R80" i="4"/>
  <c r="S80" i="4"/>
  <c r="O81" i="4"/>
  <c r="P81" i="4"/>
  <c r="Q81" i="4"/>
  <c r="R81" i="4"/>
  <c r="S81" i="4"/>
  <c r="O82" i="4"/>
  <c r="P82" i="4"/>
  <c r="Q82" i="4"/>
  <c r="R82" i="4"/>
  <c r="S82" i="4"/>
  <c r="O83" i="4"/>
  <c r="P83" i="4"/>
  <c r="Q83" i="4"/>
  <c r="R83" i="4"/>
  <c r="S83" i="4"/>
  <c r="O84" i="4"/>
  <c r="P84" i="4"/>
  <c r="Q84" i="4"/>
  <c r="R84" i="4"/>
  <c r="S84" i="4"/>
  <c r="O85" i="4"/>
  <c r="P85" i="4"/>
  <c r="Q85" i="4"/>
  <c r="R85" i="4"/>
  <c r="S85" i="4"/>
  <c r="O86" i="4"/>
  <c r="P86" i="4"/>
  <c r="Q86" i="4"/>
  <c r="R86" i="4"/>
  <c r="S86" i="4"/>
  <c r="O87" i="4"/>
  <c r="P87" i="4"/>
  <c r="Q87" i="4"/>
  <c r="R87" i="4"/>
  <c r="S87" i="4"/>
  <c r="O88" i="4"/>
  <c r="P88" i="4"/>
  <c r="Q88" i="4"/>
  <c r="R88" i="4"/>
  <c r="S88" i="4"/>
  <c r="O89" i="4"/>
  <c r="P89" i="4"/>
  <c r="Q89" i="4"/>
  <c r="R89" i="4"/>
  <c r="S89" i="4"/>
  <c r="O90" i="4"/>
  <c r="P90" i="4"/>
  <c r="Q90" i="4"/>
  <c r="R90" i="4"/>
  <c r="S90" i="4"/>
  <c r="O91" i="4"/>
  <c r="P91" i="4"/>
  <c r="Q91" i="4"/>
  <c r="R91" i="4"/>
  <c r="S91" i="4"/>
  <c r="O92" i="4"/>
  <c r="P92" i="4"/>
  <c r="Q92" i="4"/>
  <c r="R92" i="4"/>
  <c r="S92" i="4"/>
  <c r="O93" i="4"/>
  <c r="P93" i="4"/>
  <c r="Q93" i="4"/>
  <c r="R93" i="4"/>
  <c r="S93" i="4"/>
  <c r="O94" i="4"/>
  <c r="P94" i="4"/>
  <c r="Q94" i="4"/>
  <c r="R94" i="4"/>
  <c r="S94" i="4"/>
  <c r="O95" i="4"/>
  <c r="P95" i="4"/>
  <c r="Q95" i="4"/>
  <c r="R95" i="4"/>
  <c r="S95" i="4"/>
  <c r="O96" i="4"/>
  <c r="P96" i="4"/>
  <c r="Q96" i="4"/>
  <c r="R96" i="4"/>
  <c r="S96" i="4"/>
  <c r="O97" i="4"/>
  <c r="P97" i="4"/>
  <c r="Q97" i="4"/>
  <c r="R97" i="4"/>
  <c r="S97" i="4"/>
  <c r="O98" i="4"/>
  <c r="P98" i="4"/>
  <c r="Q98" i="4"/>
  <c r="R98" i="4"/>
  <c r="S98" i="4"/>
  <c r="O99" i="4"/>
  <c r="P99" i="4"/>
  <c r="Q99" i="4"/>
  <c r="R99" i="4"/>
  <c r="S99" i="4"/>
  <c r="O100" i="4"/>
  <c r="P100" i="4"/>
  <c r="Q100" i="4"/>
  <c r="R100" i="4"/>
  <c r="S100" i="4"/>
  <c r="O101" i="4"/>
  <c r="P101" i="4"/>
  <c r="Q101" i="4"/>
  <c r="R101" i="4"/>
  <c r="S101" i="4"/>
  <c r="O102" i="4"/>
  <c r="P102" i="4"/>
  <c r="Q102" i="4"/>
  <c r="R102" i="4"/>
  <c r="S102" i="4"/>
  <c r="O103" i="4"/>
  <c r="P103" i="4"/>
  <c r="Q103" i="4"/>
  <c r="R103" i="4"/>
  <c r="S103" i="4"/>
  <c r="O104" i="4"/>
  <c r="P104" i="4"/>
  <c r="Q104" i="4"/>
  <c r="R104" i="4"/>
  <c r="S104" i="4"/>
  <c r="O105" i="4"/>
  <c r="P105" i="4"/>
  <c r="Q105" i="4"/>
  <c r="R105" i="4"/>
  <c r="S105" i="4"/>
  <c r="O106" i="4"/>
  <c r="P106" i="4"/>
  <c r="Q106" i="4"/>
  <c r="R106" i="4"/>
  <c r="S106" i="4"/>
  <c r="O107" i="4"/>
  <c r="P107" i="4"/>
  <c r="Q107" i="4"/>
  <c r="R107" i="4"/>
  <c r="S107" i="4"/>
  <c r="O108" i="4"/>
  <c r="P108" i="4"/>
  <c r="Q108" i="4"/>
  <c r="R108" i="4"/>
  <c r="S108" i="4"/>
  <c r="O109" i="4"/>
  <c r="P109" i="4"/>
  <c r="Q109" i="4"/>
  <c r="R109" i="4"/>
  <c r="S109" i="4"/>
  <c r="O110" i="4"/>
  <c r="P110" i="4"/>
  <c r="Q110" i="4"/>
  <c r="R110" i="4"/>
  <c r="S110" i="4"/>
  <c r="O111" i="4"/>
  <c r="P111" i="4"/>
  <c r="Q111" i="4"/>
  <c r="R111" i="4"/>
  <c r="S111" i="4"/>
  <c r="O112" i="4"/>
  <c r="P112" i="4"/>
  <c r="Q112" i="4"/>
  <c r="R112" i="4"/>
  <c r="S112" i="4"/>
  <c r="O113" i="4"/>
  <c r="P113" i="4"/>
  <c r="Q113" i="4"/>
  <c r="R113" i="4"/>
  <c r="S113" i="4"/>
  <c r="O114" i="4"/>
  <c r="P114" i="4"/>
  <c r="Q114" i="4"/>
  <c r="R114" i="4"/>
  <c r="S114" i="4"/>
  <c r="O115" i="4"/>
  <c r="P115" i="4"/>
  <c r="Q115" i="4"/>
  <c r="R115" i="4"/>
  <c r="S115" i="4"/>
  <c r="O116" i="4"/>
  <c r="P116" i="4"/>
  <c r="Q116" i="4"/>
  <c r="R116" i="4"/>
  <c r="S116" i="4"/>
  <c r="O117" i="4"/>
  <c r="P117" i="4"/>
  <c r="Q117" i="4"/>
  <c r="R117" i="4"/>
  <c r="S117" i="4"/>
  <c r="O118" i="4"/>
  <c r="P118" i="4"/>
  <c r="Q118" i="4"/>
  <c r="R118" i="4"/>
  <c r="S118" i="4"/>
  <c r="O119" i="4"/>
  <c r="P119" i="4"/>
  <c r="Q119" i="4"/>
  <c r="R119" i="4"/>
  <c r="S119" i="4"/>
  <c r="O120" i="4"/>
  <c r="P120" i="4"/>
  <c r="Q120" i="4"/>
  <c r="R120" i="4"/>
  <c r="S120" i="4"/>
  <c r="O121" i="4"/>
  <c r="P121" i="4"/>
  <c r="Q121" i="4"/>
  <c r="R121" i="4"/>
  <c r="S121" i="4"/>
  <c r="O122" i="4"/>
  <c r="P122" i="4"/>
  <c r="Q122" i="4"/>
  <c r="R122" i="4"/>
  <c r="S122" i="4"/>
  <c r="O123" i="4"/>
  <c r="P123" i="4"/>
  <c r="Q123" i="4"/>
  <c r="R123" i="4"/>
  <c r="S123" i="4"/>
  <c r="O124" i="4"/>
  <c r="P124" i="4"/>
  <c r="Q124" i="4"/>
  <c r="R124" i="4"/>
  <c r="S124" i="4"/>
  <c r="O125" i="4"/>
  <c r="P125" i="4"/>
  <c r="Q125" i="4"/>
  <c r="R125" i="4"/>
  <c r="S125" i="4"/>
  <c r="O126" i="4"/>
  <c r="P126" i="4"/>
  <c r="Q126" i="4"/>
  <c r="R126" i="4"/>
  <c r="S126" i="4"/>
  <c r="O127" i="4"/>
  <c r="P127" i="4"/>
  <c r="Q127" i="4"/>
  <c r="R127" i="4"/>
  <c r="S127" i="4"/>
  <c r="O128" i="4"/>
  <c r="P128" i="4"/>
  <c r="Q128" i="4"/>
  <c r="R128" i="4"/>
  <c r="S128" i="4"/>
  <c r="O129" i="4"/>
  <c r="P129" i="4"/>
  <c r="Q129" i="4"/>
  <c r="R129" i="4"/>
  <c r="S129" i="4"/>
  <c r="O130" i="4"/>
  <c r="P130" i="4"/>
  <c r="Q130" i="4"/>
  <c r="R130" i="4"/>
  <c r="S130" i="4"/>
  <c r="O131" i="4"/>
  <c r="P131" i="4"/>
  <c r="Q131" i="4"/>
  <c r="R131" i="4"/>
  <c r="S131" i="4"/>
  <c r="O132" i="4"/>
  <c r="P132" i="4"/>
  <c r="Q132" i="4"/>
  <c r="R132" i="4"/>
  <c r="S132" i="4"/>
  <c r="O133" i="4"/>
  <c r="P133" i="4"/>
  <c r="Q133" i="4"/>
  <c r="R133" i="4"/>
  <c r="S133" i="4"/>
  <c r="O134" i="4"/>
  <c r="P134" i="4"/>
  <c r="Q134" i="4"/>
  <c r="R134" i="4"/>
  <c r="S134" i="4"/>
  <c r="O135" i="4"/>
  <c r="P135" i="4"/>
  <c r="Q135" i="4"/>
  <c r="R135" i="4"/>
  <c r="S135" i="4"/>
  <c r="O136" i="4"/>
  <c r="P136" i="4"/>
  <c r="Q136" i="4"/>
  <c r="R136" i="4"/>
  <c r="S136" i="4"/>
  <c r="O137" i="4"/>
  <c r="P137" i="4"/>
  <c r="Q137" i="4"/>
  <c r="R137" i="4"/>
  <c r="S137" i="4"/>
  <c r="O138" i="4"/>
  <c r="P138" i="4"/>
  <c r="Q138" i="4"/>
  <c r="R138" i="4"/>
  <c r="S138" i="4"/>
  <c r="O139" i="4"/>
  <c r="P139" i="4"/>
  <c r="Q139" i="4"/>
  <c r="R139" i="4"/>
  <c r="S139" i="4"/>
  <c r="O140" i="4"/>
  <c r="P140" i="4"/>
  <c r="Q140" i="4"/>
  <c r="R140" i="4"/>
  <c r="S140" i="4"/>
  <c r="O141" i="4"/>
  <c r="P141" i="4"/>
  <c r="Q141" i="4"/>
  <c r="R141" i="4"/>
  <c r="S141" i="4"/>
  <c r="O142" i="4"/>
  <c r="P142" i="4"/>
  <c r="Q142" i="4"/>
  <c r="R142" i="4"/>
  <c r="S142" i="4"/>
  <c r="O143" i="4"/>
  <c r="P143" i="4"/>
  <c r="Q143" i="4"/>
  <c r="R143" i="4"/>
  <c r="S143" i="4"/>
  <c r="O144" i="4"/>
  <c r="P144" i="4"/>
  <c r="Q144" i="4"/>
  <c r="R144" i="4"/>
  <c r="S144" i="4"/>
  <c r="O145" i="4"/>
  <c r="P145" i="4"/>
  <c r="Q145" i="4"/>
  <c r="R145" i="4"/>
  <c r="S145" i="4"/>
  <c r="O146" i="4"/>
  <c r="P146" i="4"/>
  <c r="Q146" i="4"/>
  <c r="R146" i="4"/>
  <c r="S146" i="4"/>
  <c r="O147" i="4"/>
  <c r="P147" i="4"/>
  <c r="Q147" i="4"/>
  <c r="R147" i="4"/>
  <c r="S147" i="4"/>
  <c r="O148" i="4"/>
  <c r="P148" i="4"/>
  <c r="Q148" i="4"/>
  <c r="R148" i="4"/>
  <c r="S148" i="4"/>
  <c r="O149" i="4"/>
  <c r="P149" i="4"/>
  <c r="Q149" i="4"/>
  <c r="R149" i="4"/>
  <c r="S149" i="4"/>
  <c r="O150" i="4"/>
  <c r="P150" i="4"/>
  <c r="Q150" i="4"/>
  <c r="R150" i="4"/>
  <c r="S150" i="4"/>
  <c r="O151" i="4"/>
  <c r="P151" i="4"/>
  <c r="Q151" i="4"/>
  <c r="R151" i="4"/>
  <c r="S151" i="4"/>
  <c r="O152" i="4"/>
  <c r="P152" i="4"/>
  <c r="Q152" i="4"/>
  <c r="R152" i="4"/>
  <c r="S152" i="4"/>
  <c r="O153" i="4"/>
  <c r="P153" i="4"/>
  <c r="Q153" i="4"/>
  <c r="R153" i="4"/>
  <c r="S153" i="4"/>
  <c r="O154" i="4"/>
  <c r="P154" i="4"/>
  <c r="Q154" i="4"/>
  <c r="R154" i="4"/>
  <c r="S154" i="4"/>
  <c r="O155" i="4"/>
  <c r="P155" i="4"/>
  <c r="Q155" i="4"/>
  <c r="R155" i="4"/>
  <c r="S155" i="4"/>
  <c r="O156" i="4"/>
  <c r="P156" i="4"/>
  <c r="Q156" i="4"/>
  <c r="R156" i="4"/>
  <c r="S156" i="4"/>
  <c r="O157" i="4"/>
  <c r="P157" i="4"/>
  <c r="Q157" i="4"/>
  <c r="R157" i="4"/>
  <c r="S157" i="4"/>
  <c r="O158" i="4"/>
  <c r="P158" i="4"/>
  <c r="Q158" i="4"/>
  <c r="R158" i="4"/>
  <c r="S158" i="4"/>
  <c r="O159" i="4"/>
  <c r="P159" i="4"/>
  <c r="Q159" i="4"/>
  <c r="R159" i="4"/>
  <c r="S159" i="4"/>
  <c r="O160" i="4"/>
  <c r="P160" i="4"/>
  <c r="Q160" i="4"/>
  <c r="R160" i="4"/>
  <c r="S160" i="4"/>
  <c r="O161" i="4"/>
  <c r="P161" i="4"/>
  <c r="Q161" i="4"/>
  <c r="R161" i="4"/>
  <c r="S161" i="4"/>
  <c r="O162" i="4"/>
  <c r="P162" i="4"/>
  <c r="Q162" i="4"/>
  <c r="R162" i="4"/>
  <c r="S162" i="4"/>
  <c r="O163" i="4"/>
  <c r="P163" i="4"/>
  <c r="Q163" i="4"/>
  <c r="R163" i="4"/>
  <c r="S163" i="4"/>
  <c r="O164" i="4"/>
  <c r="P164" i="4"/>
  <c r="Q164" i="4"/>
  <c r="R164" i="4"/>
  <c r="S164" i="4"/>
  <c r="O165" i="4"/>
  <c r="P165" i="4"/>
  <c r="Q165" i="4"/>
  <c r="R165" i="4"/>
  <c r="S165" i="4"/>
  <c r="O166" i="4"/>
  <c r="P166" i="4"/>
  <c r="Q166" i="4"/>
  <c r="R166" i="4"/>
  <c r="S166" i="4"/>
  <c r="O167" i="4"/>
  <c r="P167" i="4"/>
  <c r="Q167" i="4"/>
  <c r="R167" i="4"/>
  <c r="S167" i="4"/>
  <c r="O168" i="4"/>
  <c r="P168" i="4"/>
  <c r="Q168" i="4"/>
  <c r="R168" i="4"/>
  <c r="S168" i="4"/>
  <c r="O169" i="4"/>
  <c r="P169" i="4"/>
  <c r="Q169" i="4"/>
  <c r="R169" i="4"/>
  <c r="S169" i="4"/>
  <c r="O170" i="4"/>
  <c r="P170" i="4"/>
  <c r="Q170" i="4"/>
  <c r="R170" i="4"/>
  <c r="S170" i="4"/>
  <c r="O171" i="4"/>
  <c r="P171" i="4"/>
  <c r="Q171" i="4"/>
  <c r="R171" i="4"/>
  <c r="S171" i="4"/>
  <c r="O172" i="4"/>
  <c r="P172" i="4"/>
  <c r="Q172" i="4"/>
  <c r="R172" i="4"/>
  <c r="S172" i="4"/>
  <c r="O173" i="4"/>
  <c r="P173" i="4"/>
  <c r="Q173" i="4"/>
  <c r="R173" i="4"/>
  <c r="S173" i="4"/>
  <c r="O174" i="4"/>
  <c r="P174" i="4"/>
  <c r="Q174" i="4"/>
  <c r="R174" i="4"/>
  <c r="S174" i="4"/>
  <c r="O175" i="4"/>
  <c r="P175" i="4"/>
  <c r="Q175" i="4"/>
  <c r="R175" i="4"/>
  <c r="S175" i="4"/>
  <c r="O176" i="4"/>
  <c r="P176" i="4"/>
  <c r="Q176" i="4"/>
  <c r="R176" i="4"/>
  <c r="S176" i="4"/>
  <c r="O177" i="4"/>
  <c r="P177" i="4"/>
  <c r="Q177" i="4"/>
  <c r="R177" i="4"/>
  <c r="S177" i="4"/>
  <c r="O178" i="4"/>
  <c r="P178" i="4"/>
  <c r="Q178" i="4"/>
  <c r="R178" i="4"/>
  <c r="S178" i="4"/>
  <c r="O179" i="4"/>
  <c r="P179" i="4"/>
  <c r="Q179" i="4"/>
  <c r="R179" i="4"/>
  <c r="S179" i="4"/>
  <c r="O180" i="4"/>
  <c r="P180" i="4"/>
  <c r="Q180" i="4"/>
  <c r="R180" i="4"/>
  <c r="S180" i="4"/>
  <c r="O181" i="4"/>
  <c r="P181" i="4"/>
  <c r="Q181" i="4"/>
  <c r="R181" i="4"/>
  <c r="S181" i="4"/>
  <c r="O182" i="4"/>
  <c r="P182" i="4"/>
  <c r="Q182" i="4"/>
  <c r="R182" i="4"/>
  <c r="S182" i="4"/>
  <c r="O183" i="4"/>
  <c r="P183" i="4"/>
  <c r="Q183" i="4"/>
  <c r="R183" i="4"/>
  <c r="S183" i="4"/>
  <c r="O184" i="4"/>
  <c r="P184" i="4"/>
  <c r="Q184" i="4"/>
  <c r="R184" i="4"/>
  <c r="S184" i="4"/>
  <c r="O185" i="4"/>
  <c r="P185" i="4"/>
  <c r="Q185" i="4"/>
  <c r="R185" i="4"/>
  <c r="S185" i="4"/>
  <c r="O186" i="4"/>
  <c r="P186" i="4"/>
  <c r="Q186" i="4"/>
  <c r="R186" i="4"/>
  <c r="S186" i="4"/>
  <c r="O187" i="4"/>
  <c r="P187" i="4"/>
  <c r="Q187" i="4"/>
  <c r="R187" i="4"/>
  <c r="S187" i="4"/>
  <c r="O188" i="4"/>
  <c r="P188" i="4"/>
  <c r="Q188" i="4"/>
  <c r="R188" i="4"/>
  <c r="S188" i="4"/>
  <c r="O189" i="4"/>
  <c r="P189" i="4"/>
  <c r="Q189" i="4"/>
  <c r="R189" i="4"/>
  <c r="S189" i="4"/>
  <c r="O190" i="4"/>
  <c r="P190" i="4"/>
  <c r="Q190" i="4"/>
  <c r="R190" i="4"/>
  <c r="S190" i="4"/>
  <c r="O191" i="4"/>
  <c r="P191" i="4"/>
  <c r="Q191" i="4"/>
  <c r="R191" i="4"/>
  <c r="S191" i="4"/>
  <c r="O192" i="4"/>
  <c r="P192" i="4"/>
  <c r="Q192" i="4"/>
  <c r="R192" i="4"/>
  <c r="S192" i="4"/>
  <c r="O193" i="4"/>
  <c r="P193" i="4"/>
  <c r="Q193" i="4"/>
  <c r="R193" i="4"/>
  <c r="S193" i="4"/>
  <c r="O194" i="4"/>
  <c r="P194" i="4"/>
  <c r="Q194" i="4"/>
  <c r="R194" i="4"/>
  <c r="S194" i="4"/>
  <c r="O195" i="4"/>
  <c r="P195" i="4"/>
  <c r="Q195" i="4"/>
  <c r="R195" i="4"/>
  <c r="S195" i="4"/>
  <c r="O196" i="4"/>
  <c r="P196" i="4"/>
  <c r="Q196" i="4"/>
  <c r="R196" i="4"/>
  <c r="S196" i="4"/>
  <c r="O197" i="4"/>
  <c r="P197" i="4"/>
  <c r="Q197" i="4"/>
  <c r="R197" i="4"/>
  <c r="S197" i="4"/>
  <c r="O198" i="4"/>
  <c r="P198" i="4"/>
  <c r="Q198" i="4"/>
  <c r="R198" i="4"/>
  <c r="S198" i="4"/>
  <c r="O199" i="4"/>
  <c r="P199" i="4"/>
  <c r="Q199" i="4"/>
  <c r="R199" i="4"/>
  <c r="S199" i="4"/>
  <c r="O200" i="4"/>
  <c r="P200" i="4"/>
  <c r="Q200" i="4"/>
  <c r="R200" i="4"/>
  <c r="S200" i="4"/>
  <c r="O201" i="4"/>
  <c r="P201" i="4"/>
  <c r="Q201" i="4"/>
  <c r="R201" i="4"/>
  <c r="S201" i="4"/>
  <c r="O202" i="4"/>
  <c r="P202" i="4"/>
  <c r="Q202" i="4"/>
  <c r="R202" i="4"/>
  <c r="S202" i="4"/>
  <c r="O203" i="4"/>
  <c r="P203" i="4"/>
  <c r="Q203" i="4"/>
  <c r="R203" i="4"/>
  <c r="S203" i="4"/>
  <c r="O204" i="4"/>
  <c r="P204" i="4"/>
  <c r="Q204" i="4"/>
  <c r="R204" i="4"/>
  <c r="S204" i="4"/>
  <c r="O205" i="4"/>
  <c r="P205" i="4"/>
  <c r="Q205" i="4"/>
  <c r="R205" i="4"/>
  <c r="S205" i="4"/>
  <c r="O206" i="4"/>
  <c r="P206" i="4"/>
  <c r="Q206" i="4"/>
  <c r="R206" i="4"/>
  <c r="S206" i="4"/>
  <c r="O207" i="4"/>
  <c r="P207" i="4"/>
  <c r="Q207" i="4"/>
  <c r="R207" i="4"/>
  <c r="S207" i="4"/>
  <c r="O208" i="4"/>
  <c r="P208" i="4"/>
  <c r="Q208" i="4"/>
  <c r="R208" i="4"/>
  <c r="S208" i="4"/>
  <c r="O209" i="4"/>
  <c r="P209" i="4"/>
  <c r="Q209" i="4"/>
  <c r="R209" i="4"/>
  <c r="S209" i="4"/>
  <c r="O210" i="4"/>
  <c r="P210" i="4"/>
  <c r="Q210" i="4"/>
  <c r="R210" i="4"/>
  <c r="S210" i="4"/>
  <c r="O211" i="4"/>
  <c r="P211" i="4"/>
  <c r="Q211" i="4"/>
  <c r="R211" i="4"/>
  <c r="S211" i="4"/>
  <c r="O212" i="4"/>
  <c r="P212" i="4"/>
  <c r="Q212" i="4"/>
  <c r="R212" i="4"/>
  <c r="S212" i="4"/>
  <c r="O213" i="4"/>
  <c r="P213" i="4"/>
  <c r="Q213" i="4"/>
  <c r="R213" i="4"/>
  <c r="S213" i="4"/>
  <c r="O214" i="4"/>
  <c r="P214" i="4"/>
  <c r="Q214" i="4"/>
  <c r="R214" i="4"/>
  <c r="S214" i="4"/>
  <c r="O215" i="4"/>
  <c r="P215" i="4"/>
  <c r="Q215" i="4"/>
  <c r="R215" i="4"/>
  <c r="S215" i="4"/>
  <c r="O216" i="4"/>
  <c r="P216" i="4"/>
  <c r="Q216" i="4"/>
  <c r="R216" i="4"/>
  <c r="S216" i="4"/>
  <c r="O217" i="4"/>
  <c r="P217" i="4"/>
  <c r="Q217" i="4"/>
  <c r="R217" i="4"/>
  <c r="S217" i="4"/>
  <c r="O218" i="4"/>
  <c r="P218" i="4"/>
  <c r="Q218" i="4"/>
  <c r="R218" i="4"/>
  <c r="S218" i="4"/>
  <c r="O219" i="4"/>
  <c r="P219" i="4"/>
  <c r="Q219" i="4"/>
  <c r="R219" i="4"/>
  <c r="S219" i="4"/>
  <c r="O220" i="4"/>
  <c r="P220" i="4"/>
  <c r="Q220" i="4"/>
  <c r="R220" i="4"/>
  <c r="S220" i="4"/>
  <c r="O221" i="4"/>
  <c r="P221" i="4"/>
  <c r="Q221" i="4"/>
  <c r="R221" i="4"/>
  <c r="S221" i="4"/>
  <c r="O222" i="4"/>
  <c r="P222" i="4"/>
  <c r="Q222" i="4"/>
  <c r="R222" i="4"/>
  <c r="S222" i="4"/>
  <c r="O223" i="4"/>
  <c r="P223" i="4"/>
  <c r="Q223" i="4"/>
  <c r="R223" i="4"/>
  <c r="S223" i="4"/>
  <c r="O224" i="4"/>
  <c r="P224" i="4"/>
  <c r="Q224" i="4"/>
  <c r="R224" i="4"/>
  <c r="S224" i="4"/>
  <c r="O225" i="4"/>
  <c r="P225" i="4"/>
  <c r="Q225" i="4"/>
  <c r="R225" i="4"/>
  <c r="S225" i="4"/>
  <c r="O226" i="4"/>
  <c r="P226" i="4"/>
  <c r="Q226" i="4"/>
  <c r="R226" i="4"/>
  <c r="S226" i="4"/>
  <c r="O227" i="4"/>
  <c r="P227" i="4"/>
  <c r="Q227" i="4"/>
  <c r="R227" i="4"/>
  <c r="S227" i="4"/>
  <c r="O228" i="4"/>
  <c r="P228" i="4"/>
  <c r="Q228" i="4"/>
  <c r="R228" i="4"/>
  <c r="S228" i="4"/>
  <c r="O229" i="4"/>
  <c r="P229" i="4"/>
  <c r="Q229" i="4"/>
  <c r="R229" i="4"/>
  <c r="S229" i="4"/>
  <c r="O230" i="4"/>
  <c r="P230" i="4"/>
  <c r="Q230" i="4"/>
  <c r="R230" i="4"/>
  <c r="S230" i="4"/>
  <c r="O231" i="4"/>
  <c r="P231" i="4"/>
  <c r="Q231" i="4"/>
  <c r="R231" i="4"/>
  <c r="S231" i="4"/>
  <c r="O232" i="4"/>
  <c r="P232" i="4"/>
  <c r="Q232" i="4"/>
  <c r="R232" i="4"/>
  <c r="S232" i="4"/>
  <c r="O233" i="4"/>
  <c r="P233" i="4"/>
  <c r="Q233" i="4"/>
  <c r="R233" i="4"/>
  <c r="S233" i="4"/>
  <c r="O234" i="4"/>
  <c r="P234" i="4"/>
  <c r="Q234" i="4"/>
  <c r="R234" i="4"/>
  <c r="S234" i="4"/>
  <c r="O235" i="4"/>
  <c r="P235" i="4"/>
  <c r="Q235" i="4"/>
  <c r="R235" i="4"/>
  <c r="S235" i="4"/>
  <c r="O236" i="4"/>
  <c r="P236" i="4"/>
  <c r="Q236" i="4"/>
  <c r="R236" i="4"/>
  <c r="S236" i="4"/>
  <c r="O237" i="4"/>
  <c r="P237" i="4"/>
  <c r="Q237" i="4"/>
  <c r="R237" i="4"/>
  <c r="S237" i="4"/>
  <c r="O238" i="4"/>
  <c r="P238" i="4"/>
  <c r="Q238" i="4"/>
  <c r="R238" i="4"/>
  <c r="S238" i="4"/>
  <c r="O239" i="4"/>
  <c r="P239" i="4"/>
  <c r="Q239" i="4"/>
  <c r="R239" i="4"/>
  <c r="S239" i="4"/>
  <c r="O240" i="4"/>
  <c r="P240" i="4"/>
  <c r="Q240" i="4"/>
  <c r="R240" i="4"/>
  <c r="S240" i="4"/>
  <c r="O241" i="4"/>
  <c r="P241" i="4"/>
  <c r="Q241" i="4"/>
  <c r="R241" i="4"/>
  <c r="S241" i="4"/>
  <c r="O242" i="4"/>
  <c r="P242" i="4"/>
  <c r="Q242" i="4"/>
  <c r="R242" i="4"/>
  <c r="S242" i="4"/>
  <c r="O243" i="4"/>
  <c r="P243" i="4"/>
  <c r="Q243" i="4"/>
  <c r="R243" i="4"/>
  <c r="S243" i="4"/>
  <c r="O244" i="4"/>
  <c r="P244" i="4"/>
  <c r="Q244" i="4"/>
  <c r="R244" i="4"/>
  <c r="S244" i="4"/>
  <c r="O245" i="4"/>
  <c r="P245" i="4"/>
  <c r="Q245" i="4"/>
  <c r="R245" i="4"/>
  <c r="S245" i="4"/>
  <c r="O246" i="4"/>
  <c r="P246" i="4"/>
  <c r="Q246" i="4"/>
  <c r="R246" i="4"/>
  <c r="S246" i="4"/>
  <c r="O247" i="4"/>
  <c r="P247" i="4"/>
  <c r="Q247" i="4"/>
  <c r="R247" i="4"/>
  <c r="S247" i="4"/>
  <c r="O248" i="4"/>
  <c r="P248" i="4"/>
  <c r="Q248" i="4"/>
  <c r="R248" i="4"/>
  <c r="S248" i="4"/>
  <c r="O249" i="4"/>
  <c r="P249" i="4"/>
  <c r="Q249" i="4"/>
  <c r="R249" i="4"/>
  <c r="S249" i="4"/>
  <c r="O250" i="4"/>
  <c r="P250" i="4"/>
  <c r="Q250" i="4"/>
  <c r="R250" i="4"/>
  <c r="S250" i="4"/>
  <c r="O251" i="4"/>
  <c r="P251" i="4"/>
  <c r="Q251" i="4"/>
  <c r="R251" i="4"/>
  <c r="S251" i="4"/>
  <c r="O252" i="4"/>
  <c r="P252" i="4"/>
  <c r="Q252" i="4"/>
  <c r="R252" i="4"/>
  <c r="S252" i="4"/>
  <c r="O253" i="4"/>
  <c r="P253" i="4"/>
  <c r="Q253" i="4"/>
  <c r="R253" i="4"/>
  <c r="S253" i="4"/>
  <c r="O254" i="4"/>
  <c r="P254" i="4"/>
  <c r="Q254" i="4"/>
  <c r="R254" i="4"/>
  <c r="S254" i="4"/>
  <c r="O255" i="4"/>
  <c r="P255" i="4"/>
  <c r="Q255" i="4"/>
  <c r="R255" i="4"/>
  <c r="S255" i="4"/>
  <c r="O256" i="4"/>
  <c r="P256" i="4"/>
  <c r="Q256" i="4"/>
  <c r="R256" i="4"/>
  <c r="S256" i="4"/>
  <c r="O257" i="4"/>
  <c r="P257" i="4"/>
  <c r="Q257" i="4"/>
  <c r="R257" i="4"/>
  <c r="S257" i="4"/>
  <c r="O258" i="4"/>
  <c r="P258" i="4"/>
  <c r="Q258" i="4"/>
  <c r="R258" i="4"/>
  <c r="S258" i="4"/>
  <c r="O259" i="4"/>
  <c r="P259" i="4"/>
  <c r="Q259" i="4"/>
  <c r="R259" i="4"/>
  <c r="S259" i="4"/>
  <c r="O260" i="4"/>
  <c r="P260" i="4"/>
  <c r="Q260" i="4"/>
  <c r="R260" i="4"/>
  <c r="S260" i="4"/>
  <c r="O261" i="4"/>
  <c r="P261" i="4"/>
  <c r="Q261" i="4"/>
  <c r="R261" i="4"/>
  <c r="S261" i="4"/>
  <c r="O262" i="4"/>
  <c r="P262" i="4"/>
  <c r="Q262" i="4"/>
  <c r="R262" i="4"/>
  <c r="S262" i="4"/>
  <c r="O263" i="4"/>
  <c r="P263" i="4"/>
  <c r="Q263" i="4"/>
  <c r="R263" i="4"/>
  <c r="S263" i="4"/>
  <c r="O264" i="4"/>
  <c r="P264" i="4"/>
  <c r="Q264" i="4"/>
  <c r="R264" i="4"/>
  <c r="S264" i="4"/>
  <c r="O265" i="4"/>
  <c r="P265" i="4"/>
  <c r="Q265" i="4"/>
  <c r="R265" i="4"/>
  <c r="S265" i="4"/>
  <c r="O266" i="4"/>
  <c r="P266" i="4"/>
  <c r="Q266" i="4"/>
  <c r="R266" i="4"/>
  <c r="S266" i="4"/>
  <c r="O267" i="4"/>
  <c r="P267" i="4"/>
  <c r="Q267" i="4"/>
  <c r="R267" i="4"/>
  <c r="S267" i="4"/>
  <c r="O268" i="4"/>
  <c r="P268" i="4"/>
  <c r="Q268" i="4"/>
  <c r="R268" i="4"/>
  <c r="S268" i="4"/>
  <c r="O269" i="4"/>
  <c r="P269" i="4"/>
  <c r="Q269" i="4"/>
  <c r="R269" i="4"/>
  <c r="S269" i="4"/>
  <c r="O270" i="4"/>
  <c r="P270" i="4"/>
  <c r="Q270" i="4"/>
  <c r="R270" i="4"/>
  <c r="S270" i="4"/>
  <c r="O271" i="4"/>
  <c r="P271" i="4"/>
  <c r="Q271" i="4"/>
  <c r="R271" i="4"/>
  <c r="S271" i="4"/>
  <c r="O272" i="4"/>
  <c r="P272" i="4"/>
  <c r="Q272" i="4"/>
  <c r="R272" i="4"/>
  <c r="S272" i="4"/>
  <c r="O273" i="4"/>
  <c r="P273" i="4"/>
  <c r="Q273" i="4"/>
  <c r="R273" i="4"/>
  <c r="S273" i="4"/>
  <c r="O274" i="4"/>
  <c r="P274" i="4"/>
  <c r="Q274" i="4"/>
  <c r="R274" i="4"/>
  <c r="S274" i="4"/>
  <c r="O275" i="4"/>
  <c r="P275" i="4"/>
  <c r="Q275" i="4"/>
  <c r="R275" i="4"/>
  <c r="S275" i="4"/>
  <c r="O276" i="4"/>
  <c r="P276" i="4"/>
  <c r="Q276" i="4"/>
  <c r="R276" i="4"/>
  <c r="S276" i="4"/>
  <c r="O277" i="4"/>
  <c r="P277" i="4"/>
  <c r="Q277" i="4"/>
  <c r="R277" i="4"/>
  <c r="S277" i="4"/>
  <c r="O278" i="4"/>
  <c r="P278" i="4"/>
  <c r="Q278" i="4"/>
  <c r="R278" i="4"/>
  <c r="S278" i="4"/>
  <c r="O279" i="4"/>
  <c r="P279" i="4"/>
  <c r="Q279" i="4"/>
  <c r="R279" i="4"/>
  <c r="S279" i="4"/>
  <c r="O280" i="4"/>
  <c r="P280" i="4"/>
  <c r="Q280" i="4"/>
  <c r="R280" i="4"/>
  <c r="S280" i="4"/>
  <c r="O281" i="4"/>
  <c r="P281" i="4"/>
  <c r="Q281" i="4"/>
  <c r="R281" i="4"/>
  <c r="S281" i="4"/>
  <c r="O282" i="4"/>
  <c r="P282" i="4"/>
  <c r="Q282" i="4"/>
  <c r="R282" i="4"/>
  <c r="S282" i="4"/>
  <c r="O283" i="4"/>
  <c r="P283" i="4"/>
  <c r="Q283" i="4"/>
  <c r="R283" i="4"/>
  <c r="S283" i="4"/>
  <c r="O284" i="4"/>
  <c r="P284" i="4"/>
  <c r="Q284" i="4"/>
  <c r="R284" i="4"/>
  <c r="S284" i="4"/>
  <c r="O285" i="4"/>
  <c r="P285" i="4"/>
  <c r="Q285" i="4"/>
  <c r="R285" i="4"/>
  <c r="S285" i="4"/>
  <c r="O286" i="4"/>
  <c r="P286" i="4"/>
  <c r="Q286" i="4"/>
  <c r="R286" i="4"/>
  <c r="S286" i="4"/>
  <c r="O287" i="4"/>
  <c r="P287" i="4"/>
  <c r="Q287" i="4"/>
  <c r="R287" i="4"/>
  <c r="S287" i="4"/>
  <c r="O288" i="4"/>
  <c r="P288" i="4"/>
  <c r="Q288" i="4"/>
  <c r="R288" i="4"/>
  <c r="S288" i="4"/>
  <c r="O289" i="4"/>
  <c r="P289" i="4"/>
  <c r="Q289" i="4"/>
  <c r="R289" i="4"/>
  <c r="S289" i="4"/>
  <c r="O290" i="4"/>
  <c r="P290" i="4"/>
  <c r="Q290" i="4"/>
  <c r="R290" i="4"/>
  <c r="S290" i="4"/>
  <c r="O291" i="4"/>
  <c r="P291" i="4"/>
  <c r="Q291" i="4"/>
  <c r="R291" i="4"/>
  <c r="S291" i="4"/>
  <c r="O292" i="4"/>
  <c r="P292" i="4"/>
  <c r="Q292" i="4"/>
  <c r="R292" i="4"/>
  <c r="S292" i="4"/>
  <c r="O293" i="4"/>
  <c r="P293" i="4"/>
  <c r="Q293" i="4"/>
  <c r="R293" i="4"/>
  <c r="S293" i="4"/>
  <c r="O294" i="4"/>
  <c r="P294" i="4"/>
  <c r="Q294" i="4"/>
  <c r="R294" i="4"/>
  <c r="S294" i="4"/>
  <c r="O295" i="4"/>
  <c r="P295" i="4"/>
  <c r="Q295" i="4"/>
  <c r="R295" i="4"/>
  <c r="S295" i="4"/>
  <c r="O296" i="4"/>
  <c r="P296" i="4"/>
  <c r="Q296" i="4"/>
  <c r="R296" i="4"/>
  <c r="S296" i="4"/>
  <c r="O297" i="4"/>
  <c r="P297" i="4"/>
  <c r="Q297" i="4"/>
  <c r="R297" i="4"/>
  <c r="S297" i="4"/>
  <c r="O298" i="4"/>
  <c r="P298" i="4"/>
  <c r="Q298" i="4"/>
  <c r="R298" i="4"/>
  <c r="S298" i="4"/>
  <c r="O299" i="4"/>
  <c r="P299" i="4"/>
  <c r="Q299" i="4"/>
  <c r="R299" i="4"/>
  <c r="S299" i="4"/>
  <c r="O300" i="4"/>
  <c r="P300" i="4"/>
  <c r="Q300" i="4"/>
  <c r="R300" i="4"/>
  <c r="S300" i="4"/>
  <c r="O301" i="4"/>
  <c r="P301" i="4"/>
  <c r="Q301" i="4"/>
  <c r="R301" i="4"/>
  <c r="S301" i="4"/>
  <c r="O302" i="4"/>
  <c r="P302" i="4"/>
  <c r="Q302" i="4"/>
  <c r="R302" i="4"/>
  <c r="S302" i="4"/>
  <c r="O303" i="4"/>
  <c r="P303" i="4"/>
  <c r="Q303" i="4"/>
  <c r="R303" i="4"/>
  <c r="S303" i="4"/>
  <c r="O304" i="4"/>
  <c r="P304" i="4"/>
  <c r="Q304" i="4"/>
  <c r="R304" i="4"/>
  <c r="S304" i="4"/>
  <c r="O305" i="4"/>
  <c r="P305" i="4"/>
  <c r="Q305" i="4"/>
  <c r="R305" i="4"/>
  <c r="S305" i="4"/>
  <c r="O306" i="4"/>
  <c r="P306" i="4"/>
  <c r="Q306" i="4"/>
  <c r="R306" i="4"/>
  <c r="S306" i="4"/>
  <c r="O307" i="4"/>
  <c r="P307" i="4"/>
  <c r="Q307" i="4"/>
  <c r="R307" i="4"/>
  <c r="S307" i="4"/>
  <c r="O308" i="4"/>
  <c r="P308" i="4"/>
  <c r="Q308" i="4"/>
  <c r="R308" i="4"/>
  <c r="S308" i="4"/>
  <c r="O309" i="4"/>
  <c r="P309" i="4"/>
  <c r="Q309" i="4"/>
  <c r="R309" i="4"/>
  <c r="S309" i="4"/>
  <c r="O310" i="4"/>
  <c r="P310" i="4"/>
  <c r="Q310" i="4"/>
  <c r="R310" i="4"/>
  <c r="S310" i="4"/>
  <c r="O311" i="4"/>
  <c r="P311" i="4"/>
  <c r="Q311" i="4"/>
  <c r="R311" i="4"/>
  <c r="S311" i="4"/>
  <c r="O312" i="4"/>
  <c r="P312" i="4"/>
  <c r="Q312" i="4"/>
  <c r="R312" i="4"/>
  <c r="S312" i="4"/>
  <c r="O313" i="4"/>
  <c r="P313" i="4"/>
  <c r="Q313" i="4"/>
  <c r="R313" i="4"/>
  <c r="S313" i="4"/>
  <c r="O314" i="4"/>
  <c r="P314" i="4"/>
  <c r="Q314" i="4"/>
  <c r="R314" i="4"/>
  <c r="S314" i="4"/>
  <c r="O315" i="4"/>
  <c r="P315" i="4"/>
  <c r="Q315" i="4"/>
  <c r="R315" i="4"/>
  <c r="S315" i="4"/>
  <c r="O316" i="4"/>
  <c r="P316" i="4"/>
  <c r="Q316" i="4"/>
  <c r="R316" i="4"/>
  <c r="S316" i="4"/>
  <c r="O317" i="4"/>
  <c r="P317" i="4"/>
  <c r="Q317" i="4"/>
  <c r="R317" i="4"/>
  <c r="S317" i="4"/>
  <c r="O318" i="4"/>
  <c r="P318" i="4"/>
  <c r="Q318" i="4"/>
  <c r="R318" i="4"/>
  <c r="S318" i="4"/>
  <c r="O319" i="4"/>
  <c r="P319" i="4"/>
  <c r="Q319" i="4"/>
  <c r="R319" i="4"/>
  <c r="S319" i="4"/>
  <c r="O320" i="4"/>
  <c r="P320" i="4"/>
  <c r="Q320" i="4"/>
  <c r="R320" i="4"/>
  <c r="S320" i="4"/>
  <c r="O321" i="4"/>
  <c r="P321" i="4"/>
  <c r="Q321" i="4"/>
  <c r="R321" i="4"/>
  <c r="S321" i="4"/>
  <c r="O322" i="4"/>
  <c r="P322" i="4"/>
  <c r="Q322" i="4"/>
  <c r="R322" i="4"/>
  <c r="S322" i="4"/>
  <c r="O323" i="4"/>
  <c r="P323" i="4"/>
  <c r="Q323" i="4"/>
  <c r="R323" i="4"/>
  <c r="S323" i="4"/>
  <c r="O324" i="4"/>
  <c r="P324" i="4"/>
  <c r="Q324" i="4"/>
  <c r="R324" i="4"/>
  <c r="S324" i="4"/>
  <c r="O325" i="4"/>
  <c r="P325" i="4"/>
  <c r="Q325" i="4"/>
  <c r="R325" i="4"/>
  <c r="S325" i="4"/>
  <c r="O326" i="4"/>
  <c r="P326" i="4"/>
  <c r="Q326" i="4"/>
  <c r="R326" i="4"/>
  <c r="S326" i="4"/>
  <c r="O327" i="4"/>
  <c r="P327" i="4"/>
  <c r="Q327" i="4"/>
  <c r="R327" i="4"/>
  <c r="S327" i="4"/>
  <c r="O328" i="4"/>
  <c r="P328" i="4"/>
  <c r="Q328" i="4"/>
  <c r="R328" i="4"/>
  <c r="S328" i="4"/>
  <c r="O329" i="4"/>
  <c r="P329" i="4"/>
  <c r="Q329" i="4"/>
  <c r="R329" i="4"/>
  <c r="S329" i="4"/>
  <c r="O330" i="4"/>
  <c r="P330" i="4"/>
  <c r="Q330" i="4"/>
  <c r="R330" i="4"/>
  <c r="S330" i="4"/>
  <c r="O331" i="4"/>
  <c r="P331" i="4"/>
  <c r="Q331" i="4"/>
  <c r="R331" i="4"/>
  <c r="S331" i="4"/>
  <c r="O332" i="4"/>
  <c r="P332" i="4"/>
  <c r="Q332" i="4"/>
  <c r="R332" i="4"/>
  <c r="S332" i="4"/>
  <c r="O333" i="4"/>
  <c r="P333" i="4"/>
  <c r="Q333" i="4"/>
  <c r="R333" i="4"/>
  <c r="S333" i="4"/>
  <c r="O334" i="4"/>
  <c r="P334" i="4"/>
  <c r="Q334" i="4"/>
  <c r="R334" i="4"/>
  <c r="S334" i="4"/>
  <c r="O335" i="4"/>
  <c r="P335" i="4"/>
  <c r="Q335" i="4"/>
  <c r="R335" i="4"/>
  <c r="S335" i="4"/>
  <c r="O336" i="4"/>
  <c r="P336" i="4"/>
  <c r="Q336" i="4"/>
  <c r="R336" i="4"/>
  <c r="S336" i="4"/>
  <c r="O337" i="4"/>
  <c r="P337" i="4"/>
  <c r="Q337" i="4"/>
  <c r="R337" i="4"/>
  <c r="S337" i="4"/>
  <c r="O338" i="4"/>
  <c r="P338" i="4"/>
  <c r="Q338" i="4"/>
  <c r="R338" i="4"/>
  <c r="S338" i="4"/>
  <c r="O339" i="4"/>
  <c r="P339" i="4"/>
  <c r="Q339" i="4"/>
  <c r="R339" i="4"/>
  <c r="S339" i="4"/>
  <c r="O340" i="4"/>
  <c r="P340" i="4"/>
  <c r="Q340" i="4"/>
  <c r="R340" i="4"/>
  <c r="S340" i="4"/>
  <c r="O341" i="4"/>
  <c r="P341" i="4"/>
  <c r="Q341" i="4"/>
  <c r="R341" i="4"/>
  <c r="S341" i="4"/>
  <c r="O342" i="4"/>
  <c r="P342" i="4"/>
  <c r="Q342" i="4"/>
  <c r="R342" i="4"/>
  <c r="S342" i="4"/>
  <c r="O343" i="4"/>
  <c r="P343" i="4"/>
  <c r="Q343" i="4"/>
  <c r="R343" i="4"/>
  <c r="S343" i="4"/>
  <c r="O344" i="4"/>
  <c r="P344" i="4"/>
  <c r="Q344" i="4"/>
  <c r="R344" i="4"/>
  <c r="S344" i="4"/>
  <c r="O345" i="4"/>
  <c r="P345" i="4"/>
  <c r="Q345" i="4"/>
  <c r="R345" i="4"/>
  <c r="S345" i="4"/>
  <c r="O346" i="4"/>
  <c r="P346" i="4"/>
  <c r="Q346" i="4"/>
  <c r="R346" i="4"/>
  <c r="S346" i="4"/>
  <c r="O347" i="4"/>
  <c r="P347" i="4"/>
  <c r="Q347" i="4"/>
  <c r="R347" i="4"/>
  <c r="S347" i="4"/>
  <c r="O348" i="4"/>
  <c r="P348" i="4"/>
  <c r="Q348" i="4"/>
  <c r="R348" i="4"/>
  <c r="S348" i="4"/>
  <c r="O349" i="4"/>
  <c r="P349" i="4"/>
  <c r="Q349" i="4"/>
  <c r="R349" i="4"/>
  <c r="S349" i="4"/>
  <c r="O350" i="4"/>
  <c r="P350" i="4"/>
  <c r="Q350" i="4"/>
  <c r="R350" i="4"/>
  <c r="S350" i="4"/>
  <c r="O351" i="4"/>
  <c r="P351" i="4"/>
  <c r="Q351" i="4"/>
  <c r="R351" i="4"/>
  <c r="S351" i="4"/>
  <c r="O352" i="4"/>
  <c r="P352" i="4"/>
  <c r="Q352" i="4"/>
  <c r="R352" i="4"/>
  <c r="S352" i="4"/>
  <c r="O353" i="4"/>
  <c r="P353" i="4"/>
  <c r="Q353" i="4"/>
  <c r="R353" i="4"/>
  <c r="S353" i="4"/>
  <c r="O354" i="4"/>
  <c r="P354" i="4"/>
  <c r="Q354" i="4"/>
  <c r="R354" i="4"/>
  <c r="S354" i="4"/>
  <c r="O355" i="4"/>
  <c r="P355" i="4"/>
  <c r="Q355" i="4"/>
  <c r="R355" i="4"/>
  <c r="S355" i="4"/>
  <c r="O356" i="4"/>
  <c r="P356" i="4"/>
  <c r="Q356" i="4"/>
  <c r="R356" i="4"/>
  <c r="S356" i="4"/>
  <c r="O357" i="4"/>
  <c r="P357" i="4"/>
  <c r="Q357" i="4"/>
  <c r="R357" i="4"/>
  <c r="S357" i="4"/>
  <c r="O358" i="4"/>
  <c r="P358" i="4"/>
  <c r="Q358" i="4"/>
  <c r="R358" i="4"/>
  <c r="S358" i="4"/>
  <c r="O359" i="4"/>
  <c r="P359" i="4"/>
  <c r="Q359" i="4"/>
  <c r="R359" i="4"/>
  <c r="S359" i="4"/>
  <c r="O360" i="4"/>
  <c r="P360" i="4"/>
  <c r="Q360" i="4"/>
  <c r="R360" i="4"/>
  <c r="S360" i="4"/>
  <c r="O361" i="4"/>
  <c r="P361" i="4"/>
  <c r="Q361" i="4"/>
  <c r="R361" i="4"/>
  <c r="S361" i="4"/>
  <c r="O362" i="4"/>
  <c r="P362" i="4"/>
  <c r="Q362" i="4"/>
  <c r="R362" i="4"/>
  <c r="S362" i="4"/>
  <c r="O363" i="4"/>
  <c r="P363" i="4"/>
  <c r="Q363" i="4"/>
  <c r="R363" i="4"/>
  <c r="S363" i="4"/>
  <c r="O364" i="4"/>
  <c r="P364" i="4"/>
  <c r="Q364" i="4"/>
  <c r="R364" i="4"/>
  <c r="S364" i="4"/>
  <c r="O365" i="4"/>
  <c r="P365" i="4"/>
  <c r="Q365" i="4"/>
  <c r="R365" i="4"/>
  <c r="S365" i="4"/>
  <c r="O366" i="4"/>
  <c r="P366" i="4"/>
  <c r="Q366" i="4"/>
  <c r="R366" i="4"/>
  <c r="S366" i="4"/>
  <c r="O367" i="4"/>
  <c r="P367" i="4"/>
  <c r="Q367" i="4"/>
  <c r="R367" i="4"/>
  <c r="S367" i="4"/>
  <c r="O368" i="4"/>
  <c r="P368" i="4"/>
  <c r="Q368" i="4"/>
  <c r="R368" i="4"/>
  <c r="S368" i="4"/>
  <c r="O369" i="4"/>
  <c r="P369" i="4"/>
  <c r="Q369" i="4"/>
  <c r="R369" i="4"/>
  <c r="S369" i="4"/>
  <c r="O370" i="4"/>
  <c r="P370" i="4"/>
  <c r="Q370" i="4"/>
  <c r="R370" i="4"/>
  <c r="S370" i="4"/>
  <c r="O371" i="4"/>
  <c r="P371" i="4"/>
  <c r="Q371" i="4"/>
  <c r="R371" i="4"/>
  <c r="S371" i="4"/>
  <c r="O372" i="4"/>
  <c r="P372" i="4"/>
  <c r="Q372" i="4"/>
  <c r="R372" i="4"/>
  <c r="S372" i="4"/>
  <c r="O373" i="4"/>
  <c r="P373" i="4"/>
  <c r="Q373" i="4"/>
  <c r="R373" i="4"/>
  <c r="S373" i="4"/>
  <c r="O374" i="4"/>
  <c r="P374" i="4"/>
  <c r="Q374" i="4"/>
  <c r="R374" i="4"/>
  <c r="S374" i="4"/>
  <c r="O375" i="4"/>
  <c r="P375" i="4"/>
  <c r="Q375" i="4"/>
  <c r="R375" i="4"/>
  <c r="S375" i="4"/>
  <c r="O376" i="4"/>
  <c r="P376" i="4"/>
  <c r="Q376" i="4"/>
  <c r="R376" i="4"/>
  <c r="S376" i="4"/>
  <c r="O377" i="4"/>
  <c r="P377" i="4"/>
  <c r="Q377" i="4"/>
  <c r="R377" i="4"/>
  <c r="S377" i="4"/>
  <c r="O378" i="4"/>
  <c r="P378" i="4"/>
  <c r="Q378" i="4"/>
  <c r="R378" i="4"/>
  <c r="S378" i="4"/>
  <c r="O379" i="4"/>
  <c r="P379" i="4"/>
  <c r="Q379" i="4"/>
  <c r="R379" i="4"/>
  <c r="S379" i="4"/>
  <c r="O380" i="4"/>
  <c r="P380" i="4"/>
  <c r="Q380" i="4"/>
  <c r="R380" i="4"/>
  <c r="S380" i="4"/>
  <c r="O381" i="4"/>
  <c r="P381" i="4"/>
  <c r="Q381" i="4"/>
  <c r="R381" i="4"/>
  <c r="S381" i="4"/>
  <c r="O382" i="4"/>
  <c r="P382" i="4"/>
  <c r="Q382" i="4"/>
  <c r="R382" i="4"/>
  <c r="S382" i="4"/>
  <c r="O383" i="4"/>
  <c r="P383" i="4"/>
  <c r="Q383" i="4"/>
  <c r="R383" i="4"/>
  <c r="S383" i="4"/>
  <c r="O384" i="4"/>
  <c r="P384" i="4"/>
  <c r="Q384" i="4"/>
  <c r="R384" i="4"/>
  <c r="S384" i="4"/>
  <c r="O385" i="4"/>
  <c r="P385" i="4"/>
  <c r="Q385" i="4"/>
  <c r="R385" i="4"/>
  <c r="S385" i="4"/>
  <c r="O386" i="4"/>
  <c r="P386" i="4"/>
  <c r="Q386" i="4"/>
  <c r="R386" i="4"/>
  <c r="S386" i="4"/>
  <c r="O387" i="4"/>
  <c r="P387" i="4"/>
  <c r="Q387" i="4"/>
  <c r="R387" i="4"/>
  <c r="S387" i="4"/>
  <c r="O388" i="4"/>
  <c r="P388" i="4"/>
  <c r="Q388" i="4"/>
  <c r="R388" i="4"/>
  <c r="S388" i="4"/>
  <c r="O389" i="4"/>
  <c r="P389" i="4"/>
  <c r="Q389" i="4"/>
  <c r="R389" i="4"/>
  <c r="S389" i="4"/>
  <c r="O390" i="4"/>
  <c r="P390" i="4"/>
  <c r="Q390" i="4"/>
  <c r="R390" i="4"/>
  <c r="S390" i="4"/>
  <c r="O391" i="4"/>
  <c r="P391" i="4"/>
  <c r="Q391" i="4"/>
  <c r="R391" i="4"/>
  <c r="S391" i="4"/>
  <c r="O392" i="4"/>
  <c r="P392" i="4"/>
  <c r="Q392" i="4"/>
  <c r="R392" i="4"/>
  <c r="S392" i="4"/>
  <c r="O393" i="4"/>
  <c r="P393" i="4"/>
  <c r="Q393" i="4"/>
  <c r="R393" i="4"/>
  <c r="S393" i="4"/>
  <c r="O394" i="4"/>
  <c r="P394" i="4"/>
  <c r="Q394" i="4"/>
  <c r="R394" i="4"/>
  <c r="S394" i="4"/>
  <c r="O395" i="4"/>
  <c r="P395" i="4"/>
  <c r="Q395" i="4"/>
  <c r="R395" i="4"/>
  <c r="S395" i="4"/>
  <c r="O396" i="4"/>
  <c r="P396" i="4"/>
  <c r="Q396" i="4"/>
  <c r="R396" i="4"/>
  <c r="S396" i="4"/>
  <c r="O397" i="4"/>
  <c r="P397" i="4"/>
  <c r="Q397" i="4"/>
  <c r="R397" i="4"/>
  <c r="S397" i="4"/>
  <c r="O398" i="4"/>
  <c r="P398" i="4"/>
  <c r="Q398" i="4"/>
  <c r="R398" i="4"/>
  <c r="S398" i="4"/>
  <c r="O399" i="4"/>
  <c r="P399" i="4"/>
  <c r="Q399" i="4"/>
  <c r="R399" i="4"/>
  <c r="S399" i="4"/>
  <c r="O400" i="4"/>
  <c r="P400" i="4"/>
  <c r="Q400" i="4"/>
  <c r="R400" i="4"/>
  <c r="S400" i="4"/>
  <c r="O401" i="4"/>
  <c r="P401" i="4"/>
  <c r="Q401" i="4"/>
  <c r="R401" i="4"/>
  <c r="S401" i="4"/>
  <c r="O402" i="4"/>
  <c r="P402" i="4"/>
  <c r="Q402" i="4"/>
  <c r="R402" i="4"/>
  <c r="S402" i="4"/>
  <c r="O403" i="4"/>
  <c r="P403" i="4"/>
  <c r="Q403" i="4"/>
  <c r="R403" i="4"/>
  <c r="S403" i="4"/>
  <c r="O404" i="4"/>
  <c r="P404" i="4"/>
  <c r="Q404" i="4"/>
  <c r="R404" i="4"/>
  <c r="S404" i="4"/>
  <c r="O405" i="4"/>
  <c r="P405" i="4"/>
  <c r="Q405" i="4"/>
  <c r="R405" i="4"/>
  <c r="S405" i="4"/>
  <c r="O406" i="4"/>
  <c r="P406" i="4"/>
  <c r="Q406" i="4"/>
  <c r="R406" i="4"/>
  <c r="S406" i="4"/>
  <c r="O407" i="4"/>
  <c r="P407" i="4"/>
  <c r="Q407" i="4"/>
  <c r="R407" i="4"/>
  <c r="S407" i="4"/>
  <c r="O408" i="4"/>
  <c r="P408" i="4"/>
  <c r="Q408" i="4"/>
  <c r="R408" i="4"/>
  <c r="S408" i="4"/>
  <c r="O409" i="4"/>
  <c r="P409" i="4"/>
  <c r="Q409" i="4"/>
  <c r="R409" i="4"/>
  <c r="S409" i="4"/>
  <c r="O410" i="4"/>
  <c r="P410" i="4"/>
  <c r="Q410" i="4"/>
  <c r="R410" i="4"/>
  <c r="S410" i="4"/>
  <c r="O411" i="4"/>
  <c r="P411" i="4"/>
  <c r="Q411" i="4"/>
  <c r="R411" i="4"/>
  <c r="S411" i="4"/>
  <c r="O412" i="4"/>
  <c r="P412" i="4"/>
  <c r="Q412" i="4"/>
  <c r="R412" i="4"/>
  <c r="S412" i="4"/>
  <c r="O413" i="4"/>
  <c r="P413" i="4"/>
  <c r="Q413" i="4"/>
  <c r="R413" i="4"/>
  <c r="S413" i="4"/>
  <c r="O414" i="4"/>
  <c r="P414" i="4"/>
  <c r="Q414" i="4"/>
  <c r="R414" i="4"/>
  <c r="S414" i="4"/>
  <c r="O415" i="4"/>
  <c r="P415" i="4"/>
  <c r="Q415" i="4"/>
  <c r="R415" i="4"/>
  <c r="S415" i="4"/>
  <c r="O416" i="4"/>
  <c r="P416" i="4"/>
  <c r="Q416" i="4"/>
  <c r="R416" i="4"/>
  <c r="S416" i="4"/>
  <c r="O417" i="4"/>
  <c r="P417" i="4"/>
  <c r="Q417" i="4"/>
  <c r="R417" i="4"/>
  <c r="S417" i="4"/>
  <c r="O418" i="4"/>
  <c r="P418" i="4"/>
  <c r="Q418" i="4"/>
  <c r="R418" i="4"/>
  <c r="S418" i="4"/>
  <c r="O419" i="4"/>
  <c r="P419" i="4"/>
  <c r="Q419" i="4"/>
  <c r="R419" i="4"/>
  <c r="S419" i="4"/>
  <c r="O420" i="4"/>
  <c r="P420" i="4"/>
  <c r="Q420" i="4"/>
  <c r="R420" i="4"/>
  <c r="S420" i="4"/>
  <c r="O421" i="4"/>
  <c r="P421" i="4"/>
  <c r="Q421" i="4"/>
  <c r="R421" i="4"/>
  <c r="S421" i="4"/>
  <c r="O422" i="4"/>
  <c r="P422" i="4"/>
  <c r="Q422" i="4"/>
  <c r="R422" i="4"/>
  <c r="S422" i="4"/>
  <c r="O423" i="4"/>
  <c r="P423" i="4"/>
  <c r="Q423" i="4"/>
  <c r="R423" i="4"/>
  <c r="S423" i="4"/>
  <c r="O424" i="4"/>
  <c r="P424" i="4"/>
  <c r="Q424" i="4"/>
  <c r="R424" i="4"/>
  <c r="S424" i="4"/>
  <c r="O425" i="4"/>
  <c r="P425" i="4"/>
  <c r="Q425" i="4"/>
  <c r="R425" i="4"/>
  <c r="S425" i="4"/>
  <c r="O426" i="4"/>
  <c r="P426" i="4"/>
  <c r="Q426" i="4"/>
  <c r="R426" i="4"/>
  <c r="S426" i="4"/>
  <c r="O427" i="4"/>
  <c r="P427" i="4"/>
  <c r="Q427" i="4"/>
  <c r="R427" i="4"/>
  <c r="S427" i="4"/>
  <c r="O428" i="4"/>
  <c r="P428" i="4"/>
  <c r="Q428" i="4"/>
  <c r="R428" i="4"/>
  <c r="S428" i="4"/>
  <c r="O429" i="4"/>
  <c r="P429" i="4"/>
  <c r="Q429" i="4"/>
  <c r="R429" i="4"/>
  <c r="S429" i="4"/>
  <c r="O430" i="4"/>
  <c r="P430" i="4"/>
  <c r="Q430" i="4"/>
  <c r="R430" i="4"/>
  <c r="S430" i="4"/>
  <c r="O431" i="4"/>
  <c r="P431" i="4"/>
  <c r="Q431" i="4"/>
  <c r="R431" i="4"/>
  <c r="S431" i="4"/>
  <c r="O432" i="4"/>
  <c r="P432" i="4"/>
  <c r="Q432" i="4"/>
  <c r="R432" i="4"/>
  <c r="S432" i="4"/>
  <c r="O433" i="4"/>
  <c r="P433" i="4"/>
  <c r="Q433" i="4"/>
  <c r="R433" i="4"/>
  <c r="S433" i="4"/>
  <c r="O434" i="4"/>
  <c r="P434" i="4"/>
  <c r="Q434" i="4"/>
  <c r="R434" i="4"/>
  <c r="S434" i="4"/>
  <c r="O435" i="4"/>
  <c r="P435" i="4"/>
  <c r="Q435" i="4"/>
  <c r="R435" i="4"/>
  <c r="S435" i="4"/>
  <c r="O436" i="4"/>
  <c r="P436" i="4"/>
  <c r="Q436" i="4"/>
  <c r="R436" i="4"/>
  <c r="S436" i="4"/>
  <c r="O437" i="4"/>
  <c r="P437" i="4"/>
  <c r="Q437" i="4"/>
  <c r="R437" i="4"/>
  <c r="S437" i="4"/>
  <c r="O438" i="4"/>
  <c r="P438" i="4"/>
  <c r="Q438" i="4"/>
  <c r="R438" i="4"/>
  <c r="S438" i="4"/>
  <c r="O439" i="4"/>
  <c r="P439" i="4"/>
  <c r="Q439" i="4"/>
  <c r="R439" i="4"/>
  <c r="S439" i="4"/>
  <c r="O440" i="4"/>
  <c r="P440" i="4"/>
  <c r="Q440" i="4"/>
  <c r="R440" i="4"/>
  <c r="S440" i="4"/>
  <c r="O441" i="4"/>
  <c r="P441" i="4"/>
  <c r="Q441" i="4"/>
  <c r="R441" i="4"/>
  <c r="S441" i="4"/>
  <c r="O442" i="4"/>
  <c r="P442" i="4"/>
  <c r="Q442" i="4"/>
  <c r="R442" i="4"/>
  <c r="S442" i="4"/>
  <c r="O443" i="4"/>
  <c r="P443" i="4"/>
  <c r="Q443" i="4"/>
  <c r="R443" i="4"/>
  <c r="S443" i="4"/>
  <c r="O444" i="4"/>
  <c r="P444" i="4"/>
  <c r="Q444" i="4"/>
  <c r="R444" i="4"/>
  <c r="S444" i="4"/>
  <c r="O445" i="4"/>
  <c r="P445" i="4"/>
  <c r="Q445" i="4"/>
  <c r="R445" i="4"/>
  <c r="S445" i="4"/>
  <c r="O446" i="4"/>
  <c r="P446" i="4"/>
  <c r="Q446" i="4"/>
  <c r="R446" i="4"/>
  <c r="S446" i="4"/>
  <c r="O447" i="4"/>
  <c r="P447" i="4"/>
  <c r="Q447" i="4"/>
  <c r="R447" i="4"/>
  <c r="S447" i="4"/>
  <c r="O448" i="4"/>
  <c r="P448" i="4"/>
  <c r="Q448" i="4"/>
  <c r="R448" i="4"/>
  <c r="S448" i="4"/>
  <c r="O449" i="4"/>
  <c r="P449" i="4"/>
  <c r="Q449" i="4"/>
  <c r="R449" i="4"/>
  <c r="S449" i="4"/>
  <c r="O450" i="4"/>
  <c r="P450" i="4"/>
  <c r="Q450" i="4"/>
  <c r="R450" i="4"/>
  <c r="S450" i="4"/>
  <c r="O451" i="4"/>
  <c r="P451" i="4"/>
  <c r="Q451" i="4"/>
  <c r="R451" i="4"/>
  <c r="S451" i="4"/>
  <c r="O452" i="4"/>
  <c r="P452" i="4"/>
  <c r="Q452" i="4"/>
  <c r="R452" i="4"/>
  <c r="S452" i="4"/>
  <c r="O453" i="4"/>
  <c r="P453" i="4"/>
  <c r="Q453" i="4"/>
  <c r="R453" i="4"/>
  <c r="S453" i="4"/>
  <c r="O454" i="4"/>
  <c r="P454" i="4"/>
  <c r="Q454" i="4"/>
  <c r="R454" i="4"/>
  <c r="S454" i="4"/>
  <c r="O455" i="4"/>
  <c r="P455" i="4"/>
  <c r="Q455" i="4"/>
  <c r="R455" i="4"/>
  <c r="S455" i="4"/>
  <c r="O456" i="4"/>
  <c r="P456" i="4"/>
  <c r="Q456" i="4"/>
  <c r="R456" i="4"/>
  <c r="S456" i="4"/>
  <c r="O457" i="4"/>
  <c r="P457" i="4"/>
  <c r="Q457" i="4"/>
  <c r="R457" i="4"/>
  <c r="S457" i="4"/>
  <c r="O458" i="4"/>
  <c r="P458" i="4"/>
  <c r="Q458" i="4"/>
  <c r="R458" i="4"/>
  <c r="S458" i="4"/>
  <c r="O459" i="4"/>
  <c r="P459" i="4"/>
  <c r="Q459" i="4"/>
  <c r="R459" i="4"/>
  <c r="S459" i="4"/>
  <c r="O460" i="4"/>
  <c r="P460" i="4"/>
  <c r="Q460" i="4"/>
  <c r="R460" i="4"/>
  <c r="S460" i="4"/>
  <c r="O461" i="4"/>
  <c r="P461" i="4"/>
  <c r="Q461" i="4"/>
  <c r="R461" i="4"/>
  <c r="S461" i="4"/>
  <c r="O462" i="4"/>
  <c r="P462" i="4"/>
  <c r="Q462" i="4"/>
  <c r="R462" i="4"/>
  <c r="S462" i="4"/>
  <c r="O463" i="4"/>
  <c r="P463" i="4"/>
  <c r="Q463" i="4"/>
  <c r="R463" i="4"/>
  <c r="S463" i="4"/>
  <c r="O464" i="4"/>
  <c r="P464" i="4"/>
  <c r="Q464" i="4"/>
  <c r="R464" i="4"/>
  <c r="S464" i="4"/>
  <c r="O465" i="4"/>
  <c r="P465" i="4"/>
  <c r="Q465" i="4"/>
  <c r="R465" i="4"/>
  <c r="S465" i="4"/>
  <c r="O466" i="4"/>
  <c r="P466" i="4"/>
  <c r="Q466" i="4"/>
  <c r="R466" i="4"/>
  <c r="S466" i="4"/>
  <c r="O467" i="4"/>
  <c r="P467" i="4"/>
  <c r="Q467" i="4"/>
  <c r="R467" i="4"/>
  <c r="S467" i="4"/>
  <c r="O468" i="4"/>
  <c r="P468" i="4"/>
  <c r="Q468" i="4"/>
  <c r="R468" i="4"/>
  <c r="S468" i="4"/>
  <c r="O469" i="4"/>
  <c r="P469" i="4"/>
  <c r="Q469" i="4"/>
  <c r="R469" i="4"/>
  <c r="S469" i="4"/>
  <c r="O470" i="4"/>
  <c r="P470" i="4"/>
  <c r="Q470" i="4"/>
  <c r="R470" i="4"/>
  <c r="S470" i="4"/>
  <c r="O471" i="4"/>
  <c r="P471" i="4"/>
  <c r="Q471" i="4"/>
  <c r="R471" i="4"/>
  <c r="S471" i="4"/>
  <c r="O472" i="4"/>
  <c r="P472" i="4"/>
  <c r="Q472" i="4"/>
  <c r="R472" i="4"/>
  <c r="S472" i="4"/>
  <c r="O473" i="4"/>
  <c r="P473" i="4"/>
  <c r="Q473" i="4"/>
  <c r="R473" i="4"/>
  <c r="S473" i="4"/>
  <c r="O474" i="4"/>
  <c r="P474" i="4"/>
  <c r="Q474" i="4"/>
  <c r="R474" i="4"/>
  <c r="S474" i="4"/>
  <c r="O475" i="4"/>
  <c r="P475" i="4"/>
  <c r="Q475" i="4"/>
  <c r="R475" i="4"/>
  <c r="S475" i="4"/>
  <c r="O476" i="4"/>
  <c r="P476" i="4"/>
  <c r="Q476" i="4"/>
  <c r="R476" i="4"/>
  <c r="S476" i="4"/>
  <c r="O477" i="4"/>
  <c r="P477" i="4"/>
  <c r="Q477" i="4"/>
  <c r="R477" i="4"/>
  <c r="S477" i="4"/>
  <c r="O478" i="4"/>
  <c r="P478" i="4"/>
  <c r="Q478" i="4"/>
  <c r="R478" i="4"/>
  <c r="S478" i="4"/>
  <c r="O479" i="4"/>
  <c r="P479" i="4"/>
  <c r="Q479" i="4"/>
  <c r="R479" i="4"/>
  <c r="S479" i="4"/>
  <c r="O480" i="4"/>
  <c r="P480" i="4"/>
  <c r="Q480" i="4"/>
  <c r="R480" i="4"/>
  <c r="S480" i="4"/>
  <c r="O481" i="4"/>
  <c r="P481" i="4"/>
  <c r="Q481" i="4"/>
  <c r="R481" i="4"/>
  <c r="S481" i="4"/>
  <c r="O482" i="4"/>
  <c r="P482" i="4"/>
  <c r="Q482" i="4"/>
  <c r="R482" i="4"/>
  <c r="S482" i="4"/>
  <c r="O483" i="4"/>
  <c r="P483" i="4"/>
  <c r="Q483" i="4"/>
  <c r="R483" i="4"/>
  <c r="S483" i="4"/>
  <c r="O484" i="4"/>
  <c r="P484" i="4"/>
  <c r="Q484" i="4"/>
  <c r="R484" i="4"/>
  <c r="S484" i="4"/>
  <c r="O485" i="4"/>
  <c r="P485" i="4"/>
  <c r="Q485" i="4"/>
  <c r="R485" i="4"/>
  <c r="S485" i="4"/>
  <c r="O486" i="4"/>
  <c r="P486" i="4"/>
  <c r="Q486" i="4"/>
  <c r="R486" i="4"/>
  <c r="S486" i="4"/>
  <c r="O487" i="4"/>
  <c r="P487" i="4"/>
  <c r="Q487" i="4"/>
  <c r="R487" i="4"/>
  <c r="S487" i="4"/>
  <c r="O488" i="4"/>
  <c r="P488" i="4"/>
  <c r="Q488" i="4"/>
  <c r="R488" i="4"/>
  <c r="S488" i="4"/>
  <c r="O489" i="4"/>
  <c r="P489" i="4"/>
  <c r="Q489" i="4"/>
  <c r="R489" i="4"/>
  <c r="S489" i="4"/>
  <c r="O490" i="4"/>
  <c r="P490" i="4"/>
  <c r="Q490" i="4"/>
  <c r="R490" i="4"/>
  <c r="S490" i="4"/>
  <c r="O491" i="4"/>
  <c r="P491" i="4"/>
  <c r="Q491" i="4"/>
  <c r="R491" i="4"/>
  <c r="S491" i="4"/>
  <c r="O492" i="4"/>
  <c r="P492" i="4"/>
  <c r="Q492" i="4"/>
  <c r="R492" i="4"/>
  <c r="S492" i="4"/>
  <c r="O493" i="4"/>
  <c r="P493" i="4"/>
  <c r="Q493" i="4"/>
  <c r="R493" i="4"/>
  <c r="S493" i="4"/>
  <c r="O494" i="4"/>
  <c r="P494" i="4"/>
  <c r="Q494" i="4"/>
  <c r="R494" i="4"/>
  <c r="S494" i="4"/>
  <c r="O495" i="4"/>
  <c r="P495" i="4"/>
  <c r="Q495" i="4"/>
  <c r="R495" i="4"/>
  <c r="S495" i="4"/>
  <c r="O496" i="4"/>
  <c r="P496" i="4"/>
  <c r="Q496" i="4"/>
  <c r="R496" i="4"/>
  <c r="S496" i="4"/>
  <c r="O497" i="4"/>
  <c r="P497" i="4"/>
  <c r="Q497" i="4"/>
  <c r="R497" i="4"/>
  <c r="S497" i="4"/>
  <c r="O498" i="4"/>
  <c r="P498" i="4"/>
  <c r="Q498" i="4"/>
  <c r="R498" i="4"/>
  <c r="S498" i="4"/>
  <c r="O499" i="4"/>
  <c r="P499" i="4"/>
  <c r="Q499" i="4"/>
  <c r="R499" i="4"/>
  <c r="S499" i="4"/>
  <c r="O500" i="4"/>
  <c r="P500" i="4"/>
  <c r="Q500" i="4"/>
  <c r="R500" i="4"/>
  <c r="S500" i="4"/>
  <c r="O501" i="4"/>
  <c r="P501" i="4"/>
  <c r="Q501" i="4"/>
  <c r="R501" i="4"/>
  <c r="S501" i="4"/>
  <c r="O502" i="4"/>
  <c r="P502" i="4"/>
  <c r="Q502" i="4"/>
  <c r="R502" i="4"/>
  <c r="S502" i="4"/>
  <c r="O503" i="4"/>
  <c r="P503" i="4"/>
  <c r="Q503" i="4"/>
  <c r="R503" i="4"/>
  <c r="S503" i="4"/>
  <c r="O504" i="4"/>
  <c r="P504" i="4"/>
  <c r="Q504" i="4"/>
  <c r="R504" i="4"/>
  <c r="S504" i="4"/>
  <c r="O505" i="4"/>
  <c r="P505" i="4"/>
  <c r="Q505" i="4"/>
  <c r="R505" i="4"/>
  <c r="S505" i="4"/>
  <c r="O506" i="4"/>
  <c r="P506" i="4"/>
  <c r="Q506" i="4"/>
  <c r="R506" i="4"/>
  <c r="S506" i="4"/>
  <c r="O507" i="4"/>
  <c r="P507" i="4"/>
  <c r="Q507" i="4"/>
  <c r="R507" i="4"/>
  <c r="S507" i="4"/>
  <c r="O508" i="4"/>
  <c r="P508" i="4"/>
  <c r="Q508" i="4"/>
  <c r="R508" i="4"/>
  <c r="S508" i="4"/>
  <c r="O509" i="4"/>
  <c r="P509" i="4"/>
  <c r="Q509" i="4"/>
  <c r="R509" i="4"/>
  <c r="S509" i="4"/>
  <c r="O510" i="4"/>
  <c r="P510" i="4"/>
  <c r="Q510" i="4"/>
  <c r="R510" i="4"/>
  <c r="S510" i="4"/>
  <c r="O511" i="4"/>
  <c r="P511" i="4"/>
  <c r="Q511" i="4"/>
  <c r="R511" i="4"/>
  <c r="S511" i="4"/>
  <c r="O512" i="4"/>
  <c r="P512" i="4"/>
  <c r="Q512" i="4"/>
  <c r="R512" i="4"/>
  <c r="S512" i="4"/>
  <c r="O513" i="4"/>
  <c r="P513" i="4"/>
  <c r="Q513" i="4"/>
  <c r="R513" i="4"/>
  <c r="S513" i="4"/>
  <c r="O514" i="4"/>
  <c r="P514" i="4"/>
  <c r="Q514" i="4"/>
  <c r="R514" i="4"/>
  <c r="S514" i="4"/>
  <c r="O515" i="4"/>
  <c r="P515" i="4"/>
  <c r="Q515" i="4"/>
  <c r="R515" i="4"/>
  <c r="S515" i="4"/>
  <c r="O516" i="4"/>
  <c r="P516" i="4"/>
  <c r="Q516" i="4"/>
  <c r="R516" i="4"/>
  <c r="S516" i="4"/>
  <c r="O517" i="4"/>
  <c r="P517" i="4"/>
  <c r="Q517" i="4"/>
  <c r="R517" i="4"/>
  <c r="S517" i="4"/>
  <c r="O518" i="4"/>
  <c r="P518" i="4"/>
  <c r="Q518" i="4"/>
  <c r="R518" i="4"/>
  <c r="S518" i="4"/>
  <c r="O519" i="4"/>
  <c r="P519" i="4"/>
  <c r="Q519" i="4"/>
  <c r="R519" i="4"/>
  <c r="S519" i="4"/>
  <c r="O520" i="4"/>
  <c r="P520" i="4"/>
  <c r="Q520" i="4"/>
  <c r="R520" i="4"/>
  <c r="S520" i="4"/>
  <c r="O521" i="4"/>
  <c r="P521" i="4"/>
  <c r="Q521" i="4"/>
  <c r="R521" i="4"/>
  <c r="S521" i="4"/>
  <c r="O522" i="4"/>
  <c r="P522" i="4"/>
  <c r="Q522" i="4"/>
  <c r="R522" i="4"/>
  <c r="S522" i="4"/>
  <c r="O523" i="4"/>
  <c r="P523" i="4"/>
  <c r="Q523" i="4"/>
  <c r="R523" i="4"/>
  <c r="S523" i="4"/>
  <c r="O524" i="4"/>
  <c r="P524" i="4"/>
  <c r="Q524" i="4"/>
  <c r="R524" i="4"/>
  <c r="S524" i="4"/>
  <c r="O525" i="4"/>
  <c r="P525" i="4"/>
  <c r="Q525" i="4"/>
  <c r="R525" i="4"/>
  <c r="S525" i="4"/>
  <c r="O526" i="4"/>
  <c r="P526" i="4"/>
  <c r="Q526" i="4"/>
  <c r="R526" i="4"/>
  <c r="S526" i="4"/>
  <c r="O527" i="4"/>
  <c r="P527" i="4"/>
  <c r="Q527" i="4"/>
  <c r="R527" i="4"/>
  <c r="S527" i="4"/>
  <c r="O528" i="4"/>
  <c r="P528" i="4"/>
  <c r="Q528" i="4"/>
  <c r="R528" i="4"/>
  <c r="S528" i="4"/>
  <c r="O529" i="4"/>
  <c r="P529" i="4"/>
  <c r="Q529" i="4"/>
  <c r="R529" i="4"/>
  <c r="S529" i="4"/>
  <c r="O530" i="4"/>
  <c r="P530" i="4"/>
  <c r="Q530" i="4"/>
  <c r="R530" i="4"/>
  <c r="S530" i="4"/>
  <c r="O531" i="4"/>
  <c r="P531" i="4"/>
  <c r="Q531" i="4"/>
  <c r="R531" i="4"/>
  <c r="S531" i="4"/>
  <c r="O532" i="4"/>
  <c r="P532" i="4"/>
  <c r="Q532" i="4"/>
  <c r="R532" i="4"/>
  <c r="S532" i="4"/>
  <c r="O533" i="4"/>
  <c r="P533" i="4"/>
  <c r="Q533" i="4"/>
  <c r="R533" i="4"/>
  <c r="S533" i="4"/>
  <c r="O534" i="4"/>
  <c r="P534" i="4"/>
  <c r="Q534" i="4"/>
  <c r="R534" i="4"/>
  <c r="S534" i="4"/>
  <c r="O535" i="4"/>
  <c r="P535" i="4"/>
  <c r="Q535" i="4"/>
  <c r="R535" i="4"/>
  <c r="S535" i="4"/>
  <c r="O536" i="4"/>
  <c r="P536" i="4"/>
  <c r="Q536" i="4"/>
  <c r="R536" i="4"/>
  <c r="S536" i="4"/>
  <c r="O537" i="4"/>
  <c r="P537" i="4"/>
  <c r="Q537" i="4"/>
  <c r="R537" i="4"/>
  <c r="S537" i="4"/>
  <c r="O538" i="4"/>
  <c r="P538" i="4"/>
  <c r="Q538" i="4"/>
  <c r="R538" i="4"/>
  <c r="S538" i="4"/>
  <c r="O539" i="4"/>
  <c r="P539" i="4"/>
  <c r="Q539" i="4"/>
  <c r="R539" i="4"/>
  <c r="S539" i="4"/>
  <c r="O540" i="4"/>
  <c r="P540" i="4"/>
  <c r="Q540" i="4"/>
  <c r="R540" i="4"/>
  <c r="S540" i="4"/>
  <c r="O541" i="4"/>
  <c r="P541" i="4"/>
  <c r="Q541" i="4"/>
  <c r="R541" i="4"/>
  <c r="S541" i="4"/>
  <c r="O542" i="4"/>
  <c r="P542" i="4"/>
  <c r="Q542" i="4"/>
  <c r="R542" i="4"/>
  <c r="S542" i="4"/>
  <c r="O543" i="4"/>
  <c r="P543" i="4"/>
  <c r="Q543" i="4"/>
  <c r="R543" i="4"/>
  <c r="S543" i="4"/>
  <c r="O544" i="4"/>
  <c r="P544" i="4"/>
  <c r="Q544" i="4"/>
  <c r="R544" i="4"/>
  <c r="S544" i="4"/>
  <c r="O545" i="4"/>
  <c r="P545" i="4"/>
  <c r="Q545" i="4"/>
  <c r="R545" i="4"/>
  <c r="S545" i="4"/>
  <c r="O546" i="4"/>
  <c r="P546" i="4"/>
  <c r="Q546" i="4"/>
  <c r="R546" i="4"/>
  <c r="S546" i="4"/>
  <c r="O547" i="4"/>
  <c r="P547" i="4"/>
  <c r="Q547" i="4"/>
  <c r="R547" i="4"/>
  <c r="S547" i="4"/>
  <c r="O548" i="4"/>
  <c r="P548" i="4"/>
  <c r="Q548" i="4"/>
  <c r="R548" i="4"/>
  <c r="S548" i="4"/>
  <c r="O549" i="4"/>
  <c r="P549" i="4"/>
  <c r="Q549" i="4"/>
  <c r="R549" i="4"/>
  <c r="S549" i="4"/>
  <c r="O550" i="4"/>
  <c r="P550" i="4"/>
  <c r="Q550" i="4"/>
  <c r="R550" i="4"/>
  <c r="S550" i="4"/>
  <c r="P5" i="4"/>
  <c r="Q5" i="4"/>
  <c r="R5" i="4"/>
  <c r="S5" i="4"/>
  <c r="O5" i="4"/>
  <c r="K5" i="4"/>
  <c r="J5" i="4"/>
  <c r="I5" i="4"/>
  <c r="H5" i="4"/>
  <c r="G5" i="4"/>
  <c r="F5" i="4"/>
  <c r="E5" i="4"/>
  <c r="D5" i="4"/>
  <c r="C5" i="4"/>
  <c r="B5" i="4"/>
  <c r="M5" i="4"/>
  <c r="N5" i="4"/>
  <c r="L5" i="4"/>
  <c r="C22" i="2"/>
  <c r="C21" i="2"/>
  <c r="C28" i="2"/>
  <c r="O3" i="4" s="1" a="1"/>
  <c r="N549" i="4"/>
  <c r="M549" i="4"/>
  <c r="L549" i="4"/>
  <c r="K549" i="4"/>
  <c r="J549" i="4"/>
  <c r="I549" i="4"/>
  <c r="H549" i="4"/>
  <c r="G549" i="4"/>
  <c r="F549" i="4"/>
  <c r="E549" i="4"/>
  <c r="D549" i="4"/>
  <c r="C549" i="4"/>
  <c r="B549" i="4"/>
  <c r="N548" i="4"/>
  <c r="M548" i="4"/>
  <c r="L548" i="4"/>
  <c r="K548" i="4"/>
  <c r="J548" i="4"/>
  <c r="I548" i="4"/>
  <c r="H548" i="4"/>
  <c r="G548" i="4"/>
  <c r="F548" i="4"/>
  <c r="E548" i="4"/>
  <c r="D548" i="4"/>
  <c r="C548" i="4"/>
  <c r="B548" i="4"/>
  <c r="N547" i="4"/>
  <c r="M547" i="4"/>
  <c r="L547" i="4"/>
  <c r="K547" i="4"/>
  <c r="J547" i="4"/>
  <c r="I547" i="4"/>
  <c r="H547" i="4"/>
  <c r="G547" i="4"/>
  <c r="F547" i="4"/>
  <c r="E547" i="4"/>
  <c r="D547" i="4"/>
  <c r="C547" i="4"/>
  <c r="B547" i="4"/>
  <c r="N546" i="4"/>
  <c r="M546" i="4"/>
  <c r="L546" i="4"/>
  <c r="K546" i="4"/>
  <c r="J546" i="4"/>
  <c r="I546" i="4"/>
  <c r="H546" i="4"/>
  <c r="G546" i="4"/>
  <c r="F546" i="4"/>
  <c r="E546" i="4"/>
  <c r="D546" i="4"/>
  <c r="C546" i="4"/>
  <c r="B546" i="4"/>
  <c r="N545" i="4"/>
  <c r="M545" i="4"/>
  <c r="L545" i="4"/>
  <c r="K545" i="4"/>
  <c r="J545" i="4"/>
  <c r="I545" i="4"/>
  <c r="H545" i="4"/>
  <c r="G545" i="4"/>
  <c r="F545" i="4"/>
  <c r="E545" i="4"/>
  <c r="D545" i="4"/>
  <c r="C545" i="4"/>
  <c r="B545" i="4"/>
  <c r="N544" i="4"/>
  <c r="M544" i="4"/>
  <c r="L544" i="4"/>
  <c r="K544" i="4"/>
  <c r="J544" i="4"/>
  <c r="I544" i="4"/>
  <c r="H544" i="4"/>
  <c r="G544" i="4"/>
  <c r="F544" i="4"/>
  <c r="E544" i="4"/>
  <c r="D544" i="4"/>
  <c r="C544" i="4"/>
  <c r="B544" i="4"/>
  <c r="N543" i="4"/>
  <c r="M543" i="4"/>
  <c r="L543" i="4"/>
  <c r="K543" i="4"/>
  <c r="J543" i="4"/>
  <c r="I543" i="4"/>
  <c r="H543" i="4"/>
  <c r="G543" i="4"/>
  <c r="F543" i="4"/>
  <c r="E543" i="4"/>
  <c r="D543" i="4"/>
  <c r="C543" i="4"/>
  <c r="B543" i="4"/>
  <c r="N542" i="4"/>
  <c r="M542" i="4"/>
  <c r="L542" i="4"/>
  <c r="K542" i="4"/>
  <c r="J542" i="4"/>
  <c r="I542" i="4"/>
  <c r="H542" i="4"/>
  <c r="G542" i="4"/>
  <c r="F542" i="4"/>
  <c r="E542" i="4"/>
  <c r="D542" i="4"/>
  <c r="C542" i="4"/>
  <c r="B542" i="4"/>
  <c r="N541" i="4"/>
  <c r="M541" i="4"/>
  <c r="L541" i="4"/>
  <c r="K541" i="4"/>
  <c r="J541" i="4"/>
  <c r="I541" i="4"/>
  <c r="H541" i="4"/>
  <c r="G541" i="4"/>
  <c r="F541" i="4"/>
  <c r="E541" i="4"/>
  <c r="D541" i="4"/>
  <c r="C541" i="4"/>
  <c r="B541" i="4"/>
  <c r="N540" i="4"/>
  <c r="M540" i="4"/>
  <c r="L540" i="4"/>
  <c r="K540" i="4"/>
  <c r="J540" i="4"/>
  <c r="I540" i="4"/>
  <c r="H540" i="4"/>
  <c r="G540" i="4"/>
  <c r="F540" i="4"/>
  <c r="E540" i="4"/>
  <c r="D540" i="4"/>
  <c r="C540" i="4"/>
  <c r="B540" i="4"/>
  <c r="N539" i="4"/>
  <c r="M539" i="4"/>
  <c r="L539" i="4"/>
  <c r="K539" i="4"/>
  <c r="J539" i="4"/>
  <c r="I539" i="4"/>
  <c r="H539" i="4"/>
  <c r="G539" i="4"/>
  <c r="F539" i="4"/>
  <c r="E539" i="4"/>
  <c r="D539" i="4"/>
  <c r="C539" i="4"/>
  <c r="B539" i="4"/>
  <c r="N538" i="4"/>
  <c r="M538" i="4"/>
  <c r="L538" i="4"/>
  <c r="K538" i="4"/>
  <c r="J538" i="4"/>
  <c r="I538" i="4"/>
  <c r="H538" i="4"/>
  <c r="G538" i="4"/>
  <c r="F538" i="4"/>
  <c r="E538" i="4"/>
  <c r="D538" i="4"/>
  <c r="C538" i="4"/>
  <c r="B538" i="4"/>
  <c r="N537" i="4"/>
  <c r="M537" i="4"/>
  <c r="L537" i="4"/>
  <c r="K537" i="4"/>
  <c r="J537" i="4"/>
  <c r="I537" i="4"/>
  <c r="H537" i="4"/>
  <c r="G537" i="4"/>
  <c r="F537" i="4"/>
  <c r="E537" i="4"/>
  <c r="D537" i="4"/>
  <c r="C537" i="4"/>
  <c r="B537" i="4"/>
  <c r="N536" i="4"/>
  <c r="M536" i="4"/>
  <c r="L536" i="4"/>
  <c r="K536" i="4"/>
  <c r="J536" i="4"/>
  <c r="I536" i="4"/>
  <c r="H536" i="4"/>
  <c r="G536" i="4"/>
  <c r="F536" i="4"/>
  <c r="E536" i="4"/>
  <c r="D536" i="4"/>
  <c r="C536" i="4"/>
  <c r="B536" i="4"/>
  <c r="N535" i="4"/>
  <c r="M535" i="4"/>
  <c r="L535" i="4"/>
  <c r="K535" i="4"/>
  <c r="J535" i="4"/>
  <c r="I535" i="4"/>
  <c r="H535" i="4"/>
  <c r="G535" i="4"/>
  <c r="F535" i="4"/>
  <c r="E535" i="4"/>
  <c r="D535" i="4"/>
  <c r="C535" i="4"/>
  <c r="B535" i="4"/>
  <c r="N534" i="4"/>
  <c r="M534" i="4"/>
  <c r="L534" i="4"/>
  <c r="K534" i="4"/>
  <c r="J534" i="4"/>
  <c r="I534" i="4"/>
  <c r="H534" i="4"/>
  <c r="G534" i="4"/>
  <c r="F534" i="4"/>
  <c r="E534" i="4"/>
  <c r="D534" i="4"/>
  <c r="C534" i="4"/>
  <c r="B534" i="4"/>
  <c r="N533" i="4"/>
  <c r="M533" i="4"/>
  <c r="L533" i="4"/>
  <c r="K533" i="4"/>
  <c r="J533" i="4"/>
  <c r="I533" i="4"/>
  <c r="H533" i="4"/>
  <c r="G533" i="4"/>
  <c r="F533" i="4"/>
  <c r="E533" i="4"/>
  <c r="D533" i="4"/>
  <c r="C533" i="4"/>
  <c r="B533" i="4"/>
  <c r="N532" i="4"/>
  <c r="M532" i="4"/>
  <c r="L532" i="4"/>
  <c r="K532" i="4"/>
  <c r="J532" i="4"/>
  <c r="I532" i="4"/>
  <c r="H532" i="4"/>
  <c r="G532" i="4"/>
  <c r="F532" i="4"/>
  <c r="E532" i="4"/>
  <c r="D532" i="4"/>
  <c r="C532" i="4"/>
  <c r="B532" i="4"/>
  <c r="N531" i="4"/>
  <c r="M531" i="4"/>
  <c r="L531" i="4"/>
  <c r="K531" i="4"/>
  <c r="J531" i="4"/>
  <c r="I531" i="4"/>
  <c r="H531" i="4"/>
  <c r="G531" i="4"/>
  <c r="F531" i="4"/>
  <c r="E531" i="4"/>
  <c r="D531" i="4"/>
  <c r="C531" i="4"/>
  <c r="B531" i="4"/>
  <c r="N530" i="4"/>
  <c r="M530" i="4"/>
  <c r="L530" i="4"/>
  <c r="K530" i="4"/>
  <c r="J530" i="4"/>
  <c r="I530" i="4"/>
  <c r="H530" i="4"/>
  <c r="G530" i="4"/>
  <c r="F530" i="4"/>
  <c r="E530" i="4"/>
  <c r="D530" i="4"/>
  <c r="C530" i="4"/>
  <c r="B530" i="4"/>
  <c r="N529" i="4"/>
  <c r="M529" i="4"/>
  <c r="L529" i="4"/>
  <c r="K529" i="4"/>
  <c r="J529" i="4"/>
  <c r="I529" i="4"/>
  <c r="H529" i="4"/>
  <c r="G529" i="4"/>
  <c r="F529" i="4"/>
  <c r="E529" i="4"/>
  <c r="D529" i="4"/>
  <c r="C529" i="4"/>
  <c r="B529" i="4"/>
  <c r="N528" i="4"/>
  <c r="M528" i="4"/>
  <c r="L528" i="4"/>
  <c r="K528" i="4"/>
  <c r="J528" i="4"/>
  <c r="I528" i="4"/>
  <c r="H528" i="4"/>
  <c r="G528" i="4"/>
  <c r="F528" i="4"/>
  <c r="E528" i="4"/>
  <c r="D528" i="4"/>
  <c r="C528" i="4"/>
  <c r="B528" i="4"/>
  <c r="N527" i="4"/>
  <c r="M527" i="4"/>
  <c r="L527" i="4"/>
  <c r="K527" i="4"/>
  <c r="J527" i="4"/>
  <c r="I527" i="4"/>
  <c r="H527" i="4"/>
  <c r="G527" i="4"/>
  <c r="F527" i="4"/>
  <c r="E527" i="4"/>
  <c r="D527" i="4"/>
  <c r="C527" i="4"/>
  <c r="B527" i="4"/>
  <c r="N526" i="4"/>
  <c r="M526" i="4"/>
  <c r="L526" i="4"/>
  <c r="K526" i="4"/>
  <c r="J526" i="4"/>
  <c r="I526" i="4"/>
  <c r="H526" i="4"/>
  <c r="G526" i="4"/>
  <c r="F526" i="4"/>
  <c r="E526" i="4"/>
  <c r="D526" i="4"/>
  <c r="C526" i="4"/>
  <c r="B526" i="4"/>
  <c r="N525" i="4"/>
  <c r="M525" i="4"/>
  <c r="L525" i="4"/>
  <c r="K525" i="4"/>
  <c r="J525" i="4"/>
  <c r="I525" i="4"/>
  <c r="H525" i="4"/>
  <c r="G525" i="4"/>
  <c r="F525" i="4"/>
  <c r="E525" i="4"/>
  <c r="D525" i="4"/>
  <c r="C525" i="4"/>
  <c r="B525" i="4"/>
  <c r="N524" i="4"/>
  <c r="M524" i="4"/>
  <c r="L524" i="4"/>
  <c r="K524" i="4"/>
  <c r="J524" i="4"/>
  <c r="I524" i="4"/>
  <c r="H524" i="4"/>
  <c r="G524" i="4"/>
  <c r="F524" i="4"/>
  <c r="E524" i="4"/>
  <c r="D524" i="4"/>
  <c r="C524" i="4"/>
  <c r="B524" i="4"/>
  <c r="N523" i="4"/>
  <c r="M523" i="4"/>
  <c r="L523" i="4"/>
  <c r="K523" i="4"/>
  <c r="J523" i="4"/>
  <c r="I523" i="4"/>
  <c r="H523" i="4"/>
  <c r="G523" i="4"/>
  <c r="F523" i="4"/>
  <c r="E523" i="4"/>
  <c r="D523" i="4"/>
  <c r="C523" i="4"/>
  <c r="B523" i="4"/>
  <c r="N522" i="4"/>
  <c r="M522" i="4"/>
  <c r="L522" i="4"/>
  <c r="K522" i="4"/>
  <c r="J522" i="4"/>
  <c r="I522" i="4"/>
  <c r="H522" i="4"/>
  <c r="G522" i="4"/>
  <c r="F522" i="4"/>
  <c r="E522" i="4"/>
  <c r="D522" i="4"/>
  <c r="C522" i="4"/>
  <c r="B522" i="4"/>
  <c r="N521" i="4"/>
  <c r="M521" i="4"/>
  <c r="L521" i="4"/>
  <c r="K521" i="4"/>
  <c r="J521" i="4"/>
  <c r="I521" i="4"/>
  <c r="H521" i="4"/>
  <c r="G521" i="4"/>
  <c r="F521" i="4"/>
  <c r="E521" i="4"/>
  <c r="D521" i="4"/>
  <c r="C521" i="4"/>
  <c r="B521" i="4"/>
  <c r="N520" i="4"/>
  <c r="M520" i="4"/>
  <c r="L520" i="4"/>
  <c r="K520" i="4"/>
  <c r="J520" i="4"/>
  <c r="I520" i="4"/>
  <c r="H520" i="4"/>
  <c r="G520" i="4"/>
  <c r="F520" i="4"/>
  <c r="E520" i="4"/>
  <c r="D520" i="4"/>
  <c r="C520" i="4"/>
  <c r="B520" i="4"/>
  <c r="N519" i="4"/>
  <c r="M519" i="4"/>
  <c r="L519" i="4"/>
  <c r="K519" i="4"/>
  <c r="J519" i="4"/>
  <c r="I519" i="4"/>
  <c r="H519" i="4"/>
  <c r="G519" i="4"/>
  <c r="F519" i="4"/>
  <c r="E519" i="4"/>
  <c r="D519" i="4"/>
  <c r="C519" i="4"/>
  <c r="B519" i="4"/>
  <c r="N518" i="4"/>
  <c r="M518" i="4"/>
  <c r="L518" i="4"/>
  <c r="K518" i="4"/>
  <c r="J518" i="4"/>
  <c r="I518" i="4"/>
  <c r="H518" i="4"/>
  <c r="G518" i="4"/>
  <c r="F518" i="4"/>
  <c r="E518" i="4"/>
  <c r="D518" i="4"/>
  <c r="C518" i="4"/>
  <c r="B518" i="4"/>
  <c r="N517" i="4"/>
  <c r="M517" i="4"/>
  <c r="L517" i="4"/>
  <c r="K517" i="4"/>
  <c r="J517" i="4"/>
  <c r="I517" i="4"/>
  <c r="H517" i="4"/>
  <c r="G517" i="4"/>
  <c r="F517" i="4"/>
  <c r="E517" i="4"/>
  <c r="D517" i="4"/>
  <c r="C517" i="4"/>
  <c r="B517" i="4"/>
  <c r="N516" i="4"/>
  <c r="M516" i="4"/>
  <c r="L516" i="4"/>
  <c r="K516" i="4"/>
  <c r="J516" i="4"/>
  <c r="I516" i="4"/>
  <c r="H516" i="4"/>
  <c r="G516" i="4"/>
  <c r="F516" i="4"/>
  <c r="E516" i="4"/>
  <c r="D516" i="4"/>
  <c r="C516" i="4"/>
  <c r="B516" i="4"/>
  <c r="N515" i="4"/>
  <c r="M515" i="4"/>
  <c r="L515" i="4"/>
  <c r="K515" i="4"/>
  <c r="J515" i="4"/>
  <c r="I515" i="4"/>
  <c r="H515" i="4"/>
  <c r="G515" i="4"/>
  <c r="F515" i="4"/>
  <c r="E515" i="4"/>
  <c r="D515" i="4"/>
  <c r="C515" i="4"/>
  <c r="B515" i="4"/>
  <c r="N514" i="4"/>
  <c r="M514" i="4"/>
  <c r="L514" i="4"/>
  <c r="K514" i="4"/>
  <c r="J514" i="4"/>
  <c r="I514" i="4"/>
  <c r="H514" i="4"/>
  <c r="G514" i="4"/>
  <c r="F514" i="4"/>
  <c r="E514" i="4"/>
  <c r="D514" i="4"/>
  <c r="C514" i="4"/>
  <c r="B514" i="4"/>
  <c r="N513" i="4"/>
  <c r="M513" i="4"/>
  <c r="L513" i="4"/>
  <c r="K513" i="4"/>
  <c r="J513" i="4"/>
  <c r="I513" i="4"/>
  <c r="H513" i="4"/>
  <c r="G513" i="4"/>
  <c r="F513" i="4"/>
  <c r="E513" i="4"/>
  <c r="D513" i="4"/>
  <c r="C513" i="4"/>
  <c r="B513" i="4"/>
  <c r="N512" i="4"/>
  <c r="M512" i="4"/>
  <c r="L512" i="4"/>
  <c r="K512" i="4"/>
  <c r="J512" i="4"/>
  <c r="I512" i="4"/>
  <c r="H512" i="4"/>
  <c r="G512" i="4"/>
  <c r="F512" i="4"/>
  <c r="E512" i="4"/>
  <c r="D512" i="4"/>
  <c r="C512" i="4"/>
  <c r="B512" i="4"/>
  <c r="N511" i="4"/>
  <c r="M511" i="4"/>
  <c r="L511" i="4"/>
  <c r="K511" i="4"/>
  <c r="J511" i="4"/>
  <c r="I511" i="4"/>
  <c r="H511" i="4"/>
  <c r="G511" i="4"/>
  <c r="F511" i="4"/>
  <c r="E511" i="4"/>
  <c r="D511" i="4"/>
  <c r="C511" i="4"/>
  <c r="B511" i="4"/>
  <c r="N510" i="4"/>
  <c r="M510" i="4"/>
  <c r="L510" i="4"/>
  <c r="K510" i="4"/>
  <c r="J510" i="4"/>
  <c r="I510" i="4"/>
  <c r="H510" i="4"/>
  <c r="G510" i="4"/>
  <c r="F510" i="4"/>
  <c r="E510" i="4"/>
  <c r="D510" i="4"/>
  <c r="C510" i="4"/>
  <c r="B510" i="4"/>
  <c r="N509" i="4"/>
  <c r="M509" i="4"/>
  <c r="L509" i="4"/>
  <c r="K509" i="4"/>
  <c r="J509" i="4"/>
  <c r="I509" i="4"/>
  <c r="H509" i="4"/>
  <c r="G509" i="4"/>
  <c r="F509" i="4"/>
  <c r="E509" i="4"/>
  <c r="D509" i="4"/>
  <c r="C509" i="4"/>
  <c r="B509" i="4"/>
  <c r="N508" i="4"/>
  <c r="M508" i="4"/>
  <c r="L508" i="4"/>
  <c r="K508" i="4"/>
  <c r="J508" i="4"/>
  <c r="I508" i="4"/>
  <c r="H508" i="4"/>
  <c r="G508" i="4"/>
  <c r="F508" i="4"/>
  <c r="E508" i="4"/>
  <c r="D508" i="4"/>
  <c r="C508" i="4"/>
  <c r="B508" i="4"/>
  <c r="N507" i="4"/>
  <c r="M507" i="4"/>
  <c r="L507" i="4"/>
  <c r="K507" i="4"/>
  <c r="J507" i="4"/>
  <c r="I507" i="4"/>
  <c r="H507" i="4"/>
  <c r="G507" i="4"/>
  <c r="F507" i="4"/>
  <c r="E507" i="4"/>
  <c r="D507" i="4"/>
  <c r="C507" i="4"/>
  <c r="B507" i="4"/>
  <c r="N506" i="4"/>
  <c r="M506" i="4"/>
  <c r="L506" i="4"/>
  <c r="K506" i="4"/>
  <c r="J506" i="4"/>
  <c r="I506" i="4"/>
  <c r="H506" i="4"/>
  <c r="G506" i="4"/>
  <c r="F506" i="4"/>
  <c r="E506" i="4"/>
  <c r="D506" i="4"/>
  <c r="C506" i="4"/>
  <c r="B506" i="4"/>
  <c r="N505" i="4"/>
  <c r="M505" i="4"/>
  <c r="L505" i="4"/>
  <c r="K505" i="4"/>
  <c r="J505" i="4"/>
  <c r="I505" i="4"/>
  <c r="H505" i="4"/>
  <c r="G505" i="4"/>
  <c r="F505" i="4"/>
  <c r="E505" i="4"/>
  <c r="D505" i="4"/>
  <c r="C505" i="4"/>
  <c r="B505" i="4"/>
  <c r="N504" i="4"/>
  <c r="M504" i="4"/>
  <c r="L504" i="4"/>
  <c r="K504" i="4"/>
  <c r="J504" i="4"/>
  <c r="I504" i="4"/>
  <c r="H504" i="4"/>
  <c r="G504" i="4"/>
  <c r="F504" i="4"/>
  <c r="E504" i="4"/>
  <c r="D504" i="4"/>
  <c r="C504" i="4"/>
  <c r="B504" i="4"/>
  <c r="N503" i="4"/>
  <c r="M503" i="4"/>
  <c r="L503" i="4"/>
  <c r="K503" i="4"/>
  <c r="J503" i="4"/>
  <c r="I503" i="4"/>
  <c r="H503" i="4"/>
  <c r="G503" i="4"/>
  <c r="F503" i="4"/>
  <c r="E503" i="4"/>
  <c r="D503" i="4"/>
  <c r="C503" i="4"/>
  <c r="B503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N501" i="4"/>
  <c r="M501" i="4"/>
  <c r="L501" i="4"/>
  <c r="K501" i="4"/>
  <c r="J501" i="4"/>
  <c r="I501" i="4"/>
  <c r="H501" i="4"/>
  <c r="G501" i="4"/>
  <c r="F501" i="4"/>
  <c r="E501" i="4"/>
  <c r="D501" i="4"/>
  <c r="C501" i="4"/>
  <c r="B501" i="4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N496" i="4"/>
  <c r="M496" i="4"/>
  <c r="L496" i="4"/>
  <c r="K496" i="4"/>
  <c r="J496" i="4"/>
  <c r="I496" i="4"/>
  <c r="H496" i="4"/>
  <c r="G496" i="4"/>
  <c r="F496" i="4"/>
  <c r="E496" i="4"/>
  <c r="D496" i="4"/>
  <c r="C496" i="4"/>
  <c r="B496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B494" i="4"/>
  <c r="N493" i="4"/>
  <c r="M493" i="4"/>
  <c r="L493" i="4"/>
  <c r="K493" i="4"/>
  <c r="J493" i="4"/>
  <c r="I493" i="4"/>
  <c r="H493" i="4"/>
  <c r="G493" i="4"/>
  <c r="F493" i="4"/>
  <c r="E493" i="4"/>
  <c r="D493" i="4"/>
  <c r="C493" i="4"/>
  <c r="B493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B490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N477" i="4"/>
  <c r="M477" i="4"/>
  <c r="L477" i="4"/>
  <c r="K477" i="4"/>
  <c r="J477" i="4"/>
  <c r="I477" i="4"/>
  <c r="H477" i="4"/>
  <c r="G477" i="4"/>
  <c r="F477" i="4"/>
  <c r="E477" i="4"/>
  <c r="D477" i="4"/>
  <c r="C477" i="4"/>
  <c r="B477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M7" i="4"/>
  <c r="L7" i="4"/>
  <c r="K7" i="4"/>
  <c r="J7" i="4"/>
  <c r="I7" i="4"/>
  <c r="H7" i="4"/>
  <c r="G7" i="4"/>
  <c r="F7" i="4"/>
  <c r="E7" i="4"/>
  <c r="D7" i="4"/>
  <c r="C7" i="4"/>
  <c r="B7" i="4"/>
  <c r="N6" i="4"/>
  <c r="M6" i="4"/>
  <c r="L6" i="4"/>
  <c r="K6" i="4"/>
  <c r="J6" i="4"/>
  <c r="I6" i="4"/>
  <c r="H6" i="4"/>
  <c r="G6" i="4"/>
  <c r="F6" i="4"/>
  <c r="E6" i="4"/>
  <c r="D6" i="4"/>
  <c r="C6" i="4"/>
  <c r="B6" i="4"/>
  <c r="C550" i="4"/>
  <c r="D550" i="4"/>
  <c r="E550" i="4"/>
  <c r="F550" i="4"/>
  <c r="G550" i="4"/>
  <c r="H550" i="4"/>
  <c r="I550" i="4"/>
  <c r="J550" i="4"/>
  <c r="K550" i="4"/>
  <c r="L550" i="4"/>
  <c r="M550" i="4"/>
  <c r="N550" i="4"/>
  <c r="B550" i="4"/>
  <c r="C15" i="2"/>
  <c r="C13" i="2"/>
  <c r="K11" i="2" l="1" a="1"/>
  <c r="K11" i="2" s="1"/>
  <c r="B3" i="4" a="1"/>
  <c r="AB506" i="4" s="1"/>
  <c r="O3" i="4"/>
  <c r="AJ9" i="4"/>
  <c r="AK9" i="4"/>
  <c r="AM12" i="4"/>
  <c r="AK13" i="4"/>
  <c r="AM9" i="4"/>
  <c r="AK10" i="4"/>
  <c r="AM13" i="4"/>
  <c r="AK14" i="4"/>
  <c r="AL11" i="4"/>
  <c r="AJ12" i="4"/>
  <c r="AM11" i="4"/>
  <c r="AK15" i="4"/>
  <c r="AJ16" i="4"/>
  <c r="AL19" i="4"/>
  <c r="AJ20" i="4"/>
  <c r="AL23" i="4"/>
  <c r="AJ24" i="4"/>
  <c r="AL27" i="4"/>
  <c r="AJ28" i="4"/>
  <c r="AL31" i="4"/>
  <c r="AJ32" i="4"/>
  <c r="AL35" i="4"/>
  <c r="AJ36" i="4"/>
  <c r="AL39" i="4"/>
  <c r="AJ40" i="4"/>
  <c r="AL43" i="4"/>
  <c r="AJ44" i="4"/>
  <c r="AL15" i="4"/>
  <c r="AK16" i="4"/>
  <c r="AM19" i="4"/>
  <c r="AK20" i="4"/>
  <c r="AM23" i="4"/>
  <c r="AK24" i="4"/>
  <c r="AM27" i="4"/>
  <c r="AK28" i="4"/>
  <c r="AM31" i="4"/>
  <c r="AK32" i="4"/>
  <c r="AL9" i="4"/>
  <c r="AK12" i="4"/>
  <c r="AJ14" i="4"/>
  <c r="AM15" i="4"/>
  <c r="AL16" i="4"/>
  <c r="AJ17" i="4"/>
  <c r="AL20" i="4"/>
  <c r="AJ21" i="4"/>
  <c r="AL24" i="4"/>
  <c r="AJ25" i="4"/>
  <c r="AL28" i="4"/>
  <c r="AJ29" i="4"/>
  <c r="AL32" i="4"/>
  <c r="AJ33" i="4"/>
  <c r="AL36" i="4"/>
  <c r="AJ37" i="4"/>
  <c r="AJ10" i="4"/>
  <c r="AL12" i="4"/>
  <c r="AL14" i="4"/>
  <c r="AM16" i="4"/>
  <c r="AK17" i="4"/>
  <c r="AM20" i="4"/>
  <c r="AK21" i="4"/>
  <c r="AM24" i="4"/>
  <c r="AK25" i="4"/>
  <c r="AM28" i="4"/>
  <c r="AK29" i="4"/>
  <c r="AM32" i="4"/>
  <c r="AK33" i="4"/>
  <c r="AL10" i="4"/>
  <c r="AM14" i="4"/>
  <c r="AL17" i="4"/>
  <c r="AJ18" i="4"/>
  <c r="AL21" i="4"/>
  <c r="AJ22" i="4"/>
  <c r="AL25" i="4"/>
  <c r="AJ26" i="4"/>
  <c r="AL29" i="4"/>
  <c r="AJ30" i="4"/>
  <c r="AL33" i="4"/>
  <c r="AJ34" i="4"/>
  <c r="AM10" i="4"/>
  <c r="AJ13" i="4"/>
  <c r="AM17" i="4"/>
  <c r="AK18" i="4"/>
  <c r="AJ11" i="4"/>
  <c r="AL13" i="4"/>
  <c r="AL18" i="4"/>
  <c r="AJ19" i="4"/>
  <c r="AL22" i="4"/>
  <c r="AJ23" i="4"/>
  <c r="AL26" i="4"/>
  <c r="AJ27" i="4"/>
  <c r="AL30" i="4"/>
  <c r="AM22" i="4"/>
  <c r="AJ31" i="4"/>
  <c r="AK34" i="4"/>
  <c r="AM36" i="4"/>
  <c r="AJ41" i="4"/>
  <c r="AJ42" i="4"/>
  <c r="AJ43" i="4"/>
  <c r="AK44" i="4"/>
  <c r="AM47" i="4"/>
  <c r="AK48" i="4"/>
  <c r="AM51" i="4"/>
  <c r="AK52" i="4"/>
  <c r="AM55" i="4"/>
  <c r="AK56" i="4"/>
  <c r="AM59" i="4"/>
  <c r="AK60" i="4"/>
  <c r="AM63" i="4"/>
  <c r="AK64" i="4"/>
  <c r="AM67" i="4"/>
  <c r="AK68" i="4"/>
  <c r="AM71" i="4"/>
  <c r="AK72" i="4"/>
  <c r="AM18" i="4"/>
  <c r="AK26" i="4"/>
  <c r="AK31" i="4"/>
  <c r="AL34" i="4"/>
  <c r="AJ38" i="4"/>
  <c r="AJ39" i="4"/>
  <c r="AK40" i="4"/>
  <c r="AK41" i="4"/>
  <c r="AK42" i="4"/>
  <c r="AK43" i="4"/>
  <c r="AL44" i="4"/>
  <c r="AJ45" i="4"/>
  <c r="AL48" i="4"/>
  <c r="AJ49" i="4"/>
  <c r="AL52" i="4"/>
  <c r="AJ53" i="4"/>
  <c r="AL56" i="4"/>
  <c r="AJ57" i="4"/>
  <c r="AL60" i="4"/>
  <c r="AJ61" i="4"/>
  <c r="AJ15" i="4"/>
  <c r="AM26" i="4"/>
  <c r="AM34" i="4"/>
  <c r="AK37" i="4"/>
  <c r="AK38" i="4"/>
  <c r="AK39" i="4"/>
  <c r="AL40" i="4"/>
  <c r="AL41" i="4"/>
  <c r="AL42" i="4"/>
  <c r="AM43" i="4"/>
  <c r="AM44" i="4"/>
  <c r="AK45" i="4"/>
  <c r="AM48" i="4"/>
  <c r="AK49" i="4"/>
  <c r="AM52" i="4"/>
  <c r="AK53" i="4"/>
  <c r="AM56" i="4"/>
  <c r="AK57" i="4"/>
  <c r="AM60" i="4"/>
  <c r="AK61" i="4"/>
  <c r="AM64" i="4"/>
  <c r="AK65" i="4"/>
  <c r="AK19" i="4"/>
  <c r="AM21" i="4"/>
  <c r="AK30" i="4"/>
  <c r="AJ35" i="4"/>
  <c r="AL37" i="4"/>
  <c r="AL38" i="4"/>
  <c r="AM39" i="4"/>
  <c r="AM40" i="4"/>
  <c r="AM41" i="4"/>
  <c r="AM42" i="4"/>
  <c r="AL45" i="4"/>
  <c r="AJ46" i="4"/>
  <c r="AL49" i="4"/>
  <c r="AJ50" i="4"/>
  <c r="AL53" i="4"/>
  <c r="AJ54" i="4"/>
  <c r="AL57" i="4"/>
  <c r="AJ58" i="4"/>
  <c r="AL61" i="4"/>
  <c r="AK11" i="4"/>
  <c r="AK23" i="4"/>
  <c r="AM30" i="4"/>
  <c r="AK35" i="4"/>
  <c r="AM37" i="4"/>
  <c r="AM38" i="4"/>
  <c r="AM45" i="4"/>
  <c r="AK46" i="4"/>
  <c r="AM49" i="4"/>
  <c r="AK50" i="4"/>
  <c r="AM53" i="4"/>
  <c r="AK54" i="4"/>
  <c r="AM57" i="4"/>
  <c r="AK58" i="4"/>
  <c r="AM61" i="4"/>
  <c r="AK62" i="4"/>
  <c r="AM65" i="4"/>
  <c r="AM25" i="4"/>
  <c r="AM35" i="4"/>
  <c r="AL46" i="4"/>
  <c r="AJ47" i="4"/>
  <c r="AL50" i="4"/>
  <c r="AJ51" i="4"/>
  <c r="AL54" i="4"/>
  <c r="AK27" i="4"/>
  <c r="AM33" i="4"/>
  <c r="AM46" i="4"/>
  <c r="AK47" i="4"/>
  <c r="AM50" i="4"/>
  <c r="AK51" i="4"/>
  <c r="AM54" i="4"/>
  <c r="AK55" i="4"/>
  <c r="AM58" i="4"/>
  <c r="AK59" i="4"/>
  <c r="AM29" i="4"/>
  <c r="AJ52" i="4"/>
  <c r="AJ55" i="4"/>
  <c r="AK66" i="4"/>
  <c r="AM75" i="4"/>
  <c r="AK76" i="4"/>
  <c r="AM79" i="4"/>
  <c r="AK80" i="4"/>
  <c r="AM83" i="4"/>
  <c r="AK84" i="4"/>
  <c r="AM87" i="4"/>
  <c r="AK88" i="4"/>
  <c r="AM91" i="4"/>
  <c r="AK92" i="4"/>
  <c r="AM95" i="4"/>
  <c r="AK96" i="4"/>
  <c r="AM99" i="4"/>
  <c r="AK100" i="4"/>
  <c r="AM103" i="4"/>
  <c r="AK104" i="4"/>
  <c r="AM107" i="4"/>
  <c r="AK108" i="4"/>
  <c r="AM111" i="4"/>
  <c r="AL55" i="4"/>
  <c r="AJ64" i="4"/>
  <c r="AL66" i="4"/>
  <c r="AJ73" i="4"/>
  <c r="AL76" i="4"/>
  <c r="AJ77" i="4"/>
  <c r="AL80" i="4"/>
  <c r="AJ81" i="4"/>
  <c r="AL84" i="4"/>
  <c r="AJ85" i="4"/>
  <c r="AL88" i="4"/>
  <c r="AJ89" i="4"/>
  <c r="AL92" i="4"/>
  <c r="AJ93" i="4"/>
  <c r="AL96" i="4"/>
  <c r="AJ97" i="4"/>
  <c r="AJ59" i="4"/>
  <c r="AJ62" i="4"/>
  <c r="AL64" i="4"/>
  <c r="AM66" i="4"/>
  <c r="AJ69" i="4"/>
  <c r="AJ70" i="4"/>
  <c r="AJ71" i="4"/>
  <c r="AJ72" i="4"/>
  <c r="AK73" i="4"/>
  <c r="AM76" i="4"/>
  <c r="AK77" i="4"/>
  <c r="AM80" i="4"/>
  <c r="AK81" i="4"/>
  <c r="AM84" i="4"/>
  <c r="AK85" i="4"/>
  <c r="AM88" i="4"/>
  <c r="AK89" i="4"/>
  <c r="AM92" i="4"/>
  <c r="AK93" i="4"/>
  <c r="AM96" i="4"/>
  <c r="AK97" i="4"/>
  <c r="AM100" i="4"/>
  <c r="AK101" i="4"/>
  <c r="AM104" i="4"/>
  <c r="AL59" i="4"/>
  <c r="AL62" i="4"/>
  <c r="AJ68" i="4"/>
  <c r="AK69" i="4"/>
  <c r="AK70" i="4"/>
  <c r="AK71" i="4"/>
  <c r="AL72" i="4"/>
  <c r="AL73" i="4"/>
  <c r="AJ74" i="4"/>
  <c r="AL77" i="4"/>
  <c r="AJ78" i="4"/>
  <c r="AL81" i="4"/>
  <c r="AJ82" i="4"/>
  <c r="AL85" i="4"/>
  <c r="AJ86" i="4"/>
  <c r="AL89" i="4"/>
  <c r="AJ90" i="4"/>
  <c r="AL93" i="4"/>
  <c r="AJ94" i="4"/>
  <c r="AK22" i="4"/>
  <c r="AM62" i="4"/>
  <c r="AJ65" i="4"/>
  <c r="AL68" i="4"/>
  <c r="AL69" i="4"/>
  <c r="AL70" i="4"/>
  <c r="AL71" i="4"/>
  <c r="AM72" i="4"/>
  <c r="AM73" i="4"/>
  <c r="AK74" i="4"/>
  <c r="AM77" i="4"/>
  <c r="AK78" i="4"/>
  <c r="AM81" i="4"/>
  <c r="AK82" i="4"/>
  <c r="AM85" i="4"/>
  <c r="AK86" i="4"/>
  <c r="AM89" i="4"/>
  <c r="AK90" i="4"/>
  <c r="AM93" i="4"/>
  <c r="AK94" i="4"/>
  <c r="AM97" i="4"/>
  <c r="AK98" i="4"/>
  <c r="AM101" i="4"/>
  <c r="AK102" i="4"/>
  <c r="AL47" i="4"/>
  <c r="AJ56" i="4"/>
  <c r="AJ63" i="4"/>
  <c r="AL65" i="4"/>
  <c r="AJ67" i="4"/>
  <c r="AM68" i="4"/>
  <c r="AM69" i="4"/>
  <c r="AM70" i="4"/>
  <c r="AL74" i="4"/>
  <c r="AJ75" i="4"/>
  <c r="AL78" i="4"/>
  <c r="AJ79" i="4"/>
  <c r="AL82" i="4"/>
  <c r="AJ83" i="4"/>
  <c r="AL86" i="4"/>
  <c r="AJ87" i="4"/>
  <c r="AL90" i="4"/>
  <c r="AJ91" i="4"/>
  <c r="AL94" i="4"/>
  <c r="AJ95" i="4"/>
  <c r="AL51" i="4"/>
  <c r="AL58" i="4"/>
  <c r="AK63" i="4"/>
  <c r="AK67" i="4"/>
  <c r="AM74" i="4"/>
  <c r="AK75" i="4"/>
  <c r="AM78" i="4"/>
  <c r="AK79" i="4"/>
  <c r="AM82" i="4"/>
  <c r="AK83" i="4"/>
  <c r="AM86" i="4"/>
  <c r="AK87" i="4"/>
  <c r="AM90" i="4"/>
  <c r="AK91" i="4"/>
  <c r="AM94" i="4"/>
  <c r="AK95" i="4"/>
  <c r="AJ66" i="4"/>
  <c r="AJ92" i="4"/>
  <c r="AM98" i="4"/>
  <c r="AJ101" i="4"/>
  <c r="AL103" i="4"/>
  <c r="AK105" i="4"/>
  <c r="AK106" i="4"/>
  <c r="AK107" i="4"/>
  <c r="AL108" i="4"/>
  <c r="AL109" i="4"/>
  <c r="AL110" i="4"/>
  <c r="AL111" i="4"/>
  <c r="AL112" i="4"/>
  <c r="AJ113" i="4"/>
  <c r="AL116" i="4"/>
  <c r="AJ117" i="4"/>
  <c r="AL120" i="4"/>
  <c r="AJ121" i="4"/>
  <c r="AL124" i="4"/>
  <c r="AJ125" i="4"/>
  <c r="AL128" i="4"/>
  <c r="AJ129" i="4"/>
  <c r="AL132" i="4"/>
  <c r="AJ133" i="4"/>
  <c r="AL136" i="4"/>
  <c r="AJ137" i="4"/>
  <c r="AL140" i="4"/>
  <c r="AJ141" i="4"/>
  <c r="AL144" i="4"/>
  <c r="AJ145" i="4"/>
  <c r="AL148" i="4"/>
  <c r="AJ149" i="4"/>
  <c r="AK36" i="4"/>
  <c r="AJ60" i="4"/>
  <c r="AJ96" i="4"/>
  <c r="AJ99" i="4"/>
  <c r="AL101" i="4"/>
  <c r="AL105" i="4"/>
  <c r="AL106" i="4"/>
  <c r="AL107" i="4"/>
  <c r="AM108" i="4"/>
  <c r="AM109" i="4"/>
  <c r="AM110" i="4"/>
  <c r="AM112" i="4"/>
  <c r="AK113" i="4"/>
  <c r="AM116" i="4"/>
  <c r="AK117" i="4"/>
  <c r="AM120" i="4"/>
  <c r="AK121" i="4"/>
  <c r="AM124" i="4"/>
  <c r="AK125" i="4"/>
  <c r="AM128" i="4"/>
  <c r="AK129" i="4"/>
  <c r="AM132" i="4"/>
  <c r="AK133" i="4"/>
  <c r="AL67" i="4"/>
  <c r="AL75" i="4"/>
  <c r="AK99" i="4"/>
  <c r="AJ104" i="4"/>
  <c r="AM105" i="4"/>
  <c r="AM106" i="4"/>
  <c r="AL113" i="4"/>
  <c r="AJ114" i="4"/>
  <c r="AL117" i="4"/>
  <c r="AJ118" i="4"/>
  <c r="AL121" i="4"/>
  <c r="AJ122" i="4"/>
  <c r="AL125" i="4"/>
  <c r="AJ126" i="4"/>
  <c r="AL129" i="4"/>
  <c r="AJ130" i="4"/>
  <c r="AL133" i="4"/>
  <c r="AJ134" i="4"/>
  <c r="AL137" i="4"/>
  <c r="AJ138" i="4"/>
  <c r="AL141" i="4"/>
  <c r="AJ142" i="4"/>
  <c r="AL79" i="4"/>
  <c r="AL99" i="4"/>
  <c r="AJ102" i="4"/>
  <c r="AL104" i="4"/>
  <c r="AM113" i="4"/>
  <c r="AK114" i="4"/>
  <c r="AM117" i="4"/>
  <c r="AK118" i="4"/>
  <c r="AM121" i="4"/>
  <c r="AK122" i="4"/>
  <c r="AM125" i="4"/>
  <c r="AK126" i="4"/>
  <c r="AM129" i="4"/>
  <c r="AK130" i="4"/>
  <c r="AJ48" i="4"/>
  <c r="AL63" i="4"/>
  <c r="AJ76" i="4"/>
  <c r="AL83" i="4"/>
  <c r="AL102" i="4"/>
  <c r="AL114" i="4"/>
  <c r="AJ115" i="4"/>
  <c r="AL118" i="4"/>
  <c r="AJ119" i="4"/>
  <c r="AL122" i="4"/>
  <c r="AJ123" i="4"/>
  <c r="AL126" i="4"/>
  <c r="AJ127" i="4"/>
  <c r="AL130" i="4"/>
  <c r="AJ131" i="4"/>
  <c r="AL134" i="4"/>
  <c r="AJ135" i="4"/>
  <c r="AL138" i="4"/>
  <c r="AJ139" i="4"/>
  <c r="AL142" i="4"/>
  <c r="AJ143" i="4"/>
  <c r="AJ80" i="4"/>
  <c r="AL87" i="4"/>
  <c r="AL97" i="4"/>
  <c r="AJ100" i="4"/>
  <c r="AM102" i="4"/>
  <c r="AM114" i="4"/>
  <c r="AK115" i="4"/>
  <c r="AM118" i="4"/>
  <c r="AK119" i="4"/>
  <c r="AM122" i="4"/>
  <c r="AK123" i="4"/>
  <c r="AM126" i="4"/>
  <c r="AK127" i="4"/>
  <c r="AM130" i="4"/>
  <c r="AK131" i="4"/>
  <c r="AJ84" i="4"/>
  <c r="AL91" i="4"/>
  <c r="AJ98" i="4"/>
  <c r="AL100" i="4"/>
  <c r="AJ103" i="4"/>
  <c r="AJ109" i="4"/>
  <c r="AJ110" i="4"/>
  <c r="AJ111" i="4"/>
  <c r="AJ112" i="4"/>
  <c r="AL115" i="4"/>
  <c r="AJ116" i="4"/>
  <c r="AL119" i="4"/>
  <c r="AJ120" i="4"/>
  <c r="AL123" i="4"/>
  <c r="AJ124" i="4"/>
  <c r="AL127" i="4"/>
  <c r="AJ128" i="4"/>
  <c r="AL131" i="4"/>
  <c r="AJ132" i="4"/>
  <c r="AL135" i="4"/>
  <c r="AJ136" i="4"/>
  <c r="AK132" i="4"/>
  <c r="AL139" i="4"/>
  <c r="AJ144" i="4"/>
  <c r="AK145" i="4"/>
  <c r="AK146" i="4"/>
  <c r="AK147" i="4"/>
  <c r="AK148" i="4"/>
  <c r="AL149" i="4"/>
  <c r="AL150" i="4"/>
  <c r="AL151" i="4"/>
  <c r="AK152" i="4"/>
  <c r="AM155" i="4"/>
  <c r="AK156" i="4"/>
  <c r="AM159" i="4"/>
  <c r="AK160" i="4"/>
  <c r="AM163" i="4"/>
  <c r="AK164" i="4"/>
  <c r="AM167" i="4"/>
  <c r="AK168" i="4"/>
  <c r="AM171" i="4"/>
  <c r="AK172" i="4"/>
  <c r="AM175" i="4"/>
  <c r="AK176" i="4"/>
  <c r="AM179" i="4"/>
  <c r="AK180" i="4"/>
  <c r="AM183" i="4"/>
  <c r="AK184" i="4"/>
  <c r="AM187" i="4"/>
  <c r="AK188" i="4"/>
  <c r="AM191" i="4"/>
  <c r="AK192" i="4"/>
  <c r="AL95" i="4"/>
  <c r="AJ107" i="4"/>
  <c r="AK111" i="4"/>
  <c r="AK137" i="4"/>
  <c r="AM139" i="4"/>
  <c r="AK142" i="4"/>
  <c r="AK144" i="4"/>
  <c r="AL145" i="4"/>
  <c r="AL146" i="4"/>
  <c r="AL147" i="4"/>
  <c r="AM148" i="4"/>
  <c r="AM149" i="4"/>
  <c r="AM150" i="4"/>
  <c r="AM151" i="4"/>
  <c r="AL152" i="4"/>
  <c r="AJ153" i="4"/>
  <c r="AL156" i="4"/>
  <c r="AJ157" i="4"/>
  <c r="AL160" i="4"/>
  <c r="AJ161" i="4"/>
  <c r="AL164" i="4"/>
  <c r="AJ165" i="4"/>
  <c r="AL168" i="4"/>
  <c r="AJ169" i="4"/>
  <c r="AL172" i="4"/>
  <c r="AJ173" i="4"/>
  <c r="AK103" i="4"/>
  <c r="AM115" i="4"/>
  <c r="AM137" i="4"/>
  <c r="AJ140" i="4"/>
  <c r="AM142" i="4"/>
  <c r="AM144" i="4"/>
  <c r="AM145" i="4"/>
  <c r="AM146" i="4"/>
  <c r="AM147" i="4"/>
  <c r="AM152" i="4"/>
  <c r="AK153" i="4"/>
  <c r="AM156" i="4"/>
  <c r="AK157" i="4"/>
  <c r="AM160" i="4"/>
  <c r="AK161" i="4"/>
  <c r="AM164" i="4"/>
  <c r="AK165" i="4"/>
  <c r="AM168" i="4"/>
  <c r="AK169" i="4"/>
  <c r="AM172" i="4"/>
  <c r="AK173" i="4"/>
  <c r="AM176" i="4"/>
  <c r="AK177" i="4"/>
  <c r="AM180" i="4"/>
  <c r="AK181" i="4"/>
  <c r="AL98" i="4"/>
  <c r="AJ108" i="4"/>
  <c r="AK112" i="4"/>
  <c r="AM119" i="4"/>
  <c r="AK140" i="4"/>
  <c r="AL153" i="4"/>
  <c r="AJ154" i="4"/>
  <c r="AL157" i="4"/>
  <c r="AJ158" i="4"/>
  <c r="AL161" i="4"/>
  <c r="AJ162" i="4"/>
  <c r="AL165" i="4"/>
  <c r="AJ166" i="4"/>
  <c r="AL169" i="4"/>
  <c r="AJ170" i="4"/>
  <c r="AK116" i="4"/>
  <c r="AM123" i="4"/>
  <c r="AK134" i="4"/>
  <c r="AK138" i="4"/>
  <c r="AM140" i="4"/>
  <c r="AK143" i="4"/>
  <c r="AM153" i="4"/>
  <c r="AK154" i="4"/>
  <c r="AM157" i="4"/>
  <c r="AK158" i="4"/>
  <c r="AM161" i="4"/>
  <c r="AK162" i="4"/>
  <c r="AM165" i="4"/>
  <c r="AK166" i="4"/>
  <c r="AM169" i="4"/>
  <c r="AK170" i="4"/>
  <c r="AM173" i="4"/>
  <c r="AK174" i="4"/>
  <c r="AM177" i="4"/>
  <c r="AK178" i="4"/>
  <c r="AM181" i="4"/>
  <c r="AK182" i="4"/>
  <c r="AJ105" i="4"/>
  <c r="AK109" i="4"/>
  <c r="AK120" i="4"/>
  <c r="AM127" i="4"/>
  <c r="AM133" i="4"/>
  <c r="AM134" i="4"/>
  <c r="AK135" i="4"/>
  <c r="AM138" i="4"/>
  <c r="AL143" i="4"/>
  <c r="AL154" i="4"/>
  <c r="AJ155" i="4"/>
  <c r="AL158" i="4"/>
  <c r="AJ159" i="4"/>
  <c r="AL162" i="4"/>
  <c r="AJ163" i="4"/>
  <c r="AL166" i="4"/>
  <c r="AJ167" i="4"/>
  <c r="AL170" i="4"/>
  <c r="AJ171" i="4"/>
  <c r="AK124" i="4"/>
  <c r="AM131" i="4"/>
  <c r="AM135" i="4"/>
  <c r="AK136" i="4"/>
  <c r="AK141" i="4"/>
  <c r="AM143" i="4"/>
  <c r="AJ150" i="4"/>
  <c r="AJ151" i="4"/>
  <c r="AM154" i="4"/>
  <c r="AK155" i="4"/>
  <c r="AM158" i="4"/>
  <c r="AK159" i="4"/>
  <c r="AM162" i="4"/>
  <c r="AK163" i="4"/>
  <c r="AM166" i="4"/>
  <c r="AK167" i="4"/>
  <c r="AM170" i="4"/>
  <c r="AK171" i="4"/>
  <c r="AM174" i="4"/>
  <c r="AK175" i="4"/>
  <c r="AJ88" i="4"/>
  <c r="AK128" i="4"/>
  <c r="AJ148" i="4"/>
  <c r="AJ152" i="4"/>
  <c r="AL159" i="4"/>
  <c r="AJ172" i="4"/>
  <c r="AL176" i="4"/>
  <c r="AK179" i="4"/>
  <c r="AK183" i="4"/>
  <c r="AL184" i="4"/>
  <c r="AL185" i="4"/>
  <c r="AL186" i="4"/>
  <c r="AL187" i="4"/>
  <c r="AM188" i="4"/>
  <c r="AM189" i="4"/>
  <c r="AM190" i="4"/>
  <c r="AL193" i="4"/>
  <c r="AJ194" i="4"/>
  <c r="AL197" i="4"/>
  <c r="AJ198" i="4"/>
  <c r="AL201" i="4"/>
  <c r="AJ202" i="4"/>
  <c r="AL205" i="4"/>
  <c r="AJ206" i="4"/>
  <c r="AL209" i="4"/>
  <c r="AJ210" i="4"/>
  <c r="AL213" i="4"/>
  <c r="AJ214" i="4"/>
  <c r="AL217" i="4"/>
  <c r="AJ218" i="4"/>
  <c r="AL221" i="4"/>
  <c r="AJ222" i="4"/>
  <c r="AL225" i="4"/>
  <c r="AJ226" i="4"/>
  <c r="AL229" i="4"/>
  <c r="AJ230" i="4"/>
  <c r="AK139" i="4"/>
  <c r="AJ156" i="4"/>
  <c r="AL163" i="4"/>
  <c r="AJ177" i="4"/>
  <c r="AL179" i="4"/>
  <c r="AJ182" i="4"/>
  <c r="AL183" i="4"/>
  <c r="AM184" i="4"/>
  <c r="AM185" i="4"/>
  <c r="AM186" i="4"/>
  <c r="AM193" i="4"/>
  <c r="AK194" i="4"/>
  <c r="AM197" i="4"/>
  <c r="AK198" i="4"/>
  <c r="AM201" i="4"/>
  <c r="AK202" i="4"/>
  <c r="AM205" i="4"/>
  <c r="AK206" i="4"/>
  <c r="AM209" i="4"/>
  <c r="AK210" i="4"/>
  <c r="AJ106" i="4"/>
  <c r="AK149" i="4"/>
  <c r="AJ160" i="4"/>
  <c r="AL167" i="4"/>
  <c r="AL177" i="4"/>
  <c r="AL182" i="4"/>
  <c r="AL194" i="4"/>
  <c r="AJ195" i="4"/>
  <c r="AL198" i="4"/>
  <c r="AJ199" i="4"/>
  <c r="AL202" i="4"/>
  <c r="AJ203" i="4"/>
  <c r="AL206" i="4"/>
  <c r="AJ207" i="4"/>
  <c r="AL210" i="4"/>
  <c r="AJ211" i="4"/>
  <c r="AL214" i="4"/>
  <c r="AJ215" i="4"/>
  <c r="AL218" i="4"/>
  <c r="AJ219" i="4"/>
  <c r="AK110" i="4"/>
  <c r="AJ164" i="4"/>
  <c r="AL171" i="4"/>
  <c r="AJ180" i="4"/>
  <c r="AM182" i="4"/>
  <c r="AM194" i="4"/>
  <c r="AK195" i="4"/>
  <c r="AM198" i="4"/>
  <c r="AK199" i="4"/>
  <c r="AM202" i="4"/>
  <c r="AK203" i="4"/>
  <c r="AM206" i="4"/>
  <c r="AK207" i="4"/>
  <c r="AM210" i="4"/>
  <c r="AM141" i="4"/>
  <c r="AJ146" i="4"/>
  <c r="AK150" i="4"/>
  <c r="AJ168" i="4"/>
  <c r="AJ178" i="4"/>
  <c r="AL180" i="4"/>
  <c r="AL195" i="4"/>
  <c r="AJ196" i="4"/>
  <c r="AL199" i="4"/>
  <c r="AJ200" i="4"/>
  <c r="AL203" i="4"/>
  <c r="AJ204" i="4"/>
  <c r="AL207" i="4"/>
  <c r="AJ208" i="4"/>
  <c r="AL211" i="4"/>
  <c r="AJ212" i="4"/>
  <c r="AL215" i="4"/>
  <c r="AJ216" i="4"/>
  <c r="AL219" i="4"/>
  <c r="AJ220" i="4"/>
  <c r="AM136" i="4"/>
  <c r="AJ174" i="4"/>
  <c r="AL178" i="4"/>
  <c r="AJ189" i="4"/>
  <c r="AJ190" i="4"/>
  <c r="AJ191" i="4"/>
  <c r="AJ192" i="4"/>
  <c r="AM195" i="4"/>
  <c r="AK196" i="4"/>
  <c r="AM199" i="4"/>
  <c r="AK200" i="4"/>
  <c r="AM203" i="4"/>
  <c r="AK204" i="4"/>
  <c r="AM207" i="4"/>
  <c r="AJ147" i="4"/>
  <c r="AK151" i="4"/>
  <c r="AL174" i="4"/>
  <c r="AJ175" i="4"/>
  <c r="AM178" i="4"/>
  <c r="AJ181" i="4"/>
  <c r="AJ185" i="4"/>
  <c r="AJ186" i="4"/>
  <c r="AJ187" i="4"/>
  <c r="AJ188" i="4"/>
  <c r="AK189" i="4"/>
  <c r="AK190" i="4"/>
  <c r="AK191" i="4"/>
  <c r="AL192" i="4"/>
  <c r="AJ193" i="4"/>
  <c r="AL196" i="4"/>
  <c r="AJ197" i="4"/>
  <c r="AL200" i="4"/>
  <c r="AJ201" i="4"/>
  <c r="AL204" i="4"/>
  <c r="AJ205" i="4"/>
  <c r="AL208" i="4"/>
  <c r="AJ209" i="4"/>
  <c r="AL212" i="4"/>
  <c r="AJ213" i="4"/>
  <c r="AJ183" i="4"/>
  <c r="AK187" i="4"/>
  <c r="AL191" i="4"/>
  <c r="AK218" i="4"/>
  <c r="AM220" i="4"/>
  <c r="AK223" i="4"/>
  <c r="AK224" i="4"/>
  <c r="AK225" i="4"/>
  <c r="AL226" i="4"/>
  <c r="AL227" i="4"/>
  <c r="AL228" i="4"/>
  <c r="AM229" i="4"/>
  <c r="AM230" i="4"/>
  <c r="AL231" i="4"/>
  <c r="AJ232" i="4"/>
  <c r="AL235" i="4"/>
  <c r="AJ236" i="4"/>
  <c r="AL239" i="4"/>
  <c r="AJ240" i="4"/>
  <c r="AL243" i="4"/>
  <c r="AJ244" i="4"/>
  <c r="AL247" i="4"/>
  <c r="AJ248" i="4"/>
  <c r="AL251" i="4"/>
  <c r="AJ252" i="4"/>
  <c r="AL255" i="4"/>
  <c r="AJ256" i="4"/>
  <c r="AL259" i="4"/>
  <c r="AJ260" i="4"/>
  <c r="AL263" i="4"/>
  <c r="AJ264" i="4"/>
  <c r="AL267" i="4"/>
  <c r="AJ268" i="4"/>
  <c r="AL271" i="4"/>
  <c r="AJ272" i="4"/>
  <c r="AL275" i="4"/>
  <c r="AJ276" i="4"/>
  <c r="AL279" i="4"/>
  <c r="AJ280" i="4"/>
  <c r="AL283" i="4"/>
  <c r="AJ284" i="4"/>
  <c r="AK216" i="4"/>
  <c r="AM218" i="4"/>
  <c r="AK222" i="4"/>
  <c r="AL223" i="4"/>
  <c r="AL224" i="4"/>
  <c r="AM225" i="4"/>
  <c r="AM226" i="4"/>
  <c r="AM227" i="4"/>
  <c r="AM228" i="4"/>
  <c r="AM231" i="4"/>
  <c r="AK232" i="4"/>
  <c r="AM235" i="4"/>
  <c r="AK236" i="4"/>
  <c r="AM239" i="4"/>
  <c r="AK240" i="4"/>
  <c r="AM243" i="4"/>
  <c r="AK244" i="4"/>
  <c r="AM247" i="4"/>
  <c r="AK248" i="4"/>
  <c r="AM251" i="4"/>
  <c r="AK252" i="4"/>
  <c r="AM255" i="4"/>
  <c r="AK256" i="4"/>
  <c r="AM259" i="4"/>
  <c r="AK260" i="4"/>
  <c r="AM263" i="4"/>
  <c r="AK264" i="4"/>
  <c r="AJ179" i="4"/>
  <c r="AJ184" i="4"/>
  <c r="AL188" i="4"/>
  <c r="AM192" i="4"/>
  <c r="AK213" i="4"/>
  <c r="AL216" i="4"/>
  <c r="AL222" i="4"/>
  <c r="AM223" i="4"/>
  <c r="AM224" i="4"/>
  <c r="AL232" i="4"/>
  <c r="AJ233" i="4"/>
  <c r="AL236" i="4"/>
  <c r="AJ237" i="4"/>
  <c r="AL240" i="4"/>
  <c r="AJ241" i="4"/>
  <c r="AL244" i="4"/>
  <c r="AJ245" i="4"/>
  <c r="AL248" i="4"/>
  <c r="AJ249" i="4"/>
  <c r="AL252" i="4"/>
  <c r="AJ253" i="4"/>
  <c r="AL256" i="4"/>
  <c r="AJ257" i="4"/>
  <c r="AL260" i="4"/>
  <c r="AJ261" i="4"/>
  <c r="AL264" i="4"/>
  <c r="AJ265" i="4"/>
  <c r="AL268" i="4"/>
  <c r="AJ269" i="4"/>
  <c r="AL272" i="4"/>
  <c r="AJ273" i="4"/>
  <c r="AL276" i="4"/>
  <c r="AL173" i="4"/>
  <c r="AM196" i="4"/>
  <c r="AK209" i="4"/>
  <c r="AK212" i="4"/>
  <c r="AM213" i="4"/>
  <c r="AK214" i="4"/>
  <c r="AM216" i="4"/>
  <c r="AK219" i="4"/>
  <c r="AJ221" i="4"/>
  <c r="AM222" i="4"/>
  <c r="AM232" i="4"/>
  <c r="AK233" i="4"/>
  <c r="AM236" i="4"/>
  <c r="AK237" i="4"/>
  <c r="AM240" i="4"/>
  <c r="AK241" i="4"/>
  <c r="AM244" i="4"/>
  <c r="AK245" i="4"/>
  <c r="AM248" i="4"/>
  <c r="AK249" i="4"/>
  <c r="AM252" i="4"/>
  <c r="AK253" i="4"/>
  <c r="AM256" i="4"/>
  <c r="AK257" i="4"/>
  <c r="AM260" i="4"/>
  <c r="AK261" i="4"/>
  <c r="AK185" i="4"/>
  <c r="AL189" i="4"/>
  <c r="AK193" i="4"/>
  <c r="AM200" i="4"/>
  <c r="AK211" i="4"/>
  <c r="AM212" i="4"/>
  <c r="AM214" i="4"/>
  <c r="AJ217" i="4"/>
  <c r="AM219" i="4"/>
  <c r="AK221" i="4"/>
  <c r="AL233" i="4"/>
  <c r="AJ234" i="4"/>
  <c r="AL237" i="4"/>
  <c r="AJ238" i="4"/>
  <c r="AL241" i="4"/>
  <c r="AJ242" i="4"/>
  <c r="AL245" i="4"/>
  <c r="AJ246" i="4"/>
  <c r="AL249" i="4"/>
  <c r="AJ250" i="4"/>
  <c r="AL253" i="4"/>
  <c r="AJ254" i="4"/>
  <c r="AL257" i="4"/>
  <c r="AJ258" i="4"/>
  <c r="AL261" i="4"/>
  <c r="AJ262" i="4"/>
  <c r="AL265" i="4"/>
  <c r="AJ266" i="4"/>
  <c r="AL269" i="4"/>
  <c r="AJ270" i="4"/>
  <c r="AL273" i="4"/>
  <c r="AJ274" i="4"/>
  <c r="AL277" i="4"/>
  <c r="AJ278" i="4"/>
  <c r="AL155" i="4"/>
  <c r="AL175" i="4"/>
  <c r="AL181" i="4"/>
  <c r="AK197" i="4"/>
  <c r="AM204" i="4"/>
  <c r="AM211" i="4"/>
  <c r="AK217" i="4"/>
  <c r="AM221" i="4"/>
  <c r="AM233" i="4"/>
  <c r="AK234" i="4"/>
  <c r="AM237" i="4"/>
  <c r="AK238" i="4"/>
  <c r="AM241" i="4"/>
  <c r="AK242" i="4"/>
  <c r="AM245" i="4"/>
  <c r="AK246" i="4"/>
  <c r="AM249" i="4"/>
  <c r="AK250" i="4"/>
  <c r="AM253" i="4"/>
  <c r="AK254" i="4"/>
  <c r="AM257" i="4"/>
  <c r="AK258" i="4"/>
  <c r="AM261" i="4"/>
  <c r="AK262" i="4"/>
  <c r="AM265" i="4"/>
  <c r="AK266" i="4"/>
  <c r="AM269" i="4"/>
  <c r="AJ176" i="4"/>
  <c r="AK186" i="4"/>
  <c r="AL190" i="4"/>
  <c r="AK201" i="4"/>
  <c r="AK208" i="4"/>
  <c r="AK215" i="4"/>
  <c r="AM217" i="4"/>
  <c r="AK220" i="4"/>
  <c r="AJ227" i="4"/>
  <c r="AJ228" i="4"/>
  <c r="AJ229" i="4"/>
  <c r="AK230" i="4"/>
  <c r="AJ231" i="4"/>
  <c r="AL234" i="4"/>
  <c r="AJ235" i="4"/>
  <c r="AL238" i="4"/>
  <c r="AJ239" i="4"/>
  <c r="AL242" i="4"/>
  <c r="AJ243" i="4"/>
  <c r="AL246" i="4"/>
  <c r="AJ247" i="4"/>
  <c r="AL250" i="4"/>
  <c r="AJ251" i="4"/>
  <c r="AL254" i="4"/>
  <c r="AJ255" i="4"/>
  <c r="AL258" i="4"/>
  <c r="AJ259" i="4"/>
  <c r="AL262" i="4"/>
  <c r="AJ263" i="4"/>
  <c r="AL266" i="4"/>
  <c r="AJ267" i="4"/>
  <c r="AL270" i="4"/>
  <c r="AJ271" i="4"/>
  <c r="AK205" i="4"/>
  <c r="AK251" i="4"/>
  <c r="AM258" i="4"/>
  <c r="AK275" i="4"/>
  <c r="AK277" i="4"/>
  <c r="AL289" i="4"/>
  <c r="AJ290" i="4"/>
  <c r="AL293" i="4"/>
  <c r="AJ294" i="4"/>
  <c r="AL297" i="4"/>
  <c r="AJ298" i="4"/>
  <c r="AL301" i="4"/>
  <c r="AJ302" i="4"/>
  <c r="AL305" i="4"/>
  <c r="AJ306" i="4"/>
  <c r="AL309" i="4"/>
  <c r="AJ310" i="4"/>
  <c r="AL313" i="4"/>
  <c r="AJ314" i="4"/>
  <c r="AL317" i="4"/>
  <c r="AJ318" i="4"/>
  <c r="AL321" i="4"/>
  <c r="AJ322" i="4"/>
  <c r="AL325" i="4"/>
  <c r="AM208" i="4"/>
  <c r="AK226" i="4"/>
  <c r="AL230" i="4"/>
  <c r="AK255" i="4"/>
  <c r="AM262" i="4"/>
  <c r="AK273" i="4"/>
  <c r="AM275" i="4"/>
  <c r="AM277" i="4"/>
  <c r="AM289" i="4"/>
  <c r="AK290" i="4"/>
  <c r="AM293" i="4"/>
  <c r="AK294" i="4"/>
  <c r="AM297" i="4"/>
  <c r="AK298" i="4"/>
  <c r="AM301" i="4"/>
  <c r="AK302" i="4"/>
  <c r="AM234" i="4"/>
  <c r="AK259" i="4"/>
  <c r="AK265" i="4"/>
  <c r="AK269" i="4"/>
  <c r="AK270" i="4"/>
  <c r="AM273" i="4"/>
  <c r="AJ285" i="4"/>
  <c r="AJ286" i="4"/>
  <c r="AJ287" i="4"/>
  <c r="AL290" i="4"/>
  <c r="AJ291" i="4"/>
  <c r="AL294" i="4"/>
  <c r="AJ295" i="4"/>
  <c r="AL298" i="4"/>
  <c r="AJ299" i="4"/>
  <c r="AL302" i="4"/>
  <c r="AJ303" i="4"/>
  <c r="AL306" i="4"/>
  <c r="AJ307" i="4"/>
  <c r="AL310" i="4"/>
  <c r="AJ311" i="4"/>
  <c r="AJ223" i="4"/>
  <c r="AK227" i="4"/>
  <c r="AK231" i="4"/>
  <c r="AM238" i="4"/>
  <c r="AK263" i="4"/>
  <c r="AK268" i="4"/>
  <c r="AM270" i="4"/>
  <c r="AK271" i="4"/>
  <c r="AK276" i="4"/>
  <c r="AJ281" i="4"/>
  <c r="AJ282" i="4"/>
  <c r="AJ283" i="4"/>
  <c r="AK284" i="4"/>
  <c r="AK285" i="4"/>
  <c r="AK286" i="4"/>
  <c r="AK287" i="4"/>
  <c r="AM290" i="4"/>
  <c r="AK291" i="4"/>
  <c r="AM294" i="4"/>
  <c r="AK295" i="4"/>
  <c r="AM298" i="4"/>
  <c r="AK299" i="4"/>
  <c r="AM302" i="4"/>
  <c r="AK235" i="4"/>
  <c r="AM242" i="4"/>
  <c r="AK267" i="4"/>
  <c r="AM268" i="4"/>
  <c r="AM271" i="4"/>
  <c r="AK274" i="4"/>
  <c r="AM276" i="4"/>
  <c r="AJ279" i="4"/>
  <c r="AK280" i="4"/>
  <c r="AK281" i="4"/>
  <c r="AK282" i="4"/>
  <c r="AK283" i="4"/>
  <c r="AL284" i="4"/>
  <c r="AL285" i="4"/>
  <c r="AL286" i="4"/>
  <c r="AL287" i="4"/>
  <c r="AJ288" i="4"/>
  <c r="AL291" i="4"/>
  <c r="AJ292" i="4"/>
  <c r="AL295" i="4"/>
  <c r="AJ296" i="4"/>
  <c r="AL299" i="4"/>
  <c r="AJ300" i="4"/>
  <c r="AL303" i="4"/>
  <c r="AJ304" i="4"/>
  <c r="AL307" i="4"/>
  <c r="AJ308" i="4"/>
  <c r="AL311" i="4"/>
  <c r="AJ312" i="4"/>
  <c r="AL315" i="4"/>
  <c r="AJ316" i="4"/>
  <c r="AJ224" i="4"/>
  <c r="AK228" i="4"/>
  <c r="AK239" i="4"/>
  <c r="AM246" i="4"/>
  <c r="AM267" i="4"/>
  <c r="AL274" i="4"/>
  <c r="AK278" i="4"/>
  <c r="AK279" i="4"/>
  <c r="AL280" i="4"/>
  <c r="AL281" i="4"/>
  <c r="AL282" i="4"/>
  <c r="AM283" i="4"/>
  <c r="AM284" i="4"/>
  <c r="AM285" i="4"/>
  <c r="AM286" i="4"/>
  <c r="AM287" i="4"/>
  <c r="AK288" i="4"/>
  <c r="AM291" i="4"/>
  <c r="AK292" i="4"/>
  <c r="AM295" i="4"/>
  <c r="AK296" i="4"/>
  <c r="AM299" i="4"/>
  <c r="AK300" i="4"/>
  <c r="AL220" i="4"/>
  <c r="AK243" i="4"/>
  <c r="AM250" i="4"/>
  <c r="AM264" i="4"/>
  <c r="AK272" i="4"/>
  <c r="AM274" i="4"/>
  <c r="AL278" i="4"/>
  <c r="AM279" i="4"/>
  <c r="AM280" i="4"/>
  <c r="AM281" i="4"/>
  <c r="AM282" i="4"/>
  <c r="AL288" i="4"/>
  <c r="AJ289" i="4"/>
  <c r="AL292" i="4"/>
  <c r="AJ293" i="4"/>
  <c r="AL296" i="4"/>
  <c r="AJ297" i="4"/>
  <c r="AM215" i="4"/>
  <c r="AJ225" i="4"/>
  <c r="AK229" i="4"/>
  <c r="AK247" i="4"/>
  <c r="AM254" i="4"/>
  <c r="AM266" i="4"/>
  <c r="AM272" i="4"/>
  <c r="AJ275" i="4"/>
  <c r="AJ277" i="4"/>
  <c r="AM278" i="4"/>
  <c r="AM288" i="4"/>
  <c r="AK289" i="4"/>
  <c r="AM292" i="4"/>
  <c r="AK293" i="4"/>
  <c r="AM296" i="4"/>
  <c r="AK297" i="4"/>
  <c r="AM300" i="4"/>
  <c r="AK301" i="4"/>
  <c r="AM304" i="4"/>
  <c r="AK305" i="4"/>
  <c r="AK310" i="4"/>
  <c r="AM312" i="4"/>
  <c r="AK314" i="4"/>
  <c r="AJ323" i="4"/>
  <c r="AJ324" i="4"/>
  <c r="AJ325" i="4"/>
  <c r="AM328" i="4"/>
  <c r="AK329" i="4"/>
  <c r="AM332" i="4"/>
  <c r="AK333" i="4"/>
  <c r="AM336" i="4"/>
  <c r="AK337" i="4"/>
  <c r="AM340" i="4"/>
  <c r="AK341" i="4"/>
  <c r="AM344" i="4"/>
  <c r="AK345" i="4"/>
  <c r="AM348" i="4"/>
  <c r="AK349" i="4"/>
  <c r="AM352" i="4"/>
  <c r="AK353" i="4"/>
  <c r="AM356" i="4"/>
  <c r="AK357" i="4"/>
  <c r="AM360" i="4"/>
  <c r="AK361" i="4"/>
  <c r="AM364" i="4"/>
  <c r="AK365" i="4"/>
  <c r="AM368" i="4"/>
  <c r="AK369" i="4"/>
  <c r="AM372" i="4"/>
  <c r="AK373" i="4"/>
  <c r="AM376" i="4"/>
  <c r="AM305" i="4"/>
  <c r="AK308" i="4"/>
  <c r="AM310" i="4"/>
  <c r="AL314" i="4"/>
  <c r="AJ319" i="4"/>
  <c r="AJ320" i="4"/>
  <c r="AJ321" i="4"/>
  <c r="AK322" i="4"/>
  <c r="AK323" i="4"/>
  <c r="AK324" i="4"/>
  <c r="AK325" i="4"/>
  <c r="AJ326" i="4"/>
  <c r="AL329" i="4"/>
  <c r="AJ330" i="4"/>
  <c r="AL333" i="4"/>
  <c r="AJ334" i="4"/>
  <c r="AL337" i="4"/>
  <c r="AJ338" i="4"/>
  <c r="AL341" i="4"/>
  <c r="AJ342" i="4"/>
  <c r="AL345" i="4"/>
  <c r="AJ346" i="4"/>
  <c r="AL349" i="4"/>
  <c r="AJ350" i="4"/>
  <c r="AL353" i="4"/>
  <c r="AJ354" i="4"/>
  <c r="AL357" i="4"/>
  <c r="AJ358" i="4"/>
  <c r="AL361" i="4"/>
  <c r="AJ362" i="4"/>
  <c r="AL365" i="4"/>
  <c r="AJ366" i="4"/>
  <c r="AL369" i="4"/>
  <c r="AJ370" i="4"/>
  <c r="AL373" i="4"/>
  <c r="AJ374" i="4"/>
  <c r="AL377" i="4"/>
  <c r="AJ378" i="4"/>
  <c r="AL308" i="4"/>
  <c r="AJ313" i="4"/>
  <c r="AM314" i="4"/>
  <c r="AJ317" i="4"/>
  <c r="AK318" i="4"/>
  <c r="AK319" i="4"/>
  <c r="AK320" i="4"/>
  <c r="AK321" i="4"/>
  <c r="AL322" i="4"/>
  <c r="AL323" i="4"/>
  <c r="AL324" i="4"/>
  <c r="AM325" i="4"/>
  <c r="AK326" i="4"/>
  <c r="AM329" i="4"/>
  <c r="AK330" i="4"/>
  <c r="AM333" i="4"/>
  <c r="AK334" i="4"/>
  <c r="AM337" i="4"/>
  <c r="AK338" i="4"/>
  <c r="AM341" i="4"/>
  <c r="AK342" i="4"/>
  <c r="AM345" i="4"/>
  <c r="AK346" i="4"/>
  <c r="AM349" i="4"/>
  <c r="AK350" i="4"/>
  <c r="AM353" i="4"/>
  <c r="AK354" i="4"/>
  <c r="AM357" i="4"/>
  <c r="AK358" i="4"/>
  <c r="AM361" i="4"/>
  <c r="AK362" i="4"/>
  <c r="AM365" i="4"/>
  <c r="AK366" i="4"/>
  <c r="AL300" i="4"/>
  <c r="AK306" i="4"/>
  <c r="AM308" i="4"/>
  <c r="AK311" i="4"/>
  <c r="AK313" i="4"/>
  <c r="AK316" i="4"/>
  <c r="AK317" i="4"/>
  <c r="AL318" i="4"/>
  <c r="AL319" i="4"/>
  <c r="AL320" i="4"/>
  <c r="AM321" i="4"/>
  <c r="AM322" i="4"/>
  <c r="AM323" i="4"/>
  <c r="AM324" i="4"/>
  <c r="AL326" i="4"/>
  <c r="AJ327" i="4"/>
  <c r="AL330" i="4"/>
  <c r="AJ331" i="4"/>
  <c r="AL334" i="4"/>
  <c r="AJ335" i="4"/>
  <c r="AL338" i="4"/>
  <c r="AJ339" i="4"/>
  <c r="AL342" i="4"/>
  <c r="AJ343" i="4"/>
  <c r="AL346" i="4"/>
  <c r="AJ347" i="4"/>
  <c r="AL350" i="4"/>
  <c r="AJ351" i="4"/>
  <c r="AL354" i="4"/>
  <c r="AJ355" i="4"/>
  <c r="AL358" i="4"/>
  <c r="AJ359" i="4"/>
  <c r="AL362" i="4"/>
  <c r="AJ363" i="4"/>
  <c r="AL366" i="4"/>
  <c r="AM306" i="4"/>
  <c r="AJ309" i="4"/>
  <c r="AM311" i="4"/>
  <c r="AM313" i="4"/>
  <c r="AL316" i="4"/>
  <c r="AM317" i="4"/>
  <c r="AM318" i="4"/>
  <c r="AM319" i="4"/>
  <c r="AM320" i="4"/>
  <c r="AM326" i="4"/>
  <c r="AK327" i="4"/>
  <c r="AM330" i="4"/>
  <c r="AK331" i="4"/>
  <c r="AM334" i="4"/>
  <c r="AK335" i="4"/>
  <c r="AM338" i="4"/>
  <c r="AK339" i="4"/>
  <c r="AM342" i="4"/>
  <c r="AK343" i="4"/>
  <c r="AM346" i="4"/>
  <c r="AK347" i="4"/>
  <c r="AM350" i="4"/>
  <c r="AK351" i="4"/>
  <c r="AM354" i="4"/>
  <c r="AK355" i="4"/>
  <c r="AM358" i="4"/>
  <c r="AK359" i="4"/>
  <c r="AM362" i="4"/>
  <c r="AK363" i="4"/>
  <c r="AM366" i="4"/>
  <c r="AK367" i="4"/>
  <c r="AM370" i="4"/>
  <c r="AK371" i="4"/>
  <c r="AM374" i="4"/>
  <c r="AK375" i="4"/>
  <c r="AM378" i="4"/>
  <c r="AK379" i="4"/>
  <c r="AM382" i="4"/>
  <c r="AK383" i="4"/>
  <c r="AJ301" i="4"/>
  <c r="AK309" i="4"/>
  <c r="AJ315" i="4"/>
  <c r="AM316" i="4"/>
  <c r="AL327" i="4"/>
  <c r="AJ328" i="4"/>
  <c r="AL331" i="4"/>
  <c r="AJ332" i="4"/>
  <c r="AL335" i="4"/>
  <c r="AJ336" i="4"/>
  <c r="AL339" i="4"/>
  <c r="AJ340" i="4"/>
  <c r="AL343" i="4"/>
  <c r="AJ344" i="4"/>
  <c r="AL347" i="4"/>
  <c r="AJ348" i="4"/>
  <c r="AL351" i="4"/>
  <c r="AJ352" i="4"/>
  <c r="AL355" i="4"/>
  <c r="AJ356" i="4"/>
  <c r="AL359" i="4"/>
  <c r="AJ360" i="4"/>
  <c r="AL363" i="4"/>
  <c r="AJ364" i="4"/>
  <c r="AL367" i="4"/>
  <c r="AJ368" i="4"/>
  <c r="AK303" i="4"/>
  <c r="AK304" i="4"/>
  <c r="AK307" i="4"/>
  <c r="AM309" i="4"/>
  <c r="AK312" i="4"/>
  <c r="AK315" i="4"/>
  <c r="AM327" i="4"/>
  <c r="AK328" i="4"/>
  <c r="AM331" i="4"/>
  <c r="AK332" i="4"/>
  <c r="AM335" i="4"/>
  <c r="AK336" i="4"/>
  <c r="AM339" i="4"/>
  <c r="AK340" i="4"/>
  <c r="AM343" i="4"/>
  <c r="AK344" i="4"/>
  <c r="AM347" i="4"/>
  <c r="AK348" i="4"/>
  <c r="AM351" i="4"/>
  <c r="AK352" i="4"/>
  <c r="AM355" i="4"/>
  <c r="AK356" i="4"/>
  <c r="AM359" i="4"/>
  <c r="AK360" i="4"/>
  <c r="AM363" i="4"/>
  <c r="AK364" i="4"/>
  <c r="AM367" i="4"/>
  <c r="AK368" i="4"/>
  <c r="AM371" i="4"/>
  <c r="AM303" i="4"/>
  <c r="AL304" i="4"/>
  <c r="AJ305" i="4"/>
  <c r="AM307" i="4"/>
  <c r="AL312" i="4"/>
  <c r="AM315" i="4"/>
  <c r="AL328" i="4"/>
  <c r="AJ329" i="4"/>
  <c r="AL332" i="4"/>
  <c r="AJ333" i="4"/>
  <c r="AL336" i="4"/>
  <c r="AJ337" i="4"/>
  <c r="AL340" i="4"/>
  <c r="AJ341" i="4"/>
  <c r="AL344" i="4"/>
  <c r="AJ345" i="4"/>
  <c r="AL348" i="4"/>
  <c r="AJ349" i="4"/>
  <c r="AL352" i="4"/>
  <c r="AJ353" i="4"/>
  <c r="AL356" i="4"/>
  <c r="AJ357" i="4"/>
  <c r="AL360" i="4"/>
  <c r="AJ361" i="4"/>
  <c r="AL364" i="4"/>
  <c r="AJ365" i="4"/>
  <c r="AL368" i="4"/>
  <c r="AJ369" i="4"/>
  <c r="AL372" i="4"/>
  <c r="AJ373" i="4"/>
  <c r="AL376" i="4"/>
  <c r="AJ377" i="4"/>
  <c r="AL380" i="4"/>
  <c r="AJ367" i="4"/>
  <c r="AJ371" i="4"/>
  <c r="AJ372" i="4"/>
  <c r="AM386" i="4"/>
  <c r="AK387" i="4"/>
  <c r="AM390" i="4"/>
  <c r="AK391" i="4"/>
  <c r="AM394" i="4"/>
  <c r="AK395" i="4"/>
  <c r="AM398" i="4"/>
  <c r="AK399" i="4"/>
  <c r="AM402" i="4"/>
  <c r="AK403" i="4"/>
  <c r="AM406" i="4"/>
  <c r="AK407" i="4"/>
  <c r="AM410" i="4"/>
  <c r="AK411" i="4"/>
  <c r="AM414" i="4"/>
  <c r="AK415" i="4"/>
  <c r="AM418" i="4"/>
  <c r="AK419" i="4"/>
  <c r="AM422" i="4"/>
  <c r="AK423" i="4"/>
  <c r="AM426" i="4"/>
  <c r="AK427" i="4"/>
  <c r="AM430" i="4"/>
  <c r="AK431" i="4"/>
  <c r="AM434" i="4"/>
  <c r="AK435" i="4"/>
  <c r="AM438" i="4"/>
  <c r="AK439" i="4"/>
  <c r="AK370" i="4"/>
  <c r="AL371" i="4"/>
  <c r="AK372" i="4"/>
  <c r="AK378" i="4"/>
  <c r="AJ381" i="4"/>
  <c r="AJ382" i="4"/>
  <c r="AJ383" i="4"/>
  <c r="AJ384" i="4"/>
  <c r="AL387" i="4"/>
  <c r="AJ388" i="4"/>
  <c r="AL391" i="4"/>
  <c r="AJ392" i="4"/>
  <c r="AL395" i="4"/>
  <c r="AJ396" i="4"/>
  <c r="AL399" i="4"/>
  <c r="AJ400" i="4"/>
  <c r="AL403" i="4"/>
  <c r="AJ404" i="4"/>
  <c r="AL407" i="4"/>
  <c r="AJ408" i="4"/>
  <c r="AL411" i="4"/>
  <c r="AJ412" i="4"/>
  <c r="AL415" i="4"/>
  <c r="AJ416" i="4"/>
  <c r="AL419" i="4"/>
  <c r="AJ420" i="4"/>
  <c r="AL423" i="4"/>
  <c r="AJ424" i="4"/>
  <c r="AL427" i="4"/>
  <c r="AJ428" i="4"/>
  <c r="AL431" i="4"/>
  <c r="AJ432" i="4"/>
  <c r="AL435" i="4"/>
  <c r="AJ436" i="4"/>
  <c r="AL439" i="4"/>
  <c r="AJ440" i="4"/>
  <c r="AL443" i="4"/>
  <c r="AJ444" i="4"/>
  <c r="AL370" i="4"/>
  <c r="AM373" i="4"/>
  <c r="AK374" i="4"/>
  <c r="AL378" i="4"/>
  <c r="AJ380" i="4"/>
  <c r="AK381" i="4"/>
  <c r="AK382" i="4"/>
  <c r="AL383" i="4"/>
  <c r="AK384" i="4"/>
  <c r="AM387" i="4"/>
  <c r="AK388" i="4"/>
  <c r="AM391" i="4"/>
  <c r="AK392" i="4"/>
  <c r="AM395" i="4"/>
  <c r="AK396" i="4"/>
  <c r="AM399" i="4"/>
  <c r="AK400" i="4"/>
  <c r="AM403" i="4"/>
  <c r="AK404" i="4"/>
  <c r="AM407" i="4"/>
  <c r="AK408" i="4"/>
  <c r="AM411" i="4"/>
  <c r="AK412" i="4"/>
  <c r="AM415" i="4"/>
  <c r="AK416" i="4"/>
  <c r="AM419" i="4"/>
  <c r="AK420" i="4"/>
  <c r="AM423" i="4"/>
  <c r="AK424" i="4"/>
  <c r="AM427" i="4"/>
  <c r="AK428" i="4"/>
  <c r="AM431" i="4"/>
  <c r="AK432" i="4"/>
  <c r="AM369" i="4"/>
  <c r="AL374" i="4"/>
  <c r="AJ375" i="4"/>
  <c r="AK380" i="4"/>
  <c r="AL381" i="4"/>
  <c r="AL382" i="4"/>
  <c r="AM383" i="4"/>
  <c r="AL384" i="4"/>
  <c r="AJ385" i="4"/>
  <c r="AL388" i="4"/>
  <c r="AJ389" i="4"/>
  <c r="AL392" i="4"/>
  <c r="AJ393" i="4"/>
  <c r="AL396" i="4"/>
  <c r="AJ397" i="4"/>
  <c r="AL400" i="4"/>
  <c r="AJ401" i="4"/>
  <c r="AL404" i="4"/>
  <c r="AJ405" i="4"/>
  <c r="AL408" i="4"/>
  <c r="AJ409" i="4"/>
  <c r="AL412" i="4"/>
  <c r="AJ413" i="4"/>
  <c r="AL416" i="4"/>
  <c r="AJ417" i="4"/>
  <c r="AL420" i="4"/>
  <c r="AJ421" i="4"/>
  <c r="AL424" i="4"/>
  <c r="AJ425" i="4"/>
  <c r="AL428" i="4"/>
  <c r="AJ429" i="4"/>
  <c r="AL432" i="4"/>
  <c r="AL375" i="4"/>
  <c r="AJ376" i="4"/>
  <c r="AM380" i="4"/>
  <c r="AM381" i="4"/>
  <c r="AM384" i="4"/>
  <c r="AK385" i="4"/>
  <c r="AM388" i="4"/>
  <c r="AK389" i="4"/>
  <c r="AM392" i="4"/>
  <c r="AK393" i="4"/>
  <c r="AM396" i="4"/>
  <c r="AK397" i="4"/>
  <c r="AM400" i="4"/>
  <c r="AK401" i="4"/>
  <c r="AM404" i="4"/>
  <c r="AK405" i="4"/>
  <c r="AM408" i="4"/>
  <c r="AK409" i="4"/>
  <c r="AM412" i="4"/>
  <c r="AK413" i="4"/>
  <c r="AM416" i="4"/>
  <c r="AK417" i="4"/>
  <c r="AM420" i="4"/>
  <c r="AK421" i="4"/>
  <c r="AM424" i="4"/>
  <c r="AK425" i="4"/>
  <c r="AM428" i="4"/>
  <c r="AK429" i="4"/>
  <c r="AM432" i="4"/>
  <c r="AK433" i="4"/>
  <c r="AM436" i="4"/>
  <c r="AK437" i="4"/>
  <c r="AM440" i="4"/>
  <c r="AK441" i="4"/>
  <c r="AM444" i="4"/>
  <c r="AK445" i="4"/>
  <c r="AM448" i="4"/>
  <c r="AK449" i="4"/>
  <c r="AM375" i="4"/>
  <c r="AK376" i="4"/>
  <c r="AJ379" i="4"/>
  <c r="AL385" i="4"/>
  <c r="AJ386" i="4"/>
  <c r="AL389" i="4"/>
  <c r="AJ390" i="4"/>
  <c r="AL393" i="4"/>
  <c r="AJ394" i="4"/>
  <c r="AL397" i="4"/>
  <c r="AJ398" i="4"/>
  <c r="AL401" i="4"/>
  <c r="AJ402" i="4"/>
  <c r="AL405" i="4"/>
  <c r="AJ406" i="4"/>
  <c r="AL409" i="4"/>
  <c r="AJ410" i="4"/>
  <c r="AL413" i="4"/>
  <c r="AJ414" i="4"/>
  <c r="AL417" i="4"/>
  <c r="AJ418" i="4"/>
  <c r="AL421" i="4"/>
  <c r="AJ422" i="4"/>
  <c r="AL425" i="4"/>
  <c r="AJ426" i="4"/>
  <c r="AL429" i="4"/>
  <c r="AJ430" i="4"/>
  <c r="AL433" i="4"/>
  <c r="AJ434" i="4"/>
  <c r="AK377" i="4"/>
  <c r="AL379" i="4"/>
  <c r="AM385" i="4"/>
  <c r="AK386" i="4"/>
  <c r="AM389" i="4"/>
  <c r="AK390" i="4"/>
  <c r="AM393" i="4"/>
  <c r="AK394" i="4"/>
  <c r="AM397" i="4"/>
  <c r="AK398" i="4"/>
  <c r="AM401" i="4"/>
  <c r="AK402" i="4"/>
  <c r="AM405" i="4"/>
  <c r="AK406" i="4"/>
  <c r="AM409" i="4"/>
  <c r="AK410" i="4"/>
  <c r="AM413" i="4"/>
  <c r="AK414" i="4"/>
  <c r="AM417" i="4"/>
  <c r="AK418" i="4"/>
  <c r="AM421" i="4"/>
  <c r="AK422" i="4"/>
  <c r="AM425" i="4"/>
  <c r="AK426" i="4"/>
  <c r="AM429" i="4"/>
  <c r="AK430" i="4"/>
  <c r="AM433" i="4"/>
  <c r="AK434" i="4"/>
  <c r="AM437" i="4"/>
  <c r="AK438" i="4"/>
  <c r="AM377" i="4"/>
  <c r="AM379" i="4"/>
  <c r="AL386" i="4"/>
  <c r="AJ387" i="4"/>
  <c r="AL390" i="4"/>
  <c r="AJ391" i="4"/>
  <c r="AL394" i="4"/>
  <c r="AJ395" i="4"/>
  <c r="AL398" i="4"/>
  <c r="AJ399" i="4"/>
  <c r="AL402" i="4"/>
  <c r="AJ403" i="4"/>
  <c r="AL406" i="4"/>
  <c r="AJ407" i="4"/>
  <c r="AL410" i="4"/>
  <c r="AJ411" i="4"/>
  <c r="AL414" i="4"/>
  <c r="AJ415" i="4"/>
  <c r="AL418" i="4"/>
  <c r="AJ419" i="4"/>
  <c r="AL422" i="4"/>
  <c r="AJ423" i="4"/>
  <c r="AL426" i="4"/>
  <c r="AJ427" i="4"/>
  <c r="AL430" i="4"/>
  <c r="AJ431" i="4"/>
  <c r="AL434" i="4"/>
  <c r="AJ435" i="4"/>
  <c r="AL438" i="4"/>
  <c r="AJ439" i="4"/>
  <c r="AL442" i="4"/>
  <c r="AJ443" i="4"/>
  <c r="AL446" i="4"/>
  <c r="AJ447" i="4"/>
  <c r="AJ438" i="4"/>
  <c r="AK443" i="4"/>
  <c r="AJ445" i="4"/>
  <c r="AJ448" i="4"/>
  <c r="AM449" i="4"/>
  <c r="AM451" i="4"/>
  <c r="AK452" i="4"/>
  <c r="AM455" i="4"/>
  <c r="AK456" i="4"/>
  <c r="AM459" i="4"/>
  <c r="AK460" i="4"/>
  <c r="AM463" i="4"/>
  <c r="AK464" i="4"/>
  <c r="AM467" i="4"/>
  <c r="AK468" i="4"/>
  <c r="AM471" i="4"/>
  <c r="AK472" i="4"/>
  <c r="AM475" i="4"/>
  <c r="AK476" i="4"/>
  <c r="AM479" i="4"/>
  <c r="AK480" i="4"/>
  <c r="AM483" i="4"/>
  <c r="AK484" i="4"/>
  <c r="AM487" i="4"/>
  <c r="AK488" i="4"/>
  <c r="AM491" i="4"/>
  <c r="AK492" i="4"/>
  <c r="AM495" i="4"/>
  <c r="AK496" i="4"/>
  <c r="AM499" i="4"/>
  <c r="AK500" i="4"/>
  <c r="AM503" i="4"/>
  <c r="AK504" i="4"/>
  <c r="AM507" i="4"/>
  <c r="AK508" i="4"/>
  <c r="AM511" i="4"/>
  <c r="AK512" i="4"/>
  <c r="AJ433" i="4"/>
  <c r="AJ437" i="4"/>
  <c r="AM439" i="4"/>
  <c r="AK440" i="4"/>
  <c r="AM443" i="4"/>
  <c r="AL445" i="4"/>
  <c r="AK448" i="4"/>
  <c r="AL452" i="4"/>
  <c r="AJ453" i="4"/>
  <c r="AL456" i="4"/>
  <c r="AJ457" i="4"/>
  <c r="AL460" i="4"/>
  <c r="AJ461" i="4"/>
  <c r="AL464" i="4"/>
  <c r="AJ465" i="4"/>
  <c r="AL468" i="4"/>
  <c r="AJ469" i="4"/>
  <c r="AL472" i="4"/>
  <c r="AJ473" i="4"/>
  <c r="AL476" i="4"/>
  <c r="AJ477" i="4"/>
  <c r="AL480" i="4"/>
  <c r="AJ481" i="4"/>
  <c r="AL484" i="4"/>
  <c r="AJ485" i="4"/>
  <c r="AL488" i="4"/>
  <c r="AJ489" i="4"/>
  <c r="AL492" i="4"/>
  <c r="AJ493" i="4"/>
  <c r="AL496" i="4"/>
  <c r="AJ497" i="4"/>
  <c r="AL500" i="4"/>
  <c r="AJ501" i="4"/>
  <c r="AL504" i="4"/>
  <c r="AJ505" i="4"/>
  <c r="AL508" i="4"/>
  <c r="AJ509" i="4"/>
  <c r="AL512" i="4"/>
  <c r="AJ513" i="4"/>
  <c r="AK436" i="4"/>
  <c r="AL437" i="4"/>
  <c r="AL440" i="4"/>
  <c r="AJ441" i="4"/>
  <c r="AM445" i="4"/>
  <c r="AL448" i="4"/>
  <c r="AM452" i="4"/>
  <c r="AK453" i="4"/>
  <c r="AM456" i="4"/>
  <c r="AK457" i="4"/>
  <c r="AM460" i="4"/>
  <c r="AK461" i="4"/>
  <c r="AM464" i="4"/>
  <c r="AK465" i="4"/>
  <c r="AM468" i="4"/>
  <c r="AK469" i="4"/>
  <c r="AM472" i="4"/>
  <c r="AK473" i="4"/>
  <c r="AM476" i="4"/>
  <c r="AK477" i="4"/>
  <c r="AM480" i="4"/>
  <c r="AK481" i="4"/>
  <c r="AM484" i="4"/>
  <c r="AK485" i="4"/>
  <c r="AM488" i="4"/>
  <c r="AK489" i="4"/>
  <c r="AM492" i="4"/>
  <c r="AK493" i="4"/>
  <c r="AM496" i="4"/>
  <c r="AK497" i="4"/>
  <c r="AM500" i="4"/>
  <c r="AK501" i="4"/>
  <c r="AM504" i="4"/>
  <c r="AK505" i="4"/>
  <c r="AL436" i="4"/>
  <c r="AL441" i="4"/>
  <c r="AK444" i="4"/>
  <c r="AK447" i="4"/>
  <c r="AJ450" i="4"/>
  <c r="AL453" i="4"/>
  <c r="AJ454" i="4"/>
  <c r="AL457" i="4"/>
  <c r="AJ458" i="4"/>
  <c r="AL461" i="4"/>
  <c r="AJ462" i="4"/>
  <c r="AL465" i="4"/>
  <c r="AJ466" i="4"/>
  <c r="AL469" i="4"/>
  <c r="AJ470" i="4"/>
  <c r="AL473" i="4"/>
  <c r="AJ474" i="4"/>
  <c r="AL477" i="4"/>
  <c r="AJ478" i="4"/>
  <c r="AL481" i="4"/>
  <c r="AJ482" i="4"/>
  <c r="AL485" i="4"/>
  <c r="AJ486" i="4"/>
  <c r="AL489" i="4"/>
  <c r="AJ490" i="4"/>
  <c r="AL493" i="4"/>
  <c r="AJ494" i="4"/>
  <c r="AL497" i="4"/>
  <c r="AJ498" i="4"/>
  <c r="AL501" i="4"/>
  <c r="AJ502" i="4"/>
  <c r="AL505" i="4"/>
  <c r="AM435" i="4"/>
  <c r="AM441" i="4"/>
  <c r="AJ442" i="4"/>
  <c r="AL444" i="4"/>
  <c r="AL447" i="4"/>
  <c r="AK450" i="4"/>
  <c r="AM453" i="4"/>
  <c r="AK454" i="4"/>
  <c r="AM457" i="4"/>
  <c r="AK458" i="4"/>
  <c r="AM461" i="4"/>
  <c r="AK462" i="4"/>
  <c r="AM465" i="4"/>
  <c r="AK466" i="4"/>
  <c r="AM469" i="4"/>
  <c r="AK470" i="4"/>
  <c r="AM473" i="4"/>
  <c r="AK474" i="4"/>
  <c r="AM477" i="4"/>
  <c r="AK478" i="4"/>
  <c r="AM481" i="4"/>
  <c r="AK482" i="4"/>
  <c r="AM485" i="4"/>
  <c r="AK486" i="4"/>
  <c r="AM489" i="4"/>
  <c r="AK490" i="4"/>
  <c r="AM493" i="4"/>
  <c r="AK494" i="4"/>
  <c r="AM497" i="4"/>
  <c r="AK498" i="4"/>
  <c r="AM501" i="4"/>
  <c r="AK502" i="4"/>
  <c r="AM505" i="4"/>
  <c r="AK506" i="4"/>
  <c r="AM509" i="4"/>
  <c r="AK510" i="4"/>
  <c r="AM513" i="4"/>
  <c r="AK514" i="4"/>
  <c r="AM517" i="4"/>
  <c r="AK518" i="4"/>
  <c r="AM521" i="4"/>
  <c r="AK442" i="4"/>
  <c r="AJ446" i="4"/>
  <c r="AM447" i="4"/>
  <c r="AL450" i="4"/>
  <c r="AJ451" i="4"/>
  <c r="AL454" i="4"/>
  <c r="AJ455" i="4"/>
  <c r="AL458" i="4"/>
  <c r="AJ459" i="4"/>
  <c r="AL462" i="4"/>
  <c r="AJ463" i="4"/>
  <c r="AL466" i="4"/>
  <c r="AJ467" i="4"/>
  <c r="AL470" i="4"/>
  <c r="AJ471" i="4"/>
  <c r="AL474" i="4"/>
  <c r="AJ475" i="4"/>
  <c r="AL478" i="4"/>
  <c r="AJ479" i="4"/>
  <c r="AL482" i="4"/>
  <c r="AJ483" i="4"/>
  <c r="AL486" i="4"/>
  <c r="AJ487" i="4"/>
  <c r="AL490" i="4"/>
  <c r="AJ491" i="4"/>
  <c r="AL494" i="4"/>
  <c r="AJ495" i="4"/>
  <c r="AL498" i="4"/>
  <c r="AJ499" i="4"/>
  <c r="AL502" i="4"/>
  <c r="AJ503" i="4"/>
  <c r="AL506" i="4"/>
  <c r="AM442" i="4"/>
  <c r="AK446" i="4"/>
  <c r="AJ449" i="4"/>
  <c r="AM450" i="4"/>
  <c r="AK451" i="4"/>
  <c r="AM454" i="4"/>
  <c r="AK455" i="4"/>
  <c r="AM458" i="4"/>
  <c r="AK459" i="4"/>
  <c r="AM462" i="4"/>
  <c r="AK463" i="4"/>
  <c r="AM466" i="4"/>
  <c r="AK467" i="4"/>
  <c r="AM470" i="4"/>
  <c r="AK471" i="4"/>
  <c r="AM474" i="4"/>
  <c r="AK475" i="4"/>
  <c r="AM478" i="4"/>
  <c r="AK479" i="4"/>
  <c r="AM482" i="4"/>
  <c r="AK483" i="4"/>
  <c r="AM486" i="4"/>
  <c r="AK487" i="4"/>
  <c r="AM490" i="4"/>
  <c r="AK491" i="4"/>
  <c r="AM494" i="4"/>
  <c r="AK495" i="4"/>
  <c r="AM498" i="4"/>
  <c r="AK499" i="4"/>
  <c r="AM502" i="4"/>
  <c r="AK503" i="4"/>
  <c r="AM506" i="4"/>
  <c r="AK507" i="4"/>
  <c r="AM510" i="4"/>
  <c r="AM446" i="4"/>
  <c r="AL449" i="4"/>
  <c r="AL451" i="4"/>
  <c r="AJ452" i="4"/>
  <c r="AL455" i="4"/>
  <c r="AJ456" i="4"/>
  <c r="AL459" i="4"/>
  <c r="AJ460" i="4"/>
  <c r="AL463" i="4"/>
  <c r="AJ464" i="4"/>
  <c r="AL467" i="4"/>
  <c r="AJ468" i="4"/>
  <c r="AL471" i="4"/>
  <c r="AJ472" i="4"/>
  <c r="AL475" i="4"/>
  <c r="AJ476" i="4"/>
  <c r="AL479" i="4"/>
  <c r="AJ480" i="4"/>
  <c r="AL483" i="4"/>
  <c r="AJ484" i="4"/>
  <c r="AL487" i="4"/>
  <c r="AJ488" i="4"/>
  <c r="AL491" i="4"/>
  <c r="AJ492" i="4"/>
  <c r="AL495" i="4"/>
  <c r="AJ496" i="4"/>
  <c r="AL499" i="4"/>
  <c r="AJ500" i="4"/>
  <c r="AL503" i="4"/>
  <c r="AJ504" i="4"/>
  <c r="AL507" i="4"/>
  <c r="AJ508" i="4"/>
  <c r="AL511" i="4"/>
  <c r="AJ512" i="4"/>
  <c r="AL515" i="4"/>
  <c r="AJ516" i="4"/>
  <c r="AF8" i="4"/>
  <c r="AJ6" i="4"/>
  <c r="AB6" i="4"/>
  <c r="AL550" i="4"/>
  <c r="AD550" i="4"/>
  <c r="AF549" i="4"/>
  <c r="AJ547" i="4"/>
  <c r="AB547" i="4"/>
  <c r="AL546" i="4"/>
  <c r="AD546" i="4"/>
  <c r="AF545" i="4"/>
  <c r="AJ543" i="4"/>
  <c r="AB543" i="4"/>
  <c r="AL542" i="4"/>
  <c r="AD542" i="4"/>
  <c r="AF541" i="4"/>
  <c r="AJ539" i="4"/>
  <c r="AB539" i="4"/>
  <c r="AL538" i="4"/>
  <c r="AD538" i="4"/>
  <c r="AF537" i="4"/>
  <c r="AJ535" i="4"/>
  <c r="AB535" i="4"/>
  <c r="AL534" i="4"/>
  <c r="AD534" i="4"/>
  <c r="AF533" i="4"/>
  <c r="AJ531" i="4"/>
  <c r="AB531" i="4"/>
  <c r="AL530" i="4"/>
  <c r="AD530" i="4"/>
  <c r="AF529" i="4"/>
  <c r="AH528" i="4"/>
  <c r="AJ527" i="4"/>
  <c r="AB527" i="4"/>
  <c r="AL526" i="4"/>
  <c r="AD526" i="4"/>
  <c r="AF525" i="4"/>
  <c r="AH524" i="4"/>
  <c r="AJ523" i="4"/>
  <c r="AB523" i="4"/>
  <c r="AL522" i="4"/>
  <c r="AD522" i="4"/>
  <c r="AD521" i="4"/>
  <c r="AM520" i="4"/>
  <c r="AD520" i="4"/>
  <c r="AM519" i="4"/>
  <c r="AD519" i="4"/>
  <c r="AM518" i="4"/>
  <c r="AD518" i="4"/>
  <c r="AK517" i="4"/>
  <c r="AA517" i="4"/>
  <c r="AM515" i="4"/>
  <c r="AE514" i="4"/>
  <c r="AK513" i="4"/>
  <c r="AM512" i="4"/>
  <c r="W512" i="4"/>
  <c r="Y511" i="4"/>
  <c r="AL509" i="4"/>
  <c r="AH508" i="4"/>
  <c r="AG507" i="4"/>
  <c r="AM8" i="4"/>
  <c r="AE8" i="4"/>
  <c r="W8" i="4"/>
  <c r="AG7" i="4"/>
  <c r="Y7" i="4"/>
  <c r="AK550" i="4"/>
  <c r="AC550" i="4"/>
  <c r="AM549" i="4"/>
  <c r="AE549" i="4"/>
  <c r="W549" i="4"/>
  <c r="AG548" i="4"/>
  <c r="Y548" i="4"/>
  <c r="AK546" i="4"/>
  <c r="AC546" i="4"/>
  <c r="AM545" i="4"/>
  <c r="AE545" i="4"/>
  <c r="W545" i="4"/>
  <c r="AG544" i="4"/>
  <c r="Y544" i="4"/>
  <c r="AK542" i="4"/>
  <c r="AC542" i="4"/>
  <c r="AM541" i="4"/>
  <c r="AE541" i="4"/>
  <c r="W541" i="4"/>
  <c r="AG540" i="4"/>
  <c r="Y540" i="4"/>
  <c r="AK538" i="4"/>
  <c r="AC538" i="4"/>
  <c r="AM537" i="4"/>
  <c r="AE537" i="4"/>
  <c r="W537" i="4"/>
  <c r="AG536" i="4"/>
  <c r="Y536" i="4"/>
  <c r="AK534" i="4"/>
  <c r="AC534" i="4"/>
  <c r="AM533" i="4"/>
  <c r="AE533" i="4"/>
  <c r="W533" i="4"/>
  <c r="AG532" i="4"/>
  <c r="Y532" i="4"/>
  <c r="AK530" i="4"/>
  <c r="AC530" i="4"/>
  <c r="AM529" i="4"/>
  <c r="AE529" i="4"/>
  <c r="W529" i="4"/>
  <c r="AG528" i="4"/>
  <c r="Y528" i="4"/>
  <c r="AK526" i="4"/>
  <c r="AC526" i="4"/>
  <c r="AM525" i="4"/>
  <c r="AE525" i="4"/>
  <c r="W525" i="4"/>
  <c r="AG524" i="4"/>
  <c r="Y524" i="4"/>
  <c r="AK522" i="4"/>
  <c r="AC522" i="4"/>
  <c r="AL521" i="4"/>
  <c r="AC521" i="4"/>
  <c r="AL520" i="4"/>
  <c r="AC520" i="4"/>
  <c r="AL519" i="4"/>
  <c r="AL518" i="4"/>
  <c r="AB518" i="4"/>
  <c r="AJ517" i="4"/>
  <c r="Y517" i="4"/>
  <c r="AF516" i="4"/>
  <c r="AK515" i="4"/>
  <c r="Y515" i="4"/>
  <c r="AG513" i="4"/>
  <c r="AK511" i="4"/>
  <c r="AL510" i="4"/>
  <c r="AK509" i="4"/>
  <c r="AF508" i="4"/>
  <c r="AB507" i="4"/>
  <c r="AL8" i="4"/>
  <c r="AF7" i="4"/>
  <c r="X7" i="4"/>
  <c r="AH6" i="4"/>
  <c r="Z6" i="4"/>
  <c r="AJ550" i="4"/>
  <c r="AB550" i="4"/>
  <c r="AL549" i="4"/>
  <c r="AF548" i="4"/>
  <c r="X548" i="4"/>
  <c r="AH547" i="4"/>
  <c r="Z547" i="4"/>
  <c r="AJ546" i="4"/>
  <c r="AB546" i="4"/>
  <c r="AL545" i="4"/>
  <c r="AF544" i="4"/>
  <c r="X544" i="4"/>
  <c r="AH543" i="4"/>
  <c r="Z543" i="4"/>
  <c r="AJ542" i="4"/>
  <c r="AB542" i="4"/>
  <c r="AL541" i="4"/>
  <c r="AD541" i="4"/>
  <c r="AF540" i="4"/>
  <c r="X540" i="4"/>
  <c r="AH539" i="4"/>
  <c r="Z539" i="4"/>
  <c r="AJ538" i="4"/>
  <c r="AB538" i="4"/>
  <c r="AL537" i="4"/>
  <c r="AD537" i="4"/>
  <c r="AF536" i="4"/>
  <c r="X536" i="4"/>
  <c r="AH535" i="4"/>
  <c r="Z535" i="4"/>
  <c r="AJ534" i="4"/>
  <c r="AB534" i="4"/>
  <c r="AL533" i="4"/>
  <c r="AD533" i="4"/>
  <c r="AF532" i="4"/>
  <c r="X532" i="4"/>
  <c r="AH531" i="4"/>
  <c r="Z531" i="4"/>
  <c r="AJ530" i="4"/>
  <c r="AB530" i="4"/>
  <c r="AL529" i="4"/>
  <c r="AD529" i="4"/>
  <c r="AF528" i="4"/>
  <c r="X528" i="4"/>
  <c r="AH527" i="4"/>
  <c r="Z527" i="4"/>
  <c r="AJ526" i="4"/>
  <c r="AB526" i="4"/>
  <c r="AL525" i="4"/>
  <c r="AD525" i="4"/>
  <c r="AF524" i="4"/>
  <c r="X524" i="4"/>
  <c r="AH523" i="4"/>
  <c r="Z523" i="4"/>
  <c r="AJ522" i="4"/>
  <c r="AB522" i="4"/>
  <c r="AK521" i="4"/>
  <c r="AB521" i="4"/>
  <c r="AK520" i="4"/>
  <c r="AB520" i="4"/>
  <c r="AK519" i="4"/>
  <c r="AB519" i="4"/>
  <c r="AJ518" i="4"/>
  <c r="AA518" i="4"/>
  <c r="X517" i="4"/>
  <c r="AE516" i="4"/>
  <c r="AJ515" i="4"/>
  <c r="W515" i="4"/>
  <c r="AB514" i="4"/>
  <c r="AF513" i="4"/>
  <c r="AH512" i="4"/>
  <c r="AJ511" i="4"/>
  <c r="AJ510" i="4"/>
  <c r="AF509" i="4"/>
  <c r="AE508" i="4"/>
  <c r="Z507" i="4"/>
  <c r="AK8" i="4"/>
  <c r="AC8" i="4"/>
  <c r="AM7" i="4"/>
  <c r="AE7" i="4"/>
  <c r="W7" i="4"/>
  <c r="AG6" i="4"/>
  <c r="Y6" i="4"/>
  <c r="AA550" i="4"/>
  <c r="AK549" i="4"/>
  <c r="AC549" i="4"/>
  <c r="AM548" i="4"/>
  <c r="AE548" i="4"/>
  <c r="W548" i="4"/>
  <c r="AG547" i="4"/>
  <c r="Y547" i="4"/>
  <c r="AA546" i="4"/>
  <c r="AK545" i="4"/>
  <c r="AC545" i="4"/>
  <c r="AM544" i="4"/>
  <c r="AE544" i="4"/>
  <c r="W544" i="4"/>
  <c r="AG543" i="4"/>
  <c r="Y543" i="4"/>
  <c r="AA542" i="4"/>
  <c r="AK541" i="4"/>
  <c r="AC541" i="4"/>
  <c r="AM540" i="4"/>
  <c r="AE540" i="4"/>
  <c r="W540" i="4"/>
  <c r="AG539" i="4"/>
  <c r="Y539" i="4"/>
  <c r="AA538" i="4"/>
  <c r="AK537" i="4"/>
  <c r="AC537" i="4"/>
  <c r="AM536" i="4"/>
  <c r="AE536" i="4"/>
  <c r="W536" i="4"/>
  <c r="AG535" i="4"/>
  <c r="Y535" i="4"/>
  <c r="AA534" i="4"/>
  <c r="AK533" i="4"/>
  <c r="AC533" i="4"/>
  <c r="AM532" i="4"/>
  <c r="AE532" i="4"/>
  <c r="W532" i="4"/>
  <c r="AG531" i="4"/>
  <c r="Y531" i="4"/>
  <c r="AA530" i="4"/>
  <c r="AK529" i="4"/>
  <c r="AC529" i="4"/>
  <c r="AM528" i="4"/>
  <c r="AE528" i="4"/>
  <c r="W528" i="4"/>
  <c r="AG527" i="4"/>
  <c r="Y527" i="4"/>
  <c r="AA526" i="4"/>
  <c r="AK525" i="4"/>
  <c r="AC525" i="4"/>
  <c r="AM524" i="4"/>
  <c r="AE524" i="4"/>
  <c r="W524" i="4"/>
  <c r="AG523" i="4"/>
  <c r="Y523" i="4"/>
  <c r="AA522" i="4"/>
  <c r="AJ521" i="4"/>
  <c r="AA521" i="4"/>
  <c r="AJ520" i="4"/>
  <c r="AA520" i="4"/>
  <c r="AJ519" i="4"/>
  <c r="Z519" i="4"/>
  <c r="Z518" i="4"/>
  <c r="AG517" i="4"/>
  <c r="AC516" i="4"/>
  <c r="AH515" i="4"/>
  <c r="AM514" i="4"/>
  <c r="AA514" i="4"/>
  <c r="AD513" i="4"/>
  <c r="AF512" i="4"/>
  <c r="AH511" i="4"/>
  <c r="AD509" i="4"/>
  <c r="Z508" i="4"/>
  <c r="Y507" i="4"/>
  <c r="AJ8" i="4"/>
  <c r="AB8" i="4"/>
  <c r="AL7" i="4"/>
  <c r="AD7" i="4"/>
  <c r="AF6" i="4"/>
  <c r="X6" i="4"/>
  <c r="AH550" i="4"/>
  <c r="Z550" i="4"/>
  <c r="AJ549" i="4"/>
  <c r="AB549" i="4"/>
  <c r="AL548" i="4"/>
  <c r="AD548" i="4"/>
  <c r="AF547" i="4"/>
  <c r="X547" i="4"/>
  <c r="AH546" i="4"/>
  <c r="Z546" i="4"/>
  <c r="AJ545" i="4"/>
  <c r="AB545" i="4"/>
  <c r="AL544" i="4"/>
  <c r="AD544" i="4"/>
  <c r="AF543" i="4"/>
  <c r="X543" i="4"/>
  <c r="AH542" i="4"/>
  <c r="Z542" i="4"/>
  <c r="AJ541" i="4"/>
  <c r="AB541" i="4"/>
  <c r="AL540" i="4"/>
  <c r="AD540" i="4"/>
  <c r="AF539" i="4"/>
  <c r="X539" i="4"/>
  <c r="AH538" i="4"/>
  <c r="Z538" i="4"/>
  <c r="AJ537" i="4"/>
  <c r="AB537" i="4"/>
  <c r="AL536" i="4"/>
  <c r="AD536" i="4"/>
  <c r="AF535" i="4"/>
  <c r="X535" i="4"/>
  <c r="AH534" i="4"/>
  <c r="Z534" i="4"/>
  <c r="AJ533" i="4"/>
  <c r="AB533" i="4"/>
  <c r="AL532" i="4"/>
  <c r="AD532" i="4"/>
  <c r="AF531" i="4"/>
  <c r="X531" i="4"/>
  <c r="AH530" i="4"/>
  <c r="Z530" i="4"/>
  <c r="AJ529" i="4"/>
  <c r="AB529" i="4"/>
  <c r="AL528" i="4"/>
  <c r="AD528" i="4"/>
  <c r="AF527" i="4"/>
  <c r="X527" i="4"/>
  <c r="AH526" i="4"/>
  <c r="Z526" i="4"/>
  <c r="AJ525" i="4"/>
  <c r="AB525" i="4"/>
  <c r="AL524" i="4"/>
  <c r="AD524" i="4"/>
  <c r="AF523" i="4"/>
  <c r="X523" i="4"/>
  <c r="AH522" i="4"/>
  <c r="Z522" i="4"/>
  <c r="Z521" i="4"/>
  <c r="Z520" i="4"/>
  <c r="AH519" i="4"/>
  <c r="Y519" i="4"/>
  <c r="AH518" i="4"/>
  <c r="Y518" i="4"/>
  <c r="AF517" i="4"/>
  <c r="AM516" i="4"/>
  <c r="AA516" i="4"/>
  <c r="AG515" i="4"/>
  <c r="AL514" i="4"/>
  <c r="Y514" i="4"/>
  <c r="AC513" i="4"/>
  <c r="AE512" i="4"/>
  <c r="AG511" i="4"/>
  <c r="AD510" i="4"/>
  <c r="AC509" i="4"/>
  <c r="X508" i="4"/>
  <c r="AJ506" i="4"/>
  <c r="AA8" i="4"/>
  <c r="AK7" i="4"/>
  <c r="AC7" i="4"/>
  <c r="AM6" i="4"/>
  <c r="AE6" i="4"/>
  <c r="W6" i="4"/>
  <c r="AG550" i="4"/>
  <c r="Y550" i="4"/>
  <c r="AA549" i="4"/>
  <c r="AK548" i="4"/>
  <c r="AC548" i="4"/>
  <c r="AM547" i="4"/>
  <c r="AE547" i="4"/>
  <c r="W547" i="4"/>
  <c r="AG546" i="4"/>
  <c r="Y546" i="4"/>
  <c r="AA545" i="4"/>
  <c r="AK544" i="4"/>
  <c r="AC544" i="4"/>
  <c r="AM543" i="4"/>
  <c r="AE543" i="4"/>
  <c r="W543" i="4"/>
  <c r="AG542" i="4"/>
  <c r="Y542" i="4"/>
  <c r="AA541" i="4"/>
  <c r="AK540" i="4"/>
  <c r="AC540" i="4"/>
  <c r="AM539" i="4"/>
  <c r="AE539" i="4"/>
  <c r="W539" i="4"/>
  <c r="AG538" i="4"/>
  <c r="Y538" i="4"/>
  <c r="AA537" i="4"/>
  <c r="AK536" i="4"/>
  <c r="AC536" i="4"/>
  <c r="AM535" i="4"/>
  <c r="AE535" i="4"/>
  <c r="W535" i="4"/>
  <c r="AG534" i="4"/>
  <c r="Y534" i="4"/>
  <c r="AA533" i="4"/>
  <c r="AK532" i="4"/>
  <c r="AC532" i="4"/>
  <c r="AM531" i="4"/>
  <c r="AE531" i="4"/>
  <c r="W531" i="4"/>
  <c r="AG530" i="4"/>
  <c r="Y530" i="4"/>
  <c r="AA529" i="4"/>
  <c r="AK528" i="4"/>
  <c r="AC528" i="4"/>
  <c r="AM527" i="4"/>
  <c r="AE527" i="4"/>
  <c r="W527" i="4"/>
  <c r="AG526" i="4"/>
  <c r="Y526" i="4"/>
  <c r="AA525" i="4"/>
  <c r="AK524" i="4"/>
  <c r="AC524" i="4"/>
  <c r="AM523" i="4"/>
  <c r="AE523" i="4"/>
  <c r="W523" i="4"/>
  <c r="AG522" i="4"/>
  <c r="Y522" i="4"/>
  <c r="AH521" i="4"/>
  <c r="Y521" i="4"/>
  <c r="AH520" i="4"/>
  <c r="X520" i="4"/>
  <c r="AG519" i="4"/>
  <c r="X519" i="4"/>
  <c r="AG518" i="4"/>
  <c r="W518" i="4"/>
  <c r="AD517" i="4"/>
  <c r="AL516" i="4"/>
  <c r="Z516" i="4"/>
  <c r="AE515" i="4"/>
  <c r="AJ514" i="4"/>
  <c r="W514" i="4"/>
  <c r="Y513" i="4"/>
  <c r="AA512" i="4"/>
  <c r="AC511" i="4"/>
  <c r="AB510" i="4"/>
  <c r="X509" i="4"/>
  <c r="W508" i="4"/>
  <c r="AH8" i="4"/>
  <c r="Z8" i="4"/>
  <c r="AJ7" i="4"/>
  <c r="AB7" i="4"/>
  <c r="AL6" i="4"/>
  <c r="AD6" i="4"/>
  <c r="AF550" i="4"/>
  <c r="X550" i="4"/>
  <c r="AH549" i="4"/>
  <c r="Z549" i="4"/>
  <c r="AJ548" i="4"/>
  <c r="AB548" i="4"/>
  <c r="AL547" i="4"/>
  <c r="AD547" i="4"/>
  <c r="AF546" i="4"/>
  <c r="X546" i="4"/>
  <c r="AH545" i="4"/>
  <c r="Z545" i="4"/>
  <c r="AJ544" i="4"/>
  <c r="AB544" i="4"/>
  <c r="AL543" i="4"/>
  <c r="AD543" i="4"/>
  <c r="AF542" i="4"/>
  <c r="X542" i="4"/>
  <c r="AH541" i="4"/>
  <c r="Z541" i="4"/>
  <c r="AJ540" i="4"/>
  <c r="AB540" i="4"/>
  <c r="AL539" i="4"/>
  <c r="AD539" i="4"/>
  <c r="AF538" i="4"/>
  <c r="X538" i="4"/>
  <c r="AH537" i="4"/>
  <c r="Z537" i="4"/>
  <c r="AJ536" i="4"/>
  <c r="AB536" i="4"/>
  <c r="AL535" i="4"/>
  <c r="AD535" i="4"/>
  <c r="AF534" i="4"/>
  <c r="X534" i="4"/>
  <c r="AH533" i="4"/>
  <c r="Z533" i="4"/>
  <c r="AJ532" i="4"/>
  <c r="AB532" i="4"/>
  <c r="AL531" i="4"/>
  <c r="AD531" i="4"/>
  <c r="AF530" i="4"/>
  <c r="X530" i="4"/>
  <c r="AH529" i="4"/>
  <c r="Z529" i="4"/>
  <c r="AJ528" i="4"/>
  <c r="AB528" i="4"/>
  <c r="AL527" i="4"/>
  <c r="AD527" i="4"/>
  <c r="AF526" i="4"/>
  <c r="X526" i="4"/>
  <c r="AH525" i="4"/>
  <c r="Z525" i="4"/>
  <c r="AJ524" i="4"/>
  <c r="AB524" i="4"/>
  <c r="AL523" i="4"/>
  <c r="AD523" i="4"/>
  <c r="AF522" i="4"/>
  <c r="X522" i="4"/>
  <c r="AG521" i="4"/>
  <c r="X521" i="4"/>
  <c r="AF520" i="4"/>
  <c r="W520" i="4"/>
  <c r="AF519" i="4"/>
  <c r="W519" i="4"/>
  <c r="AF518" i="4"/>
  <c r="AC517" i="4"/>
  <c r="AK516" i="4"/>
  <c r="X516" i="4"/>
  <c r="AC515" i="4"/>
  <c r="X513" i="4"/>
  <c r="Z512" i="4"/>
  <c r="AB511" i="4"/>
  <c r="AA510" i="4"/>
  <c r="AJ507" i="4"/>
  <c r="B3" i="4"/>
  <c r="AB9" i="4"/>
  <c r="AC9" i="4"/>
  <c r="AA10" i="4"/>
  <c r="Y11" i="4"/>
  <c r="AG11" i="4"/>
  <c r="W12" i="4"/>
  <c r="AE12" i="4"/>
  <c r="AC13" i="4"/>
  <c r="AA14" i="4"/>
  <c r="Y15" i="4"/>
  <c r="AG15" i="4"/>
  <c r="AD9" i="4"/>
  <c r="W9" i="4"/>
  <c r="AE9" i="4"/>
  <c r="AC10" i="4"/>
  <c r="AA11" i="4"/>
  <c r="Y12" i="4"/>
  <c r="AG12" i="4"/>
  <c r="W13" i="4"/>
  <c r="AE13" i="4"/>
  <c r="AC14" i="4"/>
  <c r="AA15" i="4"/>
  <c r="Y16" i="4"/>
  <c r="X9" i="4"/>
  <c r="AF9" i="4"/>
  <c r="Z9" i="4"/>
  <c r="AH9" i="4"/>
  <c r="X10" i="4"/>
  <c r="AF10" i="4"/>
  <c r="AD11" i="4"/>
  <c r="AB12" i="4"/>
  <c r="Z13" i="4"/>
  <c r="AH13" i="4"/>
  <c r="AG9" i="4"/>
  <c r="AE10" i="4"/>
  <c r="Z11" i="4"/>
  <c r="AH12" i="4"/>
  <c r="AB13" i="4"/>
  <c r="W14" i="4"/>
  <c r="AG14" i="4"/>
  <c r="Z15" i="4"/>
  <c r="AB16" i="4"/>
  <c r="Z17" i="4"/>
  <c r="AH17" i="4"/>
  <c r="X18" i="4"/>
  <c r="AF18" i="4"/>
  <c r="AD19" i="4"/>
  <c r="AB20" i="4"/>
  <c r="Z21" i="4"/>
  <c r="AH21" i="4"/>
  <c r="X22" i="4"/>
  <c r="AF22" i="4"/>
  <c r="AD23" i="4"/>
  <c r="AB24" i="4"/>
  <c r="Z25" i="4"/>
  <c r="AH25" i="4"/>
  <c r="X26" i="4"/>
  <c r="AF26" i="4"/>
  <c r="AD27" i="4"/>
  <c r="AB28" i="4"/>
  <c r="Z29" i="4"/>
  <c r="AH29" i="4"/>
  <c r="X30" i="4"/>
  <c r="AF30" i="4"/>
  <c r="AD31" i="4"/>
  <c r="AB32" i="4"/>
  <c r="Z33" i="4"/>
  <c r="AH33" i="4"/>
  <c r="X34" i="4"/>
  <c r="AF34" i="4"/>
  <c r="AD35" i="4"/>
  <c r="AB36" i="4"/>
  <c r="Z37" i="4"/>
  <c r="AH37" i="4"/>
  <c r="X38" i="4"/>
  <c r="AF38" i="4"/>
  <c r="AD39" i="4"/>
  <c r="AB40" i="4"/>
  <c r="Z41" i="4"/>
  <c r="AH41" i="4"/>
  <c r="X42" i="4"/>
  <c r="AF42" i="4"/>
  <c r="AD43" i="4"/>
  <c r="AB44" i="4"/>
  <c r="AG10" i="4"/>
  <c r="AB11" i="4"/>
  <c r="AD13" i="4"/>
  <c r="X14" i="4"/>
  <c r="AH14" i="4"/>
  <c r="AB15" i="4"/>
  <c r="AC16" i="4"/>
  <c r="AA17" i="4"/>
  <c r="Y18" i="4"/>
  <c r="AG18" i="4"/>
  <c r="W19" i="4"/>
  <c r="AE19" i="4"/>
  <c r="AC20" i="4"/>
  <c r="AA21" i="4"/>
  <c r="Y22" i="4"/>
  <c r="AG22" i="4"/>
  <c r="W23" i="4"/>
  <c r="AE23" i="4"/>
  <c r="AC24" i="4"/>
  <c r="AA25" i="4"/>
  <c r="Y26" i="4"/>
  <c r="AG26" i="4"/>
  <c r="W27" i="4"/>
  <c r="AE27" i="4"/>
  <c r="AC28" i="4"/>
  <c r="AA29" i="4"/>
  <c r="Y30" i="4"/>
  <c r="AG30" i="4"/>
  <c r="W31" i="4"/>
  <c r="AE31" i="4"/>
  <c r="AC32" i="4"/>
  <c r="AA33" i="4"/>
  <c r="AH10" i="4"/>
  <c r="AC11" i="4"/>
  <c r="X12" i="4"/>
  <c r="AF13" i="4"/>
  <c r="Y14" i="4"/>
  <c r="AC15" i="4"/>
  <c r="AD16" i="4"/>
  <c r="AB17" i="4"/>
  <c r="Z18" i="4"/>
  <c r="AH18" i="4"/>
  <c r="X19" i="4"/>
  <c r="AF19" i="4"/>
  <c r="AD20" i="4"/>
  <c r="AB21" i="4"/>
  <c r="Z22" i="4"/>
  <c r="AH22" i="4"/>
  <c r="X23" i="4"/>
  <c r="AF23" i="4"/>
  <c r="AD24" i="4"/>
  <c r="AB25" i="4"/>
  <c r="Z26" i="4"/>
  <c r="AH26" i="4"/>
  <c r="X27" i="4"/>
  <c r="AF27" i="4"/>
  <c r="AD28" i="4"/>
  <c r="AB29" i="4"/>
  <c r="Z30" i="4"/>
  <c r="AH30" i="4"/>
  <c r="X31" i="4"/>
  <c r="AF31" i="4"/>
  <c r="AD32" i="4"/>
  <c r="AB33" i="4"/>
  <c r="Z34" i="4"/>
  <c r="AH34" i="4"/>
  <c r="X35" i="4"/>
  <c r="AF35" i="4"/>
  <c r="AD36" i="4"/>
  <c r="AB37" i="4"/>
  <c r="W10" i="4"/>
  <c r="AE11" i="4"/>
  <c r="Z12" i="4"/>
  <c r="AG13" i="4"/>
  <c r="Z14" i="4"/>
  <c r="AD15" i="4"/>
  <c r="AE16" i="4"/>
  <c r="AC17" i="4"/>
  <c r="AA18" i="4"/>
  <c r="Y19" i="4"/>
  <c r="AG19" i="4"/>
  <c r="W20" i="4"/>
  <c r="AE20" i="4"/>
  <c r="AC21" i="4"/>
  <c r="AA22" i="4"/>
  <c r="Y23" i="4"/>
  <c r="AG23" i="4"/>
  <c r="W24" i="4"/>
  <c r="AE24" i="4"/>
  <c r="AC25" i="4"/>
  <c r="AA26" i="4"/>
  <c r="Y27" i="4"/>
  <c r="AG27" i="4"/>
  <c r="W28" i="4"/>
  <c r="AE28" i="4"/>
  <c r="AC29" i="4"/>
  <c r="AA30" i="4"/>
  <c r="Y31" i="4"/>
  <c r="AG31" i="4"/>
  <c r="W32" i="4"/>
  <c r="AE32" i="4"/>
  <c r="AC33" i="4"/>
  <c r="Y10" i="4"/>
  <c r="AF11" i="4"/>
  <c r="AA12" i="4"/>
  <c r="AB14" i="4"/>
  <c r="AE15" i="4"/>
  <c r="W16" i="4"/>
  <c r="AF16" i="4"/>
  <c r="AD17" i="4"/>
  <c r="AB18" i="4"/>
  <c r="Z19" i="4"/>
  <c r="AH19" i="4"/>
  <c r="X20" i="4"/>
  <c r="AF20" i="4"/>
  <c r="AD21" i="4"/>
  <c r="AB22" i="4"/>
  <c r="Z23" i="4"/>
  <c r="AH23" i="4"/>
  <c r="X24" i="4"/>
  <c r="AF24" i="4"/>
  <c r="AD25" i="4"/>
  <c r="AB26" i="4"/>
  <c r="Z27" i="4"/>
  <c r="AH27" i="4"/>
  <c r="X28" i="4"/>
  <c r="AF28" i="4"/>
  <c r="AD29" i="4"/>
  <c r="AB30" i="4"/>
  <c r="Z31" i="4"/>
  <c r="AH31" i="4"/>
  <c r="X32" i="4"/>
  <c r="AF32" i="4"/>
  <c r="AD33" i="4"/>
  <c r="AB34" i="4"/>
  <c r="Z35" i="4"/>
  <c r="AH35" i="4"/>
  <c r="X36" i="4"/>
  <c r="AF36" i="4"/>
  <c r="AD37" i="4"/>
  <c r="Z10" i="4"/>
  <c r="AH11" i="4"/>
  <c r="AC12" i="4"/>
  <c r="X13" i="4"/>
  <c r="AD14" i="4"/>
  <c r="AF15" i="4"/>
  <c r="X16" i="4"/>
  <c r="AG16" i="4"/>
  <c r="W17" i="4"/>
  <c r="AE17" i="4"/>
  <c r="AC18" i="4"/>
  <c r="AA19" i="4"/>
  <c r="Y20" i="4"/>
  <c r="Y9" i="4"/>
  <c r="AB10" i="4"/>
  <c r="W11" i="4"/>
  <c r="AD12" i="4"/>
  <c r="Y13" i="4"/>
  <c r="AE14" i="4"/>
  <c r="W15" i="4"/>
  <c r="AH15" i="4"/>
  <c r="Z16" i="4"/>
  <c r="AH16" i="4"/>
  <c r="X17" i="4"/>
  <c r="AF17" i="4"/>
  <c r="AD18" i="4"/>
  <c r="AB19" i="4"/>
  <c r="Z20" i="4"/>
  <c r="AH20" i="4"/>
  <c r="X21" i="4"/>
  <c r="AF21" i="4"/>
  <c r="AD22" i="4"/>
  <c r="AB23" i="4"/>
  <c r="Z24" i="4"/>
  <c r="AH24" i="4"/>
  <c r="X25" i="4"/>
  <c r="AF25" i="4"/>
  <c r="AD26" i="4"/>
  <c r="AB27" i="4"/>
  <c r="Z28" i="4"/>
  <c r="AH28" i="4"/>
  <c r="X29" i="4"/>
  <c r="AF29" i="4"/>
  <c r="AD30" i="4"/>
  <c r="AB31" i="4"/>
  <c r="AF14" i="4"/>
  <c r="AE18" i="4"/>
  <c r="Y21" i="4"/>
  <c r="AE26" i="4"/>
  <c r="AA28" i="4"/>
  <c r="W30" i="4"/>
  <c r="W33" i="4"/>
  <c r="W34" i="4"/>
  <c r="AE35" i="4"/>
  <c r="Z36" i="4"/>
  <c r="AG37" i="4"/>
  <c r="Z38" i="4"/>
  <c r="Z39" i="4"/>
  <c r="Z40" i="4"/>
  <c r="AA41" i="4"/>
  <c r="AA42" i="4"/>
  <c r="AA43" i="4"/>
  <c r="AA44" i="4"/>
  <c r="AA45" i="4"/>
  <c r="Y46" i="4"/>
  <c r="AG46" i="4"/>
  <c r="W47" i="4"/>
  <c r="AE47" i="4"/>
  <c r="AC48" i="4"/>
  <c r="AA49" i="4"/>
  <c r="Y50" i="4"/>
  <c r="AG50" i="4"/>
  <c r="W51" i="4"/>
  <c r="AE51" i="4"/>
  <c r="AC52" i="4"/>
  <c r="AA53" i="4"/>
  <c r="Y54" i="4"/>
  <c r="AG54" i="4"/>
  <c r="W55" i="4"/>
  <c r="AE55" i="4"/>
  <c r="AC56" i="4"/>
  <c r="AA57" i="4"/>
  <c r="Y58" i="4"/>
  <c r="AG58" i="4"/>
  <c r="W59" i="4"/>
  <c r="AE59" i="4"/>
  <c r="AC60" i="4"/>
  <c r="AA61" i="4"/>
  <c r="Y62" i="4"/>
  <c r="AG62" i="4"/>
  <c r="W63" i="4"/>
  <c r="AE63" i="4"/>
  <c r="AC64" i="4"/>
  <c r="AA65" i="4"/>
  <c r="Y66" i="4"/>
  <c r="AG66" i="4"/>
  <c r="W67" i="4"/>
  <c r="AE67" i="4"/>
  <c r="AC68" i="4"/>
  <c r="AA69" i="4"/>
  <c r="Y70" i="4"/>
  <c r="AG70" i="4"/>
  <c r="W71" i="4"/>
  <c r="AE71" i="4"/>
  <c r="AC72" i="4"/>
  <c r="AA73" i="4"/>
  <c r="AA9" i="4"/>
  <c r="X15" i="4"/>
  <c r="AE21" i="4"/>
  <c r="AA23" i="4"/>
  <c r="W25" i="4"/>
  <c r="AG28" i="4"/>
  <c r="AC30" i="4"/>
  <c r="X33" i="4"/>
  <c r="Y34" i="4"/>
  <c r="AG35" i="4"/>
  <c r="AA36" i="4"/>
  <c r="W37" i="4"/>
  <c r="AA38" i="4"/>
  <c r="AA39" i="4"/>
  <c r="AA40" i="4"/>
  <c r="AB41" i="4"/>
  <c r="AB42" i="4"/>
  <c r="AB43" i="4"/>
  <c r="AC44" i="4"/>
  <c r="AB45" i="4"/>
  <c r="Z46" i="4"/>
  <c r="AH46" i="4"/>
  <c r="X47" i="4"/>
  <c r="AF47" i="4"/>
  <c r="AD48" i="4"/>
  <c r="AB49" i="4"/>
  <c r="Z50" i="4"/>
  <c r="AH50" i="4"/>
  <c r="X51" i="4"/>
  <c r="AF51" i="4"/>
  <c r="AD52" i="4"/>
  <c r="AB53" i="4"/>
  <c r="Z54" i="4"/>
  <c r="AH54" i="4"/>
  <c r="X55" i="4"/>
  <c r="AF55" i="4"/>
  <c r="AD56" i="4"/>
  <c r="AB57" i="4"/>
  <c r="Z58" i="4"/>
  <c r="AH58" i="4"/>
  <c r="X59" i="4"/>
  <c r="AF59" i="4"/>
  <c r="AD60" i="4"/>
  <c r="AB61" i="4"/>
  <c r="Z62" i="4"/>
  <c r="AH62" i="4"/>
  <c r="AD10" i="4"/>
  <c r="AC19" i="4"/>
  <c r="AG21" i="4"/>
  <c r="AC23" i="4"/>
  <c r="Y25" i="4"/>
  <c r="AE30" i="4"/>
  <c r="Y32" i="4"/>
  <c r="Y33" i="4"/>
  <c r="AA34" i="4"/>
  <c r="AC36" i="4"/>
  <c r="X37" i="4"/>
  <c r="AB38" i="4"/>
  <c r="AB39" i="4"/>
  <c r="AC40" i="4"/>
  <c r="AC41" i="4"/>
  <c r="AC42" i="4"/>
  <c r="AC43" i="4"/>
  <c r="AD44" i="4"/>
  <c r="AC45" i="4"/>
  <c r="AA46" i="4"/>
  <c r="Y47" i="4"/>
  <c r="AG47" i="4"/>
  <c r="W48" i="4"/>
  <c r="AE48" i="4"/>
  <c r="AC49" i="4"/>
  <c r="AA50" i="4"/>
  <c r="Y51" i="4"/>
  <c r="AG51" i="4"/>
  <c r="W52" i="4"/>
  <c r="AE52" i="4"/>
  <c r="AC53" i="4"/>
  <c r="AA54" i="4"/>
  <c r="Y55" i="4"/>
  <c r="AG55" i="4"/>
  <c r="W56" i="4"/>
  <c r="AE56" i="4"/>
  <c r="AC57" i="4"/>
  <c r="AA58" i="4"/>
  <c r="Y59" i="4"/>
  <c r="AG59" i="4"/>
  <c r="W60" i="4"/>
  <c r="AE60" i="4"/>
  <c r="AC61" i="4"/>
  <c r="AA62" i="4"/>
  <c r="Y63" i="4"/>
  <c r="AG63" i="4"/>
  <c r="W64" i="4"/>
  <c r="AE64" i="4"/>
  <c r="AC65" i="4"/>
  <c r="AA66" i="4"/>
  <c r="Y67" i="4"/>
  <c r="AG67" i="4"/>
  <c r="W68" i="4"/>
  <c r="AE68" i="4"/>
  <c r="X11" i="4"/>
  <c r="AA16" i="4"/>
  <c r="AE25" i="4"/>
  <c r="AA27" i="4"/>
  <c r="W29" i="4"/>
  <c r="Z32" i="4"/>
  <c r="AE33" i="4"/>
  <c r="AC34" i="4"/>
  <c r="W35" i="4"/>
  <c r="AE36" i="4"/>
  <c r="Y37" i="4"/>
  <c r="AC38" i="4"/>
  <c r="AC39" i="4"/>
  <c r="AD40" i="4"/>
  <c r="AD41" i="4"/>
  <c r="AD42" i="4"/>
  <c r="AE43" i="4"/>
  <c r="AE44" i="4"/>
  <c r="AD45" i="4"/>
  <c r="AB46" i="4"/>
  <c r="Z47" i="4"/>
  <c r="AH47" i="4"/>
  <c r="X48" i="4"/>
  <c r="AF48" i="4"/>
  <c r="AD49" i="4"/>
  <c r="AB50" i="4"/>
  <c r="Z51" i="4"/>
  <c r="AH51" i="4"/>
  <c r="X52" i="4"/>
  <c r="AF52" i="4"/>
  <c r="AD53" i="4"/>
  <c r="AB54" i="4"/>
  <c r="Z55" i="4"/>
  <c r="AH55" i="4"/>
  <c r="X56" i="4"/>
  <c r="AF56" i="4"/>
  <c r="AD57" i="4"/>
  <c r="AB58" i="4"/>
  <c r="Z59" i="4"/>
  <c r="AH59" i="4"/>
  <c r="X60" i="4"/>
  <c r="AF60" i="4"/>
  <c r="AD61" i="4"/>
  <c r="AA20" i="4"/>
  <c r="W22" i="4"/>
  <c r="AG25" i="4"/>
  <c r="AC27" i="4"/>
  <c r="Y29" i="4"/>
  <c r="AA32" i="4"/>
  <c r="AF33" i="4"/>
  <c r="AD34" i="4"/>
  <c r="Y35" i="4"/>
  <c r="AG36" i="4"/>
  <c r="AA37" i="4"/>
  <c r="AD38" i="4"/>
  <c r="AE39" i="4"/>
  <c r="AE40" i="4"/>
  <c r="AE41" i="4"/>
  <c r="AE42" i="4"/>
  <c r="W43" i="4"/>
  <c r="AF43" i="4"/>
  <c r="W44" i="4"/>
  <c r="AF44" i="4"/>
  <c r="W45" i="4"/>
  <c r="AE45" i="4"/>
  <c r="AC46" i="4"/>
  <c r="AA47" i="4"/>
  <c r="Y48" i="4"/>
  <c r="AG48" i="4"/>
  <c r="W49" i="4"/>
  <c r="AE49" i="4"/>
  <c r="AC50" i="4"/>
  <c r="AA51" i="4"/>
  <c r="Y52" i="4"/>
  <c r="AG52" i="4"/>
  <c r="W53" i="4"/>
  <c r="AE53" i="4"/>
  <c r="AC54" i="4"/>
  <c r="AA55" i="4"/>
  <c r="Y56" i="4"/>
  <c r="AG56" i="4"/>
  <c r="W57" i="4"/>
  <c r="AE57" i="4"/>
  <c r="AC58" i="4"/>
  <c r="AA59" i="4"/>
  <c r="Y60" i="4"/>
  <c r="AG60" i="4"/>
  <c r="W61" i="4"/>
  <c r="AE61" i="4"/>
  <c r="AC62" i="4"/>
  <c r="AA63" i="4"/>
  <c r="Y64" i="4"/>
  <c r="AG64" i="4"/>
  <c r="W65" i="4"/>
  <c r="AE65" i="4"/>
  <c r="AC66" i="4"/>
  <c r="AF12" i="4"/>
  <c r="Y17" i="4"/>
  <c r="AG20" i="4"/>
  <c r="AC22" i="4"/>
  <c r="Y24" i="4"/>
  <c r="AE29" i="4"/>
  <c r="AA31" i="4"/>
  <c r="AG32" i="4"/>
  <c r="AG33" i="4"/>
  <c r="AE34" i="4"/>
  <c r="AA35" i="4"/>
  <c r="AH36" i="4"/>
  <c r="AC37" i="4"/>
  <c r="AE38" i="4"/>
  <c r="W39" i="4"/>
  <c r="AF39" i="4"/>
  <c r="W40" i="4"/>
  <c r="AF40" i="4"/>
  <c r="W41" i="4"/>
  <c r="AF41" i="4"/>
  <c r="W42" i="4"/>
  <c r="AG42" i="4"/>
  <c r="X43" i="4"/>
  <c r="AG43" i="4"/>
  <c r="X44" i="4"/>
  <c r="AG44" i="4"/>
  <c r="X45" i="4"/>
  <c r="AF45" i="4"/>
  <c r="AD46" i="4"/>
  <c r="AB47" i="4"/>
  <c r="Z48" i="4"/>
  <c r="AH48" i="4"/>
  <c r="X49" i="4"/>
  <c r="AF49" i="4"/>
  <c r="AD50" i="4"/>
  <c r="AB51" i="4"/>
  <c r="Z52" i="4"/>
  <c r="AH52" i="4"/>
  <c r="X53" i="4"/>
  <c r="AF53" i="4"/>
  <c r="AD54" i="4"/>
  <c r="AA13" i="4"/>
  <c r="AG17" i="4"/>
  <c r="AE22" i="4"/>
  <c r="AA24" i="4"/>
  <c r="W26" i="4"/>
  <c r="AG29" i="4"/>
  <c r="AC31" i="4"/>
  <c r="AH32" i="4"/>
  <c r="AG34" i="4"/>
  <c r="AB35" i="4"/>
  <c r="W36" i="4"/>
  <c r="AE37" i="4"/>
  <c r="W38" i="4"/>
  <c r="AG38" i="4"/>
  <c r="X39" i="4"/>
  <c r="AG39" i="4"/>
  <c r="X40" i="4"/>
  <c r="AG40" i="4"/>
  <c r="X41" i="4"/>
  <c r="AG41" i="4"/>
  <c r="Y42" i="4"/>
  <c r="AH42" i="4"/>
  <c r="Y43" i="4"/>
  <c r="AH43" i="4"/>
  <c r="Y44" i="4"/>
  <c r="AH44" i="4"/>
  <c r="Y45" i="4"/>
  <c r="AG45" i="4"/>
  <c r="W46" i="4"/>
  <c r="AE46" i="4"/>
  <c r="AC47" i="4"/>
  <c r="AA48" i="4"/>
  <c r="Y49" i="4"/>
  <c r="AG49" i="4"/>
  <c r="W50" i="4"/>
  <c r="AE50" i="4"/>
  <c r="AC51" i="4"/>
  <c r="AA52" i="4"/>
  <c r="Y53" i="4"/>
  <c r="AG53" i="4"/>
  <c r="W54" i="4"/>
  <c r="AE54" i="4"/>
  <c r="AC55" i="4"/>
  <c r="AA56" i="4"/>
  <c r="Y57" i="4"/>
  <c r="AG57" i="4"/>
  <c r="W58" i="4"/>
  <c r="AE58" i="4"/>
  <c r="AC59" i="4"/>
  <c r="AA60" i="4"/>
  <c r="Y61" i="4"/>
  <c r="AG61" i="4"/>
  <c r="W62" i="4"/>
  <c r="AF37" i="4"/>
  <c r="AH45" i="4"/>
  <c r="Z49" i="4"/>
  <c r="AF57" i="4"/>
  <c r="AB59" i="4"/>
  <c r="X61" i="4"/>
  <c r="AE62" i="4"/>
  <c r="AB63" i="4"/>
  <c r="AD65" i="4"/>
  <c r="X66" i="4"/>
  <c r="AC67" i="4"/>
  <c r="AG68" i="4"/>
  <c r="X69" i="4"/>
  <c r="AG69" i="4"/>
  <c r="X70" i="4"/>
  <c r="AH70" i="4"/>
  <c r="Y71" i="4"/>
  <c r="AH71" i="4"/>
  <c r="Y72" i="4"/>
  <c r="AH72" i="4"/>
  <c r="Y73" i="4"/>
  <c r="AH73" i="4"/>
  <c r="Y74" i="4"/>
  <c r="AG74" i="4"/>
  <c r="W75" i="4"/>
  <c r="AE75" i="4"/>
  <c r="AC76" i="4"/>
  <c r="AA77" i="4"/>
  <c r="Y78" i="4"/>
  <c r="AG78" i="4"/>
  <c r="W79" i="4"/>
  <c r="AE79" i="4"/>
  <c r="AC80" i="4"/>
  <c r="AA81" i="4"/>
  <c r="Y82" i="4"/>
  <c r="AG82" i="4"/>
  <c r="W83" i="4"/>
  <c r="AE83" i="4"/>
  <c r="AC84" i="4"/>
  <c r="AA85" i="4"/>
  <c r="Y86" i="4"/>
  <c r="AG86" i="4"/>
  <c r="W87" i="4"/>
  <c r="AE87" i="4"/>
  <c r="AC88" i="4"/>
  <c r="AA89" i="4"/>
  <c r="Y90" i="4"/>
  <c r="AG90" i="4"/>
  <c r="W91" i="4"/>
  <c r="AE91" i="4"/>
  <c r="AC92" i="4"/>
  <c r="AA93" i="4"/>
  <c r="Y94" i="4"/>
  <c r="AG94" i="4"/>
  <c r="W95" i="4"/>
  <c r="AE95" i="4"/>
  <c r="AC96" i="4"/>
  <c r="AA97" i="4"/>
  <c r="Y98" i="4"/>
  <c r="AG98" i="4"/>
  <c r="W99" i="4"/>
  <c r="AE99" i="4"/>
  <c r="AC100" i="4"/>
  <c r="AA101" i="4"/>
  <c r="Y102" i="4"/>
  <c r="AG102" i="4"/>
  <c r="W103" i="4"/>
  <c r="AE103" i="4"/>
  <c r="AC104" i="4"/>
  <c r="AA105" i="4"/>
  <c r="Y106" i="4"/>
  <c r="AG106" i="4"/>
  <c r="W107" i="4"/>
  <c r="AE107" i="4"/>
  <c r="AC108" i="4"/>
  <c r="AA109" i="4"/>
  <c r="Y110" i="4"/>
  <c r="AG110" i="4"/>
  <c r="W111" i="4"/>
  <c r="AE111" i="4"/>
  <c r="AC112" i="4"/>
  <c r="Y38" i="4"/>
  <c r="Z42" i="4"/>
  <c r="X46" i="4"/>
  <c r="AH49" i="4"/>
  <c r="Z53" i="4"/>
  <c r="AH57" i="4"/>
  <c r="AD59" i="4"/>
  <c r="Z61" i="4"/>
  <c r="AF62" i="4"/>
  <c r="AC63" i="4"/>
  <c r="X64" i="4"/>
  <c r="AF65" i="4"/>
  <c r="Z66" i="4"/>
  <c r="AD67" i="4"/>
  <c r="X68" i="4"/>
  <c r="AH68" i="4"/>
  <c r="Y69" i="4"/>
  <c r="AH69" i="4"/>
  <c r="Z70" i="4"/>
  <c r="Z71" i="4"/>
  <c r="Z72" i="4"/>
  <c r="Z73" i="4"/>
  <c r="Z74" i="4"/>
  <c r="AH74" i="4"/>
  <c r="X75" i="4"/>
  <c r="AF75" i="4"/>
  <c r="AD76" i="4"/>
  <c r="AB77" i="4"/>
  <c r="Z78" i="4"/>
  <c r="AH78" i="4"/>
  <c r="X79" i="4"/>
  <c r="AF79" i="4"/>
  <c r="AD80" i="4"/>
  <c r="AB81" i="4"/>
  <c r="Z82" i="4"/>
  <c r="AH82" i="4"/>
  <c r="X83" i="4"/>
  <c r="AF83" i="4"/>
  <c r="AD84" i="4"/>
  <c r="AB85" i="4"/>
  <c r="Z86" i="4"/>
  <c r="AH86" i="4"/>
  <c r="X87" i="4"/>
  <c r="AF87" i="4"/>
  <c r="AD88" i="4"/>
  <c r="AB89" i="4"/>
  <c r="Z90" i="4"/>
  <c r="AH90" i="4"/>
  <c r="X91" i="4"/>
  <c r="AF91" i="4"/>
  <c r="AD92" i="4"/>
  <c r="AB93" i="4"/>
  <c r="Z94" i="4"/>
  <c r="AH94" i="4"/>
  <c r="X95" i="4"/>
  <c r="AF95" i="4"/>
  <c r="AD96" i="4"/>
  <c r="AB97" i="4"/>
  <c r="W18" i="4"/>
  <c r="AH38" i="4"/>
  <c r="AF46" i="4"/>
  <c r="X50" i="4"/>
  <c r="AH53" i="4"/>
  <c r="Z56" i="4"/>
  <c r="AF61" i="4"/>
  <c r="AD63" i="4"/>
  <c r="Z64" i="4"/>
  <c r="AG65" i="4"/>
  <c r="AB66" i="4"/>
  <c r="AF67" i="4"/>
  <c r="Y68" i="4"/>
  <c r="Z69" i="4"/>
  <c r="AA70" i="4"/>
  <c r="AA71" i="4"/>
  <c r="AA72" i="4"/>
  <c r="AB73" i="4"/>
  <c r="AA74" i="4"/>
  <c r="Y75" i="4"/>
  <c r="AG75" i="4"/>
  <c r="W76" i="4"/>
  <c r="AE76" i="4"/>
  <c r="AC77" i="4"/>
  <c r="AA78" i="4"/>
  <c r="Y79" i="4"/>
  <c r="AG79" i="4"/>
  <c r="W80" i="4"/>
  <c r="AE80" i="4"/>
  <c r="AC81" i="4"/>
  <c r="AA82" i="4"/>
  <c r="Y83" i="4"/>
  <c r="AG83" i="4"/>
  <c r="W84" i="4"/>
  <c r="AE84" i="4"/>
  <c r="AC85" i="4"/>
  <c r="AA86" i="4"/>
  <c r="Y87" i="4"/>
  <c r="AG87" i="4"/>
  <c r="W88" i="4"/>
  <c r="AE88" i="4"/>
  <c r="AC89" i="4"/>
  <c r="AA90" i="4"/>
  <c r="Y91" i="4"/>
  <c r="AG91" i="4"/>
  <c r="W92" i="4"/>
  <c r="AE92" i="4"/>
  <c r="AC93" i="4"/>
  <c r="AA94" i="4"/>
  <c r="Y95" i="4"/>
  <c r="AG95" i="4"/>
  <c r="W96" i="4"/>
  <c r="AE96" i="4"/>
  <c r="AC97" i="4"/>
  <c r="AA98" i="4"/>
  <c r="Y99" i="4"/>
  <c r="AG99" i="4"/>
  <c r="W100" i="4"/>
  <c r="AE100" i="4"/>
  <c r="AC101" i="4"/>
  <c r="AA102" i="4"/>
  <c r="Y103" i="4"/>
  <c r="AG103" i="4"/>
  <c r="W104" i="4"/>
  <c r="AE104" i="4"/>
  <c r="AC105" i="4"/>
  <c r="W21" i="4"/>
  <c r="Y39" i="4"/>
  <c r="Z43" i="4"/>
  <c r="AF50" i="4"/>
  <c r="X54" i="4"/>
  <c r="AB56" i="4"/>
  <c r="X58" i="4"/>
  <c r="AH61" i="4"/>
  <c r="AF63" i="4"/>
  <c r="AA64" i="4"/>
  <c r="AH65" i="4"/>
  <c r="AD66" i="4"/>
  <c r="AH67" i="4"/>
  <c r="Z68" i="4"/>
  <c r="AB69" i="4"/>
  <c r="AB70" i="4"/>
  <c r="AB71" i="4"/>
  <c r="AB72" i="4"/>
  <c r="AC73" i="4"/>
  <c r="AB74" i="4"/>
  <c r="Z75" i="4"/>
  <c r="AH75" i="4"/>
  <c r="X76" i="4"/>
  <c r="AF76" i="4"/>
  <c r="AD77" i="4"/>
  <c r="AB78" i="4"/>
  <c r="Z79" i="4"/>
  <c r="AH79" i="4"/>
  <c r="X80" i="4"/>
  <c r="AF80" i="4"/>
  <c r="AD81" i="4"/>
  <c r="AB82" i="4"/>
  <c r="Z83" i="4"/>
  <c r="AH83" i="4"/>
  <c r="X84" i="4"/>
  <c r="AF84" i="4"/>
  <c r="AD85" i="4"/>
  <c r="AB86" i="4"/>
  <c r="Z87" i="4"/>
  <c r="AH87" i="4"/>
  <c r="X88" i="4"/>
  <c r="AF88" i="4"/>
  <c r="AD89" i="4"/>
  <c r="AB90" i="4"/>
  <c r="Z91" i="4"/>
  <c r="AH91" i="4"/>
  <c r="X92" i="4"/>
  <c r="AF92" i="4"/>
  <c r="AD93" i="4"/>
  <c r="AB94" i="4"/>
  <c r="Z95" i="4"/>
  <c r="AH95" i="4"/>
  <c r="X96" i="4"/>
  <c r="AF96" i="4"/>
  <c r="AH39" i="4"/>
  <c r="AD47" i="4"/>
  <c r="AF54" i="4"/>
  <c r="AH56" i="4"/>
  <c r="AD58" i="4"/>
  <c r="Z60" i="4"/>
  <c r="AH63" i="4"/>
  <c r="AB64" i="4"/>
  <c r="X65" i="4"/>
  <c r="AE66" i="4"/>
  <c r="X67" i="4"/>
  <c r="AA68" i="4"/>
  <c r="AC69" i="4"/>
  <c r="AC70" i="4"/>
  <c r="AC71" i="4"/>
  <c r="AD72" i="4"/>
  <c r="AD73" i="4"/>
  <c r="AC74" i="4"/>
  <c r="AA75" i="4"/>
  <c r="Y76" i="4"/>
  <c r="AG76" i="4"/>
  <c r="W77" i="4"/>
  <c r="AE77" i="4"/>
  <c r="AC78" i="4"/>
  <c r="AA79" i="4"/>
  <c r="Y80" i="4"/>
  <c r="AG80" i="4"/>
  <c r="W81" i="4"/>
  <c r="AE81" i="4"/>
  <c r="AC82" i="4"/>
  <c r="AA83" i="4"/>
  <c r="Y84" i="4"/>
  <c r="AG84" i="4"/>
  <c r="W85" i="4"/>
  <c r="AE85" i="4"/>
  <c r="AC86" i="4"/>
  <c r="AA87" i="4"/>
  <c r="Y88" i="4"/>
  <c r="AG88" i="4"/>
  <c r="W89" i="4"/>
  <c r="AE89" i="4"/>
  <c r="AC90" i="4"/>
  <c r="AA91" i="4"/>
  <c r="Y92" i="4"/>
  <c r="AG92" i="4"/>
  <c r="W93" i="4"/>
  <c r="AE93" i="4"/>
  <c r="AC94" i="4"/>
  <c r="AA95" i="4"/>
  <c r="Y96" i="4"/>
  <c r="AG96" i="4"/>
  <c r="W97" i="4"/>
  <c r="AE97" i="4"/>
  <c r="AC98" i="4"/>
  <c r="AA99" i="4"/>
  <c r="Y100" i="4"/>
  <c r="AG100" i="4"/>
  <c r="W101" i="4"/>
  <c r="AE101" i="4"/>
  <c r="AC102" i="4"/>
  <c r="AA103" i="4"/>
  <c r="Y104" i="4"/>
  <c r="AG104" i="4"/>
  <c r="AG24" i="4"/>
  <c r="AC35" i="4"/>
  <c r="Y40" i="4"/>
  <c r="Z44" i="4"/>
  <c r="AD51" i="4"/>
  <c r="AF58" i="4"/>
  <c r="AB60" i="4"/>
  <c r="X62" i="4"/>
  <c r="AD64" i="4"/>
  <c r="Y65" i="4"/>
  <c r="AF66" i="4"/>
  <c r="Z67" i="4"/>
  <c r="AB68" i="4"/>
  <c r="AD69" i="4"/>
  <c r="AD70" i="4"/>
  <c r="AD71" i="4"/>
  <c r="AE72" i="4"/>
  <c r="AE73" i="4"/>
  <c r="AD74" i="4"/>
  <c r="AB75" i="4"/>
  <c r="Z76" i="4"/>
  <c r="AH76" i="4"/>
  <c r="X77" i="4"/>
  <c r="AF77" i="4"/>
  <c r="AD78" i="4"/>
  <c r="AB79" i="4"/>
  <c r="Z80" i="4"/>
  <c r="AH80" i="4"/>
  <c r="X81" i="4"/>
  <c r="AF81" i="4"/>
  <c r="AD82" i="4"/>
  <c r="AB83" i="4"/>
  <c r="Z84" i="4"/>
  <c r="AH84" i="4"/>
  <c r="X85" i="4"/>
  <c r="AF85" i="4"/>
  <c r="AD86" i="4"/>
  <c r="AB87" i="4"/>
  <c r="Z88" i="4"/>
  <c r="AH88" i="4"/>
  <c r="X89" i="4"/>
  <c r="AF89" i="4"/>
  <c r="AD90" i="4"/>
  <c r="AB91" i="4"/>
  <c r="Z92" i="4"/>
  <c r="AH92" i="4"/>
  <c r="X93" i="4"/>
  <c r="AF93" i="4"/>
  <c r="AD94" i="4"/>
  <c r="AB95" i="4"/>
  <c r="Z96" i="4"/>
  <c r="AH96" i="4"/>
  <c r="X97" i="4"/>
  <c r="AF97" i="4"/>
  <c r="AC26" i="4"/>
  <c r="Y36" i="4"/>
  <c r="AH40" i="4"/>
  <c r="AB48" i="4"/>
  <c r="AB55" i="4"/>
  <c r="X57" i="4"/>
  <c r="AH60" i="4"/>
  <c r="AB62" i="4"/>
  <c r="X63" i="4"/>
  <c r="AF64" i="4"/>
  <c r="Z65" i="4"/>
  <c r="AH66" i="4"/>
  <c r="AA67" i="4"/>
  <c r="AD68" i="4"/>
  <c r="AE69" i="4"/>
  <c r="AE70" i="4"/>
  <c r="AF71" i="4"/>
  <c r="W72" i="4"/>
  <c r="AF72" i="4"/>
  <c r="W73" i="4"/>
  <c r="AF73" i="4"/>
  <c r="W74" i="4"/>
  <c r="AE74" i="4"/>
  <c r="AC75" i="4"/>
  <c r="AA76" i="4"/>
  <c r="Y77" i="4"/>
  <c r="AG77" i="4"/>
  <c r="W78" i="4"/>
  <c r="AE78" i="4"/>
  <c r="AC79" i="4"/>
  <c r="AA80" i="4"/>
  <c r="Y81" i="4"/>
  <c r="AG81" i="4"/>
  <c r="W82" i="4"/>
  <c r="AE82" i="4"/>
  <c r="AC83" i="4"/>
  <c r="AA84" i="4"/>
  <c r="Y85" i="4"/>
  <c r="AG85" i="4"/>
  <c r="W86" i="4"/>
  <c r="AE86" i="4"/>
  <c r="AC87" i="4"/>
  <c r="AA88" i="4"/>
  <c r="Y89" i="4"/>
  <c r="AG89" i="4"/>
  <c r="W90" i="4"/>
  <c r="AE90" i="4"/>
  <c r="AC91" i="4"/>
  <c r="AA92" i="4"/>
  <c r="Y93" i="4"/>
  <c r="AG93" i="4"/>
  <c r="W94" i="4"/>
  <c r="AE94" i="4"/>
  <c r="AC95" i="4"/>
  <c r="AA96" i="4"/>
  <c r="Y97" i="4"/>
  <c r="AG97" i="4"/>
  <c r="W98" i="4"/>
  <c r="Y28" i="4"/>
  <c r="X71" i="4"/>
  <c r="AF78" i="4"/>
  <c r="X82" i="4"/>
  <c r="AH85" i="4"/>
  <c r="Z89" i="4"/>
  <c r="AB96" i="4"/>
  <c r="Z98" i="4"/>
  <c r="AH99" i="4"/>
  <c r="AB100" i="4"/>
  <c r="X101" i="4"/>
  <c r="AE102" i="4"/>
  <c r="Z103" i="4"/>
  <c r="AH104" i="4"/>
  <c r="Z105" i="4"/>
  <c r="AB106" i="4"/>
  <c r="AB107" i="4"/>
  <c r="AB108" i="4"/>
  <c r="AC109" i="4"/>
  <c r="AC110" i="4"/>
  <c r="AC111" i="4"/>
  <c r="AD112" i="4"/>
  <c r="AB113" i="4"/>
  <c r="Z114" i="4"/>
  <c r="AH114" i="4"/>
  <c r="X115" i="4"/>
  <c r="AF115" i="4"/>
  <c r="AD116" i="4"/>
  <c r="AB117" i="4"/>
  <c r="Z118" i="4"/>
  <c r="AH118" i="4"/>
  <c r="X119" i="4"/>
  <c r="AF119" i="4"/>
  <c r="AD120" i="4"/>
  <c r="AB121" i="4"/>
  <c r="Z122" i="4"/>
  <c r="AH122" i="4"/>
  <c r="X123" i="4"/>
  <c r="AF123" i="4"/>
  <c r="AD124" i="4"/>
  <c r="AB125" i="4"/>
  <c r="Z126" i="4"/>
  <c r="AH126" i="4"/>
  <c r="X127" i="4"/>
  <c r="AF127" i="4"/>
  <c r="AD128" i="4"/>
  <c r="AB129" i="4"/>
  <c r="Z130" i="4"/>
  <c r="AH130" i="4"/>
  <c r="X131" i="4"/>
  <c r="AF131" i="4"/>
  <c r="AD132" i="4"/>
  <c r="AB133" i="4"/>
  <c r="Z134" i="4"/>
  <c r="AH134" i="4"/>
  <c r="X135" i="4"/>
  <c r="AF135" i="4"/>
  <c r="AD136" i="4"/>
  <c r="AB137" i="4"/>
  <c r="Z138" i="4"/>
  <c r="AH138" i="4"/>
  <c r="X139" i="4"/>
  <c r="AF139" i="4"/>
  <c r="AD140" i="4"/>
  <c r="AB141" i="4"/>
  <c r="Z142" i="4"/>
  <c r="AH142" i="4"/>
  <c r="X143" i="4"/>
  <c r="AF143" i="4"/>
  <c r="AD144" i="4"/>
  <c r="AB145" i="4"/>
  <c r="Z146" i="4"/>
  <c r="AH146" i="4"/>
  <c r="X147" i="4"/>
  <c r="AF147" i="4"/>
  <c r="AD148" i="4"/>
  <c r="AB149" i="4"/>
  <c r="Z150" i="4"/>
  <c r="AH150" i="4"/>
  <c r="X151" i="4"/>
  <c r="AF151" i="4"/>
  <c r="AB67" i="4"/>
  <c r="AG71" i="4"/>
  <c r="AD75" i="4"/>
  <c r="AF82" i="4"/>
  <c r="X86" i="4"/>
  <c r="AH89" i="4"/>
  <c r="Z93" i="4"/>
  <c r="AB98" i="4"/>
  <c r="AD100" i="4"/>
  <c r="Y101" i="4"/>
  <c r="AF102" i="4"/>
  <c r="AB103" i="4"/>
  <c r="AB105" i="4"/>
  <c r="AC106" i="4"/>
  <c r="AC107" i="4"/>
  <c r="AD108" i="4"/>
  <c r="AD109" i="4"/>
  <c r="AD110" i="4"/>
  <c r="AD111" i="4"/>
  <c r="AE112" i="4"/>
  <c r="AC113" i="4"/>
  <c r="AA114" i="4"/>
  <c r="Y115" i="4"/>
  <c r="AG115" i="4"/>
  <c r="W116" i="4"/>
  <c r="AE116" i="4"/>
  <c r="AC117" i="4"/>
  <c r="AA118" i="4"/>
  <c r="Y119" i="4"/>
  <c r="AG119" i="4"/>
  <c r="W120" i="4"/>
  <c r="AE120" i="4"/>
  <c r="AC121" i="4"/>
  <c r="AA122" i="4"/>
  <c r="Y123" i="4"/>
  <c r="AG123" i="4"/>
  <c r="W124" i="4"/>
  <c r="AE124" i="4"/>
  <c r="AC125" i="4"/>
  <c r="AA126" i="4"/>
  <c r="Y127" i="4"/>
  <c r="AG127" i="4"/>
  <c r="W128" i="4"/>
  <c r="AE128" i="4"/>
  <c r="AC129" i="4"/>
  <c r="AA130" i="4"/>
  <c r="Y131" i="4"/>
  <c r="AG131" i="4"/>
  <c r="W132" i="4"/>
  <c r="AE132" i="4"/>
  <c r="AC133" i="4"/>
  <c r="AA134" i="4"/>
  <c r="Y41" i="4"/>
  <c r="AD62" i="4"/>
  <c r="X72" i="4"/>
  <c r="AD79" i="4"/>
  <c r="AF86" i="4"/>
  <c r="X90" i="4"/>
  <c r="AH93" i="4"/>
  <c r="Z97" i="4"/>
  <c r="AD98" i="4"/>
  <c r="X99" i="4"/>
  <c r="AF100" i="4"/>
  <c r="Z101" i="4"/>
  <c r="AH102" i="4"/>
  <c r="AC103" i="4"/>
  <c r="X104" i="4"/>
  <c r="AD105" i="4"/>
  <c r="AD106" i="4"/>
  <c r="AD107" i="4"/>
  <c r="AE108" i="4"/>
  <c r="AE109" i="4"/>
  <c r="AE110" i="4"/>
  <c r="AF111" i="4"/>
  <c r="W112" i="4"/>
  <c r="AF112" i="4"/>
  <c r="AD113" i="4"/>
  <c r="AB114" i="4"/>
  <c r="Z115" i="4"/>
  <c r="AH115" i="4"/>
  <c r="X116" i="4"/>
  <c r="AF116" i="4"/>
  <c r="AD117" i="4"/>
  <c r="AB118" i="4"/>
  <c r="Z119" i="4"/>
  <c r="AH119" i="4"/>
  <c r="X120" i="4"/>
  <c r="AF120" i="4"/>
  <c r="AD121" i="4"/>
  <c r="AB122" i="4"/>
  <c r="Z123" i="4"/>
  <c r="AH123" i="4"/>
  <c r="X124" i="4"/>
  <c r="AF124" i="4"/>
  <c r="AD125" i="4"/>
  <c r="AB126" i="4"/>
  <c r="Z127" i="4"/>
  <c r="AH127" i="4"/>
  <c r="X128" i="4"/>
  <c r="AF128" i="4"/>
  <c r="AD129" i="4"/>
  <c r="AB130" i="4"/>
  <c r="Z131" i="4"/>
  <c r="AH131" i="4"/>
  <c r="X132" i="4"/>
  <c r="AF132" i="4"/>
  <c r="AD133" i="4"/>
  <c r="AB134" i="4"/>
  <c r="Z135" i="4"/>
  <c r="AH135" i="4"/>
  <c r="X136" i="4"/>
  <c r="AF136" i="4"/>
  <c r="AD137" i="4"/>
  <c r="AB138" i="4"/>
  <c r="Z139" i="4"/>
  <c r="AH139" i="4"/>
  <c r="X140" i="4"/>
  <c r="AF140" i="4"/>
  <c r="AD141" i="4"/>
  <c r="AB142" i="4"/>
  <c r="Z143" i="4"/>
  <c r="AH143" i="4"/>
  <c r="X144" i="4"/>
  <c r="Z45" i="4"/>
  <c r="Z63" i="4"/>
  <c r="AF68" i="4"/>
  <c r="AG72" i="4"/>
  <c r="AB76" i="4"/>
  <c r="AD83" i="4"/>
  <c r="AF90" i="4"/>
  <c r="X94" i="4"/>
  <c r="AD97" i="4"/>
  <c r="AE98" i="4"/>
  <c r="Z99" i="4"/>
  <c r="AH100" i="4"/>
  <c r="AB101" i="4"/>
  <c r="W102" i="4"/>
  <c r="AD103" i="4"/>
  <c r="Z104" i="4"/>
  <c r="AE105" i="4"/>
  <c r="AE106" i="4"/>
  <c r="AF107" i="4"/>
  <c r="W108" i="4"/>
  <c r="AF108" i="4"/>
  <c r="W109" i="4"/>
  <c r="AF109" i="4"/>
  <c r="W110" i="4"/>
  <c r="AF110" i="4"/>
  <c r="X111" i="4"/>
  <c r="AG111" i="4"/>
  <c r="X112" i="4"/>
  <c r="AG112" i="4"/>
  <c r="W113" i="4"/>
  <c r="AE113" i="4"/>
  <c r="AC114" i="4"/>
  <c r="AA115" i="4"/>
  <c r="Y116" i="4"/>
  <c r="AG116" i="4"/>
  <c r="W117" i="4"/>
  <c r="AE117" i="4"/>
  <c r="AC118" i="4"/>
  <c r="AA119" i="4"/>
  <c r="Y120" i="4"/>
  <c r="AG120" i="4"/>
  <c r="W121" i="4"/>
  <c r="AE121" i="4"/>
  <c r="AC122" i="4"/>
  <c r="AA123" i="4"/>
  <c r="Y124" i="4"/>
  <c r="AG124" i="4"/>
  <c r="W125" i="4"/>
  <c r="AE125" i="4"/>
  <c r="AC126" i="4"/>
  <c r="AA127" i="4"/>
  <c r="Y128" i="4"/>
  <c r="AG128" i="4"/>
  <c r="W129" i="4"/>
  <c r="AE129" i="4"/>
  <c r="AC130" i="4"/>
  <c r="AA131" i="4"/>
  <c r="Y132" i="4"/>
  <c r="AG132" i="4"/>
  <c r="W69" i="4"/>
  <c r="X73" i="4"/>
  <c r="AB80" i="4"/>
  <c r="AD87" i="4"/>
  <c r="AF94" i="4"/>
  <c r="AH97" i="4"/>
  <c r="AF98" i="4"/>
  <c r="AB99" i="4"/>
  <c r="AD101" i="4"/>
  <c r="X102" i="4"/>
  <c r="AF103" i="4"/>
  <c r="AA104" i="4"/>
  <c r="AF105" i="4"/>
  <c r="W106" i="4"/>
  <c r="AF106" i="4"/>
  <c r="X107" i="4"/>
  <c r="AG107" i="4"/>
  <c r="X108" i="4"/>
  <c r="AG108" i="4"/>
  <c r="X109" i="4"/>
  <c r="AG109" i="4"/>
  <c r="X110" i="4"/>
  <c r="AH110" i="4"/>
  <c r="Y111" i="4"/>
  <c r="AH111" i="4"/>
  <c r="Y112" i="4"/>
  <c r="AH112" i="4"/>
  <c r="X113" i="4"/>
  <c r="AF113" i="4"/>
  <c r="AD114" i="4"/>
  <c r="AB115" i="4"/>
  <c r="Z116" i="4"/>
  <c r="AH116" i="4"/>
  <c r="X117" i="4"/>
  <c r="AF117" i="4"/>
  <c r="AD118" i="4"/>
  <c r="AB119" i="4"/>
  <c r="Z120" i="4"/>
  <c r="AH120" i="4"/>
  <c r="X121" i="4"/>
  <c r="AF121" i="4"/>
  <c r="AD122" i="4"/>
  <c r="AB123" i="4"/>
  <c r="Z124" i="4"/>
  <c r="AH124" i="4"/>
  <c r="X125" i="4"/>
  <c r="AF125" i="4"/>
  <c r="AD126" i="4"/>
  <c r="AB127" i="4"/>
  <c r="Z128" i="4"/>
  <c r="AH128" i="4"/>
  <c r="X129" i="4"/>
  <c r="AF129" i="4"/>
  <c r="AD130" i="4"/>
  <c r="AB131" i="4"/>
  <c r="Z132" i="4"/>
  <c r="AH132" i="4"/>
  <c r="X133" i="4"/>
  <c r="AF133" i="4"/>
  <c r="AD134" i="4"/>
  <c r="AB135" i="4"/>
  <c r="Z136" i="4"/>
  <c r="AH136" i="4"/>
  <c r="X137" i="4"/>
  <c r="AF137" i="4"/>
  <c r="AD138" i="4"/>
  <c r="AB139" i="4"/>
  <c r="Z140" i="4"/>
  <c r="AH140" i="4"/>
  <c r="X141" i="4"/>
  <c r="AF141" i="4"/>
  <c r="AD142" i="4"/>
  <c r="AB143" i="4"/>
  <c r="Z144" i="4"/>
  <c r="AH144" i="4"/>
  <c r="AB52" i="4"/>
  <c r="AH64" i="4"/>
  <c r="AF69" i="4"/>
  <c r="AG73" i="4"/>
  <c r="Z77" i="4"/>
  <c r="AB84" i="4"/>
  <c r="AD91" i="4"/>
  <c r="AH98" i="4"/>
  <c r="AC99" i="4"/>
  <c r="X100" i="4"/>
  <c r="AF101" i="4"/>
  <c r="Z102" i="4"/>
  <c r="AH103" i="4"/>
  <c r="AB104" i="4"/>
  <c r="W105" i="4"/>
  <c r="AG105" i="4"/>
  <c r="X106" i="4"/>
  <c r="AH106" i="4"/>
  <c r="Y107" i="4"/>
  <c r="AH107" i="4"/>
  <c r="Y108" i="4"/>
  <c r="AH108" i="4"/>
  <c r="Y109" i="4"/>
  <c r="AH109" i="4"/>
  <c r="Z110" i="4"/>
  <c r="Z111" i="4"/>
  <c r="Z112" i="4"/>
  <c r="Y113" i="4"/>
  <c r="AG113" i="4"/>
  <c r="W114" i="4"/>
  <c r="AE114" i="4"/>
  <c r="AC115" i="4"/>
  <c r="AA116" i="4"/>
  <c r="Y117" i="4"/>
  <c r="AG117" i="4"/>
  <c r="W118" i="4"/>
  <c r="AE118" i="4"/>
  <c r="AC119" i="4"/>
  <c r="AA120" i="4"/>
  <c r="Y121" i="4"/>
  <c r="AG121" i="4"/>
  <c r="W122" i="4"/>
  <c r="AE122" i="4"/>
  <c r="AC123" i="4"/>
  <c r="AA124" i="4"/>
  <c r="Y125" i="4"/>
  <c r="AG125" i="4"/>
  <c r="W126" i="4"/>
  <c r="AE126" i="4"/>
  <c r="AC127" i="4"/>
  <c r="AA128" i="4"/>
  <c r="Y129" i="4"/>
  <c r="AG129" i="4"/>
  <c r="W130" i="4"/>
  <c r="AE130" i="4"/>
  <c r="AC131" i="4"/>
  <c r="AA132" i="4"/>
  <c r="Y133" i="4"/>
  <c r="AG133" i="4"/>
  <c r="AD55" i="4"/>
  <c r="AB65" i="4"/>
  <c r="W70" i="4"/>
  <c r="X74" i="4"/>
  <c r="AH77" i="4"/>
  <c r="Z81" i="4"/>
  <c r="AB88" i="4"/>
  <c r="AD95" i="4"/>
  <c r="AD99" i="4"/>
  <c r="Z100" i="4"/>
  <c r="AG101" i="4"/>
  <c r="AB102" i="4"/>
  <c r="AD104" i="4"/>
  <c r="X105" i="4"/>
  <c r="AH105" i="4"/>
  <c r="Z106" i="4"/>
  <c r="Z107" i="4"/>
  <c r="Z108" i="4"/>
  <c r="Z109" i="4"/>
  <c r="AA110" i="4"/>
  <c r="AA111" i="4"/>
  <c r="AA112" i="4"/>
  <c r="Z113" i="4"/>
  <c r="AH113" i="4"/>
  <c r="X114" i="4"/>
  <c r="AF114" i="4"/>
  <c r="AD115" i="4"/>
  <c r="AB116" i="4"/>
  <c r="Z117" i="4"/>
  <c r="AH117" i="4"/>
  <c r="X118" i="4"/>
  <c r="AF118" i="4"/>
  <c r="AD119" i="4"/>
  <c r="AB120" i="4"/>
  <c r="Z121" i="4"/>
  <c r="AH121" i="4"/>
  <c r="X122" i="4"/>
  <c r="AF122" i="4"/>
  <c r="AD123" i="4"/>
  <c r="AB124" i="4"/>
  <c r="Z125" i="4"/>
  <c r="AH125" i="4"/>
  <c r="X126" i="4"/>
  <c r="AF126" i="4"/>
  <c r="AD127" i="4"/>
  <c r="AB128" i="4"/>
  <c r="Z129" i="4"/>
  <c r="AH129" i="4"/>
  <c r="X130" i="4"/>
  <c r="AF130" i="4"/>
  <c r="AD131" i="4"/>
  <c r="AB132" i="4"/>
  <c r="Z133" i="4"/>
  <c r="AH133" i="4"/>
  <c r="X134" i="4"/>
  <c r="AF134" i="4"/>
  <c r="AD135" i="4"/>
  <c r="AB136" i="4"/>
  <c r="Z57" i="4"/>
  <c r="AB92" i="4"/>
  <c r="AD102" i="4"/>
  <c r="AA107" i="4"/>
  <c r="AB111" i="4"/>
  <c r="W115" i="4"/>
  <c r="AG118" i="4"/>
  <c r="Y122" i="4"/>
  <c r="AA129" i="4"/>
  <c r="AC134" i="4"/>
  <c r="AA135" i="4"/>
  <c r="Y136" i="4"/>
  <c r="W137" i="4"/>
  <c r="AE138" i="4"/>
  <c r="Y139" i="4"/>
  <c r="AG140" i="4"/>
  <c r="AA141" i="4"/>
  <c r="W142" i="4"/>
  <c r="AD143" i="4"/>
  <c r="Y144" i="4"/>
  <c r="AA145" i="4"/>
  <c r="AB146" i="4"/>
  <c r="AB147" i="4"/>
  <c r="AB148" i="4"/>
  <c r="AC149" i="4"/>
  <c r="AC150" i="4"/>
  <c r="AC151" i="4"/>
  <c r="AC152" i="4"/>
  <c r="AA153" i="4"/>
  <c r="Y154" i="4"/>
  <c r="AG154" i="4"/>
  <c r="W155" i="4"/>
  <c r="AE155" i="4"/>
  <c r="AC156" i="4"/>
  <c r="AA157" i="4"/>
  <c r="Y158" i="4"/>
  <c r="AG158" i="4"/>
  <c r="W159" i="4"/>
  <c r="AE159" i="4"/>
  <c r="AC160" i="4"/>
  <c r="AA161" i="4"/>
  <c r="Y162" i="4"/>
  <c r="AG162" i="4"/>
  <c r="W163" i="4"/>
  <c r="AE163" i="4"/>
  <c r="AC164" i="4"/>
  <c r="AA165" i="4"/>
  <c r="Y166" i="4"/>
  <c r="AG166" i="4"/>
  <c r="W167" i="4"/>
  <c r="AE167" i="4"/>
  <c r="AC168" i="4"/>
  <c r="AA169" i="4"/>
  <c r="Y170" i="4"/>
  <c r="AG170" i="4"/>
  <c r="W171" i="4"/>
  <c r="AE171" i="4"/>
  <c r="AC172" i="4"/>
  <c r="AA173" i="4"/>
  <c r="Y174" i="4"/>
  <c r="AG174" i="4"/>
  <c r="W175" i="4"/>
  <c r="AE175" i="4"/>
  <c r="AC176" i="4"/>
  <c r="AA177" i="4"/>
  <c r="Y178" i="4"/>
  <c r="AG178" i="4"/>
  <c r="W179" i="4"/>
  <c r="AE179" i="4"/>
  <c r="AC180" i="4"/>
  <c r="AA181" i="4"/>
  <c r="Y182" i="4"/>
  <c r="AG182" i="4"/>
  <c r="W183" i="4"/>
  <c r="AE183" i="4"/>
  <c r="AC184" i="4"/>
  <c r="AA185" i="4"/>
  <c r="Y186" i="4"/>
  <c r="AG186" i="4"/>
  <c r="W187" i="4"/>
  <c r="AE187" i="4"/>
  <c r="AC188" i="4"/>
  <c r="AA189" i="4"/>
  <c r="Y190" i="4"/>
  <c r="AG190" i="4"/>
  <c r="W191" i="4"/>
  <c r="AE191" i="4"/>
  <c r="AC192" i="4"/>
  <c r="W66" i="4"/>
  <c r="X103" i="4"/>
  <c r="AE115" i="4"/>
  <c r="W119" i="4"/>
  <c r="AG122" i="4"/>
  <c r="Y126" i="4"/>
  <c r="W133" i="4"/>
  <c r="AE134" i="4"/>
  <c r="AC135" i="4"/>
  <c r="AA136" i="4"/>
  <c r="Y137" i="4"/>
  <c r="AF138" i="4"/>
  <c r="AA139" i="4"/>
  <c r="AC141" i="4"/>
  <c r="X142" i="4"/>
  <c r="AE143" i="4"/>
  <c r="AA144" i="4"/>
  <c r="AC145" i="4"/>
  <c r="AC146" i="4"/>
  <c r="AC147" i="4"/>
  <c r="AC148" i="4"/>
  <c r="AD149" i="4"/>
  <c r="AD150" i="4"/>
  <c r="AD151" i="4"/>
  <c r="AD152" i="4"/>
  <c r="AB153" i="4"/>
  <c r="Z154" i="4"/>
  <c r="AH154" i="4"/>
  <c r="X155" i="4"/>
  <c r="AF155" i="4"/>
  <c r="AD156" i="4"/>
  <c r="AB157" i="4"/>
  <c r="Z158" i="4"/>
  <c r="AH158" i="4"/>
  <c r="X159" i="4"/>
  <c r="AF159" i="4"/>
  <c r="AD160" i="4"/>
  <c r="AB161" i="4"/>
  <c r="Z162" i="4"/>
  <c r="AH162" i="4"/>
  <c r="X163" i="4"/>
  <c r="AF163" i="4"/>
  <c r="AD164" i="4"/>
  <c r="AB165" i="4"/>
  <c r="Z166" i="4"/>
  <c r="AH166" i="4"/>
  <c r="X167" i="4"/>
  <c r="AF167" i="4"/>
  <c r="AD168" i="4"/>
  <c r="AB169" i="4"/>
  <c r="Z170" i="4"/>
  <c r="AH170" i="4"/>
  <c r="X171" i="4"/>
  <c r="AF171" i="4"/>
  <c r="AD172" i="4"/>
  <c r="AB173" i="4"/>
  <c r="Z174" i="4"/>
  <c r="AH174" i="4"/>
  <c r="AF70" i="4"/>
  <c r="X98" i="4"/>
  <c r="AA108" i="4"/>
  <c r="AB112" i="4"/>
  <c r="AE119" i="4"/>
  <c r="W123" i="4"/>
  <c r="AG126" i="4"/>
  <c r="Y130" i="4"/>
  <c r="AA133" i="4"/>
  <c r="AG134" i="4"/>
  <c r="AE135" i="4"/>
  <c r="AC136" i="4"/>
  <c r="Z137" i="4"/>
  <c r="AG138" i="4"/>
  <c r="AC139" i="4"/>
  <c r="W140" i="4"/>
  <c r="AE141" i="4"/>
  <c r="Y142" i="4"/>
  <c r="AG143" i="4"/>
  <c r="AB144" i="4"/>
  <c r="AD145" i="4"/>
  <c r="AD146" i="4"/>
  <c r="AD147" i="4"/>
  <c r="AE148" i="4"/>
  <c r="AE149" i="4"/>
  <c r="AE150" i="4"/>
  <c r="AE151" i="4"/>
  <c r="W152" i="4"/>
  <c r="AE152" i="4"/>
  <c r="AC153" i="4"/>
  <c r="AA154" i="4"/>
  <c r="Y155" i="4"/>
  <c r="AG155" i="4"/>
  <c r="W156" i="4"/>
  <c r="AE156" i="4"/>
  <c r="AC157" i="4"/>
  <c r="AA158" i="4"/>
  <c r="Y159" i="4"/>
  <c r="AG159" i="4"/>
  <c r="W160" i="4"/>
  <c r="AE160" i="4"/>
  <c r="AC161" i="4"/>
  <c r="AA162" i="4"/>
  <c r="Y163" i="4"/>
  <c r="AG163" i="4"/>
  <c r="W164" i="4"/>
  <c r="AE164" i="4"/>
  <c r="AC165" i="4"/>
  <c r="AA166" i="4"/>
  <c r="Y167" i="4"/>
  <c r="AG167" i="4"/>
  <c r="W168" i="4"/>
  <c r="AE168" i="4"/>
  <c r="AC169" i="4"/>
  <c r="AA170" i="4"/>
  <c r="Y171" i="4"/>
  <c r="AG171" i="4"/>
  <c r="W172" i="4"/>
  <c r="AE172" i="4"/>
  <c r="AC173" i="4"/>
  <c r="AA174" i="4"/>
  <c r="Y175" i="4"/>
  <c r="AG175" i="4"/>
  <c r="W176" i="4"/>
  <c r="AE176" i="4"/>
  <c r="AC177" i="4"/>
  <c r="AA178" i="4"/>
  <c r="Y179" i="4"/>
  <c r="AG179" i="4"/>
  <c r="W180" i="4"/>
  <c r="AE180" i="4"/>
  <c r="AC181" i="4"/>
  <c r="AA182" i="4"/>
  <c r="Y183" i="4"/>
  <c r="AF74" i="4"/>
  <c r="AF104" i="4"/>
  <c r="AC116" i="4"/>
  <c r="AE123" i="4"/>
  <c r="W127" i="4"/>
  <c r="AG130" i="4"/>
  <c r="AE133" i="4"/>
  <c r="AG135" i="4"/>
  <c r="AE136" i="4"/>
  <c r="AA137" i="4"/>
  <c r="W138" i="4"/>
  <c r="AD139" i="4"/>
  <c r="Y140" i="4"/>
  <c r="AG141" i="4"/>
  <c r="AA142" i="4"/>
  <c r="AC144" i="4"/>
  <c r="AE145" i="4"/>
  <c r="AE146" i="4"/>
  <c r="AE147" i="4"/>
  <c r="W148" i="4"/>
  <c r="AF148" i="4"/>
  <c r="W149" i="4"/>
  <c r="AF149" i="4"/>
  <c r="W150" i="4"/>
  <c r="AF150" i="4"/>
  <c r="W151" i="4"/>
  <c r="AG151" i="4"/>
  <c r="X152" i="4"/>
  <c r="AF152" i="4"/>
  <c r="AD153" i="4"/>
  <c r="AB154" i="4"/>
  <c r="Z155" i="4"/>
  <c r="AH155" i="4"/>
  <c r="X156" i="4"/>
  <c r="AF156" i="4"/>
  <c r="AD157" i="4"/>
  <c r="AB158" i="4"/>
  <c r="Z159" i="4"/>
  <c r="AH159" i="4"/>
  <c r="X160" i="4"/>
  <c r="AF160" i="4"/>
  <c r="AD161" i="4"/>
  <c r="AB162" i="4"/>
  <c r="Z163" i="4"/>
  <c r="AH163" i="4"/>
  <c r="X164" i="4"/>
  <c r="AF164" i="4"/>
  <c r="AD165" i="4"/>
  <c r="AB166" i="4"/>
  <c r="Z167" i="4"/>
  <c r="AH167" i="4"/>
  <c r="X168" i="4"/>
  <c r="AF168" i="4"/>
  <c r="AD169" i="4"/>
  <c r="AB170" i="4"/>
  <c r="Z171" i="4"/>
  <c r="AH171" i="4"/>
  <c r="X78" i="4"/>
  <c r="AF99" i="4"/>
  <c r="Y105" i="4"/>
  <c r="AB109" i="4"/>
  <c r="AA113" i="4"/>
  <c r="AC120" i="4"/>
  <c r="AE127" i="4"/>
  <c r="W131" i="4"/>
  <c r="AG136" i="4"/>
  <c r="AC137" i="4"/>
  <c r="X138" i="4"/>
  <c r="AE139" i="4"/>
  <c r="AA140" i="4"/>
  <c r="AH141" i="4"/>
  <c r="AC142" i="4"/>
  <c r="W143" i="4"/>
  <c r="AE144" i="4"/>
  <c r="W145" i="4"/>
  <c r="AF145" i="4"/>
  <c r="W146" i="4"/>
  <c r="AF146" i="4"/>
  <c r="W147" i="4"/>
  <c r="AG147" i="4"/>
  <c r="X148" i="4"/>
  <c r="AG148" i="4"/>
  <c r="X149" i="4"/>
  <c r="AG149" i="4"/>
  <c r="X150" i="4"/>
  <c r="AG150" i="4"/>
  <c r="Y151" i="4"/>
  <c r="AH151" i="4"/>
  <c r="Y152" i="4"/>
  <c r="AG152" i="4"/>
  <c r="W153" i="4"/>
  <c r="AE153" i="4"/>
  <c r="AC154" i="4"/>
  <c r="AA155" i="4"/>
  <c r="Y156" i="4"/>
  <c r="AG156" i="4"/>
  <c r="W157" i="4"/>
  <c r="AE157" i="4"/>
  <c r="AC158" i="4"/>
  <c r="AA159" i="4"/>
  <c r="Y160" i="4"/>
  <c r="AG160" i="4"/>
  <c r="W161" i="4"/>
  <c r="AE161" i="4"/>
  <c r="AC162" i="4"/>
  <c r="AA163" i="4"/>
  <c r="Y164" i="4"/>
  <c r="AG164" i="4"/>
  <c r="W165" i="4"/>
  <c r="AE165" i="4"/>
  <c r="AC166" i="4"/>
  <c r="AA167" i="4"/>
  <c r="Y168" i="4"/>
  <c r="AG168" i="4"/>
  <c r="W169" i="4"/>
  <c r="AE169" i="4"/>
  <c r="AC170" i="4"/>
  <c r="AA171" i="4"/>
  <c r="Y172" i="4"/>
  <c r="AG172" i="4"/>
  <c r="W173" i="4"/>
  <c r="AE173" i="4"/>
  <c r="AC174" i="4"/>
  <c r="AA175" i="4"/>
  <c r="Y176" i="4"/>
  <c r="AG176" i="4"/>
  <c r="W177" i="4"/>
  <c r="AE177" i="4"/>
  <c r="AC178" i="4"/>
  <c r="AA179" i="4"/>
  <c r="Y180" i="4"/>
  <c r="AG180" i="4"/>
  <c r="W181" i="4"/>
  <c r="AE181" i="4"/>
  <c r="AC182" i="4"/>
  <c r="AH81" i="4"/>
  <c r="AA100" i="4"/>
  <c r="AA117" i="4"/>
  <c r="AC124" i="4"/>
  <c r="AE131" i="4"/>
  <c r="AE137" i="4"/>
  <c r="Y138" i="4"/>
  <c r="AG139" i="4"/>
  <c r="AB140" i="4"/>
  <c r="W141" i="4"/>
  <c r="AE142" i="4"/>
  <c r="Y143" i="4"/>
  <c r="AF144" i="4"/>
  <c r="X145" i="4"/>
  <c r="AG145" i="4"/>
  <c r="X146" i="4"/>
  <c r="AG146" i="4"/>
  <c r="Y147" i="4"/>
  <c r="AH147" i="4"/>
  <c r="Y148" i="4"/>
  <c r="AH148" i="4"/>
  <c r="Y149" i="4"/>
  <c r="AH149" i="4"/>
  <c r="Y150" i="4"/>
  <c r="Z151" i="4"/>
  <c r="Z152" i="4"/>
  <c r="AH152" i="4"/>
  <c r="X153" i="4"/>
  <c r="AF153" i="4"/>
  <c r="AD154" i="4"/>
  <c r="AB155" i="4"/>
  <c r="Z156" i="4"/>
  <c r="AH156" i="4"/>
  <c r="X157" i="4"/>
  <c r="AF157" i="4"/>
  <c r="AD158" i="4"/>
  <c r="AB159" i="4"/>
  <c r="Z160" i="4"/>
  <c r="AH160" i="4"/>
  <c r="X161" i="4"/>
  <c r="AF161" i="4"/>
  <c r="AD162" i="4"/>
  <c r="AB163" i="4"/>
  <c r="Z164" i="4"/>
  <c r="AH164" i="4"/>
  <c r="X165" i="4"/>
  <c r="AF165" i="4"/>
  <c r="AD166" i="4"/>
  <c r="AB167" i="4"/>
  <c r="Z168" i="4"/>
  <c r="AH168" i="4"/>
  <c r="X169" i="4"/>
  <c r="AF169" i="4"/>
  <c r="AD170" i="4"/>
  <c r="AB171" i="4"/>
  <c r="Z172" i="4"/>
  <c r="Z85" i="4"/>
  <c r="AA106" i="4"/>
  <c r="AB110" i="4"/>
  <c r="Y114" i="4"/>
  <c r="AA121" i="4"/>
  <c r="AC128" i="4"/>
  <c r="W134" i="4"/>
  <c r="W135" i="4"/>
  <c r="AG137" i="4"/>
  <c r="AA138" i="4"/>
  <c r="AC140" i="4"/>
  <c r="Y141" i="4"/>
  <c r="AF142" i="4"/>
  <c r="AA143" i="4"/>
  <c r="AG144" i="4"/>
  <c r="Y145" i="4"/>
  <c r="AH145" i="4"/>
  <c r="Y146" i="4"/>
  <c r="Z147" i="4"/>
  <c r="Z148" i="4"/>
  <c r="Z149" i="4"/>
  <c r="AA150" i="4"/>
  <c r="AA151" i="4"/>
  <c r="AA152" i="4"/>
  <c r="Y153" i="4"/>
  <c r="AG153" i="4"/>
  <c r="W154" i="4"/>
  <c r="AE154" i="4"/>
  <c r="AC155" i="4"/>
  <c r="AA156" i="4"/>
  <c r="Y157" i="4"/>
  <c r="AG157" i="4"/>
  <c r="W158" i="4"/>
  <c r="AE158" i="4"/>
  <c r="AC159" i="4"/>
  <c r="AA160" i="4"/>
  <c r="Y161" i="4"/>
  <c r="AG161" i="4"/>
  <c r="W162" i="4"/>
  <c r="AE162" i="4"/>
  <c r="AC163" i="4"/>
  <c r="AA164" i="4"/>
  <c r="Y165" i="4"/>
  <c r="AG165" i="4"/>
  <c r="W166" i="4"/>
  <c r="AE166" i="4"/>
  <c r="AC167" i="4"/>
  <c r="AA168" i="4"/>
  <c r="Y169" i="4"/>
  <c r="AG169" i="4"/>
  <c r="W170" i="4"/>
  <c r="AE170" i="4"/>
  <c r="AC171" i="4"/>
  <c r="AA172" i="4"/>
  <c r="Y173" i="4"/>
  <c r="AG173" i="4"/>
  <c r="W174" i="4"/>
  <c r="AE174" i="4"/>
  <c r="AC175" i="4"/>
  <c r="AA176" i="4"/>
  <c r="Y177" i="4"/>
  <c r="W139" i="4"/>
  <c r="AB156" i="4"/>
  <c r="AD163" i="4"/>
  <c r="AF170" i="4"/>
  <c r="X175" i="4"/>
  <c r="AH177" i="4"/>
  <c r="AD178" i="4"/>
  <c r="X179" i="4"/>
  <c r="AF180" i="4"/>
  <c r="Z181" i="4"/>
  <c r="AH182" i="4"/>
  <c r="AB183" i="4"/>
  <c r="AB184" i="4"/>
  <c r="AC185" i="4"/>
  <c r="AC186" i="4"/>
  <c r="AC187" i="4"/>
  <c r="AD188" i="4"/>
  <c r="AD189" i="4"/>
  <c r="AD190" i="4"/>
  <c r="AD191" i="4"/>
  <c r="AE192" i="4"/>
  <c r="AD193" i="4"/>
  <c r="AB194" i="4"/>
  <c r="Z195" i="4"/>
  <c r="AH195" i="4"/>
  <c r="X196" i="4"/>
  <c r="AF196" i="4"/>
  <c r="AD197" i="4"/>
  <c r="AB198" i="4"/>
  <c r="Z199" i="4"/>
  <c r="AH199" i="4"/>
  <c r="X200" i="4"/>
  <c r="AF200" i="4"/>
  <c r="AD201" i="4"/>
  <c r="AB202" i="4"/>
  <c r="Z203" i="4"/>
  <c r="AH203" i="4"/>
  <c r="X204" i="4"/>
  <c r="AF204" i="4"/>
  <c r="AD205" i="4"/>
  <c r="AB206" i="4"/>
  <c r="Z207" i="4"/>
  <c r="AH207" i="4"/>
  <c r="X208" i="4"/>
  <c r="AF208" i="4"/>
  <c r="AD209" i="4"/>
  <c r="AB210" i="4"/>
  <c r="Z211" i="4"/>
  <c r="AH211" i="4"/>
  <c r="X212" i="4"/>
  <c r="AF212" i="4"/>
  <c r="AD213" i="4"/>
  <c r="AB214" i="4"/>
  <c r="Z215" i="4"/>
  <c r="AH215" i="4"/>
  <c r="X216" i="4"/>
  <c r="AF216" i="4"/>
  <c r="AD217" i="4"/>
  <c r="AB218" i="4"/>
  <c r="Z219" i="4"/>
  <c r="AH219" i="4"/>
  <c r="X220" i="4"/>
  <c r="AF220" i="4"/>
  <c r="AD221" i="4"/>
  <c r="AB222" i="4"/>
  <c r="Z223" i="4"/>
  <c r="AH223" i="4"/>
  <c r="X224" i="4"/>
  <c r="AF224" i="4"/>
  <c r="AD225" i="4"/>
  <c r="AB226" i="4"/>
  <c r="Z227" i="4"/>
  <c r="AH227" i="4"/>
  <c r="X228" i="4"/>
  <c r="AF228" i="4"/>
  <c r="AD229" i="4"/>
  <c r="AB230" i="4"/>
  <c r="Z231" i="4"/>
  <c r="AH101" i="4"/>
  <c r="AC132" i="4"/>
  <c r="Z145" i="4"/>
  <c r="AA149" i="4"/>
  <c r="Z153" i="4"/>
  <c r="AB160" i="4"/>
  <c r="AD167" i="4"/>
  <c r="X174" i="4"/>
  <c r="Z175" i="4"/>
  <c r="X176" i="4"/>
  <c r="AE178" i="4"/>
  <c r="Z179" i="4"/>
  <c r="AH180" i="4"/>
  <c r="AB181" i="4"/>
  <c r="W182" i="4"/>
  <c r="AC183" i="4"/>
  <c r="AD184" i="4"/>
  <c r="AD185" i="4"/>
  <c r="AD186" i="4"/>
  <c r="AD187" i="4"/>
  <c r="AE188" i="4"/>
  <c r="AE189" i="4"/>
  <c r="AE190" i="4"/>
  <c r="AF191" i="4"/>
  <c r="W192" i="4"/>
  <c r="AF192" i="4"/>
  <c r="W193" i="4"/>
  <c r="AE193" i="4"/>
  <c r="AC194" i="4"/>
  <c r="AA195" i="4"/>
  <c r="Y196" i="4"/>
  <c r="AG196" i="4"/>
  <c r="W197" i="4"/>
  <c r="AE197" i="4"/>
  <c r="AC198" i="4"/>
  <c r="AA199" i="4"/>
  <c r="Y200" i="4"/>
  <c r="AG200" i="4"/>
  <c r="W201" i="4"/>
  <c r="AE201" i="4"/>
  <c r="AC202" i="4"/>
  <c r="AA203" i="4"/>
  <c r="Y204" i="4"/>
  <c r="AG204" i="4"/>
  <c r="W205" i="4"/>
  <c r="AE205" i="4"/>
  <c r="AC206" i="4"/>
  <c r="AA207" i="4"/>
  <c r="Y208" i="4"/>
  <c r="AG208" i="4"/>
  <c r="W209" i="4"/>
  <c r="AE209" i="4"/>
  <c r="AC210" i="4"/>
  <c r="AA211" i="4"/>
  <c r="Y212" i="4"/>
  <c r="AG212" i="4"/>
  <c r="W213" i="4"/>
  <c r="AE213" i="4"/>
  <c r="Y134" i="4"/>
  <c r="AE140" i="4"/>
  <c r="AH153" i="4"/>
  <c r="Z157" i="4"/>
  <c r="AB164" i="4"/>
  <c r="AD171" i="4"/>
  <c r="X173" i="4"/>
  <c r="AB174" i="4"/>
  <c r="AB175" i="4"/>
  <c r="Z176" i="4"/>
  <c r="X177" i="4"/>
  <c r="AF178" i="4"/>
  <c r="AB179" i="4"/>
  <c r="AD181" i="4"/>
  <c r="X182" i="4"/>
  <c r="AD183" i="4"/>
  <c r="AE184" i="4"/>
  <c r="AE185" i="4"/>
  <c r="AE186" i="4"/>
  <c r="AF187" i="4"/>
  <c r="W188" i="4"/>
  <c r="AF188" i="4"/>
  <c r="W189" i="4"/>
  <c r="AF189" i="4"/>
  <c r="W190" i="4"/>
  <c r="AF190" i="4"/>
  <c r="X191" i="4"/>
  <c r="AG191" i="4"/>
  <c r="X192" i="4"/>
  <c r="AG192" i="4"/>
  <c r="X193" i="4"/>
  <c r="AF193" i="4"/>
  <c r="AD194" i="4"/>
  <c r="AB195" i="4"/>
  <c r="Z196" i="4"/>
  <c r="AH196" i="4"/>
  <c r="X197" i="4"/>
  <c r="AF197" i="4"/>
  <c r="AD198" i="4"/>
  <c r="AB199" i="4"/>
  <c r="Z200" i="4"/>
  <c r="AH200" i="4"/>
  <c r="X201" i="4"/>
  <c r="AF201" i="4"/>
  <c r="AD202" i="4"/>
  <c r="AB203" i="4"/>
  <c r="Z204" i="4"/>
  <c r="AH204" i="4"/>
  <c r="X205" i="4"/>
  <c r="AF205" i="4"/>
  <c r="AD206" i="4"/>
  <c r="AB207" i="4"/>
  <c r="Z208" i="4"/>
  <c r="AH208" i="4"/>
  <c r="X209" i="4"/>
  <c r="AF209" i="4"/>
  <c r="AD210" i="4"/>
  <c r="AB211" i="4"/>
  <c r="Z212" i="4"/>
  <c r="AH212" i="4"/>
  <c r="X213" i="4"/>
  <c r="AF213" i="4"/>
  <c r="AD214" i="4"/>
  <c r="AB215" i="4"/>
  <c r="Z216" i="4"/>
  <c r="AH216" i="4"/>
  <c r="X217" i="4"/>
  <c r="AF217" i="4"/>
  <c r="AD218" i="4"/>
  <c r="AB219" i="4"/>
  <c r="Z220" i="4"/>
  <c r="AH220" i="4"/>
  <c r="Y135" i="4"/>
  <c r="Z141" i="4"/>
  <c r="AA146" i="4"/>
  <c r="AB150" i="4"/>
  <c r="X154" i="4"/>
  <c r="AH157" i="4"/>
  <c r="Z161" i="4"/>
  <c r="AB168" i="4"/>
  <c r="Z173" i="4"/>
  <c r="AD174" i="4"/>
  <c r="AD175" i="4"/>
  <c r="AB176" i="4"/>
  <c r="Z177" i="4"/>
  <c r="AH178" i="4"/>
  <c r="AC179" i="4"/>
  <c r="X180" i="4"/>
  <c r="AF181" i="4"/>
  <c r="Z182" i="4"/>
  <c r="AF183" i="4"/>
  <c r="W184" i="4"/>
  <c r="AF184" i="4"/>
  <c r="W185" i="4"/>
  <c r="AF185" i="4"/>
  <c r="W186" i="4"/>
  <c r="AF186" i="4"/>
  <c r="X187" i="4"/>
  <c r="AG187" i="4"/>
  <c r="X188" i="4"/>
  <c r="AG188" i="4"/>
  <c r="X189" i="4"/>
  <c r="AG189" i="4"/>
  <c r="X190" i="4"/>
  <c r="AH190" i="4"/>
  <c r="Y191" i="4"/>
  <c r="AH191" i="4"/>
  <c r="Y192" i="4"/>
  <c r="AH192" i="4"/>
  <c r="Y193" i="4"/>
  <c r="AG193" i="4"/>
  <c r="W194" i="4"/>
  <c r="AE194" i="4"/>
  <c r="AC195" i="4"/>
  <c r="AA196" i="4"/>
  <c r="Y197" i="4"/>
  <c r="AG197" i="4"/>
  <c r="W198" i="4"/>
  <c r="AE198" i="4"/>
  <c r="AC199" i="4"/>
  <c r="AA200" i="4"/>
  <c r="Y201" i="4"/>
  <c r="AG201" i="4"/>
  <c r="W202" i="4"/>
  <c r="AE202" i="4"/>
  <c r="AC203" i="4"/>
  <c r="AA204" i="4"/>
  <c r="Y205" i="4"/>
  <c r="AG205" i="4"/>
  <c r="W206" i="4"/>
  <c r="AE206" i="4"/>
  <c r="AC207" i="4"/>
  <c r="AA208" i="4"/>
  <c r="Y209" i="4"/>
  <c r="AG209" i="4"/>
  <c r="W210" i="4"/>
  <c r="AE210" i="4"/>
  <c r="AC211" i="4"/>
  <c r="AG114" i="4"/>
  <c r="W136" i="4"/>
  <c r="AF154" i="4"/>
  <c r="X158" i="4"/>
  <c r="AH161" i="4"/>
  <c r="Z165" i="4"/>
  <c r="X172" i="4"/>
  <c r="AD173" i="4"/>
  <c r="AF174" i="4"/>
  <c r="AF175" i="4"/>
  <c r="AD176" i="4"/>
  <c r="AB177" i="4"/>
  <c r="W178" i="4"/>
  <c r="AD179" i="4"/>
  <c r="Z180" i="4"/>
  <c r="AG181" i="4"/>
  <c r="AB182" i="4"/>
  <c r="AG183" i="4"/>
  <c r="X184" i="4"/>
  <c r="AG184" i="4"/>
  <c r="X185" i="4"/>
  <c r="AG185" i="4"/>
  <c r="X186" i="4"/>
  <c r="AH186" i="4"/>
  <c r="Y187" i="4"/>
  <c r="AH187" i="4"/>
  <c r="Y188" i="4"/>
  <c r="AH188" i="4"/>
  <c r="Y189" i="4"/>
  <c r="AH189" i="4"/>
  <c r="Z190" i="4"/>
  <c r="Z191" i="4"/>
  <c r="Z192" i="4"/>
  <c r="Z193" i="4"/>
  <c r="AH193" i="4"/>
  <c r="X194" i="4"/>
  <c r="AF194" i="4"/>
  <c r="AD195" i="4"/>
  <c r="AB196" i="4"/>
  <c r="Z197" i="4"/>
  <c r="AH197" i="4"/>
  <c r="X198" i="4"/>
  <c r="AF198" i="4"/>
  <c r="AD199" i="4"/>
  <c r="AB200" i="4"/>
  <c r="Z201" i="4"/>
  <c r="AH201" i="4"/>
  <c r="X202" i="4"/>
  <c r="AF202" i="4"/>
  <c r="AD203" i="4"/>
  <c r="AB204" i="4"/>
  <c r="Z205" i="4"/>
  <c r="AH205" i="4"/>
  <c r="X206" i="4"/>
  <c r="AF206" i="4"/>
  <c r="AD207" i="4"/>
  <c r="AB208" i="4"/>
  <c r="Z209" i="4"/>
  <c r="AH209" i="4"/>
  <c r="X210" i="4"/>
  <c r="AF210" i="4"/>
  <c r="AD211" i="4"/>
  <c r="AB212" i="4"/>
  <c r="Z213" i="4"/>
  <c r="AH213" i="4"/>
  <c r="X214" i="4"/>
  <c r="AF214" i="4"/>
  <c r="AD215" i="4"/>
  <c r="AB216" i="4"/>
  <c r="Z217" i="4"/>
  <c r="AH217" i="4"/>
  <c r="X218" i="4"/>
  <c r="AF218" i="4"/>
  <c r="AD219" i="4"/>
  <c r="AB220" i="4"/>
  <c r="Z221" i="4"/>
  <c r="AH221" i="4"/>
  <c r="X222" i="4"/>
  <c r="AF222" i="4"/>
  <c r="Y118" i="4"/>
  <c r="AG142" i="4"/>
  <c r="AA147" i="4"/>
  <c r="AB151" i="4"/>
  <c r="AF158" i="4"/>
  <c r="X162" i="4"/>
  <c r="AH165" i="4"/>
  <c r="Z169" i="4"/>
  <c r="AB172" i="4"/>
  <c r="AF173" i="4"/>
  <c r="AH175" i="4"/>
  <c r="AF176" i="4"/>
  <c r="AD177" i="4"/>
  <c r="X178" i="4"/>
  <c r="AF179" i="4"/>
  <c r="AA180" i="4"/>
  <c r="AH181" i="4"/>
  <c r="AD182" i="4"/>
  <c r="X183" i="4"/>
  <c r="AH183" i="4"/>
  <c r="Y184" i="4"/>
  <c r="AH184" i="4"/>
  <c r="Y185" i="4"/>
  <c r="AH185" i="4"/>
  <c r="Z186" i="4"/>
  <c r="Z187" i="4"/>
  <c r="Z188" i="4"/>
  <c r="Z189" i="4"/>
  <c r="AA190" i="4"/>
  <c r="AA191" i="4"/>
  <c r="AA192" i="4"/>
  <c r="AA193" i="4"/>
  <c r="Y194" i="4"/>
  <c r="AG194" i="4"/>
  <c r="W195" i="4"/>
  <c r="AE195" i="4"/>
  <c r="AC196" i="4"/>
  <c r="AA197" i="4"/>
  <c r="Y198" i="4"/>
  <c r="AG198" i="4"/>
  <c r="W199" i="4"/>
  <c r="AE199" i="4"/>
  <c r="AC200" i="4"/>
  <c r="AA201" i="4"/>
  <c r="Y202" i="4"/>
  <c r="AG202" i="4"/>
  <c r="W203" i="4"/>
  <c r="AE203" i="4"/>
  <c r="AC204" i="4"/>
  <c r="AA205" i="4"/>
  <c r="Y206" i="4"/>
  <c r="AG206" i="4"/>
  <c r="W207" i="4"/>
  <c r="AE207" i="4"/>
  <c r="AC208" i="4"/>
  <c r="AH137" i="4"/>
  <c r="AC143" i="4"/>
  <c r="AD155" i="4"/>
  <c r="AF162" i="4"/>
  <c r="X166" i="4"/>
  <c r="AH169" i="4"/>
  <c r="AF172" i="4"/>
  <c r="AH173" i="4"/>
  <c r="AH176" i="4"/>
  <c r="AF177" i="4"/>
  <c r="Z178" i="4"/>
  <c r="AH179" i="4"/>
  <c r="AB180" i="4"/>
  <c r="X181" i="4"/>
  <c r="AE182" i="4"/>
  <c r="Z183" i="4"/>
  <c r="Z184" i="4"/>
  <c r="Z185" i="4"/>
  <c r="AA186" i="4"/>
  <c r="AA187" i="4"/>
  <c r="AA188" i="4"/>
  <c r="AB189" i="4"/>
  <c r="AB190" i="4"/>
  <c r="AB191" i="4"/>
  <c r="AB192" i="4"/>
  <c r="AB193" i="4"/>
  <c r="Z194" i="4"/>
  <c r="AH194" i="4"/>
  <c r="X195" i="4"/>
  <c r="AF195" i="4"/>
  <c r="AD196" i="4"/>
  <c r="AB197" i="4"/>
  <c r="Z198" i="4"/>
  <c r="AH198" i="4"/>
  <c r="X199" i="4"/>
  <c r="AF199" i="4"/>
  <c r="AD200" i="4"/>
  <c r="AB201" i="4"/>
  <c r="Z202" i="4"/>
  <c r="AH202" i="4"/>
  <c r="X203" i="4"/>
  <c r="AF203" i="4"/>
  <c r="AD204" i="4"/>
  <c r="AB205" i="4"/>
  <c r="Z206" i="4"/>
  <c r="AH206" i="4"/>
  <c r="X207" i="4"/>
  <c r="AF207" i="4"/>
  <c r="AD208" i="4"/>
  <c r="AB209" i="4"/>
  <c r="Z210" i="4"/>
  <c r="AH210" i="4"/>
  <c r="X211" i="4"/>
  <c r="AF211" i="4"/>
  <c r="AD212" i="4"/>
  <c r="AB213" i="4"/>
  <c r="Z214" i="4"/>
  <c r="AH214" i="4"/>
  <c r="AA125" i="4"/>
  <c r="AF166" i="4"/>
  <c r="AB178" i="4"/>
  <c r="AG195" i="4"/>
  <c r="Y199" i="4"/>
  <c r="AA206" i="4"/>
  <c r="AA209" i="4"/>
  <c r="W211" i="4"/>
  <c r="AC212" i="4"/>
  <c r="AG213" i="4"/>
  <c r="AE214" i="4"/>
  <c r="AA215" i="4"/>
  <c r="AC217" i="4"/>
  <c r="Y218" i="4"/>
  <c r="AF219" i="4"/>
  <c r="AA220" i="4"/>
  <c r="AF221" i="4"/>
  <c r="Y222" i="4"/>
  <c r="AB223" i="4"/>
  <c r="AB224" i="4"/>
  <c r="AB225" i="4"/>
  <c r="AC226" i="4"/>
  <c r="AC227" i="4"/>
  <c r="AC228" i="4"/>
  <c r="AC229" i="4"/>
  <c r="AD230" i="4"/>
  <c r="AD231" i="4"/>
  <c r="AB232" i="4"/>
  <c r="Z233" i="4"/>
  <c r="AH233" i="4"/>
  <c r="X234" i="4"/>
  <c r="AF234" i="4"/>
  <c r="AD235" i="4"/>
  <c r="AB236" i="4"/>
  <c r="Z237" i="4"/>
  <c r="AH237" i="4"/>
  <c r="X238" i="4"/>
  <c r="AF238" i="4"/>
  <c r="AD239" i="4"/>
  <c r="AB240" i="4"/>
  <c r="Z241" i="4"/>
  <c r="AH241" i="4"/>
  <c r="X242" i="4"/>
  <c r="AF242" i="4"/>
  <c r="AD243" i="4"/>
  <c r="AB244" i="4"/>
  <c r="Z245" i="4"/>
  <c r="AH245" i="4"/>
  <c r="X246" i="4"/>
  <c r="AF246" i="4"/>
  <c r="AD247" i="4"/>
  <c r="AB248" i="4"/>
  <c r="Z249" i="4"/>
  <c r="AH249" i="4"/>
  <c r="X250" i="4"/>
  <c r="AF250" i="4"/>
  <c r="AD251" i="4"/>
  <c r="AB252" i="4"/>
  <c r="Z253" i="4"/>
  <c r="AH253" i="4"/>
  <c r="X254" i="4"/>
  <c r="AF254" i="4"/>
  <c r="AD255" i="4"/>
  <c r="AB256" i="4"/>
  <c r="Z257" i="4"/>
  <c r="AH257" i="4"/>
  <c r="X258" i="4"/>
  <c r="AF258" i="4"/>
  <c r="AD259" i="4"/>
  <c r="AB260" i="4"/>
  <c r="Z261" i="4"/>
  <c r="AH261" i="4"/>
  <c r="X262" i="4"/>
  <c r="AF262" i="4"/>
  <c r="AD263" i="4"/>
  <c r="AB264" i="4"/>
  <c r="Z265" i="4"/>
  <c r="AH265" i="4"/>
  <c r="X266" i="4"/>
  <c r="AF266" i="4"/>
  <c r="AD267" i="4"/>
  <c r="AB268" i="4"/>
  <c r="Z269" i="4"/>
  <c r="AH269" i="4"/>
  <c r="X270" i="4"/>
  <c r="AF270" i="4"/>
  <c r="AD271" i="4"/>
  <c r="AB272" i="4"/>
  <c r="Z273" i="4"/>
  <c r="AH273" i="4"/>
  <c r="X274" i="4"/>
  <c r="AF274" i="4"/>
  <c r="AD275" i="4"/>
  <c r="AB276" i="4"/>
  <c r="Z277" i="4"/>
  <c r="AH277" i="4"/>
  <c r="X278" i="4"/>
  <c r="AF278" i="4"/>
  <c r="AD279" i="4"/>
  <c r="AB280" i="4"/>
  <c r="Z281" i="4"/>
  <c r="AH281" i="4"/>
  <c r="X282" i="4"/>
  <c r="AF282" i="4"/>
  <c r="AD283" i="4"/>
  <c r="AB284" i="4"/>
  <c r="Z285" i="4"/>
  <c r="AH285" i="4"/>
  <c r="X286" i="4"/>
  <c r="AF286" i="4"/>
  <c r="AD287" i="4"/>
  <c r="AC138" i="4"/>
  <c r="X170" i="4"/>
  <c r="AA184" i="4"/>
  <c r="AB188" i="4"/>
  <c r="AD192" i="4"/>
  <c r="W196" i="4"/>
  <c r="AG199" i="4"/>
  <c r="Y203" i="4"/>
  <c r="AC209" i="4"/>
  <c r="Y211" i="4"/>
  <c r="AE212" i="4"/>
  <c r="AG214" i="4"/>
  <c r="AC215" i="4"/>
  <c r="W216" i="4"/>
  <c r="AE217" i="4"/>
  <c r="Z218" i="4"/>
  <c r="AG219" i="4"/>
  <c r="AC220" i="4"/>
  <c r="W221" i="4"/>
  <c r="AG221" i="4"/>
  <c r="Z222" i="4"/>
  <c r="AC223" i="4"/>
  <c r="AC224" i="4"/>
  <c r="AC225" i="4"/>
  <c r="AD226" i="4"/>
  <c r="AD227" i="4"/>
  <c r="AD228" i="4"/>
  <c r="AE229" i="4"/>
  <c r="AE230" i="4"/>
  <c r="AE231" i="4"/>
  <c r="AC232" i="4"/>
  <c r="AA233" i="4"/>
  <c r="Y234" i="4"/>
  <c r="AG234" i="4"/>
  <c r="W235" i="4"/>
  <c r="AE235" i="4"/>
  <c r="AC236" i="4"/>
  <c r="AA237" i="4"/>
  <c r="Y238" i="4"/>
  <c r="AG238" i="4"/>
  <c r="W239" i="4"/>
  <c r="AE239" i="4"/>
  <c r="AC240" i="4"/>
  <c r="AA241" i="4"/>
  <c r="Y242" i="4"/>
  <c r="AG242" i="4"/>
  <c r="W243" i="4"/>
  <c r="AE243" i="4"/>
  <c r="AC244" i="4"/>
  <c r="AA245" i="4"/>
  <c r="Y246" i="4"/>
  <c r="AG246" i="4"/>
  <c r="W247" i="4"/>
  <c r="AE247" i="4"/>
  <c r="AC248" i="4"/>
  <c r="AA249" i="4"/>
  <c r="Y250" i="4"/>
  <c r="AG250" i="4"/>
  <c r="W251" i="4"/>
  <c r="AE251" i="4"/>
  <c r="AC252" i="4"/>
  <c r="AA253" i="4"/>
  <c r="Y254" i="4"/>
  <c r="AG254" i="4"/>
  <c r="W255" i="4"/>
  <c r="AE255" i="4"/>
  <c r="AC256" i="4"/>
  <c r="AA257" i="4"/>
  <c r="Y258" i="4"/>
  <c r="AG258" i="4"/>
  <c r="W259" i="4"/>
  <c r="AE259" i="4"/>
  <c r="AC260" i="4"/>
  <c r="AA261" i="4"/>
  <c r="Y262" i="4"/>
  <c r="AG262" i="4"/>
  <c r="W263" i="4"/>
  <c r="AE263" i="4"/>
  <c r="AC264" i="4"/>
  <c r="AA265" i="4"/>
  <c r="Y266" i="4"/>
  <c r="AG266" i="4"/>
  <c r="W267" i="4"/>
  <c r="W144" i="4"/>
  <c r="AH172" i="4"/>
  <c r="AE196" i="4"/>
  <c r="W200" i="4"/>
  <c r="AG203" i="4"/>
  <c r="Y207" i="4"/>
  <c r="AE211" i="4"/>
  <c r="AE215" i="4"/>
  <c r="Y216" i="4"/>
  <c r="AG217" i="4"/>
  <c r="AA218" i="4"/>
  <c r="W219" i="4"/>
  <c r="AD220" i="4"/>
  <c r="X221" i="4"/>
  <c r="AA222" i="4"/>
  <c r="AD223" i="4"/>
  <c r="AD224" i="4"/>
  <c r="AE225" i="4"/>
  <c r="AE226" i="4"/>
  <c r="AE227" i="4"/>
  <c r="AE228" i="4"/>
  <c r="W229" i="4"/>
  <c r="AF229" i="4"/>
  <c r="W230" i="4"/>
  <c r="AF230" i="4"/>
  <c r="W231" i="4"/>
  <c r="AF231" i="4"/>
  <c r="AD232" i="4"/>
  <c r="AB233" i="4"/>
  <c r="Z234" i="4"/>
  <c r="AH234" i="4"/>
  <c r="X235" i="4"/>
  <c r="AF235" i="4"/>
  <c r="AD236" i="4"/>
  <c r="AB237" i="4"/>
  <c r="Z238" i="4"/>
  <c r="AH238" i="4"/>
  <c r="X239" i="4"/>
  <c r="AF239" i="4"/>
  <c r="AD240" i="4"/>
  <c r="AB241" i="4"/>
  <c r="Z242" i="4"/>
  <c r="AH242" i="4"/>
  <c r="X243" i="4"/>
  <c r="AF243" i="4"/>
  <c r="AD244" i="4"/>
  <c r="AB245" i="4"/>
  <c r="Z246" i="4"/>
  <c r="AH246" i="4"/>
  <c r="X247" i="4"/>
  <c r="AF247" i="4"/>
  <c r="AD248" i="4"/>
  <c r="AB249" i="4"/>
  <c r="Z250" i="4"/>
  <c r="AH250" i="4"/>
  <c r="X251" i="4"/>
  <c r="AF251" i="4"/>
  <c r="AD252" i="4"/>
  <c r="AB253" i="4"/>
  <c r="Z254" i="4"/>
  <c r="AH254" i="4"/>
  <c r="X255" i="4"/>
  <c r="AF255" i="4"/>
  <c r="AD256" i="4"/>
  <c r="AB257" i="4"/>
  <c r="Z258" i="4"/>
  <c r="AH258" i="4"/>
  <c r="X259" i="4"/>
  <c r="AF259" i="4"/>
  <c r="AD260" i="4"/>
  <c r="AB261" i="4"/>
  <c r="Z262" i="4"/>
  <c r="AH262" i="4"/>
  <c r="X263" i="4"/>
  <c r="AF263" i="4"/>
  <c r="AD264" i="4"/>
  <c r="AB265" i="4"/>
  <c r="Z266" i="4"/>
  <c r="AH266" i="4"/>
  <c r="X267" i="4"/>
  <c r="AF267" i="4"/>
  <c r="AD268" i="4"/>
  <c r="AB269" i="4"/>
  <c r="Z270" i="4"/>
  <c r="AH270" i="4"/>
  <c r="X271" i="4"/>
  <c r="AF271" i="4"/>
  <c r="AD272" i="4"/>
  <c r="AB273" i="4"/>
  <c r="Z274" i="4"/>
  <c r="AH274" i="4"/>
  <c r="X275" i="4"/>
  <c r="AF275" i="4"/>
  <c r="AD276" i="4"/>
  <c r="AA148" i="4"/>
  <c r="AD180" i="4"/>
  <c r="AB185" i="4"/>
  <c r="AC189" i="4"/>
  <c r="AC193" i="4"/>
  <c r="AE200" i="4"/>
  <c r="W204" i="4"/>
  <c r="AG207" i="4"/>
  <c r="AG211" i="4"/>
  <c r="AF215" i="4"/>
  <c r="AA216" i="4"/>
  <c r="AC218" i="4"/>
  <c r="X219" i="4"/>
  <c r="AE220" i="4"/>
  <c r="Y221" i="4"/>
  <c r="AC222" i="4"/>
  <c r="AE223" i="4"/>
  <c r="AE224" i="4"/>
  <c r="W225" i="4"/>
  <c r="AF225" i="4"/>
  <c r="W226" i="4"/>
  <c r="AF226" i="4"/>
  <c r="W227" i="4"/>
  <c r="AF227" i="4"/>
  <c r="W228" i="4"/>
  <c r="AG228" i="4"/>
  <c r="X229" i="4"/>
  <c r="AG229" i="4"/>
  <c r="X230" i="4"/>
  <c r="AG230" i="4"/>
  <c r="X231" i="4"/>
  <c r="AG231" i="4"/>
  <c r="W232" i="4"/>
  <c r="AE232" i="4"/>
  <c r="AC233" i="4"/>
  <c r="AA234" i="4"/>
  <c r="Y235" i="4"/>
  <c r="AG235" i="4"/>
  <c r="W236" i="4"/>
  <c r="AE236" i="4"/>
  <c r="AC237" i="4"/>
  <c r="AA238" i="4"/>
  <c r="Y239" i="4"/>
  <c r="AG239" i="4"/>
  <c r="W240" i="4"/>
  <c r="AE240" i="4"/>
  <c r="AC241" i="4"/>
  <c r="AA242" i="4"/>
  <c r="Y243" i="4"/>
  <c r="AG243" i="4"/>
  <c r="W244" i="4"/>
  <c r="AE244" i="4"/>
  <c r="AC245" i="4"/>
  <c r="AA246" i="4"/>
  <c r="Y247" i="4"/>
  <c r="AG247" i="4"/>
  <c r="W248" i="4"/>
  <c r="AE248" i="4"/>
  <c r="AC249" i="4"/>
  <c r="AA250" i="4"/>
  <c r="Y251" i="4"/>
  <c r="AG251" i="4"/>
  <c r="W252" i="4"/>
  <c r="AE252" i="4"/>
  <c r="AC253" i="4"/>
  <c r="AA254" i="4"/>
  <c r="Y255" i="4"/>
  <c r="AG255" i="4"/>
  <c r="W256" i="4"/>
  <c r="AE256" i="4"/>
  <c r="AC257" i="4"/>
  <c r="AA258" i="4"/>
  <c r="Y259" i="4"/>
  <c r="AG259" i="4"/>
  <c r="W260" i="4"/>
  <c r="AE260" i="4"/>
  <c r="AC261" i="4"/>
  <c r="AA262" i="4"/>
  <c r="Y263" i="4"/>
  <c r="AG263" i="4"/>
  <c r="W264" i="4"/>
  <c r="AE264" i="4"/>
  <c r="AB152" i="4"/>
  <c r="Y181" i="4"/>
  <c r="AC197" i="4"/>
  <c r="AE204" i="4"/>
  <c r="W208" i="4"/>
  <c r="Y210" i="4"/>
  <c r="W214" i="4"/>
  <c r="AG215" i="4"/>
  <c r="AC216" i="4"/>
  <c r="W217" i="4"/>
  <c r="AE218" i="4"/>
  <c r="Y219" i="4"/>
  <c r="AG220" i="4"/>
  <c r="AA221" i="4"/>
  <c r="AD222" i="4"/>
  <c r="W223" i="4"/>
  <c r="AF223" i="4"/>
  <c r="W224" i="4"/>
  <c r="AG224" i="4"/>
  <c r="X225" i="4"/>
  <c r="AG225" i="4"/>
  <c r="X226" i="4"/>
  <c r="AG226" i="4"/>
  <c r="X227" i="4"/>
  <c r="AG227" i="4"/>
  <c r="Y228" i="4"/>
  <c r="AH228" i="4"/>
  <c r="Y229" i="4"/>
  <c r="AH229" i="4"/>
  <c r="Y230" i="4"/>
  <c r="AH230" i="4"/>
  <c r="Y231" i="4"/>
  <c r="AH231" i="4"/>
  <c r="X232" i="4"/>
  <c r="AF232" i="4"/>
  <c r="AD233" i="4"/>
  <c r="AB234" i="4"/>
  <c r="Z235" i="4"/>
  <c r="AH235" i="4"/>
  <c r="X236" i="4"/>
  <c r="AF236" i="4"/>
  <c r="AD237" i="4"/>
  <c r="AB238" i="4"/>
  <c r="Z239" i="4"/>
  <c r="AH239" i="4"/>
  <c r="X240" i="4"/>
  <c r="AF240" i="4"/>
  <c r="AD241" i="4"/>
  <c r="AB242" i="4"/>
  <c r="Z243" i="4"/>
  <c r="AH243" i="4"/>
  <c r="X244" i="4"/>
  <c r="AF244" i="4"/>
  <c r="AD245" i="4"/>
  <c r="AB246" i="4"/>
  <c r="Z247" i="4"/>
  <c r="AH247" i="4"/>
  <c r="X248" i="4"/>
  <c r="AF248" i="4"/>
  <c r="AD249" i="4"/>
  <c r="AB250" i="4"/>
  <c r="Z251" i="4"/>
  <c r="AH251" i="4"/>
  <c r="X252" i="4"/>
  <c r="AF252" i="4"/>
  <c r="AD253" i="4"/>
  <c r="AB254" i="4"/>
  <c r="Z255" i="4"/>
  <c r="AH255" i="4"/>
  <c r="X256" i="4"/>
  <c r="AF256" i="4"/>
  <c r="AD257" i="4"/>
  <c r="AB258" i="4"/>
  <c r="Z259" i="4"/>
  <c r="AH259" i="4"/>
  <c r="X260" i="4"/>
  <c r="AF260" i="4"/>
  <c r="AD261" i="4"/>
  <c r="AB262" i="4"/>
  <c r="Z263" i="4"/>
  <c r="AH263" i="4"/>
  <c r="X264" i="4"/>
  <c r="AF264" i="4"/>
  <c r="AD265" i="4"/>
  <c r="AB266" i="4"/>
  <c r="Z267" i="4"/>
  <c r="AH267" i="4"/>
  <c r="X268" i="4"/>
  <c r="AF268" i="4"/>
  <c r="AD269" i="4"/>
  <c r="AB270" i="4"/>
  <c r="Z271" i="4"/>
  <c r="AH271" i="4"/>
  <c r="X272" i="4"/>
  <c r="AF272" i="4"/>
  <c r="AD273" i="4"/>
  <c r="AB274" i="4"/>
  <c r="Z275" i="4"/>
  <c r="AH275" i="4"/>
  <c r="X276" i="4"/>
  <c r="AF276" i="4"/>
  <c r="AD277" i="4"/>
  <c r="AB278" i="4"/>
  <c r="AB186" i="4"/>
  <c r="AC190" i="4"/>
  <c r="AA194" i="4"/>
  <c r="AC201" i="4"/>
  <c r="AE208" i="4"/>
  <c r="AA210" i="4"/>
  <c r="Y213" i="4"/>
  <c r="Y214" i="4"/>
  <c r="W215" i="4"/>
  <c r="AD216" i="4"/>
  <c r="Y217" i="4"/>
  <c r="AG218" i="4"/>
  <c r="AA219" i="4"/>
  <c r="AB221" i="4"/>
  <c r="AE222" i="4"/>
  <c r="X223" i="4"/>
  <c r="AG223" i="4"/>
  <c r="Y224" i="4"/>
  <c r="AH224" i="4"/>
  <c r="Y225" i="4"/>
  <c r="AH225" i="4"/>
  <c r="Y226" i="4"/>
  <c r="AH226" i="4"/>
  <c r="Y227" i="4"/>
  <c r="Z228" i="4"/>
  <c r="Z229" i="4"/>
  <c r="Z230" i="4"/>
  <c r="AA231" i="4"/>
  <c r="Y232" i="4"/>
  <c r="AG232" i="4"/>
  <c r="W233" i="4"/>
  <c r="AE233" i="4"/>
  <c r="AC234" i="4"/>
  <c r="AA235" i="4"/>
  <c r="Y236" i="4"/>
  <c r="AG236" i="4"/>
  <c r="W237" i="4"/>
  <c r="AE237" i="4"/>
  <c r="AC238" i="4"/>
  <c r="AA239" i="4"/>
  <c r="Y240" i="4"/>
  <c r="AG240" i="4"/>
  <c r="W241" i="4"/>
  <c r="AE241" i="4"/>
  <c r="AC242" i="4"/>
  <c r="AA243" i="4"/>
  <c r="Y244" i="4"/>
  <c r="AG244" i="4"/>
  <c r="W245" i="4"/>
  <c r="AE245" i="4"/>
  <c r="AC246" i="4"/>
  <c r="AA247" i="4"/>
  <c r="Y248" i="4"/>
  <c r="AG248" i="4"/>
  <c r="W249" i="4"/>
  <c r="AE249" i="4"/>
  <c r="AC250" i="4"/>
  <c r="AA251" i="4"/>
  <c r="Y252" i="4"/>
  <c r="AG252" i="4"/>
  <c r="W253" i="4"/>
  <c r="AE253" i="4"/>
  <c r="AC254" i="4"/>
  <c r="AA255" i="4"/>
  <c r="Y256" i="4"/>
  <c r="AG256" i="4"/>
  <c r="W257" i="4"/>
  <c r="AE257" i="4"/>
  <c r="AC258" i="4"/>
  <c r="AA259" i="4"/>
  <c r="Y260" i="4"/>
  <c r="AG260" i="4"/>
  <c r="W261" i="4"/>
  <c r="AE261" i="4"/>
  <c r="AC262" i="4"/>
  <c r="AA263" i="4"/>
  <c r="Y264" i="4"/>
  <c r="AG264" i="4"/>
  <c r="W265" i="4"/>
  <c r="AE265" i="4"/>
  <c r="AC266" i="4"/>
  <c r="AA267" i="4"/>
  <c r="Y268" i="4"/>
  <c r="AG268" i="4"/>
  <c r="W269" i="4"/>
  <c r="AE269" i="4"/>
  <c r="AD159" i="4"/>
  <c r="AF182" i="4"/>
  <c r="AA198" i="4"/>
  <c r="AC205" i="4"/>
  <c r="AG210" i="4"/>
  <c r="W212" i="4"/>
  <c r="AA213" i="4"/>
  <c r="AA214" i="4"/>
  <c r="X215" i="4"/>
  <c r="AE216" i="4"/>
  <c r="AA217" i="4"/>
  <c r="AH218" i="4"/>
  <c r="AC219" i="4"/>
  <c r="W220" i="4"/>
  <c r="AC221" i="4"/>
  <c r="AG222" i="4"/>
  <c r="Y223" i="4"/>
  <c r="Z224" i="4"/>
  <c r="Z225" i="4"/>
  <c r="Z226" i="4"/>
  <c r="AA227" i="4"/>
  <c r="AA228" i="4"/>
  <c r="AA229" i="4"/>
  <c r="AA230" i="4"/>
  <c r="AB231" i="4"/>
  <c r="Z232" i="4"/>
  <c r="AH232" i="4"/>
  <c r="X233" i="4"/>
  <c r="AF233" i="4"/>
  <c r="AD234" i="4"/>
  <c r="AB235" i="4"/>
  <c r="Z236" i="4"/>
  <c r="AH236" i="4"/>
  <c r="X237" i="4"/>
  <c r="AF237" i="4"/>
  <c r="AD238" i="4"/>
  <c r="AB239" i="4"/>
  <c r="Z240" i="4"/>
  <c r="AH240" i="4"/>
  <c r="X241" i="4"/>
  <c r="AF241" i="4"/>
  <c r="AD242" i="4"/>
  <c r="AB243" i="4"/>
  <c r="Z244" i="4"/>
  <c r="AH244" i="4"/>
  <c r="X245" i="4"/>
  <c r="AF245" i="4"/>
  <c r="AD246" i="4"/>
  <c r="AB247" i="4"/>
  <c r="Z248" i="4"/>
  <c r="AH248" i="4"/>
  <c r="X249" i="4"/>
  <c r="AF249" i="4"/>
  <c r="AD250" i="4"/>
  <c r="AB251" i="4"/>
  <c r="Z252" i="4"/>
  <c r="AH252" i="4"/>
  <c r="X253" i="4"/>
  <c r="AF253" i="4"/>
  <c r="AD254" i="4"/>
  <c r="AB255" i="4"/>
  <c r="Z256" i="4"/>
  <c r="AH256" i="4"/>
  <c r="X257" i="4"/>
  <c r="AF257" i="4"/>
  <c r="AD258" i="4"/>
  <c r="AB259" i="4"/>
  <c r="Z260" i="4"/>
  <c r="AH260" i="4"/>
  <c r="X261" i="4"/>
  <c r="AF261" i="4"/>
  <c r="AD262" i="4"/>
  <c r="AB263" i="4"/>
  <c r="Z264" i="4"/>
  <c r="AH264" i="4"/>
  <c r="X265" i="4"/>
  <c r="AF265" i="4"/>
  <c r="AD266" i="4"/>
  <c r="AB267" i="4"/>
  <c r="Z268" i="4"/>
  <c r="AH268" i="4"/>
  <c r="X269" i="4"/>
  <c r="AF269" i="4"/>
  <c r="AD270" i="4"/>
  <c r="AB271" i="4"/>
  <c r="AG216" i="4"/>
  <c r="W222" i="4"/>
  <c r="AA226" i="4"/>
  <c r="AC230" i="4"/>
  <c r="W234" i="4"/>
  <c r="AG237" i="4"/>
  <c r="Y241" i="4"/>
  <c r="AA248" i="4"/>
  <c r="AC255" i="4"/>
  <c r="AE262" i="4"/>
  <c r="AC265" i="4"/>
  <c r="Y267" i="4"/>
  <c r="AC268" i="4"/>
  <c r="AG269" i="4"/>
  <c r="AG270" i="4"/>
  <c r="AE271" i="4"/>
  <c r="AA272" i="4"/>
  <c r="W273" i="4"/>
  <c r="AD274" i="4"/>
  <c r="Y275" i="4"/>
  <c r="AG276" i="4"/>
  <c r="AA277" i="4"/>
  <c r="AD278" i="4"/>
  <c r="W279" i="4"/>
  <c r="AF279" i="4"/>
  <c r="W280" i="4"/>
  <c r="AF280" i="4"/>
  <c r="W281" i="4"/>
  <c r="AF281" i="4"/>
  <c r="W282" i="4"/>
  <c r="AG282" i="4"/>
  <c r="X283" i="4"/>
  <c r="AG283" i="4"/>
  <c r="X284" i="4"/>
  <c r="AG284" i="4"/>
  <c r="X285" i="4"/>
  <c r="AG285" i="4"/>
  <c r="Y286" i="4"/>
  <c r="AH286" i="4"/>
  <c r="Y287" i="4"/>
  <c r="AH287" i="4"/>
  <c r="X288" i="4"/>
  <c r="AF288" i="4"/>
  <c r="AD289" i="4"/>
  <c r="AB290" i="4"/>
  <c r="Z291" i="4"/>
  <c r="AH291" i="4"/>
  <c r="X292" i="4"/>
  <c r="AF292" i="4"/>
  <c r="AD293" i="4"/>
  <c r="AB294" i="4"/>
  <c r="Z295" i="4"/>
  <c r="AH295" i="4"/>
  <c r="X296" i="4"/>
  <c r="AF296" i="4"/>
  <c r="AD297" i="4"/>
  <c r="AB298" i="4"/>
  <c r="Z299" i="4"/>
  <c r="AH299" i="4"/>
  <c r="X300" i="4"/>
  <c r="AF300" i="4"/>
  <c r="AD301" i="4"/>
  <c r="AB302" i="4"/>
  <c r="Z303" i="4"/>
  <c r="AH303" i="4"/>
  <c r="X304" i="4"/>
  <c r="AF304" i="4"/>
  <c r="AD305" i="4"/>
  <c r="AB306" i="4"/>
  <c r="Z307" i="4"/>
  <c r="AH307" i="4"/>
  <c r="X308" i="4"/>
  <c r="AF308" i="4"/>
  <c r="AD309" i="4"/>
  <c r="AB310" i="4"/>
  <c r="Z311" i="4"/>
  <c r="AH311" i="4"/>
  <c r="X312" i="4"/>
  <c r="AF312" i="4"/>
  <c r="AD313" i="4"/>
  <c r="AB314" i="4"/>
  <c r="Z315" i="4"/>
  <c r="AH315" i="4"/>
  <c r="X316" i="4"/>
  <c r="AF316" i="4"/>
  <c r="AD317" i="4"/>
  <c r="AB318" i="4"/>
  <c r="Z319" i="4"/>
  <c r="AH319" i="4"/>
  <c r="X320" i="4"/>
  <c r="AF320" i="4"/>
  <c r="AD321" i="4"/>
  <c r="AB322" i="4"/>
  <c r="Z323" i="4"/>
  <c r="AH323" i="4"/>
  <c r="X324" i="4"/>
  <c r="AF324" i="4"/>
  <c r="AD325" i="4"/>
  <c r="AG177" i="4"/>
  <c r="AB217" i="4"/>
  <c r="AH222" i="4"/>
  <c r="AE234" i="4"/>
  <c r="W238" i="4"/>
  <c r="AG241" i="4"/>
  <c r="Y245" i="4"/>
  <c r="AA252" i="4"/>
  <c r="AC259" i="4"/>
  <c r="AG265" i="4"/>
  <c r="AC267" i="4"/>
  <c r="AE268" i="4"/>
  <c r="AG271" i="4"/>
  <c r="AC272" i="4"/>
  <c r="X273" i="4"/>
  <c r="AE274" i="4"/>
  <c r="AA275" i="4"/>
  <c r="AH276" i="4"/>
  <c r="AB277" i="4"/>
  <c r="AE278" i="4"/>
  <c r="X279" i="4"/>
  <c r="AG279" i="4"/>
  <c r="X280" i="4"/>
  <c r="AG280" i="4"/>
  <c r="X281" i="4"/>
  <c r="AG281" i="4"/>
  <c r="Y282" i="4"/>
  <c r="AH282" i="4"/>
  <c r="Y283" i="4"/>
  <c r="AH283" i="4"/>
  <c r="Y284" i="4"/>
  <c r="AH284" i="4"/>
  <c r="Y285" i="4"/>
  <c r="Z286" i="4"/>
  <c r="Z287" i="4"/>
  <c r="Y288" i="4"/>
  <c r="AG288" i="4"/>
  <c r="W289" i="4"/>
  <c r="AE289" i="4"/>
  <c r="AC290" i="4"/>
  <c r="AA291" i="4"/>
  <c r="Y292" i="4"/>
  <c r="AG292" i="4"/>
  <c r="W293" i="4"/>
  <c r="AE293" i="4"/>
  <c r="AC294" i="4"/>
  <c r="AA295" i="4"/>
  <c r="Y296" i="4"/>
  <c r="AG296" i="4"/>
  <c r="W297" i="4"/>
  <c r="AE297" i="4"/>
  <c r="AC298" i="4"/>
  <c r="AA299" i="4"/>
  <c r="Y300" i="4"/>
  <c r="AG300" i="4"/>
  <c r="W301" i="4"/>
  <c r="AE301" i="4"/>
  <c r="AC302" i="4"/>
  <c r="AA303" i="4"/>
  <c r="Y304" i="4"/>
  <c r="AG304" i="4"/>
  <c r="W305" i="4"/>
  <c r="AE305" i="4"/>
  <c r="AA183" i="4"/>
  <c r="W218" i="4"/>
  <c r="AA223" i="4"/>
  <c r="AB227" i="4"/>
  <c r="AC231" i="4"/>
  <c r="AE238" i="4"/>
  <c r="W242" i="4"/>
  <c r="AG245" i="4"/>
  <c r="Y249" i="4"/>
  <c r="AA256" i="4"/>
  <c r="AC263" i="4"/>
  <c r="AE267" i="4"/>
  <c r="AE272" i="4"/>
  <c r="Y273" i="4"/>
  <c r="AG274" i="4"/>
  <c r="AB275" i="4"/>
  <c r="W276" i="4"/>
  <c r="AC277" i="4"/>
  <c r="AG278" i="4"/>
  <c r="Y279" i="4"/>
  <c r="AH279" i="4"/>
  <c r="Y280" i="4"/>
  <c r="AH280" i="4"/>
  <c r="Y281" i="4"/>
  <c r="Z282" i="4"/>
  <c r="Z283" i="4"/>
  <c r="Z284" i="4"/>
  <c r="AA285" i="4"/>
  <c r="AA286" i="4"/>
  <c r="AA287" i="4"/>
  <c r="Z288" i="4"/>
  <c r="AH288" i="4"/>
  <c r="X289" i="4"/>
  <c r="AF289" i="4"/>
  <c r="AD290" i="4"/>
  <c r="AB291" i="4"/>
  <c r="Z292" i="4"/>
  <c r="AH292" i="4"/>
  <c r="X293" i="4"/>
  <c r="AF293" i="4"/>
  <c r="AD294" i="4"/>
  <c r="AB295" i="4"/>
  <c r="Z296" i="4"/>
  <c r="AH296" i="4"/>
  <c r="X297" i="4"/>
  <c r="AF297" i="4"/>
  <c r="AD298" i="4"/>
  <c r="AB299" i="4"/>
  <c r="Z300" i="4"/>
  <c r="AH300" i="4"/>
  <c r="X301" i="4"/>
  <c r="AF301" i="4"/>
  <c r="AD302" i="4"/>
  <c r="AB303" i="4"/>
  <c r="Z304" i="4"/>
  <c r="AH304" i="4"/>
  <c r="X305" i="4"/>
  <c r="AF305" i="4"/>
  <c r="AD306" i="4"/>
  <c r="AB307" i="4"/>
  <c r="Z308" i="4"/>
  <c r="AH308" i="4"/>
  <c r="X309" i="4"/>
  <c r="AF309" i="4"/>
  <c r="AD310" i="4"/>
  <c r="AB311" i="4"/>
  <c r="Z312" i="4"/>
  <c r="AH312" i="4"/>
  <c r="X313" i="4"/>
  <c r="AB187" i="4"/>
  <c r="AA212" i="4"/>
  <c r="AC235" i="4"/>
  <c r="AE242" i="4"/>
  <c r="W246" i="4"/>
  <c r="AG249" i="4"/>
  <c r="Y253" i="4"/>
  <c r="AA260" i="4"/>
  <c r="W266" i="4"/>
  <c r="AG267" i="4"/>
  <c r="W270" i="4"/>
  <c r="AG272" i="4"/>
  <c r="AA273" i="4"/>
  <c r="AC275" i="4"/>
  <c r="Y276" i="4"/>
  <c r="AE277" i="4"/>
  <c r="W278" i="4"/>
  <c r="AH278" i="4"/>
  <c r="Z279" i="4"/>
  <c r="Z280" i="4"/>
  <c r="AA281" i="4"/>
  <c r="AA282" i="4"/>
  <c r="AA283" i="4"/>
  <c r="AA284" i="4"/>
  <c r="AB285" i="4"/>
  <c r="AB286" i="4"/>
  <c r="AB287" i="4"/>
  <c r="AA288" i="4"/>
  <c r="Y289" i="4"/>
  <c r="AG289" i="4"/>
  <c r="W290" i="4"/>
  <c r="AE290" i="4"/>
  <c r="AC291" i="4"/>
  <c r="AA292" i="4"/>
  <c r="Y293" i="4"/>
  <c r="AG293" i="4"/>
  <c r="W294" i="4"/>
  <c r="AE294" i="4"/>
  <c r="AC295" i="4"/>
  <c r="AA296" i="4"/>
  <c r="Y297" i="4"/>
  <c r="AG297" i="4"/>
  <c r="W298" i="4"/>
  <c r="AE298" i="4"/>
  <c r="AC299" i="4"/>
  <c r="AA300" i="4"/>
  <c r="Y301" i="4"/>
  <c r="AG301" i="4"/>
  <c r="W302" i="4"/>
  <c r="AE302" i="4"/>
  <c r="AC191" i="4"/>
  <c r="AC213" i="4"/>
  <c r="AE219" i="4"/>
  <c r="AA224" i="4"/>
  <c r="AB228" i="4"/>
  <c r="AA232" i="4"/>
  <c r="AC239" i="4"/>
  <c r="AE246" i="4"/>
  <c r="W250" i="4"/>
  <c r="AG253" i="4"/>
  <c r="Y257" i="4"/>
  <c r="AA264" i="4"/>
  <c r="AA266" i="4"/>
  <c r="Y270" i="4"/>
  <c r="W271" i="4"/>
  <c r="AH272" i="4"/>
  <c r="AC273" i="4"/>
  <c r="W274" i="4"/>
  <c r="AE275" i="4"/>
  <c r="Z276" i="4"/>
  <c r="AF277" i="4"/>
  <c r="Y278" i="4"/>
  <c r="AA279" i="4"/>
  <c r="AA280" i="4"/>
  <c r="AB281" i="4"/>
  <c r="AB282" i="4"/>
  <c r="AB283" i="4"/>
  <c r="AC284" i="4"/>
  <c r="AC285" i="4"/>
  <c r="AC286" i="4"/>
  <c r="AC287" i="4"/>
  <c r="AB288" i="4"/>
  <c r="Z289" i="4"/>
  <c r="AH289" i="4"/>
  <c r="X290" i="4"/>
  <c r="AF290" i="4"/>
  <c r="AD291" i="4"/>
  <c r="AB292" i="4"/>
  <c r="Z293" i="4"/>
  <c r="AH293" i="4"/>
  <c r="X294" i="4"/>
  <c r="AF294" i="4"/>
  <c r="AD295" i="4"/>
  <c r="AB296" i="4"/>
  <c r="Z297" i="4"/>
  <c r="AH297" i="4"/>
  <c r="X298" i="4"/>
  <c r="AF298" i="4"/>
  <c r="AD299" i="4"/>
  <c r="AB300" i="4"/>
  <c r="Z301" i="4"/>
  <c r="AH301" i="4"/>
  <c r="X302" i="4"/>
  <c r="AF302" i="4"/>
  <c r="AD303" i="4"/>
  <c r="AB304" i="4"/>
  <c r="Z305" i="4"/>
  <c r="AH305" i="4"/>
  <c r="X306" i="4"/>
  <c r="AF306" i="4"/>
  <c r="AD307" i="4"/>
  <c r="AB308" i="4"/>
  <c r="Z309" i="4"/>
  <c r="AH309" i="4"/>
  <c r="X310" i="4"/>
  <c r="AF310" i="4"/>
  <c r="AD311" i="4"/>
  <c r="AB312" i="4"/>
  <c r="Z313" i="4"/>
  <c r="AH313" i="4"/>
  <c r="X314" i="4"/>
  <c r="AF314" i="4"/>
  <c r="AD315" i="4"/>
  <c r="AB316" i="4"/>
  <c r="Y195" i="4"/>
  <c r="AC214" i="4"/>
  <c r="Y220" i="4"/>
  <c r="AA236" i="4"/>
  <c r="AC243" i="4"/>
  <c r="AE250" i="4"/>
  <c r="W254" i="4"/>
  <c r="AG257" i="4"/>
  <c r="Y261" i="4"/>
  <c r="AE266" i="4"/>
  <c r="Y269" i="4"/>
  <c r="AA270" i="4"/>
  <c r="Y271" i="4"/>
  <c r="W272" i="4"/>
  <c r="AE273" i="4"/>
  <c r="Y274" i="4"/>
  <c r="AG275" i="4"/>
  <c r="AA276" i="4"/>
  <c r="W277" i="4"/>
  <c r="AG277" i="4"/>
  <c r="Z278" i="4"/>
  <c r="AB279" i="4"/>
  <c r="AC280" i="4"/>
  <c r="AC281" i="4"/>
  <c r="AC282" i="4"/>
  <c r="AC283" i="4"/>
  <c r="AD284" i="4"/>
  <c r="AD285" i="4"/>
  <c r="AD286" i="4"/>
  <c r="AE287" i="4"/>
  <c r="AC288" i="4"/>
  <c r="AA289" i="4"/>
  <c r="Y290" i="4"/>
  <c r="AG290" i="4"/>
  <c r="W291" i="4"/>
  <c r="AE291" i="4"/>
  <c r="AC292" i="4"/>
  <c r="AA293" i="4"/>
  <c r="Y294" i="4"/>
  <c r="AG294" i="4"/>
  <c r="W295" i="4"/>
  <c r="AE295" i="4"/>
  <c r="AC296" i="4"/>
  <c r="AA297" i="4"/>
  <c r="Y298" i="4"/>
  <c r="AG298" i="4"/>
  <c r="W299" i="4"/>
  <c r="AE299" i="4"/>
  <c r="AC300" i="4"/>
  <c r="AA301" i="4"/>
  <c r="Y302" i="4"/>
  <c r="Y215" i="4"/>
  <c r="AA225" i="4"/>
  <c r="AB229" i="4"/>
  <c r="Y233" i="4"/>
  <c r="AA240" i="4"/>
  <c r="AC247" i="4"/>
  <c r="AE254" i="4"/>
  <c r="W258" i="4"/>
  <c r="AG261" i="4"/>
  <c r="W268" i="4"/>
  <c r="AA269" i="4"/>
  <c r="AC270" i="4"/>
  <c r="AA271" i="4"/>
  <c r="Y272" i="4"/>
  <c r="AF273" i="4"/>
  <c r="AA274" i="4"/>
  <c r="AC276" i="4"/>
  <c r="X277" i="4"/>
  <c r="AA278" i="4"/>
  <c r="AC279" i="4"/>
  <c r="AD280" i="4"/>
  <c r="AD281" i="4"/>
  <c r="AD282" i="4"/>
  <c r="AE283" i="4"/>
  <c r="AE284" i="4"/>
  <c r="AE285" i="4"/>
  <c r="AE286" i="4"/>
  <c r="W287" i="4"/>
  <c r="AF287" i="4"/>
  <c r="AD288" i="4"/>
  <c r="AB289" i="4"/>
  <c r="Z290" i="4"/>
  <c r="AH290" i="4"/>
  <c r="X291" i="4"/>
  <c r="AF291" i="4"/>
  <c r="AD292" i="4"/>
  <c r="AB293" i="4"/>
  <c r="Z294" i="4"/>
  <c r="AH294" i="4"/>
  <c r="X295" i="4"/>
  <c r="AF295" i="4"/>
  <c r="AD296" i="4"/>
  <c r="AB297" i="4"/>
  <c r="Z298" i="4"/>
  <c r="AH298" i="4"/>
  <c r="X299" i="4"/>
  <c r="AA202" i="4"/>
  <c r="AE221" i="4"/>
  <c r="AG233" i="4"/>
  <c r="Y237" i="4"/>
  <c r="AA244" i="4"/>
  <c r="AC251" i="4"/>
  <c r="AE258" i="4"/>
  <c r="W262" i="4"/>
  <c r="Y265" i="4"/>
  <c r="AA268" i="4"/>
  <c r="AC269" i="4"/>
  <c r="AE270" i="4"/>
  <c r="AC271" i="4"/>
  <c r="Z272" i="4"/>
  <c r="AG273" i="4"/>
  <c r="AC274" i="4"/>
  <c r="W275" i="4"/>
  <c r="AE276" i="4"/>
  <c r="Y277" i="4"/>
  <c r="AC278" i="4"/>
  <c r="AE279" i="4"/>
  <c r="AE280" i="4"/>
  <c r="AE281" i="4"/>
  <c r="AE282" i="4"/>
  <c r="W283" i="4"/>
  <c r="AF283" i="4"/>
  <c r="W284" i="4"/>
  <c r="AF284" i="4"/>
  <c r="W285" i="4"/>
  <c r="AF285" i="4"/>
  <c r="W286" i="4"/>
  <c r="AG286" i="4"/>
  <c r="X287" i="4"/>
  <c r="AG287" i="4"/>
  <c r="W288" i="4"/>
  <c r="AE288" i="4"/>
  <c r="AC289" i="4"/>
  <c r="AA290" i="4"/>
  <c r="Y291" i="4"/>
  <c r="AG291" i="4"/>
  <c r="W292" i="4"/>
  <c r="AE292" i="4"/>
  <c r="AC293" i="4"/>
  <c r="AA294" i="4"/>
  <c r="Y295" i="4"/>
  <c r="AG295" i="4"/>
  <c r="W296" i="4"/>
  <c r="AE296" i="4"/>
  <c r="AC297" i="4"/>
  <c r="AA298" i="4"/>
  <c r="Y299" i="4"/>
  <c r="AG299" i="4"/>
  <c r="W300" i="4"/>
  <c r="AE300" i="4"/>
  <c r="AC301" i="4"/>
  <c r="AA302" i="4"/>
  <c r="Y303" i="4"/>
  <c r="AG303" i="4"/>
  <c r="W304" i="4"/>
  <c r="AF299" i="4"/>
  <c r="AH302" i="4"/>
  <c r="AG306" i="4"/>
  <c r="AA307" i="4"/>
  <c r="AC309" i="4"/>
  <c r="Y310" i="4"/>
  <c r="AF311" i="4"/>
  <c r="AA312" i="4"/>
  <c r="AG313" i="4"/>
  <c r="Z314" i="4"/>
  <c r="AC315" i="4"/>
  <c r="AG316" i="4"/>
  <c r="Y317" i="4"/>
  <c r="AH317" i="4"/>
  <c r="Y318" i="4"/>
  <c r="AH318" i="4"/>
  <c r="Y319" i="4"/>
  <c r="Z320" i="4"/>
  <c r="Z321" i="4"/>
  <c r="Z322" i="4"/>
  <c r="AA323" i="4"/>
  <c r="AA324" i="4"/>
  <c r="AA325" i="4"/>
  <c r="AA326" i="4"/>
  <c r="Y327" i="4"/>
  <c r="AG327" i="4"/>
  <c r="W328" i="4"/>
  <c r="AE328" i="4"/>
  <c r="AC329" i="4"/>
  <c r="AA330" i="4"/>
  <c r="Y331" i="4"/>
  <c r="AG331" i="4"/>
  <c r="W332" i="4"/>
  <c r="AE332" i="4"/>
  <c r="AC333" i="4"/>
  <c r="AA334" i="4"/>
  <c r="Y335" i="4"/>
  <c r="AG335" i="4"/>
  <c r="W336" i="4"/>
  <c r="AE336" i="4"/>
  <c r="AC337" i="4"/>
  <c r="AA338" i="4"/>
  <c r="Y339" i="4"/>
  <c r="AG339" i="4"/>
  <c r="W340" i="4"/>
  <c r="AE340" i="4"/>
  <c r="AC341" i="4"/>
  <c r="AA342" i="4"/>
  <c r="Y343" i="4"/>
  <c r="AG343" i="4"/>
  <c r="W344" i="4"/>
  <c r="AE344" i="4"/>
  <c r="AC345" i="4"/>
  <c r="AA346" i="4"/>
  <c r="Y347" i="4"/>
  <c r="AG347" i="4"/>
  <c r="W348" i="4"/>
  <c r="AE348" i="4"/>
  <c r="AC349" i="4"/>
  <c r="AA350" i="4"/>
  <c r="Y351" i="4"/>
  <c r="AG351" i="4"/>
  <c r="W352" i="4"/>
  <c r="AE352" i="4"/>
  <c r="AC353" i="4"/>
  <c r="AA354" i="4"/>
  <c r="Y355" i="4"/>
  <c r="AG355" i="4"/>
  <c r="W356" i="4"/>
  <c r="AE356" i="4"/>
  <c r="AC357" i="4"/>
  <c r="AA358" i="4"/>
  <c r="Y359" i="4"/>
  <c r="AG359" i="4"/>
  <c r="W360" i="4"/>
  <c r="AE360" i="4"/>
  <c r="AC361" i="4"/>
  <c r="AA362" i="4"/>
  <c r="Y363" i="4"/>
  <c r="AG363" i="4"/>
  <c r="W364" i="4"/>
  <c r="AE364" i="4"/>
  <c r="AC365" i="4"/>
  <c r="AA366" i="4"/>
  <c r="Y367" i="4"/>
  <c r="AG367" i="4"/>
  <c r="W368" i="4"/>
  <c r="AE368" i="4"/>
  <c r="AC369" i="4"/>
  <c r="AA370" i="4"/>
  <c r="Y371" i="4"/>
  <c r="AG371" i="4"/>
  <c r="W372" i="4"/>
  <c r="AE372" i="4"/>
  <c r="AC373" i="4"/>
  <c r="AA374" i="4"/>
  <c r="Y375" i="4"/>
  <c r="AG375" i="4"/>
  <c r="W376" i="4"/>
  <c r="AE376" i="4"/>
  <c r="AC377" i="4"/>
  <c r="W303" i="4"/>
  <c r="AA304" i="4"/>
  <c r="Y305" i="4"/>
  <c r="AH306" i="4"/>
  <c r="AC307" i="4"/>
  <c r="W308" i="4"/>
  <c r="AE309" i="4"/>
  <c r="Z310" i="4"/>
  <c r="AG311" i="4"/>
  <c r="AC312" i="4"/>
  <c r="W313" i="4"/>
  <c r="AA314" i="4"/>
  <c r="AE315" i="4"/>
  <c r="W316" i="4"/>
  <c r="AH316" i="4"/>
  <c r="Z317" i="4"/>
  <c r="Z318" i="4"/>
  <c r="AA319" i="4"/>
  <c r="AA320" i="4"/>
  <c r="AA321" i="4"/>
  <c r="AA322" i="4"/>
  <c r="AB323" i="4"/>
  <c r="AB324" i="4"/>
  <c r="AB325" i="4"/>
  <c r="AB326" i="4"/>
  <c r="Z327" i="4"/>
  <c r="AH327" i="4"/>
  <c r="X328" i="4"/>
  <c r="AF328" i="4"/>
  <c r="AD329" i="4"/>
  <c r="AB330" i="4"/>
  <c r="Z331" i="4"/>
  <c r="AH331" i="4"/>
  <c r="X332" i="4"/>
  <c r="AF332" i="4"/>
  <c r="AD333" i="4"/>
  <c r="AB334" i="4"/>
  <c r="Z335" i="4"/>
  <c r="AH335" i="4"/>
  <c r="X336" i="4"/>
  <c r="AF336" i="4"/>
  <c r="AD337" i="4"/>
  <c r="AB338" i="4"/>
  <c r="Z339" i="4"/>
  <c r="AH339" i="4"/>
  <c r="X340" i="4"/>
  <c r="AF340" i="4"/>
  <c r="AD341" i="4"/>
  <c r="AB342" i="4"/>
  <c r="Z343" i="4"/>
  <c r="AH343" i="4"/>
  <c r="X344" i="4"/>
  <c r="AF344" i="4"/>
  <c r="AD345" i="4"/>
  <c r="AB346" i="4"/>
  <c r="Z347" i="4"/>
  <c r="AH347" i="4"/>
  <c r="X348" i="4"/>
  <c r="AF348" i="4"/>
  <c r="AD349" i="4"/>
  <c r="AB350" i="4"/>
  <c r="Z351" i="4"/>
  <c r="AH351" i="4"/>
  <c r="X352" i="4"/>
  <c r="AF352" i="4"/>
  <c r="AD353" i="4"/>
  <c r="AB354" i="4"/>
  <c r="Z355" i="4"/>
  <c r="AH355" i="4"/>
  <c r="X356" i="4"/>
  <c r="AF356" i="4"/>
  <c r="AD357" i="4"/>
  <c r="AB358" i="4"/>
  <c r="Z359" i="4"/>
  <c r="AH359" i="4"/>
  <c r="X360" i="4"/>
  <c r="AF360" i="4"/>
  <c r="AD361" i="4"/>
  <c r="AB362" i="4"/>
  <c r="Z363" i="4"/>
  <c r="AH363" i="4"/>
  <c r="X364" i="4"/>
  <c r="AF364" i="4"/>
  <c r="AD365" i="4"/>
  <c r="AB366" i="4"/>
  <c r="Z367" i="4"/>
  <c r="AH367" i="4"/>
  <c r="X368" i="4"/>
  <c r="AF368" i="4"/>
  <c r="AD369" i="4"/>
  <c r="AB370" i="4"/>
  <c r="Z371" i="4"/>
  <c r="AH371" i="4"/>
  <c r="X372" i="4"/>
  <c r="AF372" i="4"/>
  <c r="AD373" i="4"/>
  <c r="AB374" i="4"/>
  <c r="Z375" i="4"/>
  <c r="AH375" i="4"/>
  <c r="X376" i="4"/>
  <c r="AF376" i="4"/>
  <c r="AD377" i="4"/>
  <c r="AB378" i="4"/>
  <c r="Z379" i="4"/>
  <c r="AD300" i="4"/>
  <c r="X303" i="4"/>
  <c r="AC304" i="4"/>
  <c r="AA305" i="4"/>
  <c r="W306" i="4"/>
  <c r="AE307" i="4"/>
  <c r="Y308" i="4"/>
  <c r="AG309" i="4"/>
  <c r="AA310" i="4"/>
  <c r="W311" i="4"/>
  <c r="AD312" i="4"/>
  <c r="Y313" i="4"/>
  <c r="AC314" i="4"/>
  <c r="AF315" i="4"/>
  <c r="Y316" i="4"/>
  <c r="AA317" i="4"/>
  <c r="AA318" i="4"/>
  <c r="AB319" i="4"/>
  <c r="AB320" i="4"/>
  <c r="AB321" i="4"/>
  <c r="AC322" i="4"/>
  <c r="AC323" i="4"/>
  <c r="AC324" i="4"/>
  <c r="AC325" i="4"/>
  <c r="AC326" i="4"/>
  <c r="AA327" i="4"/>
  <c r="Y328" i="4"/>
  <c r="AG328" i="4"/>
  <c r="W329" i="4"/>
  <c r="AE329" i="4"/>
  <c r="AC330" i="4"/>
  <c r="AA331" i="4"/>
  <c r="Y332" i="4"/>
  <c r="AG332" i="4"/>
  <c r="W333" i="4"/>
  <c r="AE333" i="4"/>
  <c r="AC334" i="4"/>
  <c r="AA335" i="4"/>
  <c r="Y336" i="4"/>
  <c r="AG336" i="4"/>
  <c r="W337" i="4"/>
  <c r="AE337" i="4"/>
  <c r="AC338" i="4"/>
  <c r="AA339" i="4"/>
  <c r="Y340" i="4"/>
  <c r="AG340" i="4"/>
  <c r="W341" i="4"/>
  <c r="AE341" i="4"/>
  <c r="AC342" i="4"/>
  <c r="AA343" i="4"/>
  <c r="Y344" i="4"/>
  <c r="AG344" i="4"/>
  <c r="W345" i="4"/>
  <c r="AE345" i="4"/>
  <c r="AC346" i="4"/>
  <c r="AA347" i="4"/>
  <c r="Y348" i="4"/>
  <c r="AG348" i="4"/>
  <c r="W349" i="4"/>
  <c r="AE349" i="4"/>
  <c r="AC350" i="4"/>
  <c r="AA351" i="4"/>
  <c r="Y352" i="4"/>
  <c r="AG352" i="4"/>
  <c r="W353" i="4"/>
  <c r="AE353" i="4"/>
  <c r="AC354" i="4"/>
  <c r="AA355" i="4"/>
  <c r="Y356" i="4"/>
  <c r="AG356" i="4"/>
  <c r="W357" i="4"/>
  <c r="AE357" i="4"/>
  <c r="AC358" i="4"/>
  <c r="AA359" i="4"/>
  <c r="Y360" i="4"/>
  <c r="AG360" i="4"/>
  <c r="W361" i="4"/>
  <c r="AE361" i="4"/>
  <c r="AC362" i="4"/>
  <c r="AA363" i="4"/>
  <c r="Y364" i="4"/>
  <c r="AG364" i="4"/>
  <c r="W365" i="4"/>
  <c r="AE365" i="4"/>
  <c r="AC366" i="4"/>
  <c r="AA367" i="4"/>
  <c r="AC303" i="4"/>
  <c r="AD304" i="4"/>
  <c r="AB305" i="4"/>
  <c r="Y306" i="4"/>
  <c r="AF307" i="4"/>
  <c r="AA308" i="4"/>
  <c r="AC310" i="4"/>
  <c r="X311" i="4"/>
  <c r="AE312" i="4"/>
  <c r="AA313" i="4"/>
  <c r="AD314" i="4"/>
  <c r="W315" i="4"/>
  <c r="AG315" i="4"/>
  <c r="Z316" i="4"/>
  <c r="AB317" i="4"/>
  <c r="AC318" i="4"/>
  <c r="AC319" i="4"/>
  <c r="AC320" i="4"/>
  <c r="AC321" i="4"/>
  <c r="AD322" i="4"/>
  <c r="AD323" i="4"/>
  <c r="AD324" i="4"/>
  <c r="AE325" i="4"/>
  <c r="AD326" i="4"/>
  <c r="AB327" i="4"/>
  <c r="Z328" i="4"/>
  <c r="AH328" i="4"/>
  <c r="X329" i="4"/>
  <c r="AF329" i="4"/>
  <c r="AD330" i="4"/>
  <c r="AB331" i="4"/>
  <c r="Z332" i="4"/>
  <c r="AH332" i="4"/>
  <c r="X333" i="4"/>
  <c r="AF333" i="4"/>
  <c r="AD334" i="4"/>
  <c r="AB335" i="4"/>
  <c r="Z336" i="4"/>
  <c r="AH336" i="4"/>
  <c r="X337" i="4"/>
  <c r="AF337" i="4"/>
  <c r="AD338" i="4"/>
  <c r="AB339" i="4"/>
  <c r="Z340" i="4"/>
  <c r="AH340" i="4"/>
  <c r="X341" i="4"/>
  <c r="AF341" i="4"/>
  <c r="AD342" i="4"/>
  <c r="AB343" i="4"/>
  <c r="Z344" i="4"/>
  <c r="AH344" i="4"/>
  <c r="X345" i="4"/>
  <c r="AF345" i="4"/>
  <c r="AD346" i="4"/>
  <c r="AB347" i="4"/>
  <c r="Z348" i="4"/>
  <c r="AH348" i="4"/>
  <c r="X349" i="4"/>
  <c r="AF349" i="4"/>
  <c r="AD350" i="4"/>
  <c r="AB351" i="4"/>
  <c r="Z352" i="4"/>
  <c r="AH352" i="4"/>
  <c r="X353" i="4"/>
  <c r="AF353" i="4"/>
  <c r="AD354" i="4"/>
  <c r="AB355" i="4"/>
  <c r="Z356" i="4"/>
  <c r="AH356" i="4"/>
  <c r="X357" i="4"/>
  <c r="AF357" i="4"/>
  <c r="AD358" i="4"/>
  <c r="AB359" i="4"/>
  <c r="Z360" i="4"/>
  <c r="AH360" i="4"/>
  <c r="X361" i="4"/>
  <c r="AF361" i="4"/>
  <c r="AD362" i="4"/>
  <c r="AB363" i="4"/>
  <c r="Z364" i="4"/>
  <c r="AH364" i="4"/>
  <c r="X365" i="4"/>
  <c r="AF365" i="4"/>
  <c r="AD366" i="4"/>
  <c r="AB367" i="4"/>
  <c r="AB301" i="4"/>
  <c r="AE303" i="4"/>
  <c r="AE304" i="4"/>
  <c r="AC305" i="4"/>
  <c r="Z306" i="4"/>
  <c r="AG307" i="4"/>
  <c r="AC308" i="4"/>
  <c r="W309" i="4"/>
  <c r="AE310" i="4"/>
  <c r="Y311" i="4"/>
  <c r="AG312" i="4"/>
  <c r="AB313" i="4"/>
  <c r="AE314" i="4"/>
  <c r="X315" i="4"/>
  <c r="AA316" i="4"/>
  <c r="AC317" i="4"/>
  <c r="AD318" i="4"/>
  <c r="AD319" i="4"/>
  <c r="AD320" i="4"/>
  <c r="AE321" i="4"/>
  <c r="AE322" i="4"/>
  <c r="AE323" i="4"/>
  <c r="AE324" i="4"/>
  <c r="W325" i="4"/>
  <c r="AF325" i="4"/>
  <c r="W326" i="4"/>
  <c r="AE326" i="4"/>
  <c r="AC327" i="4"/>
  <c r="AA328" i="4"/>
  <c r="Y329" i="4"/>
  <c r="AG329" i="4"/>
  <c r="W330" i="4"/>
  <c r="AE330" i="4"/>
  <c r="AC331" i="4"/>
  <c r="AA332" i="4"/>
  <c r="Y333" i="4"/>
  <c r="AG333" i="4"/>
  <c r="W334" i="4"/>
  <c r="AE334" i="4"/>
  <c r="AC335" i="4"/>
  <c r="AA336" i="4"/>
  <c r="Y337" i="4"/>
  <c r="AG337" i="4"/>
  <c r="W338" i="4"/>
  <c r="AE338" i="4"/>
  <c r="AC339" i="4"/>
  <c r="AA340" i="4"/>
  <c r="Y341" i="4"/>
  <c r="AG341" i="4"/>
  <c r="W342" i="4"/>
  <c r="AE342" i="4"/>
  <c r="AC343" i="4"/>
  <c r="AA344" i="4"/>
  <c r="Y345" i="4"/>
  <c r="AG345" i="4"/>
  <c r="W346" i="4"/>
  <c r="AE346" i="4"/>
  <c r="AC347" i="4"/>
  <c r="AA348" i="4"/>
  <c r="Y349" i="4"/>
  <c r="AG349" i="4"/>
  <c r="W350" i="4"/>
  <c r="AE350" i="4"/>
  <c r="AC351" i="4"/>
  <c r="AA352" i="4"/>
  <c r="Y353" i="4"/>
  <c r="AG353" i="4"/>
  <c r="W354" i="4"/>
  <c r="AE354" i="4"/>
  <c r="AC355" i="4"/>
  <c r="AA356" i="4"/>
  <c r="Y357" i="4"/>
  <c r="AG357" i="4"/>
  <c r="W358" i="4"/>
  <c r="AE358" i="4"/>
  <c r="AC359" i="4"/>
  <c r="AA360" i="4"/>
  <c r="Y361" i="4"/>
  <c r="AG361" i="4"/>
  <c r="W362" i="4"/>
  <c r="AE362" i="4"/>
  <c r="AC363" i="4"/>
  <c r="AA364" i="4"/>
  <c r="Y365" i="4"/>
  <c r="AG365" i="4"/>
  <c r="W366" i="4"/>
  <c r="AE366" i="4"/>
  <c r="AC367" i="4"/>
  <c r="AA368" i="4"/>
  <c r="Y369" i="4"/>
  <c r="AG369" i="4"/>
  <c r="W370" i="4"/>
  <c r="AE370" i="4"/>
  <c r="AC371" i="4"/>
  <c r="AA372" i="4"/>
  <c r="Y373" i="4"/>
  <c r="AG373" i="4"/>
  <c r="W374" i="4"/>
  <c r="AE374" i="4"/>
  <c r="AC375" i="4"/>
  <c r="AA376" i="4"/>
  <c r="Y377" i="4"/>
  <c r="AG377" i="4"/>
  <c r="W378" i="4"/>
  <c r="AE378" i="4"/>
  <c r="AC379" i="4"/>
  <c r="AA380" i="4"/>
  <c r="Y381" i="4"/>
  <c r="AG381" i="4"/>
  <c r="W382" i="4"/>
  <c r="AE382" i="4"/>
  <c r="AC383" i="4"/>
  <c r="AA384" i="4"/>
  <c r="AF303" i="4"/>
  <c r="AG305" i="4"/>
  <c r="AA306" i="4"/>
  <c r="W307" i="4"/>
  <c r="AD308" i="4"/>
  <c r="Y309" i="4"/>
  <c r="AG310" i="4"/>
  <c r="AA311" i="4"/>
  <c r="AC313" i="4"/>
  <c r="AG314" i="4"/>
  <c r="Y315" i="4"/>
  <c r="AC316" i="4"/>
  <c r="AE317" i="4"/>
  <c r="AE318" i="4"/>
  <c r="AE319" i="4"/>
  <c r="AE320" i="4"/>
  <c r="W321" i="4"/>
  <c r="AF321" i="4"/>
  <c r="W322" i="4"/>
  <c r="AF322" i="4"/>
  <c r="W323" i="4"/>
  <c r="AF323" i="4"/>
  <c r="W324" i="4"/>
  <c r="AG324" i="4"/>
  <c r="X325" i="4"/>
  <c r="AG325" i="4"/>
  <c r="X326" i="4"/>
  <c r="AF326" i="4"/>
  <c r="AD327" i="4"/>
  <c r="AB328" i="4"/>
  <c r="Z329" i="4"/>
  <c r="AH329" i="4"/>
  <c r="X330" i="4"/>
  <c r="AF330" i="4"/>
  <c r="AD331" i="4"/>
  <c r="AB332" i="4"/>
  <c r="Z333" i="4"/>
  <c r="AH333" i="4"/>
  <c r="X334" i="4"/>
  <c r="AF334" i="4"/>
  <c r="AD335" i="4"/>
  <c r="AB336" i="4"/>
  <c r="Z337" i="4"/>
  <c r="AH337" i="4"/>
  <c r="X338" i="4"/>
  <c r="AF338" i="4"/>
  <c r="AD339" i="4"/>
  <c r="AB340" i="4"/>
  <c r="Z341" i="4"/>
  <c r="AH341" i="4"/>
  <c r="X342" i="4"/>
  <c r="AF342" i="4"/>
  <c r="AD343" i="4"/>
  <c r="AB344" i="4"/>
  <c r="Z345" i="4"/>
  <c r="AH345" i="4"/>
  <c r="X346" i="4"/>
  <c r="AF346" i="4"/>
  <c r="AD347" i="4"/>
  <c r="AB348" i="4"/>
  <c r="Z349" i="4"/>
  <c r="AH349" i="4"/>
  <c r="X350" i="4"/>
  <c r="AF350" i="4"/>
  <c r="AD351" i="4"/>
  <c r="AB352" i="4"/>
  <c r="Z353" i="4"/>
  <c r="AH353" i="4"/>
  <c r="X354" i="4"/>
  <c r="AF354" i="4"/>
  <c r="AD355" i="4"/>
  <c r="AB356" i="4"/>
  <c r="Z357" i="4"/>
  <c r="AH357" i="4"/>
  <c r="X358" i="4"/>
  <c r="AF358" i="4"/>
  <c r="AD359" i="4"/>
  <c r="AB360" i="4"/>
  <c r="Z361" i="4"/>
  <c r="AH361" i="4"/>
  <c r="X362" i="4"/>
  <c r="AF362" i="4"/>
  <c r="AD363" i="4"/>
  <c r="AB364" i="4"/>
  <c r="Z365" i="4"/>
  <c r="AH365" i="4"/>
  <c r="X366" i="4"/>
  <c r="AF366" i="4"/>
  <c r="AD367" i="4"/>
  <c r="AB368" i="4"/>
  <c r="Z302" i="4"/>
  <c r="AC306" i="4"/>
  <c r="X307" i="4"/>
  <c r="AE308" i="4"/>
  <c r="AA309" i="4"/>
  <c r="AH310" i="4"/>
  <c r="AC311" i="4"/>
  <c r="W312" i="4"/>
  <c r="AE313" i="4"/>
  <c r="W314" i="4"/>
  <c r="AH314" i="4"/>
  <c r="AA315" i="4"/>
  <c r="AD316" i="4"/>
  <c r="W317" i="4"/>
  <c r="AF317" i="4"/>
  <c r="W318" i="4"/>
  <c r="AF318" i="4"/>
  <c r="W319" i="4"/>
  <c r="AF319" i="4"/>
  <c r="W320" i="4"/>
  <c r="AG320" i="4"/>
  <c r="X321" i="4"/>
  <c r="AG321" i="4"/>
  <c r="X322" i="4"/>
  <c r="AG322" i="4"/>
  <c r="X323" i="4"/>
  <c r="AG323" i="4"/>
  <c r="Y324" i="4"/>
  <c r="AH324" i="4"/>
  <c r="Y325" i="4"/>
  <c r="AH325" i="4"/>
  <c r="Y326" i="4"/>
  <c r="AG326" i="4"/>
  <c r="W327" i="4"/>
  <c r="AE327" i="4"/>
  <c r="AC328" i="4"/>
  <c r="AA329" i="4"/>
  <c r="Y330" i="4"/>
  <c r="AG330" i="4"/>
  <c r="W331" i="4"/>
  <c r="AE331" i="4"/>
  <c r="AC332" i="4"/>
  <c r="AA333" i="4"/>
  <c r="Y334" i="4"/>
  <c r="AG334" i="4"/>
  <c r="W335" i="4"/>
  <c r="AE335" i="4"/>
  <c r="AC336" i="4"/>
  <c r="AA337" i="4"/>
  <c r="Y338" i="4"/>
  <c r="AG338" i="4"/>
  <c r="W339" i="4"/>
  <c r="AE339" i="4"/>
  <c r="AC340" i="4"/>
  <c r="AA341" i="4"/>
  <c r="Y342" i="4"/>
  <c r="AG342" i="4"/>
  <c r="W343" i="4"/>
  <c r="AE343" i="4"/>
  <c r="AC344" i="4"/>
  <c r="AA345" i="4"/>
  <c r="Y346" i="4"/>
  <c r="AG346" i="4"/>
  <c r="W347" i="4"/>
  <c r="AE347" i="4"/>
  <c r="AC348" i="4"/>
  <c r="AA349" i="4"/>
  <c r="Y350" i="4"/>
  <c r="AG350" i="4"/>
  <c r="W351" i="4"/>
  <c r="AE351" i="4"/>
  <c r="AC352" i="4"/>
  <c r="AA353" i="4"/>
  <c r="Y354" i="4"/>
  <c r="AG354" i="4"/>
  <c r="W355" i="4"/>
  <c r="AE355" i="4"/>
  <c r="AC356" i="4"/>
  <c r="AA357" i="4"/>
  <c r="Y358" i="4"/>
  <c r="AG358" i="4"/>
  <c r="W359" i="4"/>
  <c r="AE359" i="4"/>
  <c r="AC360" i="4"/>
  <c r="AA361" i="4"/>
  <c r="Y362" i="4"/>
  <c r="AG362" i="4"/>
  <c r="W363" i="4"/>
  <c r="AE363" i="4"/>
  <c r="AC364" i="4"/>
  <c r="AA365" i="4"/>
  <c r="Y366" i="4"/>
  <c r="AG366" i="4"/>
  <c r="W367" i="4"/>
  <c r="AE367" i="4"/>
  <c r="AC368" i="4"/>
  <c r="AA369" i="4"/>
  <c r="Y370" i="4"/>
  <c r="AG370" i="4"/>
  <c r="W371" i="4"/>
  <c r="AE371" i="4"/>
  <c r="AG302" i="4"/>
  <c r="AE306" i="4"/>
  <c r="Y307" i="4"/>
  <c r="AG308" i="4"/>
  <c r="AB309" i="4"/>
  <c r="W310" i="4"/>
  <c r="AE311" i="4"/>
  <c r="Y312" i="4"/>
  <c r="AF313" i="4"/>
  <c r="Y314" i="4"/>
  <c r="AB315" i="4"/>
  <c r="AE316" i="4"/>
  <c r="X317" i="4"/>
  <c r="AG317" i="4"/>
  <c r="X318" i="4"/>
  <c r="AG318" i="4"/>
  <c r="X319" i="4"/>
  <c r="AG319" i="4"/>
  <c r="Y320" i="4"/>
  <c r="AH320" i="4"/>
  <c r="Y321" i="4"/>
  <c r="AH321" i="4"/>
  <c r="Y322" i="4"/>
  <c r="AH322" i="4"/>
  <c r="Y323" i="4"/>
  <c r="Z324" i="4"/>
  <c r="Z325" i="4"/>
  <c r="Z326" i="4"/>
  <c r="AH326" i="4"/>
  <c r="X327" i="4"/>
  <c r="AF327" i="4"/>
  <c r="AD328" i="4"/>
  <c r="AB329" i="4"/>
  <c r="Z330" i="4"/>
  <c r="AH330" i="4"/>
  <c r="X331" i="4"/>
  <c r="AF331" i="4"/>
  <c r="AD332" i="4"/>
  <c r="AB333" i="4"/>
  <c r="Z334" i="4"/>
  <c r="AH334" i="4"/>
  <c r="X335" i="4"/>
  <c r="AF335" i="4"/>
  <c r="AD336" i="4"/>
  <c r="AB337" i="4"/>
  <c r="Z338" i="4"/>
  <c r="AH338" i="4"/>
  <c r="X339" i="4"/>
  <c r="AF339" i="4"/>
  <c r="AD340" i="4"/>
  <c r="AB341" i="4"/>
  <c r="Z342" i="4"/>
  <c r="AH342" i="4"/>
  <c r="X343" i="4"/>
  <c r="AF343" i="4"/>
  <c r="AD344" i="4"/>
  <c r="AB345" i="4"/>
  <c r="Z346" i="4"/>
  <c r="AH346" i="4"/>
  <c r="X347" i="4"/>
  <c r="AF347" i="4"/>
  <c r="AD348" i="4"/>
  <c r="AB349" i="4"/>
  <c r="Z350" i="4"/>
  <c r="AH350" i="4"/>
  <c r="X351" i="4"/>
  <c r="AF351" i="4"/>
  <c r="AD352" i="4"/>
  <c r="AB353" i="4"/>
  <c r="Z354" i="4"/>
  <c r="AH354" i="4"/>
  <c r="X355" i="4"/>
  <c r="AF355" i="4"/>
  <c r="AD356" i="4"/>
  <c r="AB357" i="4"/>
  <c r="Z358" i="4"/>
  <c r="AH358" i="4"/>
  <c r="X359" i="4"/>
  <c r="AF359" i="4"/>
  <c r="AD360" i="4"/>
  <c r="AB361" i="4"/>
  <c r="Z362" i="4"/>
  <c r="AH362" i="4"/>
  <c r="X363" i="4"/>
  <c r="AF363" i="4"/>
  <c r="AD364" i="4"/>
  <c r="AB365" i="4"/>
  <c r="Z366" i="4"/>
  <c r="AH366" i="4"/>
  <c r="X367" i="4"/>
  <c r="AF367" i="4"/>
  <c r="AD368" i="4"/>
  <c r="AB369" i="4"/>
  <c r="Z370" i="4"/>
  <c r="AH370" i="4"/>
  <c r="X371" i="4"/>
  <c r="AF371" i="4"/>
  <c r="AD372" i="4"/>
  <c r="AB373" i="4"/>
  <c r="Z374" i="4"/>
  <c r="AH374" i="4"/>
  <c r="X375" i="4"/>
  <c r="AF375" i="4"/>
  <c r="AD376" i="4"/>
  <c r="AB377" i="4"/>
  <c r="Z378" i="4"/>
  <c r="AH378" i="4"/>
  <c r="X379" i="4"/>
  <c r="AF379" i="4"/>
  <c r="AD380" i="4"/>
  <c r="AE369" i="4"/>
  <c r="AF370" i="4"/>
  <c r="AH373" i="4"/>
  <c r="AF374" i="4"/>
  <c r="AD375" i="4"/>
  <c r="AB376" i="4"/>
  <c r="Z377" i="4"/>
  <c r="AD379" i="4"/>
  <c r="W380" i="4"/>
  <c r="AG380" i="4"/>
  <c r="Z381" i="4"/>
  <c r="Z382" i="4"/>
  <c r="Z383" i="4"/>
  <c r="Z384" i="4"/>
  <c r="Y385" i="4"/>
  <c r="AG385" i="4"/>
  <c r="W386" i="4"/>
  <c r="AE386" i="4"/>
  <c r="AC387" i="4"/>
  <c r="AA388" i="4"/>
  <c r="Y389" i="4"/>
  <c r="AG389" i="4"/>
  <c r="W390" i="4"/>
  <c r="AE390" i="4"/>
  <c r="AC391" i="4"/>
  <c r="AA392" i="4"/>
  <c r="Y393" i="4"/>
  <c r="AG393" i="4"/>
  <c r="W394" i="4"/>
  <c r="AE394" i="4"/>
  <c r="AC395" i="4"/>
  <c r="AA396" i="4"/>
  <c r="Y397" i="4"/>
  <c r="AG397" i="4"/>
  <c r="W398" i="4"/>
  <c r="AE398" i="4"/>
  <c r="AC399" i="4"/>
  <c r="AA400" i="4"/>
  <c r="Y401" i="4"/>
  <c r="AG401" i="4"/>
  <c r="W402" i="4"/>
  <c r="AE402" i="4"/>
  <c r="AC403" i="4"/>
  <c r="AA404" i="4"/>
  <c r="Y405" i="4"/>
  <c r="AG405" i="4"/>
  <c r="W406" i="4"/>
  <c r="AE406" i="4"/>
  <c r="AC407" i="4"/>
  <c r="AA408" i="4"/>
  <c r="Y409" i="4"/>
  <c r="AG409" i="4"/>
  <c r="W410" i="4"/>
  <c r="AE410" i="4"/>
  <c r="AC411" i="4"/>
  <c r="AA412" i="4"/>
  <c r="Y413" i="4"/>
  <c r="AG413" i="4"/>
  <c r="W414" i="4"/>
  <c r="AE414" i="4"/>
  <c r="AC415" i="4"/>
  <c r="AA416" i="4"/>
  <c r="Y417" i="4"/>
  <c r="AG417" i="4"/>
  <c r="W418" i="4"/>
  <c r="AE418" i="4"/>
  <c r="AC419" i="4"/>
  <c r="AA420" i="4"/>
  <c r="Y421" i="4"/>
  <c r="AG421" i="4"/>
  <c r="W422" i="4"/>
  <c r="AE422" i="4"/>
  <c r="AC423" i="4"/>
  <c r="AA424" i="4"/>
  <c r="Y425" i="4"/>
  <c r="AG425" i="4"/>
  <c r="W426" i="4"/>
  <c r="AE426" i="4"/>
  <c r="AC427" i="4"/>
  <c r="AA428" i="4"/>
  <c r="Y429" i="4"/>
  <c r="AG429" i="4"/>
  <c r="W430" i="4"/>
  <c r="AE430" i="4"/>
  <c r="AC431" i="4"/>
  <c r="AA432" i="4"/>
  <c r="Y433" i="4"/>
  <c r="AG433" i="4"/>
  <c r="W434" i="4"/>
  <c r="AE434" i="4"/>
  <c r="AC435" i="4"/>
  <c r="AA436" i="4"/>
  <c r="Y437" i="4"/>
  <c r="AG437" i="4"/>
  <c r="W438" i="4"/>
  <c r="AE438" i="4"/>
  <c r="AC439" i="4"/>
  <c r="AA440" i="4"/>
  <c r="Y441" i="4"/>
  <c r="AG441" i="4"/>
  <c r="W442" i="4"/>
  <c r="Y368" i="4"/>
  <c r="AF369" i="4"/>
  <c r="AG374" i="4"/>
  <c r="AE375" i="4"/>
  <c r="AC376" i="4"/>
  <c r="AA377" i="4"/>
  <c r="X378" i="4"/>
  <c r="AE379" i="4"/>
  <c r="X380" i="4"/>
  <c r="AH380" i="4"/>
  <c r="AA381" i="4"/>
  <c r="AA382" i="4"/>
  <c r="AA383" i="4"/>
  <c r="AB384" i="4"/>
  <c r="Z385" i="4"/>
  <c r="AH385" i="4"/>
  <c r="X386" i="4"/>
  <c r="AF386" i="4"/>
  <c r="AD387" i="4"/>
  <c r="AB388" i="4"/>
  <c r="Z389" i="4"/>
  <c r="AH389" i="4"/>
  <c r="X390" i="4"/>
  <c r="AF390" i="4"/>
  <c r="AD391" i="4"/>
  <c r="AB392" i="4"/>
  <c r="Z393" i="4"/>
  <c r="AH393" i="4"/>
  <c r="X394" i="4"/>
  <c r="AF394" i="4"/>
  <c r="AD395" i="4"/>
  <c r="AB396" i="4"/>
  <c r="Z397" i="4"/>
  <c r="AH397" i="4"/>
  <c r="X398" i="4"/>
  <c r="AF398" i="4"/>
  <c r="AD399" i="4"/>
  <c r="AB400" i="4"/>
  <c r="Z401" i="4"/>
  <c r="AH401" i="4"/>
  <c r="X402" i="4"/>
  <c r="AF402" i="4"/>
  <c r="AD403" i="4"/>
  <c r="AB404" i="4"/>
  <c r="Z405" i="4"/>
  <c r="AH405" i="4"/>
  <c r="X406" i="4"/>
  <c r="AF406" i="4"/>
  <c r="AD407" i="4"/>
  <c r="AB408" i="4"/>
  <c r="Z409" i="4"/>
  <c r="AH409" i="4"/>
  <c r="X410" i="4"/>
  <c r="AF410" i="4"/>
  <c r="AD411" i="4"/>
  <c r="AB412" i="4"/>
  <c r="Z413" i="4"/>
  <c r="AH413" i="4"/>
  <c r="X414" i="4"/>
  <c r="AF414" i="4"/>
  <c r="AD415" i="4"/>
  <c r="AB416" i="4"/>
  <c r="Z417" i="4"/>
  <c r="AH417" i="4"/>
  <c r="X418" i="4"/>
  <c r="AF418" i="4"/>
  <c r="AD419" i="4"/>
  <c r="AB420" i="4"/>
  <c r="Z421" i="4"/>
  <c r="AH421" i="4"/>
  <c r="X422" i="4"/>
  <c r="AF422" i="4"/>
  <c r="AD423" i="4"/>
  <c r="AB424" i="4"/>
  <c r="Z425" i="4"/>
  <c r="AH425" i="4"/>
  <c r="X426" i="4"/>
  <c r="AF426" i="4"/>
  <c r="AD427" i="4"/>
  <c r="AB428" i="4"/>
  <c r="Z429" i="4"/>
  <c r="AH429" i="4"/>
  <c r="X430" i="4"/>
  <c r="AF430" i="4"/>
  <c r="AD431" i="4"/>
  <c r="AB432" i="4"/>
  <c r="Z433" i="4"/>
  <c r="AH433" i="4"/>
  <c r="X434" i="4"/>
  <c r="AF434" i="4"/>
  <c r="AD435" i="4"/>
  <c r="AB436" i="4"/>
  <c r="Z437" i="4"/>
  <c r="AH437" i="4"/>
  <c r="X438" i="4"/>
  <c r="AF438" i="4"/>
  <c r="AD439" i="4"/>
  <c r="AB440" i="4"/>
  <c r="Z441" i="4"/>
  <c r="AH441" i="4"/>
  <c r="X442" i="4"/>
  <c r="AF442" i="4"/>
  <c r="AD443" i="4"/>
  <c r="AB444" i="4"/>
  <c r="Z368" i="4"/>
  <c r="AH369" i="4"/>
  <c r="Y372" i="4"/>
  <c r="W373" i="4"/>
  <c r="AG376" i="4"/>
  <c r="AE377" i="4"/>
  <c r="Y378" i="4"/>
  <c r="AG379" i="4"/>
  <c r="Y380" i="4"/>
  <c r="AB381" i="4"/>
  <c r="AB382" i="4"/>
  <c r="AB383" i="4"/>
  <c r="AC384" i="4"/>
  <c r="AA385" i="4"/>
  <c r="Y386" i="4"/>
  <c r="AG386" i="4"/>
  <c r="W387" i="4"/>
  <c r="AE387" i="4"/>
  <c r="AC388" i="4"/>
  <c r="AA389" i="4"/>
  <c r="Y390" i="4"/>
  <c r="AG390" i="4"/>
  <c r="W391" i="4"/>
  <c r="AE391" i="4"/>
  <c r="AC392" i="4"/>
  <c r="AA393" i="4"/>
  <c r="Y394" i="4"/>
  <c r="AG394" i="4"/>
  <c r="W395" i="4"/>
  <c r="AE395" i="4"/>
  <c r="AC396" i="4"/>
  <c r="AA397" i="4"/>
  <c r="Y398" i="4"/>
  <c r="AG398" i="4"/>
  <c r="W399" i="4"/>
  <c r="AE399" i="4"/>
  <c r="AC400" i="4"/>
  <c r="AA401" i="4"/>
  <c r="Y402" i="4"/>
  <c r="AG402" i="4"/>
  <c r="W403" i="4"/>
  <c r="AE403" i="4"/>
  <c r="AC404" i="4"/>
  <c r="AA405" i="4"/>
  <c r="Y406" i="4"/>
  <c r="AG406" i="4"/>
  <c r="W407" i="4"/>
  <c r="AE407" i="4"/>
  <c r="AC408" i="4"/>
  <c r="AA409" i="4"/>
  <c r="Y410" i="4"/>
  <c r="AG410" i="4"/>
  <c r="W411" i="4"/>
  <c r="AE411" i="4"/>
  <c r="AC412" i="4"/>
  <c r="AA413" i="4"/>
  <c r="Y414" i="4"/>
  <c r="AG414" i="4"/>
  <c r="W415" i="4"/>
  <c r="AE415" i="4"/>
  <c r="AC416" i="4"/>
  <c r="AA417" i="4"/>
  <c r="Y418" i="4"/>
  <c r="AG418" i="4"/>
  <c r="W419" i="4"/>
  <c r="AE419" i="4"/>
  <c r="AC420" i="4"/>
  <c r="AA421" i="4"/>
  <c r="Y422" i="4"/>
  <c r="AG422" i="4"/>
  <c r="W423" i="4"/>
  <c r="AE423" i="4"/>
  <c r="AC424" i="4"/>
  <c r="AA425" i="4"/>
  <c r="Y426" i="4"/>
  <c r="AG426" i="4"/>
  <c r="W427" i="4"/>
  <c r="AE427" i="4"/>
  <c r="AC428" i="4"/>
  <c r="AA429" i="4"/>
  <c r="Y430" i="4"/>
  <c r="AG430" i="4"/>
  <c r="W431" i="4"/>
  <c r="AE431" i="4"/>
  <c r="AC432" i="4"/>
  <c r="AA433" i="4"/>
  <c r="AG368" i="4"/>
  <c r="Z372" i="4"/>
  <c r="X373" i="4"/>
  <c r="AH376" i="4"/>
  <c r="AF377" i="4"/>
  <c r="AA378" i="4"/>
  <c r="AH379" i="4"/>
  <c r="Z380" i="4"/>
  <c r="AC381" i="4"/>
  <c r="AC382" i="4"/>
  <c r="AD383" i="4"/>
  <c r="AD384" i="4"/>
  <c r="AB385" i="4"/>
  <c r="Z386" i="4"/>
  <c r="AH386" i="4"/>
  <c r="X387" i="4"/>
  <c r="AF387" i="4"/>
  <c r="AD388" i="4"/>
  <c r="AB389" i="4"/>
  <c r="Z390" i="4"/>
  <c r="AH390" i="4"/>
  <c r="X391" i="4"/>
  <c r="AF391" i="4"/>
  <c r="AD392" i="4"/>
  <c r="AB393" i="4"/>
  <c r="Z394" i="4"/>
  <c r="AH394" i="4"/>
  <c r="X395" i="4"/>
  <c r="AF395" i="4"/>
  <c r="AD396" i="4"/>
  <c r="AB397" i="4"/>
  <c r="Z398" i="4"/>
  <c r="AH398" i="4"/>
  <c r="X399" i="4"/>
  <c r="AF399" i="4"/>
  <c r="AD400" i="4"/>
  <c r="AB401" i="4"/>
  <c r="Z402" i="4"/>
  <c r="AH402" i="4"/>
  <c r="X403" i="4"/>
  <c r="AF403" i="4"/>
  <c r="AD404" i="4"/>
  <c r="AB405" i="4"/>
  <c r="Z406" i="4"/>
  <c r="AH406" i="4"/>
  <c r="X407" i="4"/>
  <c r="AF407" i="4"/>
  <c r="AD408" i="4"/>
  <c r="AB409" i="4"/>
  <c r="Z410" i="4"/>
  <c r="AH410" i="4"/>
  <c r="X411" i="4"/>
  <c r="AF411" i="4"/>
  <c r="AD412" i="4"/>
  <c r="AB413" i="4"/>
  <c r="Z414" i="4"/>
  <c r="AH414" i="4"/>
  <c r="X415" i="4"/>
  <c r="AF415" i="4"/>
  <c r="AD416" i="4"/>
  <c r="AB417" i="4"/>
  <c r="Z418" i="4"/>
  <c r="AH418" i="4"/>
  <c r="X419" i="4"/>
  <c r="AF419" i="4"/>
  <c r="AD420" i="4"/>
  <c r="AB421" i="4"/>
  <c r="Z422" i="4"/>
  <c r="AH422" i="4"/>
  <c r="X423" i="4"/>
  <c r="AF423" i="4"/>
  <c r="AD424" i="4"/>
  <c r="AB425" i="4"/>
  <c r="Z426" i="4"/>
  <c r="AH426" i="4"/>
  <c r="X427" i="4"/>
  <c r="AF427" i="4"/>
  <c r="AD428" i="4"/>
  <c r="AB429" i="4"/>
  <c r="Z430" i="4"/>
  <c r="AH430" i="4"/>
  <c r="X431" i="4"/>
  <c r="AF431" i="4"/>
  <c r="AD432" i="4"/>
  <c r="AB433" i="4"/>
  <c r="AH368" i="4"/>
  <c r="AA371" i="4"/>
  <c r="AB372" i="4"/>
  <c r="Z373" i="4"/>
  <c r="X374" i="4"/>
  <c r="AH377" i="4"/>
  <c r="AC378" i="4"/>
  <c r="W379" i="4"/>
  <c r="AB380" i="4"/>
  <c r="AD381" i="4"/>
  <c r="AD382" i="4"/>
  <c r="AE383" i="4"/>
  <c r="AE384" i="4"/>
  <c r="AC385" i="4"/>
  <c r="AA386" i="4"/>
  <c r="Y387" i="4"/>
  <c r="AG387" i="4"/>
  <c r="W388" i="4"/>
  <c r="AE388" i="4"/>
  <c r="AC389" i="4"/>
  <c r="AA390" i="4"/>
  <c r="Y391" i="4"/>
  <c r="AG391" i="4"/>
  <c r="W392" i="4"/>
  <c r="AE392" i="4"/>
  <c r="AC393" i="4"/>
  <c r="AA394" i="4"/>
  <c r="Y395" i="4"/>
  <c r="AG395" i="4"/>
  <c r="W396" i="4"/>
  <c r="AE396" i="4"/>
  <c r="AC397" i="4"/>
  <c r="AA398" i="4"/>
  <c r="Y399" i="4"/>
  <c r="AG399" i="4"/>
  <c r="W400" i="4"/>
  <c r="AE400" i="4"/>
  <c r="AC401" i="4"/>
  <c r="AA402" i="4"/>
  <c r="Y403" i="4"/>
  <c r="AG403" i="4"/>
  <c r="W404" i="4"/>
  <c r="AE404" i="4"/>
  <c r="AC405" i="4"/>
  <c r="AA406" i="4"/>
  <c r="Y407" i="4"/>
  <c r="AG407" i="4"/>
  <c r="W408" i="4"/>
  <c r="AE408" i="4"/>
  <c r="AC409" i="4"/>
  <c r="AA410" i="4"/>
  <c r="Y411" i="4"/>
  <c r="AG411" i="4"/>
  <c r="W412" i="4"/>
  <c r="AE412" i="4"/>
  <c r="AC413" i="4"/>
  <c r="AA414" i="4"/>
  <c r="Y415" i="4"/>
  <c r="AG415" i="4"/>
  <c r="W416" i="4"/>
  <c r="AE416" i="4"/>
  <c r="AC417" i="4"/>
  <c r="AA418" i="4"/>
  <c r="Y419" i="4"/>
  <c r="AG419" i="4"/>
  <c r="W420" i="4"/>
  <c r="AE420" i="4"/>
  <c r="AC421" i="4"/>
  <c r="AA422" i="4"/>
  <c r="Y423" i="4"/>
  <c r="AG423" i="4"/>
  <c r="W424" i="4"/>
  <c r="AE424" i="4"/>
  <c r="AC425" i="4"/>
  <c r="AA426" i="4"/>
  <c r="Y427" i="4"/>
  <c r="AG427" i="4"/>
  <c r="W428" i="4"/>
  <c r="AE428" i="4"/>
  <c r="AC429" i="4"/>
  <c r="AA430" i="4"/>
  <c r="Y431" i="4"/>
  <c r="AG431" i="4"/>
  <c r="W432" i="4"/>
  <c r="AE432" i="4"/>
  <c r="AC433" i="4"/>
  <c r="AA434" i="4"/>
  <c r="Y435" i="4"/>
  <c r="AG435" i="4"/>
  <c r="W436" i="4"/>
  <c r="AE436" i="4"/>
  <c r="AC437" i="4"/>
  <c r="AA438" i="4"/>
  <c r="Y439" i="4"/>
  <c r="AG439" i="4"/>
  <c r="W440" i="4"/>
  <c r="AE440" i="4"/>
  <c r="AC441" i="4"/>
  <c r="AA442" i="4"/>
  <c r="Y443" i="4"/>
  <c r="AG443" i="4"/>
  <c r="W444" i="4"/>
  <c r="AE444" i="4"/>
  <c r="AC445" i="4"/>
  <c r="AA446" i="4"/>
  <c r="Y447" i="4"/>
  <c r="AG447" i="4"/>
  <c r="W448" i="4"/>
  <c r="AE448" i="4"/>
  <c r="AC449" i="4"/>
  <c r="AA450" i="4"/>
  <c r="W369" i="4"/>
  <c r="X370" i="4"/>
  <c r="AB371" i="4"/>
  <c r="AC372" i="4"/>
  <c r="AA373" i="4"/>
  <c r="Y374" i="4"/>
  <c r="W375" i="4"/>
  <c r="AD378" i="4"/>
  <c r="Y379" i="4"/>
  <c r="AC380" i="4"/>
  <c r="AE381" i="4"/>
  <c r="AF382" i="4"/>
  <c r="W383" i="4"/>
  <c r="AF383" i="4"/>
  <c r="W384" i="4"/>
  <c r="AF384" i="4"/>
  <c r="AD385" i="4"/>
  <c r="AB386" i="4"/>
  <c r="Z387" i="4"/>
  <c r="AH387" i="4"/>
  <c r="X388" i="4"/>
  <c r="AF388" i="4"/>
  <c r="AD389" i="4"/>
  <c r="AB390" i="4"/>
  <c r="Z391" i="4"/>
  <c r="AH391" i="4"/>
  <c r="X392" i="4"/>
  <c r="AF392" i="4"/>
  <c r="AD393" i="4"/>
  <c r="AB394" i="4"/>
  <c r="Z395" i="4"/>
  <c r="AH395" i="4"/>
  <c r="X396" i="4"/>
  <c r="AF396" i="4"/>
  <c r="AD397" i="4"/>
  <c r="AB398" i="4"/>
  <c r="Z399" i="4"/>
  <c r="AH399" i="4"/>
  <c r="X400" i="4"/>
  <c r="AF400" i="4"/>
  <c r="AD401" i="4"/>
  <c r="AB402" i="4"/>
  <c r="Z403" i="4"/>
  <c r="AH403" i="4"/>
  <c r="X404" i="4"/>
  <c r="AF404" i="4"/>
  <c r="AD405" i="4"/>
  <c r="AB406" i="4"/>
  <c r="Z407" i="4"/>
  <c r="AH407" i="4"/>
  <c r="X408" i="4"/>
  <c r="AF408" i="4"/>
  <c r="AD409" i="4"/>
  <c r="AB410" i="4"/>
  <c r="Z411" i="4"/>
  <c r="AH411" i="4"/>
  <c r="X412" i="4"/>
  <c r="AF412" i="4"/>
  <c r="AD413" i="4"/>
  <c r="AB414" i="4"/>
  <c r="Z415" i="4"/>
  <c r="AH415" i="4"/>
  <c r="X416" i="4"/>
  <c r="AF416" i="4"/>
  <c r="AD417" i="4"/>
  <c r="AB418" i="4"/>
  <c r="Z419" i="4"/>
  <c r="AH419" i="4"/>
  <c r="X420" i="4"/>
  <c r="AF420" i="4"/>
  <c r="AD421" i="4"/>
  <c r="AB422" i="4"/>
  <c r="Z423" i="4"/>
  <c r="AH423" i="4"/>
  <c r="X424" i="4"/>
  <c r="AF424" i="4"/>
  <c r="AD425" i="4"/>
  <c r="AB426" i="4"/>
  <c r="Z427" i="4"/>
  <c r="AH427" i="4"/>
  <c r="X428" i="4"/>
  <c r="AF428" i="4"/>
  <c r="AD429" i="4"/>
  <c r="AB430" i="4"/>
  <c r="Z431" i="4"/>
  <c r="AH431" i="4"/>
  <c r="X432" i="4"/>
  <c r="AF432" i="4"/>
  <c r="AD433" i="4"/>
  <c r="AB434" i="4"/>
  <c r="X369" i="4"/>
  <c r="AC370" i="4"/>
  <c r="AD371" i="4"/>
  <c r="AG372" i="4"/>
  <c r="AE373" i="4"/>
  <c r="AC374" i="4"/>
  <c r="AA375" i="4"/>
  <c r="Y376" i="4"/>
  <c r="W377" i="4"/>
  <c r="AF378" i="4"/>
  <c r="AA379" i="4"/>
  <c r="AE380" i="4"/>
  <c r="W381" i="4"/>
  <c r="AF381" i="4"/>
  <c r="X382" i="4"/>
  <c r="AG382" i="4"/>
  <c r="X383" i="4"/>
  <c r="AG383" i="4"/>
  <c r="X384" i="4"/>
  <c r="AG384" i="4"/>
  <c r="W385" i="4"/>
  <c r="AE385" i="4"/>
  <c r="AC386" i="4"/>
  <c r="AA387" i="4"/>
  <c r="Y388" i="4"/>
  <c r="AG388" i="4"/>
  <c r="W389" i="4"/>
  <c r="AE389" i="4"/>
  <c r="AC390" i="4"/>
  <c r="AA391" i="4"/>
  <c r="Y392" i="4"/>
  <c r="AG392" i="4"/>
  <c r="W393" i="4"/>
  <c r="AE393" i="4"/>
  <c r="AC394" i="4"/>
  <c r="AA395" i="4"/>
  <c r="Y396" i="4"/>
  <c r="AG396" i="4"/>
  <c r="W397" i="4"/>
  <c r="AE397" i="4"/>
  <c r="AC398" i="4"/>
  <c r="AA399" i="4"/>
  <c r="Y400" i="4"/>
  <c r="AG400" i="4"/>
  <c r="W401" i="4"/>
  <c r="AE401" i="4"/>
  <c r="AC402" i="4"/>
  <c r="AA403" i="4"/>
  <c r="Y404" i="4"/>
  <c r="AG404" i="4"/>
  <c r="W405" i="4"/>
  <c r="AE405" i="4"/>
  <c r="AC406" i="4"/>
  <c r="AA407" i="4"/>
  <c r="Y408" i="4"/>
  <c r="AG408" i="4"/>
  <c r="W409" i="4"/>
  <c r="AE409" i="4"/>
  <c r="AC410" i="4"/>
  <c r="AA411" i="4"/>
  <c r="Y412" i="4"/>
  <c r="AG412" i="4"/>
  <c r="W413" i="4"/>
  <c r="AE413" i="4"/>
  <c r="AC414" i="4"/>
  <c r="AA415" i="4"/>
  <c r="Y416" i="4"/>
  <c r="AG416" i="4"/>
  <c r="W417" i="4"/>
  <c r="AE417" i="4"/>
  <c r="AC418" i="4"/>
  <c r="AA419" i="4"/>
  <c r="Y420" i="4"/>
  <c r="AG420" i="4"/>
  <c r="W421" i="4"/>
  <c r="AE421" i="4"/>
  <c r="AC422" i="4"/>
  <c r="AA423" i="4"/>
  <c r="Y424" i="4"/>
  <c r="AG424" i="4"/>
  <c r="W425" i="4"/>
  <c r="AE425" i="4"/>
  <c r="AC426" i="4"/>
  <c r="AA427" i="4"/>
  <c r="Y428" i="4"/>
  <c r="AG428" i="4"/>
  <c r="W429" i="4"/>
  <c r="AE429" i="4"/>
  <c r="AC430" i="4"/>
  <c r="AA431" i="4"/>
  <c r="Y432" i="4"/>
  <c r="AG432" i="4"/>
  <c r="W433" i="4"/>
  <c r="AE433" i="4"/>
  <c r="AC434" i="4"/>
  <c r="AA435" i="4"/>
  <c r="Y436" i="4"/>
  <c r="AG436" i="4"/>
  <c r="W437" i="4"/>
  <c r="AE437" i="4"/>
  <c r="AC438" i="4"/>
  <c r="Z369" i="4"/>
  <c r="AD370" i="4"/>
  <c r="AH372" i="4"/>
  <c r="AF373" i="4"/>
  <c r="AD374" i="4"/>
  <c r="AB375" i="4"/>
  <c r="Z376" i="4"/>
  <c r="X377" i="4"/>
  <c r="AG378" i="4"/>
  <c r="AB379" i="4"/>
  <c r="AF380" i="4"/>
  <c r="X381" i="4"/>
  <c r="AH381" i="4"/>
  <c r="Y382" i="4"/>
  <c r="AH382" i="4"/>
  <c r="Y383" i="4"/>
  <c r="AH383" i="4"/>
  <c r="Y384" i="4"/>
  <c r="AH384" i="4"/>
  <c r="X385" i="4"/>
  <c r="AF385" i="4"/>
  <c r="AD386" i="4"/>
  <c r="AB387" i="4"/>
  <c r="Z388" i="4"/>
  <c r="AH388" i="4"/>
  <c r="X389" i="4"/>
  <c r="AF389" i="4"/>
  <c r="AD390" i="4"/>
  <c r="AB391" i="4"/>
  <c r="Z392" i="4"/>
  <c r="AH392" i="4"/>
  <c r="X393" i="4"/>
  <c r="AF393" i="4"/>
  <c r="AD394" i="4"/>
  <c r="AB395" i="4"/>
  <c r="Z396" i="4"/>
  <c r="AH396" i="4"/>
  <c r="X397" i="4"/>
  <c r="AF397" i="4"/>
  <c r="AD398" i="4"/>
  <c r="AB399" i="4"/>
  <c r="Z400" i="4"/>
  <c r="AH400" i="4"/>
  <c r="X401" i="4"/>
  <c r="AF401" i="4"/>
  <c r="AD402" i="4"/>
  <c r="AB403" i="4"/>
  <c r="Z404" i="4"/>
  <c r="AH404" i="4"/>
  <c r="X405" i="4"/>
  <c r="AF405" i="4"/>
  <c r="AD406" i="4"/>
  <c r="AB407" i="4"/>
  <c r="Z408" i="4"/>
  <c r="AH408" i="4"/>
  <c r="X409" i="4"/>
  <c r="AF409" i="4"/>
  <c r="AD410" i="4"/>
  <c r="AB411" i="4"/>
  <c r="Z412" i="4"/>
  <c r="AH412" i="4"/>
  <c r="X413" i="4"/>
  <c r="AF413" i="4"/>
  <c r="AD414" i="4"/>
  <c r="AB415" i="4"/>
  <c r="Z416" i="4"/>
  <c r="AH416" i="4"/>
  <c r="X417" i="4"/>
  <c r="AF417" i="4"/>
  <c r="AD418" i="4"/>
  <c r="AB419" i="4"/>
  <c r="Z420" i="4"/>
  <c r="AH420" i="4"/>
  <c r="X421" i="4"/>
  <c r="AF421" i="4"/>
  <c r="AD422" i="4"/>
  <c r="AB423" i="4"/>
  <c r="Z424" i="4"/>
  <c r="AH424" i="4"/>
  <c r="X425" i="4"/>
  <c r="AF425" i="4"/>
  <c r="AD426" i="4"/>
  <c r="AB427" i="4"/>
  <c r="Z428" i="4"/>
  <c r="AH428" i="4"/>
  <c r="X429" i="4"/>
  <c r="AF429" i="4"/>
  <c r="AD430" i="4"/>
  <c r="AB431" i="4"/>
  <c r="Z432" i="4"/>
  <c r="AH432" i="4"/>
  <c r="X433" i="4"/>
  <c r="AF433" i="4"/>
  <c r="AD434" i="4"/>
  <c r="AB435" i="4"/>
  <c r="Z436" i="4"/>
  <c r="AH436" i="4"/>
  <c r="X437" i="4"/>
  <c r="AF437" i="4"/>
  <c r="AD438" i="4"/>
  <c r="AB439" i="4"/>
  <c r="Z440" i="4"/>
  <c r="AH440" i="4"/>
  <c r="X441" i="4"/>
  <c r="AF441" i="4"/>
  <c r="AD442" i="4"/>
  <c r="AB443" i="4"/>
  <c r="Z444" i="4"/>
  <c r="AH444" i="4"/>
  <c r="X445" i="4"/>
  <c r="AF445" i="4"/>
  <c r="AD446" i="4"/>
  <c r="AB447" i="4"/>
  <c r="Z448" i="4"/>
  <c r="AH448" i="4"/>
  <c r="X449" i="4"/>
  <c r="AF449" i="4"/>
  <c r="AD450" i="4"/>
  <c r="Z435" i="4"/>
  <c r="AD436" i="4"/>
  <c r="AG440" i="4"/>
  <c r="AE441" i="4"/>
  <c r="AC442" i="4"/>
  <c r="X443" i="4"/>
  <c r="AF444" i="4"/>
  <c r="Z445" i="4"/>
  <c r="AC446" i="4"/>
  <c r="AF447" i="4"/>
  <c r="Y448" i="4"/>
  <c r="AB449" i="4"/>
  <c r="AF450" i="4"/>
  <c r="W451" i="4"/>
  <c r="AE451" i="4"/>
  <c r="AC452" i="4"/>
  <c r="AA453" i="4"/>
  <c r="Y454" i="4"/>
  <c r="AG454" i="4"/>
  <c r="W455" i="4"/>
  <c r="AE455" i="4"/>
  <c r="AC456" i="4"/>
  <c r="AA457" i="4"/>
  <c r="Y458" i="4"/>
  <c r="AG458" i="4"/>
  <c r="W459" i="4"/>
  <c r="AE459" i="4"/>
  <c r="AC460" i="4"/>
  <c r="AA461" i="4"/>
  <c r="Y462" i="4"/>
  <c r="AG462" i="4"/>
  <c r="W463" i="4"/>
  <c r="AE463" i="4"/>
  <c r="AC464" i="4"/>
  <c r="AA465" i="4"/>
  <c r="Y466" i="4"/>
  <c r="AG466" i="4"/>
  <c r="W467" i="4"/>
  <c r="AE467" i="4"/>
  <c r="AC468" i="4"/>
  <c r="AA469" i="4"/>
  <c r="Y470" i="4"/>
  <c r="AG470" i="4"/>
  <c r="W471" i="4"/>
  <c r="AE471" i="4"/>
  <c r="AC472" i="4"/>
  <c r="AA473" i="4"/>
  <c r="Y474" i="4"/>
  <c r="AG474" i="4"/>
  <c r="W475" i="4"/>
  <c r="AE475" i="4"/>
  <c r="AC476" i="4"/>
  <c r="AA477" i="4"/>
  <c r="Y478" i="4"/>
  <c r="AG478" i="4"/>
  <c r="W479" i="4"/>
  <c r="AE479" i="4"/>
  <c r="AC480" i="4"/>
  <c r="AA481" i="4"/>
  <c r="Y482" i="4"/>
  <c r="AG482" i="4"/>
  <c r="W483" i="4"/>
  <c r="AE483" i="4"/>
  <c r="AC484" i="4"/>
  <c r="AA485" i="4"/>
  <c r="Y486" i="4"/>
  <c r="AG486" i="4"/>
  <c r="W487" i="4"/>
  <c r="AE487" i="4"/>
  <c r="AC488" i="4"/>
  <c r="AA489" i="4"/>
  <c r="Y490" i="4"/>
  <c r="AG490" i="4"/>
  <c r="W491" i="4"/>
  <c r="AE491" i="4"/>
  <c r="AC492" i="4"/>
  <c r="AA493" i="4"/>
  <c r="Y494" i="4"/>
  <c r="AG494" i="4"/>
  <c r="W495" i="4"/>
  <c r="AE495" i="4"/>
  <c r="AC496" i="4"/>
  <c r="AA497" i="4"/>
  <c r="Y498" i="4"/>
  <c r="AG498" i="4"/>
  <c r="W499" i="4"/>
  <c r="AE499" i="4"/>
  <c r="AC500" i="4"/>
  <c r="AA501" i="4"/>
  <c r="Y502" i="4"/>
  <c r="AG502" i="4"/>
  <c r="W503" i="4"/>
  <c r="AE503" i="4"/>
  <c r="AC504" i="4"/>
  <c r="AA505" i="4"/>
  <c r="Y506" i="4"/>
  <c r="AG506" i="4"/>
  <c r="W507" i="4"/>
  <c r="AE507" i="4"/>
  <c r="AC508" i="4"/>
  <c r="AA509" i="4"/>
  <c r="Y510" i="4"/>
  <c r="AG510" i="4"/>
  <c r="W511" i="4"/>
  <c r="AE511" i="4"/>
  <c r="AC512" i="4"/>
  <c r="AA513" i="4"/>
  <c r="AE435" i="4"/>
  <c r="AF436" i="4"/>
  <c r="W439" i="4"/>
  <c r="AE442" i="4"/>
  <c r="Z443" i="4"/>
  <c r="AG444" i="4"/>
  <c r="AA445" i="4"/>
  <c r="AE446" i="4"/>
  <c r="W447" i="4"/>
  <c r="AH447" i="4"/>
  <c r="AA448" i="4"/>
  <c r="AD449" i="4"/>
  <c r="W450" i="4"/>
  <c r="AG450" i="4"/>
  <c r="X451" i="4"/>
  <c r="AF451" i="4"/>
  <c r="AD452" i="4"/>
  <c r="AB453" i="4"/>
  <c r="Z454" i="4"/>
  <c r="AH454" i="4"/>
  <c r="X455" i="4"/>
  <c r="AF455" i="4"/>
  <c r="AD456" i="4"/>
  <c r="AB457" i="4"/>
  <c r="Z458" i="4"/>
  <c r="AH458" i="4"/>
  <c r="X459" i="4"/>
  <c r="AF459" i="4"/>
  <c r="AD460" i="4"/>
  <c r="AB461" i="4"/>
  <c r="Z462" i="4"/>
  <c r="AH462" i="4"/>
  <c r="X463" i="4"/>
  <c r="AF463" i="4"/>
  <c r="AD464" i="4"/>
  <c r="AB465" i="4"/>
  <c r="Z466" i="4"/>
  <c r="AH466" i="4"/>
  <c r="X467" i="4"/>
  <c r="AF467" i="4"/>
  <c r="AD468" i="4"/>
  <c r="AB469" i="4"/>
  <c r="Z470" i="4"/>
  <c r="AH470" i="4"/>
  <c r="X471" i="4"/>
  <c r="AF471" i="4"/>
  <c r="AD472" i="4"/>
  <c r="AB473" i="4"/>
  <c r="Z474" i="4"/>
  <c r="AH474" i="4"/>
  <c r="X475" i="4"/>
  <c r="AF475" i="4"/>
  <c r="AD476" i="4"/>
  <c r="AB477" i="4"/>
  <c r="Z478" i="4"/>
  <c r="AH478" i="4"/>
  <c r="X479" i="4"/>
  <c r="AF479" i="4"/>
  <c r="AD480" i="4"/>
  <c r="AB481" i="4"/>
  <c r="Z482" i="4"/>
  <c r="AH482" i="4"/>
  <c r="X483" i="4"/>
  <c r="AF483" i="4"/>
  <c r="AD484" i="4"/>
  <c r="AB485" i="4"/>
  <c r="Z486" i="4"/>
  <c r="AH486" i="4"/>
  <c r="X487" i="4"/>
  <c r="AF487" i="4"/>
  <c r="AD488" i="4"/>
  <c r="AB489" i="4"/>
  <c r="Z490" i="4"/>
  <c r="AH490" i="4"/>
  <c r="X491" i="4"/>
  <c r="AF491" i="4"/>
  <c r="AD492" i="4"/>
  <c r="AB493" i="4"/>
  <c r="Z494" i="4"/>
  <c r="AH494" i="4"/>
  <c r="X495" i="4"/>
  <c r="AF495" i="4"/>
  <c r="AD496" i="4"/>
  <c r="AB497" i="4"/>
  <c r="Z498" i="4"/>
  <c r="AH498" i="4"/>
  <c r="X499" i="4"/>
  <c r="AF499" i="4"/>
  <c r="AD500" i="4"/>
  <c r="AB501" i="4"/>
  <c r="Z502" i="4"/>
  <c r="AH502" i="4"/>
  <c r="X503" i="4"/>
  <c r="AF503" i="4"/>
  <c r="AD504" i="4"/>
  <c r="AB505" i="4"/>
  <c r="Z506" i="4"/>
  <c r="AH506" i="4"/>
  <c r="X507" i="4"/>
  <c r="AF507" i="4"/>
  <c r="AD508" i="4"/>
  <c r="AB509" i="4"/>
  <c r="Z510" i="4"/>
  <c r="AH510" i="4"/>
  <c r="X511" i="4"/>
  <c r="AF511" i="4"/>
  <c r="AD512" i="4"/>
  <c r="AB513" i="4"/>
  <c r="Z514" i="4"/>
  <c r="AH514" i="4"/>
  <c r="X515" i="4"/>
  <c r="AF515" i="4"/>
  <c r="AD516" i="4"/>
  <c r="Y434" i="4"/>
  <c r="AF435" i="4"/>
  <c r="X439" i="4"/>
  <c r="AG442" i="4"/>
  <c r="AA443" i="4"/>
  <c r="AB445" i="4"/>
  <c r="AF446" i="4"/>
  <c r="X447" i="4"/>
  <c r="AB448" i="4"/>
  <c r="AE449" i="4"/>
  <c r="X450" i="4"/>
  <c r="AH450" i="4"/>
  <c r="Y451" i="4"/>
  <c r="AG451" i="4"/>
  <c r="W452" i="4"/>
  <c r="AE452" i="4"/>
  <c r="AC453" i="4"/>
  <c r="AA454" i="4"/>
  <c r="Y455" i="4"/>
  <c r="AG455" i="4"/>
  <c r="W456" i="4"/>
  <c r="AE456" i="4"/>
  <c r="AC457" i="4"/>
  <c r="AA458" i="4"/>
  <c r="Y459" i="4"/>
  <c r="AG459" i="4"/>
  <c r="W460" i="4"/>
  <c r="AE460" i="4"/>
  <c r="AC461" i="4"/>
  <c r="AA462" i="4"/>
  <c r="Y463" i="4"/>
  <c r="AG463" i="4"/>
  <c r="W464" i="4"/>
  <c r="AE464" i="4"/>
  <c r="AC465" i="4"/>
  <c r="AA466" i="4"/>
  <c r="Y467" i="4"/>
  <c r="AG467" i="4"/>
  <c r="W468" i="4"/>
  <c r="AE468" i="4"/>
  <c r="AC469" i="4"/>
  <c r="AA470" i="4"/>
  <c r="Y471" i="4"/>
  <c r="AG471" i="4"/>
  <c r="W472" i="4"/>
  <c r="AE472" i="4"/>
  <c r="AC473" i="4"/>
  <c r="AA474" i="4"/>
  <c r="Y475" i="4"/>
  <c r="AG475" i="4"/>
  <c r="W476" i="4"/>
  <c r="AE476" i="4"/>
  <c r="AC477" i="4"/>
  <c r="AA478" i="4"/>
  <c r="Y479" i="4"/>
  <c r="AG479" i="4"/>
  <c r="W480" i="4"/>
  <c r="AE480" i="4"/>
  <c r="AC481" i="4"/>
  <c r="AA482" i="4"/>
  <c r="Y483" i="4"/>
  <c r="AG483" i="4"/>
  <c r="W484" i="4"/>
  <c r="AE484" i="4"/>
  <c r="AC485" i="4"/>
  <c r="AA486" i="4"/>
  <c r="Y487" i="4"/>
  <c r="AG487" i="4"/>
  <c r="W488" i="4"/>
  <c r="AE488" i="4"/>
  <c r="AC489" i="4"/>
  <c r="AA490" i="4"/>
  <c r="Y491" i="4"/>
  <c r="AG491" i="4"/>
  <c r="W492" i="4"/>
  <c r="AE492" i="4"/>
  <c r="AC493" i="4"/>
  <c r="AA494" i="4"/>
  <c r="Y495" i="4"/>
  <c r="AG495" i="4"/>
  <c r="W496" i="4"/>
  <c r="AE496" i="4"/>
  <c r="AC497" i="4"/>
  <c r="AA498" i="4"/>
  <c r="Y499" i="4"/>
  <c r="AG499" i="4"/>
  <c r="W500" i="4"/>
  <c r="AE500" i="4"/>
  <c r="AC501" i="4"/>
  <c r="AA502" i="4"/>
  <c r="Y503" i="4"/>
  <c r="AG503" i="4"/>
  <c r="W504" i="4"/>
  <c r="AE504" i="4"/>
  <c r="AC505" i="4"/>
  <c r="Z434" i="4"/>
  <c r="AH435" i="4"/>
  <c r="Y438" i="4"/>
  <c r="Z439" i="4"/>
  <c r="X440" i="4"/>
  <c r="AH442" i="4"/>
  <c r="AC443" i="4"/>
  <c r="X444" i="4"/>
  <c r="AD445" i="4"/>
  <c r="W446" i="4"/>
  <c r="AG446" i="4"/>
  <c r="Z447" i="4"/>
  <c r="AC448" i="4"/>
  <c r="AG449" i="4"/>
  <c r="Y450" i="4"/>
  <c r="Z451" i="4"/>
  <c r="AH451" i="4"/>
  <c r="X452" i="4"/>
  <c r="AF452" i="4"/>
  <c r="AD453" i="4"/>
  <c r="AB454" i="4"/>
  <c r="Z455" i="4"/>
  <c r="AH455" i="4"/>
  <c r="X456" i="4"/>
  <c r="AF456" i="4"/>
  <c r="AD457" i="4"/>
  <c r="AB458" i="4"/>
  <c r="Z459" i="4"/>
  <c r="AH459" i="4"/>
  <c r="X460" i="4"/>
  <c r="AF460" i="4"/>
  <c r="AD461" i="4"/>
  <c r="AB462" i="4"/>
  <c r="Z463" i="4"/>
  <c r="AH463" i="4"/>
  <c r="X464" i="4"/>
  <c r="AF464" i="4"/>
  <c r="AD465" i="4"/>
  <c r="AB466" i="4"/>
  <c r="Z467" i="4"/>
  <c r="AH467" i="4"/>
  <c r="X468" i="4"/>
  <c r="AF468" i="4"/>
  <c r="AD469" i="4"/>
  <c r="AB470" i="4"/>
  <c r="Z471" i="4"/>
  <c r="AH471" i="4"/>
  <c r="X472" i="4"/>
  <c r="AF472" i="4"/>
  <c r="AD473" i="4"/>
  <c r="AB474" i="4"/>
  <c r="Z475" i="4"/>
  <c r="AH475" i="4"/>
  <c r="X476" i="4"/>
  <c r="AF476" i="4"/>
  <c r="AD477" i="4"/>
  <c r="AB478" i="4"/>
  <c r="Z479" i="4"/>
  <c r="AH479" i="4"/>
  <c r="X480" i="4"/>
  <c r="AF480" i="4"/>
  <c r="AD481" i="4"/>
  <c r="AB482" i="4"/>
  <c r="Z483" i="4"/>
  <c r="AH483" i="4"/>
  <c r="X484" i="4"/>
  <c r="AF484" i="4"/>
  <c r="AD485" i="4"/>
  <c r="AB486" i="4"/>
  <c r="Z487" i="4"/>
  <c r="AH487" i="4"/>
  <c r="X488" i="4"/>
  <c r="AF488" i="4"/>
  <c r="AD489" i="4"/>
  <c r="AB490" i="4"/>
  <c r="Z491" i="4"/>
  <c r="AH491" i="4"/>
  <c r="X492" i="4"/>
  <c r="AF492" i="4"/>
  <c r="AD493" i="4"/>
  <c r="AB494" i="4"/>
  <c r="Z495" i="4"/>
  <c r="AH495" i="4"/>
  <c r="X496" i="4"/>
  <c r="AF496" i="4"/>
  <c r="AD497" i="4"/>
  <c r="AB498" i="4"/>
  <c r="Z499" i="4"/>
  <c r="AH499" i="4"/>
  <c r="X500" i="4"/>
  <c r="AF500" i="4"/>
  <c r="AD501" i="4"/>
  <c r="AB502" i="4"/>
  <c r="Z503" i="4"/>
  <c r="AH503" i="4"/>
  <c r="X504" i="4"/>
  <c r="AF504" i="4"/>
  <c r="AD505" i="4"/>
  <c r="AG434" i="4"/>
  <c r="Z438" i="4"/>
  <c r="AA439" i="4"/>
  <c r="Y440" i="4"/>
  <c r="W441" i="4"/>
  <c r="AE443" i="4"/>
  <c r="Y444" i="4"/>
  <c r="AE445" i="4"/>
  <c r="X446" i="4"/>
  <c r="AH446" i="4"/>
  <c r="AA447" i="4"/>
  <c r="AD448" i="4"/>
  <c r="W449" i="4"/>
  <c r="AH449" i="4"/>
  <c r="Z450" i="4"/>
  <c r="AA451" i="4"/>
  <c r="Y452" i="4"/>
  <c r="AG452" i="4"/>
  <c r="W453" i="4"/>
  <c r="AE453" i="4"/>
  <c r="AC454" i="4"/>
  <c r="AA455" i="4"/>
  <c r="Y456" i="4"/>
  <c r="AG456" i="4"/>
  <c r="W457" i="4"/>
  <c r="AE457" i="4"/>
  <c r="AC458" i="4"/>
  <c r="AA459" i="4"/>
  <c r="Y460" i="4"/>
  <c r="AG460" i="4"/>
  <c r="W461" i="4"/>
  <c r="AE461" i="4"/>
  <c r="AC462" i="4"/>
  <c r="AA463" i="4"/>
  <c r="Y464" i="4"/>
  <c r="AG464" i="4"/>
  <c r="W465" i="4"/>
  <c r="AE465" i="4"/>
  <c r="AC466" i="4"/>
  <c r="AA467" i="4"/>
  <c r="Y468" i="4"/>
  <c r="AG468" i="4"/>
  <c r="W469" i="4"/>
  <c r="AE469" i="4"/>
  <c r="AC470" i="4"/>
  <c r="AA471" i="4"/>
  <c r="Y472" i="4"/>
  <c r="AG472" i="4"/>
  <c r="W473" i="4"/>
  <c r="AE473" i="4"/>
  <c r="AC474" i="4"/>
  <c r="AA475" i="4"/>
  <c r="Y476" i="4"/>
  <c r="AG476" i="4"/>
  <c r="W477" i="4"/>
  <c r="AE477" i="4"/>
  <c r="AC478" i="4"/>
  <c r="AA479" i="4"/>
  <c r="Y480" i="4"/>
  <c r="AG480" i="4"/>
  <c r="W481" i="4"/>
  <c r="AE481" i="4"/>
  <c r="AC482" i="4"/>
  <c r="AA483" i="4"/>
  <c r="Y484" i="4"/>
  <c r="AG484" i="4"/>
  <c r="W485" i="4"/>
  <c r="AE485" i="4"/>
  <c r="AC486" i="4"/>
  <c r="AA487" i="4"/>
  <c r="Y488" i="4"/>
  <c r="AG488" i="4"/>
  <c r="W489" i="4"/>
  <c r="AE489" i="4"/>
  <c r="AC490" i="4"/>
  <c r="AA491" i="4"/>
  <c r="Y492" i="4"/>
  <c r="AG492" i="4"/>
  <c r="W493" i="4"/>
  <c r="AE493" i="4"/>
  <c r="AC494" i="4"/>
  <c r="AA495" i="4"/>
  <c r="Y496" i="4"/>
  <c r="AG496" i="4"/>
  <c r="W497" i="4"/>
  <c r="AE497" i="4"/>
  <c r="AC498" i="4"/>
  <c r="AA499" i="4"/>
  <c r="Y500" i="4"/>
  <c r="AG500" i="4"/>
  <c r="W501" i="4"/>
  <c r="AE501" i="4"/>
  <c r="AC502" i="4"/>
  <c r="AA503" i="4"/>
  <c r="Y504" i="4"/>
  <c r="AG504" i="4"/>
  <c r="W505" i="4"/>
  <c r="AE505" i="4"/>
  <c r="AC506" i="4"/>
  <c r="AA507" i="4"/>
  <c r="Y508" i="4"/>
  <c r="AG508" i="4"/>
  <c r="W509" i="4"/>
  <c r="AE509" i="4"/>
  <c r="AC510" i="4"/>
  <c r="AA511" i="4"/>
  <c r="Y512" i="4"/>
  <c r="AG512" i="4"/>
  <c r="W513" i="4"/>
  <c r="AE513" i="4"/>
  <c r="AC514" i="4"/>
  <c r="AA515" i="4"/>
  <c r="Y516" i="4"/>
  <c r="AG516" i="4"/>
  <c r="W517" i="4"/>
  <c r="AE517" i="4"/>
  <c r="AC518" i="4"/>
  <c r="AA519" i="4"/>
  <c r="Y520" i="4"/>
  <c r="AG520" i="4"/>
  <c r="W521" i="4"/>
  <c r="AE521" i="4"/>
  <c r="AH434" i="4"/>
  <c r="AA437" i="4"/>
  <c r="AB438" i="4"/>
  <c r="AE439" i="4"/>
  <c r="AC440" i="4"/>
  <c r="AA441" i="4"/>
  <c r="Y442" i="4"/>
  <c r="AF443" i="4"/>
  <c r="AA444" i="4"/>
  <c r="AG445" i="4"/>
  <c r="Y446" i="4"/>
  <c r="AC447" i="4"/>
  <c r="AF448" i="4"/>
  <c r="Y449" i="4"/>
  <c r="AB450" i="4"/>
  <c r="AB451" i="4"/>
  <c r="Z452" i="4"/>
  <c r="AH452" i="4"/>
  <c r="X453" i="4"/>
  <c r="AF453" i="4"/>
  <c r="AD454" i="4"/>
  <c r="AB455" i="4"/>
  <c r="Z456" i="4"/>
  <c r="AH456" i="4"/>
  <c r="X457" i="4"/>
  <c r="AF457" i="4"/>
  <c r="AD458" i="4"/>
  <c r="AB459" i="4"/>
  <c r="Z460" i="4"/>
  <c r="AH460" i="4"/>
  <c r="X461" i="4"/>
  <c r="AF461" i="4"/>
  <c r="AD462" i="4"/>
  <c r="AB463" i="4"/>
  <c r="Z464" i="4"/>
  <c r="AH464" i="4"/>
  <c r="X465" i="4"/>
  <c r="AF465" i="4"/>
  <c r="AD466" i="4"/>
  <c r="AB467" i="4"/>
  <c r="Z468" i="4"/>
  <c r="AH468" i="4"/>
  <c r="X469" i="4"/>
  <c r="AF469" i="4"/>
  <c r="AD470" i="4"/>
  <c r="AB471" i="4"/>
  <c r="Z472" i="4"/>
  <c r="AH472" i="4"/>
  <c r="X473" i="4"/>
  <c r="AF473" i="4"/>
  <c r="AD474" i="4"/>
  <c r="AB475" i="4"/>
  <c r="Z476" i="4"/>
  <c r="AH476" i="4"/>
  <c r="X477" i="4"/>
  <c r="AF477" i="4"/>
  <c r="AD478" i="4"/>
  <c r="AB479" i="4"/>
  <c r="Z480" i="4"/>
  <c r="AH480" i="4"/>
  <c r="X481" i="4"/>
  <c r="AF481" i="4"/>
  <c r="AD482" i="4"/>
  <c r="AB483" i="4"/>
  <c r="Z484" i="4"/>
  <c r="AH484" i="4"/>
  <c r="X485" i="4"/>
  <c r="AF485" i="4"/>
  <c r="AD486" i="4"/>
  <c r="AB487" i="4"/>
  <c r="Z488" i="4"/>
  <c r="AH488" i="4"/>
  <c r="X489" i="4"/>
  <c r="AF489" i="4"/>
  <c r="AD490" i="4"/>
  <c r="AB491" i="4"/>
  <c r="Z492" i="4"/>
  <c r="AH492" i="4"/>
  <c r="X493" i="4"/>
  <c r="AF493" i="4"/>
  <c r="AD494" i="4"/>
  <c r="AB495" i="4"/>
  <c r="Z496" i="4"/>
  <c r="AH496" i="4"/>
  <c r="X497" i="4"/>
  <c r="AF497" i="4"/>
  <c r="AD498" i="4"/>
  <c r="AB499" i="4"/>
  <c r="Z500" i="4"/>
  <c r="AH500" i="4"/>
  <c r="X501" i="4"/>
  <c r="AF501" i="4"/>
  <c r="AD502" i="4"/>
  <c r="AB503" i="4"/>
  <c r="Z504" i="4"/>
  <c r="AH504" i="4"/>
  <c r="X505" i="4"/>
  <c r="AF505" i="4"/>
  <c r="AD506" i="4"/>
  <c r="W435" i="4"/>
  <c r="X436" i="4"/>
  <c r="AB437" i="4"/>
  <c r="AG438" i="4"/>
  <c r="AF439" i="4"/>
  <c r="AD440" i="4"/>
  <c r="AB441" i="4"/>
  <c r="Z442" i="4"/>
  <c r="AH443" i="4"/>
  <c r="AC444" i="4"/>
  <c r="W445" i="4"/>
  <c r="AH445" i="4"/>
  <c r="Z446" i="4"/>
  <c r="AD447" i="4"/>
  <c r="AG448" i="4"/>
  <c r="Z449" i="4"/>
  <c r="AC450" i="4"/>
  <c r="AC451" i="4"/>
  <c r="AA452" i="4"/>
  <c r="Y453" i="4"/>
  <c r="AG453" i="4"/>
  <c r="W454" i="4"/>
  <c r="AE454" i="4"/>
  <c r="AC455" i="4"/>
  <c r="AA456" i="4"/>
  <c r="Y457" i="4"/>
  <c r="AG457" i="4"/>
  <c r="W458" i="4"/>
  <c r="AE458" i="4"/>
  <c r="AC459" i="4"/>
  <c r="AA460" i="4"/>
  <c r="Y461" i="4"/>
  <c r="AG461" i="4"/>
  <c r="W462" i="4"/>
  <c r="AE462" i="4"/>
  <c r="AC463" i="4"/>
  <c r="AA464" i="4"/>
  <c r="Y465" i="4"/>
  <c r="AG465" i="4"/>
  <c r="W466" i="4"/>
  <c r="AE466" i="4"/>
  <c r="AC467" i="4"/>
  <c r="AA468" i="4"/>
  <c r="Y469" i="4"/>
  <c r="AG469" i="4"/>
  <c r="W470" i="4"/>
  <c r="AE470" i="4"/>
  <c r="AC471" i="4"/>
  <c r="AA472" i="4"/>
  <c r="Y473" i="4"/>
  <c r="AG473" i="4"/>
  <c r="W474" i="4"/>
  <c r="AE474" i="4"/>
  <c r="AC475" i="4"/>
  <c r="AA476" i="4"/>
  <c r="Y477" i="4"/>
  <c r="AG477" i="4"/>
  <c r="W478" i="4"/>
  <c r="AE478" i="4"/>
  <c r="AC479" i="4"/>
  <c r="AA480" i="4"/>
  <c r="Y481" i="4"/>
  <c r="AG481" i="4"/>
  <c r="W482" i="4"/>
  <c r="AE482" i="4"/>
  <c r="AC483" i="4"/>
  <c r="AA484" i="4"/>
  <c r="Y485" i="4"/>
  <c r="AG485" i="4"/>
  <c r="W486" i="4"/>
  <c r="AE486" i="4"/>
  <c r="AC487" i="4"/>
  <c r="AA488" i="4"/>
  <c r="Y489" i="4"/>
  <c r="AG489" i="4"/>
  <c r="W490" i="4"/>
  <c r="AE490" i="4"/>
  <c r="AC491" i="4"/>
  <c r="AA492" i="4"/>
  <c r="Y493" i="4"/>
  <c r="AG493" i="4"/>
  <c r="W494" i="4"/>
  <c r="AE494" i="4"/>
  <c r="AC495" i="4"/>
  <c r="AA496" i="4"/>
  <c r="Y497" i="4"/>
  <c r="AG497" i="4"/>
  <c r="W498" i="4"/>
  <c r="AE498" i="4"/>
  <c r="AC499" i="4"/>
  <c r="AA500" i="4"/>
  <c r="Y501" i="4"/>
  <c r="AG501" i="4"/>
  <c r="W502" i="4"/>
  <c r="AE502" i="4"/>
  <c r="AC503" i="4"/>
  <c r="AA504" i="4"/>
  <c r="Y505" i="4"/>
  <c r="AG505" i="4"/>
  <c r="W506" i="4"/>
  <c r="AE506" i="4"/>
  <c r="AC507" i="4"/>
  <c r="AA508" i="4"/>
  <c r="Y509" i="4"/>
  <c r="AG509" i="4"/>
  <c r="W510" i="4"/>
  <c r="AE510" i="4"/>
  <c r="X435" i="4"/>
  <c r="AC436" i="4"/>
  <c r="AD437" i="4"/>
  <c r="AH438" i="4"/>
  <c r="AH439" i="4"/>
  <c r="AF440" i="4"/>
  <c r="AD441" i="4"/>
  <c r="AB442" i="4"/>
  <c r="W443" i="4"/>
  <c r="AD444" i="4"/>
  <c r="Y445" i="4"/>
  <c r="AB446" i="4"/>
  <c r="AE447" i="4"/>
  <c r="X448" i="4"/>
  <c r="AA449" i="4"/>
  <c r="AE450" i="4"/>
  <c r="AD451" i="4"/>
  <c r="AB452" i="4"/>
  <c r="Z453" i="4"/>
  <c r="AH453" i="4"/>
  <c r="X454" i="4"/>
  <c r="AF454" i="4"/>
  <c r="AD455" i="4"/>
  <c r="AB456" i="4"/>
  <c r="Z457" i="4"/>
  <c r="AH457" i="4"/>
  <c r="X458" i="4"/>
  <c r="AF458" i="4"/>
  <c r="AD459" i="4"/>
  <c r="AB460" i="4"/>
  <c r="Z461" i="4"/>
  <c r="AH461" i="4"/>
  <c r="X462" i="4"/>
  <c r="AF462" i="4"/>
  <c r="AD463" i="4"/>
  <c r="AB464" i="4"/>
  <c r="Z465" i="4"/>
  <c r="AH465" i="4"/>
  <c r="X466" i="4"/>
  <c r="AF466" i="4"/>
  <c r="AD467" i="4"/>
  <c r="AB468" i="4"/>
  <c r="Z469" i="4"/>
  <c r="AH469" i="4"/>
  <c r="X470" i="4"/>
  <c r="AF470" i="4"/>
  <c r="AD471" i="4"/>
  <c r="AB472" i="4"/>
  <c r="Z473" i="4"/>
  <c r="AH473" i="4"/>
  <c r="X474" i="4"/>
  <c r="AF474" i="4"/>
  <c r="AD475" i="4"/>
  <c r="AB476" i="4"/>
  <c r="Z477" i="4"/>
  <c r="AH477" i="4"/>
  <c r="X478" i="4"/>
  <c r="AF478" i="4"/>
  <c r="AD479" i="4"/>
  <c r="AB480" i="4"/>
  <c r="Z481" i="4"/>
  <c r="AH481" i="4"/>
  <c r="X482" i="4"/>
  <c r="AF482" i="4"/>
  <c r="AD483" i="4"/>
  <c r="AB484" i="4"/>
  <c r="Z485" i="4"/>
  <c r="AH485" i="4"/>
  <c r="X486" i="4"/>
  <c r="AF486" i="4"/>
  <c r="AD487" i="4"/>
  <c r="AB488" i="4"/>
  <c r="Z489" i="4"/>
  <c r="AH489" i="4"/>
  <c r="X490" i="4"/>
  <c r="AF490" i="4"/>
  <c r="AD491" i="4"/>
  <c r="AB492" i="4"/>
  <c r="Z493" i="4"/>
  <c r="AH493" i="4"/>
  <c r="X494" i="4"/>
  <c r="AF494" i="4"/>
  <c r="AD495" i="4"/>
  <c r="AB496" i="4"/>
  <c r="Z497" i="4"/>
  <c r="AH497" i="4"/>
  <c r="X498" i="4"/>
  <c r="AF498" i="4"/>
  <c r="AD499" i="4"/>
  <c r="AB500" i="4"/>
  <c r="Z501" i="4"/>
  <c r="AH501" i="4"/>
  <c r="X502" i="4"/>
  <c r="AF502" i="4"/>
  <c r="AD503" i="4"/>
  <c r="AB504" i="4"/>
  <c r="Z505" i="4"/>
  <c r="AH505" i="4"/>
  <c r="X506" i="4"/>
  <c r="AF506" i="4"/>
  <c r="AD507" i="4"/>
  <c r="AB508" i="4"/>
  <c r="Z509" i="4"/>
  <c r="AH509" i="4"/>
  <c r="X510" i="4"/>
  <c r="AF510" i="4"/>
  <c r="AD511" i="4"/>
  <c r="AB512" i="4"/>
  <c r="Z513" i="4"/>
  <c r="AH513" i="4"/>
  <c r="X514" i="4"/>
  <c r="AF514" i="4"/>
  <c r="AD515" i="4"/>
  <c r="AB516" i="4"/>
  <c r="Z517" i="4"/>
  <c r="AH517" i="4"/>
  <c r="X518" i="4"/>
  <c r="AG8" i="4"/>
  <c r="Y8" i="4"/>
  <c r="AA7" i="4"/>
  <c r="AK6" i="4"/>
  <c r="AC6" i="4"/>
  <c r="AM550" i="4"/>
  <c r="AE550" i="4"/>
  <c r="W550" i="4"/>
  <c r="AG549" i="4"/>
  <c r="Y549" i="4"/>
  <c r="AA548" i="4"/>
  <c r="AK547" i="4"/>
  <c r="AC547" i="4"/>
  <c r="AM546" i="4"/>
  <c r="AE546" i="4"/>
  <c r="W546" i="4"/>
  <c r="AG545" i="4"/>
  <c r="Y545" i="4"/>
  <c r="AA544" i="4"/>
  <c r="AK543" i="4"/>
  <c r="AC543" i="4"/>
  <c r="AM542" i="4"/>
  <c r="AE542" i="4"/>
  <c r="W542" i="4"/>
  <c r="AG541" i="4"/>
  <c r="Y541" i="4"/>
  <c r="AA540" i="4"/>
  <c r="AK539" i="4"/>
  <c r="AC539" i="4"/>
  <c r="AM538" i="4"/>
  <c r="AE538" i="4"/>
  <c r="W538" i="4"/>
  <c r="AG537" i="4"/>
  <c r="Y537" i="4"/>
  <c r="AA536" i="4"/>
  <c r="AK535" i="4"/>
  <c r="AC535" i="4"/>
  <c r="AM534" i="4"/>
  <c r="AE534" i="4"/>
  <c r="W534" i="4"/>
  <c r="AG533" i="4"/>
  <c r="Y533" i="4"/>
  <c r="AA532" i="4"/>
  <c r="AK531" i="4"/>
  <c r="AC531" i="4"/>
  <c r="AM530" i="4"/>
  <c r="AE530" i="4"/>
  <c r="W530" i="4"/>
  <c r="AG529" i="4"/>
  <c r="Y529" i="4"/>
  <c r="AA528" i="4"/>
  <c r="AK527" i="4"/>
  <c r="AC527" i="4"/>
  <c r="AM526" i="4"/>
  <c r="AE526" i="4"/>
  <c r="W526" i="4"/>
  <c r="AG525" i="4"/>
  <c r="Y525" i="4"/>
  <c r="AA524" i="4"/>
  <c r="AK523" i="4"/>
  <c r="AC523" i="4"/>
  <c r="AM522" i="4"/>
  <c r="AE522" i="4"/>
  <c r="W522" i="4"/>
  <c r="AF521" i="4"/>
  <c r="AE520" i="4"/>
  <c r="AE519" i="4"/>
  <c r="AE518" i="4"/>
  <c r="AL517" i="4"/>
  <c r="AB517" i="4"/>
  <c r="W516" i="4"/>
  <c r="AB515" i="4"/>
  <c r="AG514" i="4"/>
  <c r="AL513" i="4"/>
  <c r="X512" i="4"/>
  <c r="Z511" i="4"/>
  <c r="AM508" i="4"/>
  <c r="AH507" i="4"/>
  <c r="AA506" i="4"/>
  <c r="AB5" i="4"/>
  <c r="AJ5" i="4"/>
  <c r="AK5" i="4"/>
  <c r="AC5" i="4"/>
  <c r="AI5" i="4"/>
  <c r="AA5" i="4"/>
  <c r="AH5" i="4"/>
  <c r="Z5" i="4"/>
  <c r="AG5" i="4"/>
  <c r="Y5" i="4"/>
  <c r="AF5" i="4"/>
  <c r="X5" i="4"/>
  <c r="AM5" i="4"/>
  <c r="AE5" i="4"/>
  <c r="W5" i="4"/>
  <c r="AL5" i="4"/>
  <c r="AD5" i="4"/>
  <c r="E11" i="2"/>
  <c r="K15" i="2"/>
  <c r="K17" i="2"/>
  <c r="K13" i="2"/>
  <c r="K20" i="2"/>
  <c r="K12" i="2"/>
  <c r="K26" i="2"/>
  <c r="K18" i="2"/>
  <c r="K25" i="2"/>
  <c r="K24" i="2"/>
  <c r="K16" i="2"/>
  <c r="K23" i="2"/>
  <c r="K22" i="2"/>
  <c r="K14" i="2"/>
  <c r="K28" i="2"/>
  <c r="K21" i="2"/>
  <c r="K27" i="2"/>
  <c r="K19" i="2"/>
  <c r="Z515" i="4" l="1"/>
  <c r="Z524" i="4"/>
  <c r="Z528" i="4"/>
  <c r="Z532" i="4"/>
  <c r="Z536" i="4"/>
  <c r="Z540" i="4"/>
  <c r="Z544" i="4"/>
  <c r="Z548" i="4"/>
  <c r="Z7" i="4"/>
  <c r="AH532" i="4"/>
  <c r="AH536" i="4"/>
  <c r="AH540" i="4"/>
  <c r="AH544" i="4"/>
  <c r="AH548" i="4"/>
  <c r="AH7" i="4"/>
  <c r="AD545" i="4"/>
  <c r="AD549" i="4"/>
  <c r="AD8" i="4"/>
  <c r="AD514" i="4"/>
  <c r="AC519" i="4"/>
  <c r="AA523" i="4"/>
  <c r="AA527" i="4"/>
  <c r="AA531" i="4"/>
  <c r="AA535" i="4"/>
  <c r="AA539" i="4"/>
  <c r="AA543" i="4"/>
  <c r="AA547" i="4"/>
  <c r="AA6" i="4"/>
  <c r="AH516" i="4"/>
  <c r="X525" i="4"/>
  <c r="X529" i="4"/>
  <c r="X533" i="4"/>
  <c r="X537" i="4"/>
  <c r="X541" i="4"/>
  <c r="X545" i="4"/>
  <c r="X549" i="4"/>
  <c r="X8" i="4"/>
  <c r="V5" i="4"/>
  <c r="AN5" i="4" s="1"/>
  <c r="V9" i="4"/>
  <c r="V10" i="4"/>
  <c r="V11" i="4"/>
  <c r="V19" i="4"/>
  <c r="V23" i="4"/>
  <c r="V27" i="4"/>
  <c r="V31" i="4"/>
  <c r="V35" i="4"/>
  <c r="V39" i="4"/>
  <c r="V43" i="4"/>
  <c r="V12" i="4"/>
  <c r="V20" i="4"/>
  <c r="V24" i="4"/>
  <c r="V28" i="4"/>
  <c r="V32" i="4"/>
  <c r="V36" i="4"/>
  <c r="V16" i="4"/>
  <c r="V13" i="4"/>
  <c r="V17" i="4"/>
  <c r="V21" i="4"/>
  <c r="V25" i="4"/>
  <c r="V29" i="4"/>
  <c r="V33" i="4"/>
  <c r="V37" i="4"/>
  <c r="V15" i="4"/>
  <c r="V18" i="4"/>
  <c r="V22" i="4"/>
  <c r="V26" i="4"/>
  <c r="V30" i="4"/>
  <c r="V48" i="4"/>
  <c r="V52" i="4"/>
  <c r="V56" i="4"/>
  <c r="V60" i="4"/>
  <c r="V44" i="4"/>
  <c r="V45" i="4"/>
  <c r="V49" i="4"/>
  <c r="V53" i="4"/>
  <c r="V57" i="4"/>
  <c r="V61" i="4"/>
  <c r="V40" i="4"/>
  <c r="V41" i="4"/>
  <c r="V42" i="4"/>
  <c r="V38" i="4"/>
  <c r="V46" i="4"/>
  <c r="V50" i="4"/>
  <c r="V54" i="4"/>
  <c r="V64" i="4"/>
  <c r="V68" i="4"/>
  <c r="V14" i="4"/>
  <c r="V76" i="4"/>
  <c r="V80" i="4"/>
  <c r="V84" i="4"/>
  <c r="V88" i="4"/>
  <c r="V92" i="4"/>
  <c r="V96" i="4"/>
  <c r="V58" i="4"/>
  <c r="V34" i="4"/>
  <c r="V47" i="4"/>
  <c r="V65" i="4"/>
  <c r="V67" i="4"/>
  <c r="V77" i="4"/>
  <c r="V81" i="4"/>
  <c r="V85" i="4"/>
  <c r="V89" i="4"/>
  <c r="V93" i="4"/>
  <c r="V97" i="4"/>
  <c r="V51" i="4"/>
  <c r="V62" i="4"/>
  <c r="V55" i="4"/>
  <c r="V63" i="4"/>
  <c r="V72" i="4"/>
  <c r="V73" i="4"/>
  <c r="V74" i="4"/>
  <c r="V78" i="4"/>
  <c r="V82" i="4"/>
  <c r="V86" i="4"/>
  <c r="V90" i="4"/>
  <c r="V94" i="4"/>
  <c r="V66" i="4"/>
  <c r="V69" i="4"/>
  <c r="V70" i="4"/>
  <c r="V71" i="4"/>
  <c r="V59" i="4"/>
  <c r="V75" i="4"/>
  <c r="V116" i="4"/>
  <c r="V120" i="4"/>
  <c r="V124" i="4"/>
  <c r="V128" i="4"/>
  <c r="V132" i="4"/>
  <c r="V136" i="4"/>
  <c r="V140" i="4"/>
  <c r="V144" i="4"/>
  <c r="V148" i="4"/>
  <c r="V152" i="4"/>
  <c r="V79" i="4"/>
  <c r="V99" i="4"/>
  <c r="V104" i="4"/>
  <c r="V112" i="4"/>
  <c r="V83" i="4"/>
  <c r="V102" i="4"/>
  <c r="V108" i="4"/>
  <c r="V109" i="4"/>
  <c r="V110" i="4"/>
  <c r="V111" i="4"/>
  <c r="V113" i="4"/>
  <c r="V117" i="4"/>
  <c r="V121" i="4"/>
  <c r="V125" i="4"/>
  <c r="V129" i="4"/>
  <c r="V133" i="4"/>
  <c r="V137" i="4"/>
  <c r="V141" i="4"/>
  <c r="V87" i="4"/>
  <c r="V106" i="4"/>
  <c r="V107" i="4"/>
  <c r="V91" i="4"/>
  <c r="V100" i="4"/>
  <c r="V105" i="4"/>
  <c r="V114" i="4"/>
  <c r="V118" i="4"/>
  <c r="V122" i="4"/>
  <c r="V126" i="4"/>
  <c r="V130" i="4"/>
  <c r="V134" i="4"/>
  <c r="V138" i="4"/>
  <c r="V142" i="4"/>
  <c r="V95" i="4"/>
  <c r="V98" i="4"/>
  <c r="V103" i="4"/>
  <c r="V115" i="4"/>
  <c r="V119" i="4"/>
  <c r="V123" i="4"/>
  <c r="V127" i="4"/>
  <c r="V131" i="4"/>
  <c r="V135" i="4"/>
  <c r="V156" i="4"/>
  <c r="V160" i="4"/>
  <c r="V164" i="4"/>
  <c r="V168" i="4"/>
  <c r="V172" i="4"/>
  <c r="V149" i="4"/>
  <c r="V150" i="4"/>
  <c r="V151" i="4"/>
  <c r="V143" i="4"/>
  <c r="V145" i="4"/>
  <c r="V146" i="4"/>
  <c r="V147" i="4"/>
  <c r="V153" i="4"/>
  <c r="V157" i="4"/>
  <c r="V161" i="4"/>
  <c r="V165" i="4"/>
  <c r="V169" i="4"/>
  <c r="V154" i="4"/>
  <c r="V158" i="4"/>
  <c r="V162" i="4"/>
  <c r="V166" i="4"/>
  <c r="V170" i="4"/>
  <c r="V101" i="4"/>
  <c r="V139" i="4"/>
  <c r="V167" i="4"/>
  <c r="V174" i="4"/>
  <c r="V176" i="4"/>
  <c r="V182" i="4"/>
  <c r="V192" i="4"/>
  <c r="V193" i="4"/>
  <c r="V197" i="4"/>
  <c r="V201" i="4"/>
  <c r="V205" i="4"/>
  <c r="V209" i="4"/>
  <c r="V213" i="4"/>
  <c r="V217" i="4"/>
  <c r="V221" i="4"/>
  <c r="V225" i="4"/>
  <c r="V229" i="4"/>
  <c r="V171" i="4"/>
  <c r="V173" i="4"/>
  <c r="V177" i="4"/>
  <c r="V188" i="4"/>
  <c r="V189" i="4"/>
  <c r="V190" i="4"/>
  <c r="V191" i="4"/>
  <c r="V180" i="4"/>
  <c r="V184" i="4"/>
  <c r="V185" i="4"/>
  <c r="V186" i="4"/>
  <c r="V187" i="4"/>
  <c r="V194" i="4"/>
  <c r="V198" i="4"/>
  <c r="V202" i="4"/>
  <c r="V206" i="4"/>
  <c r="V210" i="4"/>
  <c r="V214" i="4"/>
  <c r="V218" i="4"/>
  <c r="V178" i="4"/>
  <c r="V183" i="4"/>
  <c r="V195" i="4"/>
  <c r="V199" i="4"/>
  <c r="V203" i="4"/>
  <c r="V207" i="4"/>
  <c r="V211" i="4"/>
  <c r="V215" i="4"/>
  <c r="V219" i="4"/>
  <c r="V223" i="4"/>
  <c r="V155" i="4"/>
  <c r="V181" i="4"/>
  <c r="V159" i="4"/>
  <c r="V196" i="4"/>
  <c r="V200" i="4"/>
  <c r="V204" i="4"/>
  <c r="V208" i="4"/>
  <c r="V212" i="4"/>
  <c r="V216" i="4"/>
  <c r="V235" i="4"/>
  <c r="V239" i="4"/>
  <c r="V243" i="4"/>
  <c r="V247" i="4"/>
  <c r="V251" i="4"/>
  <c r="V255" i="4"/>
  <c r="V259" i="4"/>
  <c r="V263" i="4"/>
  <c r="V267" i="4"/>
  <c r="V271" i="4"/>
  <c r="V275" i="4"/>
  <c r="V279" i="4"/>
  <c r="V283" i="4"/>
  <c r="V287" i="4"/>
  <c r="V179" i="4"/>
  <c r="V230" i="4"/>
  <c r="V231" i="4"/>
  <c r="V226" i="4"/>
  <c r="V227" i="4"/>
  <c r="V228" i="4"/>
  <c r="V232" i="4"/>
  <c r="V236" i="4"/>
  <c r="V240" i="4"/>
  <c r="V244" i="4"/>
  <c r="V248" i="4"/>
  <c r="V252" i="4"/>
  <c r="V256" i="4"/>
  <c r="V260" i="4"/>
  <c r="V264" i="4"/>
  <c r="V268" i="4"/>
  <c r="V272" i="4"/>
  <c r="V276" i="4"/>
  <c r="V224" i="4"/>
  <c r="V175" i="4"/>
  <c r="V233" i="4"/>
  <c r="V237" i="4"/>
  <c r="V241" i="4"/>
  <c r="V245" i="4"/>
  <c r="V249" i="4"/>
  <c r="V253" i="4"/>
  <c r="V257" i="4"/>
  <c r="V261" i="4"/>
  <c r="V265" i="4"/>
  <c r="V269" i="4"/>
  <c r="V273" i="4"/>
  <c r="V277" i="4"/>
  <c r="V220" i="4"/>
  <c r="V222" i="4"/>
  <c r="V234" i="4"/>
  <c r="V238" i="4"/>
  <c r="V242" i="4"/>
  <c r="V246" i="4"/>
  <c r="V250" i="4"/>
  <c r="V254" i="4"/>
  <c r="V258" i="4"/>
  <c r="V262" i="4"/>
  <c r="V266" i="4"/>
  <c r="V270" i="4"/>
  <c r="V163" i="4"/>
  <c r="V289" i="4"/>
  <c r="V293" i="4"/>
  <c r="V297" i="4"/>
  <c r="V301" i="4"/>
  <c r="V305" i="4"/>
  <c r="V309" i="4"/>
  <c r="V313" i="4"/>
  <c r="V317" i="4"/>
  <c r="V321" i="4"/>
  <c r="V325" i="4"/>
  <c r="V278" i="4"/>
  <c r="V290" i="4"/>
  <c r="V294" i="4"/>
  <c r="V298" i="4"/>
  <c r="V302" i="4"/>
  <c r="V306" i="4"/>
  <c r="V310" i="4"/>
  <c r="V274" i="4"/>
  <c r="V291" i="4"/>
  <c r="V295" i="4"/>
  <c r="V299" i="4"/>
  <c r="V303" i="4"/>
  <c r="V307" i="4"/>
  <c r="V311" i="4"/>
  <c r="V315" i="4"/>
  <c r="V284" i="4"/>
  <c r="V285" i="4"/>
  <c r="V286" i="4"/>
  <c r="V288" i="4"/>
  <c r="V292" i="4"/>
  <c r="V296" i="4"/>
  <c r="V280" i="4"/>
  <c r="V281" i="4"/>
  <c r="V282" i="4"/>
  <c r="V304" i="4"/>
  <c r="V308" i="4"/>
  <c r="V316" i="4"/>
  <c r="V300" i="4"/>
  <c r="V329" i="4"/>
  <c r="V333" i="4"/>
  <c r="V337" i="4"/>
  <c r="V341" i="4"/>
  <c r="V345" i="4"/>
  <c r="V349" i="4"/>
  <c r="V353" i="4"/>
  <c r="V357" i="4"/>
  <c r="V361" i="4"/>
  <c r="V365" i="4"/>
  <c r="V369" i="4"/>
  <c r="V373" i="4"/>
  <c r="V377" i="4"/>
  <c r="V326" i="4"/>
  <c r="V330" i="4"/>
  <c r="V334" i="4"/>
  <c r="V338" i="4"/>
  <c r="V342" i="4"/>
  <c r="V346" i="4"/>
  <c r="V350" i="4"/>
  <c r="V354" i="4"/>
  <c r="V358" i="4"/>
  <c r="V362" i="4"/>
  <c r="V366" i="4"/>
  <c r="V322" i="4"/>
  <c r="V323" i="4"/>
  <c r="V324" i="4"/>
  <c r="V312" i="4"/>
  <c r="V314" i="4"/>
  <c r="V318" i="4"/>
  <c r="V319" i="4"/>
  <c r="V320" i="4"/>
  <c r="V327" i="4"/>
  <c r="V331" i="4"/>
  <c r="V335" i="4"/>
  <c r="V339" i="4"/>
  <c r="V343" i="4"/>
  <c r="V347" i="4"/>
  <c r="V351" i="4"/>
  <c r="V355" i="4"/>
  <c r="V359" i="4"/>
  <c r="V363" i="4"/>
  <c r="V367" i="4"/>
  <c r="V328" i="4"/>
  <c r="V332" i="4"/>
  <c r="V336" i="4"/>
  <c r="V340" i="4"/>
  <c r="V344" i="4"/>
  <c r="V348" i="4"/>
  <c r="V352" i="4"/>
  <c r="V356" i="4"/>
  <c r="V360" i="4"/>
  <c r="V364" i="4"/>
  <c r="V368" i="4"/>
  <c r="V372" i="4"/>
  <c r="V376" i="4"/>
  <c r="V380" i="4"/>
  <c r="V378" i="4"/>
  <c r="V387" i="4"/>
  <c r="V391" i="4"/>
  <c r="V395" i="4"/>
  <c r="V399" i="4"/>
  <c r="V403" i="4"/>
  <c r="V407" i="4"/>
  <c r="V411" i="4"/>
  <c r="V415" i="4"/>
  <c r="V419" i="4"/>
  <c r="V423" i="4"/>
  <c r="V427" i="4"/>
  <c r="V431" i="4"/>
  <c r="V435" i="4"/>
  <c r="V439" i="4"/>
  <c r="V443" i="4"/>
  <c r="V371" i="4"/>
  <c r="V374" i="4"/>
  <c r="V379" i="4"/>
  <c r="V388" i="4"/>
  <c r="V392" i="4"/>
  <c r="V396" i="4"/>
  <c r="V400" i="4"/>
  <c r="V404" i="4"/>
  <c r="V408" i="4"/>
  <c r="V412" i="4"/>
  <c r="V416" i="4"/>
  <c r="V420" i="4"/>
  <c r="V424" i="4"/>
  <c r="V428" i="4"/>
  <c r="V432" i="4"/>
  <c r="V370" i="4"/>
  <c r="V375" i="4"/>
  <c r="V383" i="4"/>
  <c r="V384" i="4"/>
  <c r="V381" i="4"/>
  <c r="V382" i="4"/>
  <c r="V385" i="4"/>
  <c r="V389" i="4"/>
  <c r="V393" i="4"/>
  <c r="V397" i="4"/>
  <c r="V401" i="4"/>
  <c r="V405" i="4"/>
  <c r="V409" i="4"/>
  <c r="V413" i="4"/>
  <c r="V417" i="4"/>
  <c r="V421" i="4"/>
  <c r="V425" i="4"/>
  <c r="V429" i="4"/>
  <c r="V433" i="4"/>
  <c r="V386" i="4"/>
  <c r="V390" i="4"/>
  <c r="V394" i="4"/>
  <c r="V398" i="4"/>
  <c r="V402" i="4"/>
  <c r="V406" i="4"/>
  <c r="V410" i="4"/>
  <c r="V414" i="4"/>
  <c r="V418" i="4"/>
  <c r="V422" i="4"/>
  <c r="V426" i="4"/>
  <c r="V430" i="4"/>
  <c r="V434" i="4"/>
  <c r="V438" i="4"/>
  <c r="V442" i="4"/>
  <c r="V446" i="4"/>
  <c r="V450" i="4"/>
  <c r="V447" i="4"/>
  <c r="V452" i="4"/>
  <c r="V456" i="4"/>
  <c r="V460" i="4"/>
  <c r="V464" i="4"/>
  <c r="V468" i="4"/>
  <c r="V472" i="4"/>
  <c r="V476" i="4"/>
  <c r="V480" i="4"/>
  <c r="V484" i="4"/>
  <c r="V488" i="4"/>
  <c r="V492" i="4"/>
  <c r="V496" i="4"/>
  <c r="V500" i="4"/>
  <c r="V504" i="4"/>
  <c r="V508" i="4"/>
  <c r="V512" i="4"/>
  <c r="V516" i="4"/>
  <c r="V440" i="4"/>
  <c r="V444" i="4"/>
  <c r="V441" i="4"/>
  <c r="V449" i="4"/>
  <c r="V453" i="4"/>
  <c r="V457" i="4"/>
  <c r="V461" i="4"/>
  <c r="V465" i="4"/>
  <c r="V469" i="4"/>
  <c r="V473" i="4"/>
  <c r="V477" i="4"/>
  <c r="V481" i="4"/>
  <c r="V485" i="4"/>
  <c r="V489" i="4"/>
  <c r="V493" i="4"/>
  <c r="V497" i="4"/>
  <c r="V501" i="4"/>
  <c r="V505" i="4"/>
  <c r="V437" i="4"/>
  <c r="V436" i="4"/>
  <c r="V445" i="4"/>
  <c r="V454" i="4"/>
  <c r="V458" i="4"/>
  <c r="V462" i="4"/>
  <c r="V466" i="4"/>
  <c r="V470" i="4"/>
  <c r="V474" i="4"/>
  <c r="V478" i="4"/>
  <c r="V482" i="4"/>
  <c r="V486" i="4"/>
  <c r="V490" i="4"/>
  <c r="V494" i="4"/>
  <c r="V498" i="4"/>
  <c r="V502" i="4"/>
  <c r="V506" i="4"/>
  <c r="V448" i="4"/>
  <c r="V451" i="4"/>
  <c r="V455" i="4"/>
  <c r="V459" i="4"/>
  <c r="V463" i="4"/>
  <c r="V467" i="4"/>
  <c r="V471" i="4"/>
  <c r="V475" i="4"/>
  <c r="V479" i="4"/>
  <c r="V483" i="4"/>
  <c r="V487" i="4"/>
  <c r="V491" i="4"/>
  <c r="V495" i="4"/>
  <c r="V499" i="4"/>
  <c r="V503" i="4"/>
  <c r="V507" i="4"/>
  <c r="V511" i="4"/>
  <c r="V515" i="4"/>
  <c r="V510" i="4"/>
  <c r="V513" i="4"/>
  <c r="V519" i="4"/>
  <c r="V520" i="4"/>
  <c r="V521" i="4"/>
  <c r="V509" i="4"/>
  <c r="V514" i="4"/>
  <c r="V518" i="4"/>
  <c r="V523" i="4"/>
  <c r="V527" i="4"/>
  <c r="V531" i="4"/>
  <c r="V535" i="4"/>
  <c r="V539" i="4"/>
  <c r="V543" i="4"/>
  <c r="V547" i="4"/>
  <c r="V6" i="4"/>
  <c r="V524" i="4"/>
  <c r="V528" i="4"/>
  <c r="V532" i="4"/>
  <c r="V536" i="4"/>
  <c r="V540" i="4"/>
  <c r="V544" i="4"/>
  <c r="V548" i="4"/>
  <c r="V7" i="4"/>
  <c r="V517" i="4"/>
  <c r="V525" i="4"/>
  <c r="V529" i="4"/>
  <c r="V533" i="4"/>
  <c r="V537" i="4"/>
  <c r="V541" i="4"/>
  <c r="V545" i="4"/>
  <c r="V549" i="4"/>
  <c r="V8" i="4"/>
  <c r="V522" i="4"/>
  <c r="V526" i="4"/>
  <c r="V530" i="4"/>
  <c r="V534" i="4"/>
  <c r="V538" i="4"/>
  <c r="V542" i="4"/>
  <c r="V546" i="4"/>
  <c r="V550" i="4"/>
  <c r="AI10" i="4"/>
  <c r="AI14" i="4"/>
  <c r="AI11" i="4"/>
  <c r="AI15" i="4"/>
  <c r="AI9" i="4"/>
  <c r="AI12" i="4"/>
  <c r="AI17" i="4"/>
  <c r="AI21" i="4"/>
  <c r="AI25" i="4"/>
  <c r="AI29" i="4"/>
  <c r="AI33" i="4"/>
  <c r="AI18" i="4"/>
  <c r="AI22" i="4"/>
  <c r="AI26" i="4"/>
  <c r="AI30" i="4"/>
  <c r="AI13" i="4"/>
  <c r="AI19" i="4"/>
  <c r="AI24" i="4"/>
  <c r="AI38" i="4"/>
  <c r="AI39" i="4"/>
  <c r="AI40" i="4"/>
  <c r="AI45" i="4"/>
  <c r="AI49" i="4"/>
  <c r="AI53" i="4"/>
  <c r="AI57" i="4"/>
  <c r="AI61" i="4"/>
  <c r="AI65" i="4"/>
  <c r="AI69" i="4"/>
  <c r="AI73" i="4"/>
  <c r="AI37" i="4"/>
  <c r="AI28" i="4"/>
  <c r="AI35" i="4"/>
  <c r="AI46" i="4"/>
  <c r="AI50" i="4"/>
  <c r="AI54" i="4"/>
  <c r="AI58" i="4"/>
  <c r="AI62" i="4"/>
  <c r="AI66" i="4"/>
  <c r="AI23" i="4"/>
  <c r="AI16" i="4"/>
  <c r="AI47" i="4"/>
  <c r="AI51" i="4"/>
  <c r="AI55" i="4"/>
  <c r="AI59" i="4"/>
  <c r="AI63" i="4"/>
  <c r="AI27" i="4"/>
  <c r="AI20" i="4"/>
  <c r="AI36" i="4"/>
  <c r="AI48" i="4"/>
  <c r="AI52" i="4"/>
  <c r="AI56" i="4"/>
  <c r="AI60" i="4"/>
  <c r="AI41" i="4"/>
  <c r="AI64" i="4"/>
  <c r="AI77" i="4"/>
  <c r="AI81" i="4"/>
  <c r="AI85" i="4"/>
  <c r="AI89" i="4"/>
  <c r="AI93" i="4"/>
  <c r="AI97" i="4"/>
  <c r="AI101" i="4"/>
  <c r="AI105" i="4"/>
  <c r="AI109" i="4"/>
  <c r="AI31" i="4"/>
  <c r="AI70" i="4"/>
  <c r="AI71" i="4"/>
  <c r="AI72" i="4"/>
  <c r="AI32" i="4"/>
  <c r="AI42" i="4"/>
  <c r="AI68" i="4"/>
  <c r="AI74" i="4"/>
  <c r="AI78" i="4"/>
  <c r="AI82" i="4"/>
  <c r="AI86" i="4"/>
  <c r="AI90" i="4"/>
  <c r="AI94" i="4"/>
  <c r="AI98" i="4"/>
  <c r="AI102" i="4"/>
  <c r="AI34" i="4"/>
  <c r="AI43" i="4"/>
  <c r="AI67" i="4"/>
  <c r="AI75" i="4"/>
  <c r="AI79" i="4"/>
  <c r="AI83" i="4"/>
  <c r="AI87" i="4"/>
  <c r="AI91" i="4"/>
  <c r="AI95" i="4"/>
  <c r="AI99" i="4"/>
  <c r="AI103" i="4"/>
  <c r="AI44" i="4"/>
  <c r="AI76" i="4"/>
  <c r="AI80" i="4"/>
  <c r="AI84" i="4"/>
  <c r="AI88" i="4"/>
  <c r="AI92" i="4"/>
  <c r="AI96" i="4"/>
  <c r="AI104" i="4"/>
  <c r="AI114" i="4"/>
  <c r="AI118" i="4"/>
  <c r="AI122" i="4"/>
  <c r="AI126" i="4"/>
  <c r="AI130" i="4"/>
  <c r="AI115" i="4"/>
  <c r="AI119" i="4"/>
  <c r="AI123" i="4"/>
  <c r="AI127" i="4"/>
  <c r="AI131" i="4"/>
  <c r="AI100" i="4"/>
  <c r="AI110" i="4"/>
  <c r="AI111" i="4"/>
  <c r="AI112" i="4"/>
  <c r="AI116" i="4"/>
  <c r="AI120" i="4"/>
  <c r="AI124" i="4"/>
  <c r="AI128" i="4"/>
  <c r="AI132" i="4"/>
  <c r="AI106" i="4"/>
  <c r="AI107" i="4"/>
  <c r="AI108" i="4"/>
  <c r="AI125" i="4"/>
  <c r="AI137" i="4"/>
  <c r="AI142" i="4"/>
  <c r="AI153" i="4"/>
  <c r="AI157" i="4"/>
  <c r="AI161" i="4"/>
  <c r="AI165" i="4"/>
  <c r="AI169" i="4"/>
  <c r="AI173" i="4"/>
  <c r="AI177" i="4"/>
  <c r="AI181" i="4"/>
  <c r="AI185" i="4"/>
  <c r="AI189" i="4"/>
  <c r="AI129" i="4"/>
  <c r="AI140" i="4"/>
  <c r="AI154" i="4"/>
  <c r="AI158" i="4"/>
  <c r="AI162" i="4"/>
  <c r="AI166" i="4"/>
  <c r="AI170" i="4"/>
  <c r="AI174" i="4"/>
  <c r="AI178" i="4"/>
  <c r="AI182" i="4"/>
  <c r="AI134" i="4"/>
  <c r="AI138" i="4"/>
  <c r="AI143" i="4"/>
  <c r="AI133" i="4"/>
  <c r="AI135" i="4"/>
  <c r="AI155" i="4"/>
  <c r="AI159" i="4"/>
  <c r="AI163" i="4"/>
  <c r="AI167" i="4"/>
  <c r="AI171" i="4"/>
  <c r="AI175" i="4"/>
  <c r="AI179" i="4"/>
  <c r="AI113" i="4"/>
  <c r="AI136" i="4"/>
  <c r="AI141" i="4"/>
  <c r="AI150" i="4"/>
  <c r="AI151" i="4"/>
  <c r="AI117" i="4"/>
  <c r="AI139" i="4"/>
  <c r="AI146" i="4"/>
  <c r="AI147" i="4"/>
  <c r="AI148" i="4"/>
  <c r="AI149" i="4"/>
  <c r="AI152" i="4"/>
  <c r="AI156" i="4"/>
  <c r="AI160" i="4"/>
  <c r="AI164" i="4"/>
  <c r="AI168" i="4"/>
  <c r="AI172" i="4"/>
  <c r="AI176" i="4"/>
  <c r="AI144" i="4"/>
  <c r="AI195" i="4"/>
  <c r="AI199" i="4"/>
  <c r="AI203" i="4"/>
  <c r="AI207" i="4"/>
  <c r="AI211" i="4"/>
  <c r="AI145" i="4"/>
  <c r="AI180" i="4"/>
  <c r="AI196" i="4"/>
  <c r="AI200" i="4"/>
  <c r="AI204" i="4"/>
  <c r="AI208" i="4"/>
  <c r="AI190" i="4"/>
  <c r="AI191" i="4"/>
  <c r="AI192" i="4"/>
  <c r="AI186" i="4"/>
  <c r="AI187" i="4"/>
  <c r="AI188" i="4"/>
  <c r="AI193" i="4"/>
  <c r="AI197" i="4"/>
  <c r="AI201" i="4"/>
  <c r="AI205" i="4"/>
  <c r="AI121" i="4"/>
  <c r="AI183" i="4"/>
  <c r="AI184" i="4"/>
  <c r="AI202" i="4"/>
  <c r="AI216" i="4"/>
  <c r="AI222" i="4"/>
  <c r="AI206" i="4"/>
  <c r="AI213" i="4"/>
  <c r="AI233" i="4"/>
  <c r="AI237" i="4"/>
  <c r="AI241" i="4"/>
  <c r="AI245" i="4"/>
  <c r="AI249" i="4"/>
  <c r="AI253" i="4"/>
  <c r="AI257" i="4"/>
  <c r="AI261" i="4"/>
  <c r="AI265" i="4"/>
  <c r="AI209" i="4"/>
  <c r="AI212" i="4"/>
  <c r="AI214" i="4"/>
  <c r="AI219" i="4"/>
  <c r="AI221" i="4"/>
  <c r="AI217" i="4"/>
  <c r="AI234" i="4"/>
  <c r="AI238" i="4"/>
  <c r="AI242" i="4"/>
  <c r="AI246" i="4"/>
  <c r="AI250" i="4"/>
  <c r="AI254" i="4"/>
  <c r="AI258" i="4"/>
  <c r="AI262" i="4"/>
  <c r="AI215" i="4"/>
  <c r="AI220" i="4"/>
  <c r="AI227" i="4"/>
  <c r="AI228" i="4"/>
  <c r="AI229" i="4"/>
  <c r="AI230" i="4"/>
  <c r="AI231" i="4"/>
  <c r="AI235" i="4"/>
  <c r="AI239" i="4"/>
  <c r="AI243" i="4"/>
  <c r="AI247" i="4"/>
  <c r="AI251" i="4"/>
  <c r="AI255" i="4"/>
  <c r="AI259" i="4"/>
  <c r="AI263" i="4"/>
  <c r="AI267" i="4"/>
  <c r="AI194" i="4"/>
  <c r="AI223" i="4"/>
  <c r="AI224" i="4"/>
  <c r="AI225" i="4"/>
  <c r="AI226" i="4"/>
  <c r="AI244" i="4"/>
  <c r="AI273" i="4"/>
  <c r="AI248" i="4"/>
  <c r="AI269" i="4"/>
  <c r="AI270" i="4"/>
  <c r="AI285" i="4"/>
  <c r="AI286" i="4"/>
  <c r="AI287" i="4"/>
  <c r="AI291" i="4"/>
  <c r="AI295" i="4"/>
  <c r="AI299" i="4"/>
  <c r="AI303" i="4"/>
  <c r="AI210" i="4"/>
  <c r="AI252" i="4"/>
  <c r="AI268" i="4"/>
  <c r="AI271" i="4"/>
  <c r="AI276" i="4"/>
  <c r="AI281" i="4"/>
  <c r="AI282" i="4"/>
  <c r="AI283" i="4"/>
  <c r="AI284" i="4"/>
  <c r="AI218" i="4"/>
  <c r="AI256" i="4"/>
  <c r="AI274" i="4"/>
  <c r="AI279" i="4"/>
  <c r="AI280" i="4"/>
  <c r="AI288" i="4"/>
  <c r="AI292" i="4"/>
  <c r="AI296" i="4"/>
  <c r="AI300" i="4"/>
  <c r="AI260" i="4"/>
  <c r="AI278" i="4"/>
  <c r="AI232" i="4"/>
  <c r="AI264" i="4"/>
  <c r="AI272" i="4"/>
  <c r="AI289" i="4"/>
  <c r="AI293" i="4"/>
  <c r="AI297" i="4"/>
  <c r="AI301" i="4"/>
  <c r="AI198" i="4"/>
  <c r="AI236" i="4"/>
  <c r="AI266" i="4"/>
  <c r="AI275" i="4"/>
  <c r="AI277" i="4"/>
  <c r="AI240" i="4"/>
  <c r="AI290" i="4"/>
  <c r="AI294" i="4"/>
  <c r="AI298" i="4"/>
  <c r="AI302" i="4"/>
  <c r="AI308" i="4"/>
  <c r="AI319" i="4"/>
  <c r="AI320" i="4"/>
  <c r="AI321" i="4"/>
  <c r="AI322" i="4"/>
  <c r="AI326" i="4"/>
  <c r="AI330" i="4"/>
  <c r="AI334" i="4"/>
  <c r="AI338" i="4"/>
  <c r="AI342" i="4"/>
  <c r="AI346" i="4"/>
  <c r="AI350" i="4"/>
  <c r="AI354" i="4"/>
  <c r="AI358" i="4"/>
  <c r="AI362" i="4"/>
  <c r="AI366" i="4"/>
  <c r="AI370" i="4"/>
  <c r="AI374" i="4"/>
  <c r="AI313" i="4"/>
  <c r="AI317" i="4"/>
  <c r="AI318" i="4"/>
  <c r="AI306" i="4"/>
  <c r="AI311" i="4"/>
  <c r="AI316" i="4"/>
  <c r="AI327" i="4"/>
  <c r="AI331" i="4"/>
  <c r="AI335" i="4"/>
  <c r="AI339" i="4"/>
  <c r="AI343" i="4"/>
  <c r="AI347" i="4"/>
  <c r="AI351" i="4"/>
  <c r="AI355" i="4"/>
  <c r="AI359" i="4"/>
  <c r="AI363" i="4"/>
  <c r="AI367" i="4"/>
  <c r="AI309" i="4"/>
  <c r="AI315" i="4"/>
  <c r="AI328" i="4"/>
  <c r="AI332" i="4"/>
  <c r="AI336" i="4"/>
  <c r="AI340" i="4"/>
  <c r="AI344" i="4"/>
  <c r="AI348" i="4"/>
  <c r="AI352" i="4"/>
  <c r="AI356" i="4"/>
  <c r="AI360" i="4"/>
  <c r="AI364" i="4"/>
  <c r="AI368" i="4"/>
  <c r="AI372" i="4"/>
  <c r="AI376" i="4"/>
  <c r="AI380" i="4"/>
  <c r="AI304" i="4"/>
  <c r="AI307" i="4"/>
  <c r="AI312" i="4"/>
  <c r="AI305" i="4"/>
  <c r="AI329" i="4"/>
  <c r="AI333" i="4"/>
  <c r="AI337" i="4"/>
  <c r="AI341" i="4"/>
  <c r="AI345" i="4"/>
  <c r="AI349" i="4"/>
  <c r="AI353" i="4"/>
  <c r="AI357" i="4"/>
  <c r="AI361" i="4"/>
  <c r="AI365" i="4"/>
  <c r="AI369" i="4"/>
  <c r="AI310" i="4"/>
  <c r="AI314" i="4"/>
  <c r="AI323" i="4"/>
  <c r="AI324" i="4"/>
  <c r="AI325" i="4"/>
  <c r="AI378" i="4"/>
  <c r="AI381" i="4"/>
  <c r="AI382" i="4"/>
  <c r="AI383" i="4"/>
  <c r="AI384" i="4"/>
  <c r="AI388" i="4"/>
  <c r="AI392" i="4"/>
  <c r="AI396" i="4"/>
  <c r="AI400" i="4"/>
  <c r="AI404" i="4"/>
  <c r="AI408" i="4"/>
  <c r="AI412" i="4"/>
  <c r="AI416" i="4"/>
  <c r="AI420" i="4"/>
  <c r="AI424" i="4"/>
  <c r="AI428" i="4"/>
  <c r="AI432" i="4"/>
  <c r="AI436" i="4"/>
  <c r="AI440" i="4"/>
  <c r="AI373" i="4"/>
  <c r="AI375" i="4"/>
  <c r="AI385" i="4"/>
  <c r="AI389" i="4"/>
  <c r="AI393" i="4"/>
  <c r="AI397" i="4"/>
  <c r="AI401" i="4"/>
  <c r="AI405" i="4"/>
  <c r="AI409" i="4"/>
  <c r="AI413" i="4"/>
  <c r="AI417" i="4"/>
  <c r="AI421" i="4"/>
  <c r="AI425" i="4"/>
  <c r="AI429" i="4"/>
  <c r="AI379" i="4"/>
  <c r="AI386" i="4"/>
  <c r="AI390" i="4"/>
  <c r="AI394" i="4"/>
  <c r="AI398" i="4"/>
  <c r="AI402" i="4"/>
  <c r="AI406" i="4"/>
  <c r="AI410" i="4"/>
  <c r="AI414" i="4"/>
  <c r="AI418" i="4"/>
  <c r="AI422" i="4"/>
  <c r="AI426" i="4"/>
  <c r="AI430" i="4"/>
  <c r="AI434" i="4"/>
  <c r="AI438" i="4"/>
  <c r="AI442" i="4"/>
  <c r="AI446" i="4"/>
  <c r="AI450" i="4"/>
  <c r="AI377" i="4"/>
  <c r="AI387" i="4"/>
  <c r="AI391" i="4"/>
  <c r="AI395" i="4"/>
  <c r="AI399" i="4"/>
  <c r="AI403" i="4"/>
  <c r="AI407" i="4"/>
  <c r="AI411" i="4"/>
  <c r="AI415" i="4"/>
  <c r="AI419" i="4"/>
  <c r="AI423" i="4"/>
  <c r="AI427" i="4"/>
  <c r="AI431" i="4"/>
  <c r="AI435" i="4"/>
  <c r="AI371" i="4"/>
  <c r="AI433" i="4"/>
  <c r="AI437" i="4"/>
  <c r="AI439" i="4"/>
  <c r="AI453" i="4"/>
  <c r="AI457" i="4"/>
  <c r="AI461" i="4"/>
  <c r="AI465" i="4"/>
  <c r="AI469" i="4"/>
  <c r="AI473" i="4"/>
  <c r="AI477" i="4"/>
  <c r="AI481" i="4"/>
  <c r="AI485" i="4"/>
  <c r="AI489" i="4"/>
  <c r="AI493" i="4"/>
  <c r="AI497" i="4"/>
  <c r="AI501" i="4"/>
  <c r="AI505" i="4"/>
  <c r="AI509" i="4"/>
  <c r="AI513" i="4"/>
  <c r="AI441" i="4"/>
  <c r="AI444" i="4"/>
  <c r="AI447" i="4"/>
  <c r="AI454" i="4"/>
  <c r="AI458" i="4"/>
  <c r="AI462" i="4"/>
  <c r="AI466" i="4"/>
  <c r="AI470" i="4"/>
  <c r="AI474" i="4"/>
  <c r="AI478" i="4"/>
  <c r="AI482" i="4"/>
  <c r="AI486" i="4"/>
  <c r="AI490" i="4"/>
  <c r="AI494" i="4"/>
  <c r="AI498" i="4"/>
  <c r="AI502" i="4"/>
  <c r="AI451" i="4"/>
  <c r="AI455" i="4"/>
  <c r="AI459" i="4"/>
  <c r="AI463" i="4"/>
  <c r="AI467" i="4"/>
  <c r="AI471" i="4"/>
  <c r="AI475" i="4"/>
  <c r="AI479" i="4"/>
  <c r="AI483" i="4"/>
  <c r="AI487" i="4"/>
  <c r="AI491" i="4"/>
  <c r="AI495" i="4"/>
  <c r="AI499" i="4"/>
  <c r="AI503" i="4"/>
  <c r="AI507" i="4"/>
  <c r="AI511" i="4"/>
  <c r="AI515" i="4"/>
  <c r="AI519" i="4"/>
  <c r="AI449" i="4"/>
  <c r="AI452" i="4"/>
  <c r="AI456" i="4"/>
  <c r="AI460" i="4"/>
  <c r="AI464" i="4"/>
  <c r="AI468" i="4"/>
  <c r="AI472" i="4"/>
  <c r="AI476" i="4"/>
  <c r="AI480" i="4"/>
  <c r="AI484" i="4"/>
  <c r="AI488" i="4"/>
  <c r="AI492" i="4"/>
  <c r="AI496" i="4"/>
  <c r="AI500" i="4"/>
  <c r="AI504" i="4"/>
  <c r="AI508" i="4"/>
  <c r="AI443" i="4"/>
  <c r="AI445" i="4"/>
  <c r="AI448" i="4"/>
  <c r="AI516" i="4"/>
  <c r="AI524" i="4"/>
  <c r="AI528" i="4"/>
  <c r="AI532" i="4"/>
  <c r="AI536" i="4"/>
  <c r="AI540" i="4"/>
  <c r="AI544" i="4"/>
  <c r="AI548" i="4"/>
  <c r="AI7" i="4"/>
  <c r="AI514" i="4"/>
  <c r="AI506" i="4"/>
  <c r="AI525" i="4"/>
  <c r="AI529" i="4"/>
  <c r="AI533" i="4"/>
  <c r="AI537" i="4"/>
  <c r="AI541" i="4"/>
  <c r="AI545" i="4"/>
  <c r="AI549" i="4"/>
  <c r="AI8" i="4"/>
  <c r="AI520" i="4"/>
  <c r="AI521" i="4"/>
  <c r="AI510" i="4"/>
  <c r="AI518" i="4"/>
  <c r="AI522" i="4"/>
  <c r="AI526" i="4"/>
  <c r="AI530" i="4"/>
  <c r="AI534" i="4"/>
  <c r="AI538" i="4"/>
  <c r="AI542" i="4"/>
  <c r="AI546" i="4"/>
  <c r="AI550" i="4"/>
  <c r="AI517" i="4"/>
  <c r="AI512" i="4"/>
  <c r="AI523" i="4"/>
  <c r="AI527" i="4"/>
  <c r="AI531" i="4"/>
  <c r="AI535" i="4"/>
  <c r="AI539" i="4"/>
  <c r="AI543" i="4"/>
  <c r="AI547" i="4"/>
  <c r="AI6" i="4"/>
  <c r="C2" i="2" a="1"/>
  <c r="C2" i="2" s="1"/>
  <c r="C4" i="2" s="1"/>
  <c r="E16" i="2"/>
  <c r="E17" i="2"/>
  <c r="E19" i="2"/>
  <c r="E24" i="2"/>
  <c r="E15" i="2"/>
  <c r="E27" i="2"/>
  <c r="E25" i="2"/>
  <c r="E28" i="2"/>
  <c r="E26" i="2"/>
  <c r="E14" i="2"/>
  <c r="E12" i="2"/>
  <c r="E22" i="2"/>
  <c r="E20" i="2"/>
  <c r="E23" i="2"/>
  <c r="E13" i="2"/>
  <c r="E21" i="2"/>
  <c r="E18" i="2"/>
  <c r="D11" i="2" l="1"/>
  <c r="F19" i="2"/>
  <c r="G19" i="2" s="1"/>
  <c r="F27" i="2"/>
  <c r="G27" i="2" s="1"/>
  <c r="F24" i="2"/>
  <c r="G24" i="2" s="1"/>
  <c r="F25" i="2"/>
  <c r="G25" i="2" s="1"/>
  <c r="F12" i="2"/>
  <c r="G12" i="2" s="1"/>
  <c r="F20" i="2"/>
  <c r="G20" i="2" s="1"/>
  <c r="F28" i="2"/>
  <c r="G28" i="2" s="1"/>
  <c r="F13" i="2"/>
  <c r="G13" i="2" s="1"/>
  <c r="F21" i="2"/>
  <c r="G21" i="2" s="1"/>
  <c r="F11" i="2"/>
  <c r="G11" i="2" s="1"/>
  <c r="F14" i="2"/>
  <c r="G14" i="2" s="1"/>
  <c r="F22" i="2"/>
  <c r="G22" i="2" s="1"/>
  <c r="F15" i="2"/>
  <c r="G15" i="2" s="1"/>
  <c r="F23" i="2"/>
  <c r="G23" i="2" s="1"/>
  <c r="F16" i="2"/>
  <c r="G16" i="2" s="1"/>
  <c r="F17" i="2"/>
  <c r="G17" i="2" s="1"/>
  <c r="F18" i="2"/>
  <c r="G18" i="2" s="1"/>
  <c r="F26" i="2"/>
  <c r="G26" i="2" s="1"/>
  <c r="AN506" i="4"/>
  <c r="AN534" i="4"/>
  <c r="AN540" i="4"/>
  <c r="AN539" i="4"/>
  <c r="AN502" i="4"/>
  <c r="AN470" i="4"/>
  <c r="AN426" i="4"/>
  <c r="AN394" i="4"/>
  <c r="AN413" i="4"/>
  <c r="AN528" i="4"/>
  <c r="AN527" i="4"/>
  <c r="AN513" i="4"/>
  <c r="AN491" i="4"/>
  <c r="AN459" i="4"/>
  <c r="AN493" i="4"/>
  <c r="AN461" i="4"/>
  <c r="AN480" i="4"/>
  <c r="AN447" i="4"/>
  <c r="AN8" i="4"/>
  <c r="AN546" i="4"/>
  <c r="AN482" i="4"/>
  <c r="AN549" i="4"/>
  <c r="AN518" i="4"/>
  <c r="AN542" i="4"/>
  <c r="AN545" i="4"/>
  <c r="AN548" i="4"/>
  <c r="AN547" i="4"/>
  <c r="AN514" i="4"/>
  <c r="AN511" i="4"/>
  <c r="AN479" i="4"/>
  <c r="AN448" i="4"/>
  <c r="AN478" i="4"/>
  <c r="AN436" i="4"/>
  <c r="AN481" i="4"/>
  <c r="AN449" i="4"/>
  <c r="AN500" i="4"/>
  <c r="AN468" i="4"/>
  <c r="AN442" i="4"/>
  <c r="AN410" i="4"/>
  <c r="AN429" i="4"/>
  <c r="AN397" i="4"/>
  <c r="AN375" i="4"/>
  <c r="AN408" i="4"/>
  <c r="AN371" i="4"/>
  <c r="AN415" i="4"/>
  <c r="AN378" i="4"/>
  <c r="AN352" i="4"/>
  <c r="AN363" i="4"/>
  <c r="AN331" i="4"/>
  <c r="AN323" i="4"/>
  <c r="AN342" i="4"/>
  <c r="AN365" i="4"/>
  <c r="AN333" i="4"/>
  <c r="AN280" i="4"/>
  <c r="AN311" i="4"/>
  <c r="AN306" i="4"/>
  <c r="AN317" i="4"/>
  <c r="AN163" i="4"/>
  <c r="AN242" i="4"/>
  <c r="AN265" i="4"/>
  <c r="AN233" i="4"/>
  <c r="AN256" i="4"/>
  <c r="AN227" i="4"/>
  <c r="AN275" i="4"/>
  <c r="AN243" i="4"/>
  <c r="AN196" i="4"/>
  <c r="AN207" i="4"/>
  <c r="AN210" i="4"/>
  <c r="AN184" i="4"/>
  <c r="AN171" i="4"/>
  <c r="AN201" i="4"/>
  <c r="AN139" i="4"/>
  <c r="AN165" i="4"/>
  <c r="AN151" i="4"/>
  <c r="AN135" i="4"/>
  <c r="AN95" i="4"/>
  <c r="AN114" i="4"/>
  <c r="AN137" i="4"/>
  <c r="AN110" i="4"/>
  <c r="AN79" i="4"/>
  <c r="AN124" i="4"/>
  <c r="AN66" i="4"/>
  <c r="AN72" i="4"/>
  <c r="AN85" i="4"/>
  <c r="AN96" i="4"/>
  <c r="AN64" i="4"/>
  <c r="AN61" i="4"/>
  <c r="AN52" i="4"/>
  <c r="AN33" i="4"/>
  <c r="AN32" i="4"/>
  <c r="AN31" i="4"/>
  <c r="AN538" i="4"/>
  <c r="AN541" i="4"/>
  <c r="AN544" i="4"/>
  <c r="AN543" i="4"/>
  <c r="AN509" i="4"/>
  <c r="AN507" i="4"/>
  <c r="AN475" i="4"/>
  <c r="AN474" i="4"/>
  <c r="AN437" i="4"/>
  <c r="AN477" i="4"/>
  <c r="AN441" i="4"/>
  <c r="AO441" i="4" s="1"/>
  <c r="AN496" i="4"/>
  <c r="AN464" i="4"/>
  <c r="AN438" i="4"/>
  <c r="AN406" i="4"/>
  <c r="AN425" i="4"/>
  <c r="AN393" i="4"/>
  <c r="AO393" i="4" s="1"/>
  <c r="AN370" i="4"/>
  <c r="AN404" i="4"/>
  <c r="AN443" i="4"/>
  <c r="AN411" i="4"/>
  <c r="AN380" i="4"/>
  <c r="AN348" i="4"/>
  <c r="AN359" i="4"/>
  <c r="AN327" i="4"/>
  <c r="AN322" i="4"/>
  <c r="AO322" i="4" s="1"/>
  <c r="AN338" i="4"/>
  <c r="AN361" i="4"/>
  <c r="AN329" i="4"/>
  <c r="AN296" i="4"/>
  <c r="AN307" i="4"/>
  <c r="AN302" i="4"/>
  <c r="AN313" i="4"/>
  <c r="AN270" i="4"/>
  <c r="AN238" i="4"/>
  <c r="AN261" i="4"/>
  <c r="AN175" i="4"/>
  <c r="AN252" i="4"/>
  <c r="AN226" i="4"/>
  <c r="AN271" i="4"/>
  <c r="AN239" i="4"/>
  <c r="AN159" i="4"/>
  <c r="AN203" i="4"/>
  <c r="AN206" i="4"/>
  <c r="AN180" i="4"/>
  <c r="AN229" i="4"/>
  <c r="AN197" i="4"/>
  <c r="AN101" i="4"/>
  <c r="AN161" i="4"/>
  <c r="AN150" i="4"/>
  <c r="AO150" i="4" s="1"/>
  <c r="AN131" i="4"/>
  <c r="AN142" i="4"/>
  <c r="AN105" i="4"/>
  <c r="AN133" i="4"/>
  <c r="AN109" i="4"/>
  <c r="AN152" i="4"/>
  <c r="AN120" i="4"/>
  <c r="AN94" i="4"/>
  <c r="AN63" i="4"/>
  <c r="AO63" i="4" s="1"/>
  <c r="AN81" i="4"/>
  <c r="AN92" i="4"/>
  <c r="AN54" i="4"/>
  <c r="AN57" i="4"/>
  <c r="AN48" i="4"/>
  <c r="AN29" i="4"/>
  <c r="AN28" i="4"/>
  <c r="AN27" i="4"/>
  <c r="AN537" i="4"/>
  <c r="AN503" i="4"/>
  <c r="AN471" i="4"/>
  <c r="AN505" i="4"/>
  <c r="AN473" i="4"/>
  <c r="AO473" i="4" s="1"/>
  <c r="AN444" i="4"/>
  <c r="AN492" i="4"/>
  <c r="AO492" i="4" s="1"/>
  <c r="AN460" i="4"/>
  <c r="AN434" i="4"/>
  <c r="AN402" i="4"/>
  <c r="AN421" i="4"/>
  <c r="AN389" i="4"/>
  <c r="AN432" i="4"/>
  <c r="AN400" i="4"/>
  <c r="AN439" i="4"/>
  <c r="AN407" i="4"/>
  <c r="AN376" i="4"/>
  <c r="AN344" i="4"/>
  <c r="AN355" i="4"/>
  <c r="AN320" i="4"/>
  <c r="AN366" i="4"/>
  <c r="AN334" i="4"/>
  <c r="AN357" i="4"/>
  <c r="AN300" i="4"/>
  <c r="AN292" i="4"/>
  <c r="AN303" i="4"/>
  <c r="AN298" i="4"/>
  <c r="AN309" i="4"/>
  <c r="AN266" i="4"/>
  <c r="AN234" i="4"/>
  <c r="AN257" i="4"/>
  <c r="AN224" i="4"/>
  <c r="AN248" i="4"/>
  <c r="AN231" i="4"/>
  <c r="AN267" i="4"/>
  <c r="AN235" i="4"/>
  <c r="AN181" i="4"/>
  <c r="AN199" i="4"/>
  <c r="AN202" i="4"/>
  <c r="AO202" i="4" s="1"/>
  <c r="AN191" i="4"/>
  <c r="AN225" i="4"/>
  <c r="AN193" i="4"/>
  <c r="AN170" i="4"/>
  <c r="AO170" i="4" s="1"/>
  <c r="AN157" i="4"/>
  <c r="AN149" i="4"/>
  <c r="AN127" i="4"/>
  <c r="AN138" i="4"/>
  <c r="AN100" i="4"/>
  <c r="AN129" i="4"/>
  <c r="AN108" i="4"/>
  <c r="AN148" i="4"/>
  <c r="AN116" i="4"/>
  <c r="AN90" i="4"/>
  <c r="AN55" i="4"/>
  <c r="AN77" i="4"/>
  <c r="AN88" i="4"/>
  <c r="AN50" i="4"/>
  <c r="AN53" i="4"/>
  <c r="AN30" i="4"/>
  <c r="AN25" i="4"/>
  <c r="AN24" i="4"/>
  <c r="AN23" i="4"/>
  <c r="AN521" i="4"/>
  <c r="AN530" i="4"/>
  <c r="AN533" i="4"/>
  <c r="AN536" i="4"/>
  <c r="AN535" i="4"/>
  <c r="AN520" i="4"/>
  <c r="AN499" i="4"/>
  <c r="AN467" i="4"/>
  <c r="AN498" i="4"/>
  <c r="AN466" i="4"/>
  <c r="AN501" i="4"/>
  <c r="AN469" i="4"/>
  <c r="AO469" i="4" s="1"/>
  <c r="AN440" i="4"/>
  <c r="AO440" i="4" s="1"/>
  <c r="AN488" i="4"/>
  <c r="AN456" i="4"/>
  <c r="AN430" i="4"/>
  <c r="AN398" i="4"/>
  <c r="AN417" i="4"/>
  <c r="AN385" i="4"/>
  <c r="AN428" i="4"/>
  <c r="AO428" i="4" s="1"/>
  <c r="AN396" i="4"/>
  <c r="AO396" i="4" s="1"/>
  <c r="AN435" i="4"/>
  <c r="AN403" i="4"/>
  <c r="AO403" i="4" s="1"/>
  <c r="AN372" i="4"/>
  <c r="AN340" i="4"/>
  <c r="AN351" i="4"/>
  <c r="AN319" i="4"/>
  <c r="AN362" i="4"/>
  <c r="AO362" i="4" s="1"/>
  <c r="AN330" i="4"/>
  <c r="AO330" i="4" s="1"/>
  <c r="AN353" i="4"/>
  <c r="AN316" i="4"/>
  <c r="AN288" i="4"/>
  <c r="AN299" i="4"/>
  <c r="AO299" i="4" s="1"/>
  <c r="AN294" i="4"/>
  <c r="AN305" i="4"/>
  <c r="AN262" i="4"/>
  <c r="AN222" i="4"/>
  <c r="AN253" i="4"/>
  <c r="AN276" i="4"/>
  <c r="AN244" i="4"/>
  <c r="AN230" i="4"/>
  <c r="AN263" i="4"/>
  <c r="AN216" i="4"/>
  <c r="AN155" i="4"/>
  <c r="AN195" i="4"/>
  <c r="AN198" i="4"/>
  <c r="AN190" i="4"/>
  <c r="AO190" i="4" s="1"/>
  <c r="AN221" i="4"/>
  <c r="AN192" i="4"/>
  <c r="AN166" i="4"/>
  <c r="AN153" i="4"/>
  <c r="AN172" i="4"/>
  <c r="AN123" i="4"/>
  <c r="AO123" i="4" s="1"/>
  <c r="AN134" i="4"/>
  <c r="AN91" i="4"/>
  <c r="AN125" i="4"/>
  <c r="AN102" i="4"/>
  <c r="AN144" i="4"/>
  <c r="AN75" i="4"/>
  <c r="AN86" i="4"/>
  <c r="AN62" i="4"/>
  <c r="AO62" i="4" s="1"/>
  <c r="AN67" i="4"/>
  <c r="AN84" i="4"/>
  <c r="AN46" i="4"/>
  <c r="AN49" i="4"/>
  <c r="AO49" i="4" s="1"/>
  <c r="AN26" i="4"/>
  <c r="AO26" i="4" s="1"/>
  <c r="AN21" i="4"/>
  <c r="AN20" i="4"/>
  <c r="AN19" i="4"/>
  <c r="AN526" i="4"/>
  <c r="AN529" i="4"/>
  <c r="AO529" i="4" s="1"/>
  <c r="AN532" i="4"/>
  <c r="AO532" i="4" s="1"/>
  <c r="AN531" i="4"/>
  <c r="AN519" i="4"/>
  <c r="AN495" i="4"/>
  <c r="AO495" i="4" s="1"/>
  <c r="AN463" i="4"/>
  <c r="AO463" i="4" s="1"/>
  <c r="AN494" i="4"/>
  <c r="AN462" i="4"/>
  <c r="AN497" i="4"/>
  <c r="AN465" i="4"/>
  <c r="AO465" i="4" s="1"/>
  <c r="AN516" i="4"/>
  <c r="AN484" i="4"/>
  <c r="AN452" i="4"/>
  <c r="AN382" i="4"/>
  <c r="AN424" i="4"/>
  <c r="AN392" i="4"/>
  <c r="AN431" i="4"/>
  <c r="AO431" i="4" s="1"/>
  <c r="AN399" i="4"/>
  <c r="AO399" i="4" s="1"/>
  <c r="AN368" i="4"/>
  <c r="AN336" i="4"/>
  <c r="AN347" i="4"/>
  <c r="AN318" i="4"/>
  <c r="AN358" i="4"/>
  <c r="AN326" i="4"/>
  <c r="AN349" i="4"/>
  <c r="AN308" i="4"/>
  <c r="AN286" i="4"/>
  <c r="AN295" i="4"/>
  <c r="AN290" i="4"/>
  <c r="AN301" i="4"/>
  <c r="AN258" i="4"/>
  <c r="AN220" i="4"/>
  <c r="AN249" i="4"/>
  <c r="AN272" i="4"/>
  <c r="AN240" i="4"/>
  <c r="AN179" i="4"/>
  <c r="AN259" i="4"/>
  <c r="AN212" i="4"/>
  <c r="AN223" i="4"/>
  <c r="AO223" i="4" s="1"/>
  <c r="AN183" i="4"/>
  <c r="AN194" i="4"/>
  <c r="AN189" i="4"/>
  <c r="AN217" i="4"/>
  <c r="AN182" i="4"/>
  <c r="AN162" i="4"/>
  <c r="AN147" i="4"/>
  <c r="AN168" i="4"/>
  <c r="AN119" i="4"/>
  <c r="AN130" i="4"/>
  <c r="AO130" i="4" s="1"/>
  <c r="AN107" i="4"/>
  <c r="AO107" i="4" s="1"/>
  <c r="AN121" i="4"/>
  <c r="AN83" i="4"/>
  <c r="AN140" i="4"/>
  <c r="AN59" i="4"/>
  <c r="AN82" i="4"/>
  <c r="AN51" i="4"/>
  <c r="AN65" i="4"/>
  <c r="AN80" i="4"/>
  <c r="AO80" i="4" s="1"/>
  <c r="AN38" i="4"/>
  <c r="AN45" i="4"/>
  <c r="AN22" i="4"/>
  <c r="AN17" i="4"/>
  <c r="AN12" i="4"/>
  <c r="AN11" i="4"/>
  <c r="AN522" i="4"/>
  <c r="AN525" i="4"/>
  <c r="AN490" i="4"/>
  <c r="AO490" i="4" s="1"/>
  <c r="AN458" i="4"/>
  <c r="AO458" i="4" s="1"/>
  <c r="AN512" i="4"/>
  <c r="AN422" i="4"/>
  <c r="AN390" i="4"/>
  <c r="AN409" i="4"/>
  <c r="AN381" i="4"/>
  <c r="AN420" i="4"/>
  <c r="AN388" i="4"/>
  <c r="AO388" i="4" s="1"/>
  <c r="AN427" i="4"/>
  <c r="AN395" i="4"/>
  <c r="AN364" i="4"/>
  <c r="AN332" i="4"/>
  <c r="AN343" i="4"/>
  <c r="AN314" i="4"/>
  <c r="AN354" i="4"/>
  <c r="AN377" i="4"/>
  <c r="AO377" i="4" s="1"/>
  <c r="AN345" i="4"/>
  <c r="AN304" i="4"/>
  <c r="AO304" i="4" s="1"/>
  <c r="AN285" i="4"/>
  <c r="AN291" i="4"/>
  <c r="AN278" i="4"/>
  <c r="AN297" i="4"/>
  <c r="AN254" i="4"/>
  <c r="AN277" i="4"/>
  <c r="AN245" i="4"/>
  <c r="AN268" i="4"/>
  <c r="AN236" i="4"/>
  <c r="AN287" i="4"/>
  <c r="AN255" i="4"/>
  <c r="AO255" i="4" s="1"/>
  <c r="AN208" i="4"/>
  <c r="AN219" i="4"/>
  <c r="AN178" i="4"/>
  <c r="AO178" i="4" s="1"/>
  <c r="AN187" i="4"/>
  <c r="AN188" i="4"/>
  <c r="AN213" i="4"/>
  <c r="AN176" i="4"/>
  <c r="AN158" i="4"/>
  <c r="AN146" i="4"/>
  <c r="AN164" i="4"/>
  <c r="AO164" i="4" s="1"/>
  <c r="AN115" i="4"/>
  <c r="AO115" i="4" s="1"/>
  <c r="AN126" i="4"/>
  <c r="AN106" i="4"/>
  <c r="AN117" i="4"/>
  <c r="AN112" i="4"/>
  <c r="AN136" i="4"/>
  <c r="AO136" i="4" s="1"/>
  <c r="AN71" i="4"/>
  <c r="AO71" i="4" s="1"/>
  <c r="AN78" i="4"/>
  <c r="AO78" i="4" s="1"/>
  <c r="AN97" i="4"/>
  <c r="AN47" i="4"/>
  <c r="AN76" i="4"/>
  <c r="AN42" i="4"/>
  <c r="AN44" i="4"/>
  <c r="AN18" i="4"/>
  <c r="AN13" i="4"/>
  <c r="AN43" i="4"/>
  <c r="AO43" i="4" s="1"/>
  <c r="AN10" i="4"/>
  <c r="AO10" i="4" s="1"/>
  <c r="AN550" i="4"/>
  <c r="AN517" i="4"/>
  <c r="AO517" i="4" s="1"/>
  <c r="AN524" i="4"/>
  <c r="AN523" i="4"/>
  <c r="AN510" i="4"/>
  <c r="AN487" i="4"/>
  <c r="AN455" i="4"/>
  <c r="AO455" i="4" s="1"/>
  <c r="AN486" i="4"/>
  <c r="AN454" i="4"/>
  <c r="AN489" i="4"/>
  <c r="AN457" i="4"/>
  <c r="AN508" i="4"/>
  <c r="AN476" i="4"/>
  <c r="AN450" i="4"/>
  <c r="AN418" i="4"/>
  <c r="AN386" i="4"/>
  <c r="AN405" i="4"/>
  <c r="AN384" i="4"/>
  <c r="AO384" i="4" s="1"/>
  <c r="AN416" i="4"/>
  <c r="AO416" i="4" s="1"/>
  <c r="AN379" i="4"/>
  <c r="AO379" i="4" s="1"/>
  <c r="AN423" i="4"/>
  <c r="AN391" i="4"/>
  <c r="AN360" i="4"/>
  <c r="AO360" i="4" s="1"/>
  <c r="AN328" i="4"/>
  <c r="AN339" i="4"/>
  <c r="AN312" i="4"/>
  <c r="AN350" i="4"/>
  <c r="AO350" i="4" s="1"/>
  <c r="AN373" i="4"/>
  <c r="AN341" i="4"/>
  <c r="AN282" i="4"/>
  <c r="AN284" i="4"/>
  <c r="AO284" i="4" s="1"/>
  <c r="AN274" i="4"/>
  <c r="AN325" i="4"/>
  <c r="AN293" i="4"/>
  <c r="AN250" i="4"/>
  <c r="AN273" i="4"/>
  <c r="AN241" i="4"/>
  <c r="AN264" i="4"/>
  <c r="AN232" i="4"/>
  <c r="AN283" i="4"/>
  <c r="AN251" i="4"/>
  <c r="AN204" i="4"/>
  <c r="AN215" i="4"/>
  <c r="AO215" i="4" s="1"/>
  <c r="AN218" i="4"/>
  <c r="AN186" i="4"/>
  <c r="AN177" i="4"/>
  <c r="AN209" i="4"/>
  <c r="AO209" i="4" s="1"/>
  <c r="AN174" i="4"/>
  <c r="AN154" i="4"/>
  <c r="AN145" i="4"/>
  <c r="AN160" i="4"/>
  <c r="AN103" i="4"/>
  <c r="AN122" i="4"/>
  <c r="AN87" i="4"/>
  <c r="AO87" i="4" s="1"/>
  <c r="AN113" i="4"/>
  <c r="AN104" i="4"/>
  <c r="AN132" i="4"/>
  <c r="AN70" i="4"/>
  <c r="AN74" i="4"/>
  <c r="AO74" i="4" s="1"/>
  <c r="AN93" i="4"/>
  <c r="AN34" i="4"/>
  <c r="AN14" i="4"/>
  <c r="AN41" i="4"/>
  <c r="AO41" i="4" s="1"/>
  <c r="AN60" i="4"/>
  <c r="AO60" i="4" s="1"/>
  <c r="AN15" i="4"/>
  <c r="AN16" i="4"/>
  <c r="AN39" i="4"/>
  <c r="AN9" i="4"/>
  <c r="AN7" i="4"/>
  <c r="AN6" i="4"/>
  <c r="AN515" i="4"/>
  <c r="AN483" i="4"/>
  <c r="AO483" i="4" s="1"/>
  <c r="AN451" i="4"/>
  <c r="AN445" i="4"/>
  <c r="AN485" i="4"/>
  <c r="AN453" i="4"/>
  <c r="AN504" i="4"/>
  <c r="AO504" i="4" s="1"/>
  <c r="AN472" i="4"/>
  <c r="AO472" i="4" s="1"/>
  <c r="AN446" i="4"/>
  <c r="AO446" i="4" s="1"/>
  <c r="AN414" i="4"/>
  <c r="AO414" i="4" s="1"/>
  <c r="AN433" i="4"/>
  <c r="AN401" i="4"/>
  <c r="AN383" i="4"/>
  <c r="AN412" i="4"/>
  <c r="AO412" i="4" s="1"/>
  <c r="AN374" i="4"/>
  <c r="AO374" i="4" s="1"/>
  <c r="AN419" i="4"/>
  <c r="AN387" i="4"/>
  <c r="AN356" i="4"/>
  <c r="AO356" i="4" s="1"/>
  <c r="AN367" i="4"/>
  <c r="AN335" i="4"/>
  <c r="AN324" i="4"/>
  <c r="AN346" i="4"/>
  <c r="AN369" i="4"/>
  <c r="AN337" i="4"/>
  <c r="AO337" i="4" s="1"/>
  <c r="AN281" i="4"/>
  <c r="AO281" i="4" s="1"/>
  <c r="AN315" i="4"/>
  <c r="AN310" i="4"/>
  <c r="AN321" i="4"/>
  <c r="AN289" i="4"/>
  <c r="AO289" i="4" s="1"/>
  <c r="AN246" i="4"/>
  <c r="AN269" i="4"/>
  <c r="AN237" i="4"/>
  <c r="AO237" i="4" s="1"/>
  <c r="AN260" i="4"/>
  <c r="AO260" i="4" s="1"/>
  <c r="AN228" i="4"/>
  <c r="AN279" i="4"/>
  <c r="AO279" i="4" s="1"/>
  <c r="AN247" i="4"/>
  <c r="AO247" i="4" s="1"/>
  <c r="AN200" i="4"/>
  <c r="AO200" i="4" s="1"/>
  <c r="AN211" i="4"/>
  <c r="AN214" i="4"/>
  <c r="AN185" i="4"/>
  <c r="AN173" i="4"/>
  <c r="AN205" i="4"/>
  <c r="AO205" i="4" s="1"/>
  <c r="AN167" i="4"/>
  <c r="AN169" i="4"/>
  <c r="AN143" i="4"/>
  <c r="AN156" i="4"/>
  <c r="AN98" i="4"/>
  <c r="AN118" i="4"/>
  <c r="AN141" i="4"/>
  <c r="AO141" i="4" s="1"/>
  <c r="AN111" i="4"/>
  <c r="AN99" i="4"/>
  <c r="AO99" i="4" s="1"/>
  <c r="AN128" i="4"/>
  <c r="AO128" i="4" s="1"/>
  <c r="AN69" i="4"/>
  <c r="AN73" i="4"/>
  <c r="AN89" i="4"/>
  <c r="AN58" i="4"/>
  <c r="AN68" i="4"/>
  <c r="AO68" i="4" s="1"/>
  <c r="AN40" i="4"/>
  <c r="AN56" i="4"/>
  <c r="AN37" i="4"/>
  <c r="AN36" i="4"/>
  <c r="AN35" i="4"/>
  <c r="D19" i="2"/>
  <c r="D14" i="2"/>
  <c r="D18" i="2"/>
  <c r="D24" i="2"/>
  <c r="D28" i="2"/>
  <c r="D25" i="2"/>
  <c r="D20" i="2"/>
  <c r="D26" i="2"/>
  <c r="D21" i="2"/>
  <c r="D22" i="2"/>
  <c r="D12" i="2"/>
  <c r="D13" i="2"/>
  <c r="C3" i="2"/>
  <c r="D23" i="2"/>
  <c r="D27" i="2"/>
  <c r="D17" i="2"/>
  <c r="D16" i="2"/>
  <c r="D15" i="2"/>
  <c r="AO418" i="4" l="1"/>
  <c r="AO354" i="4"/>
  <c r="AO420" i="4"/>
  <c r="AO189" i="4"/>
  <c r="AO221" i="4"/>
  <c r="AO23" i="4"/>
  <c r="AO546" i="4"/>
  <c r="AO539" i="4"/>
  <c r="AO548" i="4"/>
  <c r="AO277" i="4"/>
  <c r="AO143" i="4"/>
  <c r="AO186" i="4"/>
  <c r="AO409" i="4"/>
  <c r="AO109" i="4"/>
  <c r="AO226" i="4"/>
  <c r="AO211" i="4"/>
  <c r="AO346" i="4"/>
  <c r="AO291" i="4"/>
  <c r="AO494" i="4"/>
  <c r="AO310" i="4"/>
  <c r="AO433" i="4"/>
  <c r="AO14" i="4"/>
  <c r="AO538" i="4"/>
  <c r="AO46" i="4"/>
  <c r="AO125" i="4"/>
  <c r="AO244" i="4"/>
  <c r="AO430" i="4"/>
  <c r="AO288" i="4"/>
  <c r="AO55" i="4"/>
  <c r="AO127" i="4"/>
  <c r="AO199" i="4"/>
  <c r="AO334" i="4"/>
  <c r="AO400" i="4"/>
  <c r="AO444" i="4"/>
  <c r="AO161" i="4"/>
  <c r="AO313" i="4"/>
  <c r="AO85" i="4"/>
  <c r="AO265" i="4"/>
  <c r="AO365" i="4"/>
  <c r="AO500" i="4"/>
  <c r="AO246" i="4"/>
  <c r="AO258" i="4"/>
  <c r="AO543" i="4"/>
  <c r="AO219" i="4"/>
  <c r="AO254" i="4"/>
  <c r="AO525" i="4"/>
  <c r="AO308" i="4"/>
  <c r="AO234" i="4"/>
  <c r="AO118" i="4"/>
  <c r="AO185" i="4"/>
  <c r="AO6" i="4"/>
  <c r="AO391" i="4"/>
  <c r="AO450" i="4"/>
  <c r="AO487" i="4"/>
  <c r="AO65" i="4"/>
  <c r="AO24" i="4"/>
  <c r="AO181" i="4"/>
  <c r="AO152" i="4"/>
  <c r="AO425" i="4"/>
  <c r="AO474" i="4"/>
  <c r="AO31" i="4"/>
  <c r="AO547" i="4"/>
  <c r="AO527" i="4"/>
  <c r="AO451" i="4"/>
  <c r="AO453" i="4"/>
  <c r="AO44" i="4"/>
  <c r="AO82" i="4"/>
  <c r="AO324" i="4"/>
  <c r="AO250" i="4"/>
  <c r="AO457" i="4"/>
  <c r="AO335" i="4"/>
  <c r="AO293" i="4"/>
  <c r="AO173" i="4"/>
  <c r="AO387" i="4"/>
  <c r="AO113" i="4"/>
  <c r="AO327" i="4"/>
  <c r="AO282" i="4"/>
  <c r="AO149" i="4"/>
  <c r="AO540" i="4"/>
  <c r="AO9" i="4"/>
  <c r="AO298" i="4"/>
  <c r="AO438" i="4"/>
  <c r="AO480" i="4"/>
  <c r="AO515" i="4"/>
  <c r="AO232" i="4"/>
  <c r="AO120" i="4"/>
  <c r="AO95" i="4"/>
  <c r="AO314" i="4"/>
  <c r="AO497" i="4"/>
  <c r="AO276" i="4"/>
  <c r="AO101" i="4"/>
  <c r="AO476" i="4"/>
  <c r="AO93" i="4"/>
  <c r="AO373" i="4"/>
  <c r="AO195" i="4"/>
  <c r="AO36" i="4"/>
  <c r="AO69" i="4"/>
  <c r="AO383" i="4"/>
  <c r="AO485" i="4"/>
  <c r="AO39" i="4"/>
  <c r="AO213" i="4"/>
  <c r="AO285" i="4"/>
  <c r="AO422" i="4"/>
  <c r="AO17" i="4"/>
  <c r="AO59" i="4"/>
  <c r="AO301" i="4"/>
  <c r="AO318" i="4"/>
  <c r="AO20" i="4"/>
  <c r="AO262" i="4"/>
  <c r="AO536" i="4"/>
  <c r="AO108" i="4"/>
  <c r="AO303" i="4"/>
  <c r="AO344" i="4"/>
  <c r="AO503" i="4"/>
  <c r="AO105" i="4"/>
  <c r="AO509" i="4"/>
  <c r="AO139" i="4"/>
  <c r="AO306" i="4"/>
  <c r="AO478" i="4"/>
  <c r="AO542" i="4"/>
  <c r="AO461" i="4"/>
  <c r="AO394" i="4"/>
  <c r="AO467" i="4"/>
  <c r="AO239" i="4"/>
  <c r="AO48" i="4"/>
  <c r="AO369" i="4"/>
  <c r="AO510" i="4"/>
  <c r="AO183" i="4"/>
  <c r="AO520" i="4"/>
  <c r="AO103" i="4"/>
  <c r="AO332" i="4"/>
  <c r="AO37" i="4"/>
  <c r="AO321" i="4"/>
  <c r="AO489" i="4"/>
  <c r="AO76" i="4"/>
  <c r="AO162" i="4"/>
  <c r="AO347" i="4"/>
  <c r="AO319" i="4"/>
  <c r="AO501" i="4"/>
  <c r="AO533" i="4"/>
  <c r="AO225" i="4"/>
  <c r="AO177" i="4"/>
  <c r="AO269" i="4"/>
  <c r="AO158" i="4"/>
  <c r="AO156" i="4"/>
  <c r="AO273" i="4"/>
  <c r="AO56" i="4"/>
  <c r="AO367" i="4"/>
  <c r="AO325" i="4"/>
  <c r="AO339" i="4"/>
  <c r="AO405" i="4"/>
  <c r="AO182" i="4"/>
  <c r="AO519" i="4"/>
  <c r="AO351" i="4"/>
  <c r="AO27" i="4"/>
  <c r="AO364" i="4"/>
  <c r="AO86" i="4"/>
  <c r="AO402" i="4"/>
  <c r="AO275" i="4"/>
  <c r="AO315" i="4"/>
  <c r="AO89" i="4"/>
  <c r="AO98" i="4"/>
  <c r="AO7" i="4"/>
  <c r="AO241" i="4"/>
  <c r="AO341" i="4"/>
  <c r="AO526" i="4"/>
  <c r="AO134" i="4"/>
  <c r="AO481" i="4"/>
  <c r="AO35" i="4"/>
  <c r="AO73" i="4"/>
  <c r="AO218" i="4"/>
  <c r="AO508" i="4"/>
  <c r="AO523" i="4"/>
  <c r="AO176" i="4"/>
  <c r="AO287" i="4"/>
  <c r="AO390" i="4"/>
  <c r="AO12" i="4"/>
  <c r="AO168" i="4"/>
  <c r="AO358" i="4"/>
  <c r="AO424" i="4"/>
  <c r="AO19" i="4"/>
  <c r="AO535" i="4"/>
  <c r="AO30" i="4"/>
  <c r="AO148" i="4"/>
  <c r="AO267" i="4"/>
  <c r="AO355" i="4"/>
  <c r="AO421" i="4"/>
  <c r="AO471" i="4"/>
  <c r="AO133" i="4"/>
  <c r="AO229" i="4"/>
  <c r="AO252" i="4"/>
  <c r="AO296" i="4"/>
  <c r="AO380" i="4"/>
  <c r="AO33" i="4"/>
  <c r="AO165" i="4"/>
  <c r="AO317" i="4"/>
  <c r="AO397" i="4"/>
  <c r="AO436" i="4"/>
  <c r="AO545" i="4"/>
  <c r="AO413" i="4"/>
  <c r="AO236" i="4"/>
  <c r="AO193" i="4"/>
  <c r="AO180" i="4"/>
  <c r="AO204" i="4"/>
  <c r="AO117" i="4"/>
  <c r="AO47" i="4"/>
  <c r="AO112" i="4"/>
  <c r="AO272" i="4"/>
  <c r="AO372" i="4"/>
  <c r="AO29" i="4"/>
  <c r="AO437" i="4"/>
  <c r="AO210" i="4"/>
  <c r="AO371" i="4"/>
  <c r="AO514" i="4"/>
  <c r="AO513" i="4"/>
  <c r="AO13" i="4"/>
  <c r="AO146" i="4"/>
  <c r="AO208" i="4"/>
  <c r="AO381" i="4"/>
  <c r="AO522" i="4"/>
  <c r="AO194" i="4"/>
  <c r="AO249" i="4"/>
  <c r="AO349" i="4"/>
  <c r="AO84" i="4"/>
  <c r="AO91" i="4"/>
  <c r="AO316" i="4"/>
  <c r="AO456" i="4"/>
  <c r="AO499" i="4"/>
  <c r="AO90" i="4"/>
  <c r="AO266" i="4"/>
  <c r="AO366" i="4"/>
  <c r="AO432" i="4"/>
  <c r="AO271" i="4"/>
  <c r="AO302" i="4"/>
  <c r="AO359" i="4"/>
  <c r="AO72" i="4"/>
  <c r="AO135" i="4"/>
  <c r="AO207" i="4"/>
  <c r="AO242" i="4"/>
  <c r="AO342" i="4"/>
  <c r="AO408" i="4"/>
  <c r="AO449" i="4"/>
  <c r="AO8" i="4"/>
  <c r="AO58" i="4"/>
  <c r="AO419" i="4"/>
  <c r="AO264" i="4"/>
  <c r="AO297" i="4"/>
  <c r="AO214" i="4"/>
  <c r="AO34" i="4"/>
  <c r="AO122" i="4"/>
  <c r="AO423" i="4"/>
  <c r="AO18" i="4"/>
  <c r="AO278" i="4"/>
  <c r="AO343" i="4"/>
  <c r="AO11" i="4"/>
  <c r="AO51" i="4"/>
  <c r="AO119" i="4"/>
  <c r="AO220" i="4"/>
  <c r="AO326" i="4"/>
  <c r="AO392" i="4"/>
  <c r="AO462" i="4"/>
  <c r="AO67" i="4"/>
  <c r="AO198" i="4"/>
  <c r="AO253" i="4"/>
  <c r="AO353" i="4"/>
  <c r="AO435" i="4"/>
  <c r="AO488" i="4"/>
  <c r="AO25" i="4"/>
  <c r="AO116" i="4"/>
  <c r="AO157" i="4"/>
  <c r="AO235" i="4"/>
  <c r="AO309" i="4"/>
  <c r="AO320" i="4"/>
  <c r="AO389" i="4"/>
  <c r="AO505" i="4"/>
  <c r="AO57" i="4"/>
  <c r="AO197" i="4"/>
  <c r="AO307" i="4"/>
  <c r="AO348" i="4"/>
  <c r="AO406" i="4"/>
  <c r="AO475" i="4"/>
  <c r="AO32" i="4"/>
  <c r="AO66" i="4"/>
  <c r="AO151" i="4"/>
  <c r="AO196" i="4"/>
  <c r="AO163" i="4"/>
  <c r="AO323" i="4"/>
  <c r="AO375" i="4"/>
  <c r="AO447" i="4"/>
  <c r="AO528" i="4"/>
  <c r="AO534" i="4"/>
  <c r="AO507" i="4"/>
  <c r="AO243" i="4"/>
  <c r="AO506" i="4"/>
  <c r="AO42" i="4"/>
  <c r="AO212" i="4"/>
  <c r="AO382" i="4"/>
  <c r="AO155" i="4"/>
  <c r="AO231" i="4"/>
  <c r="AO222" i="4"/>
  <c r="AO54" i="4"/>
  <c r="AO124" i="4"/>
  <c r="AO331" i="4"/>
  <c r="AO147" i="4"/>
  <c r="AO92" i="4"/>
  <c r="AO329" i="4"/>
  <c r="AO16" i="4"/>
  <c r="AO70" i="4"/>
  <c r="AO312" i="4"/>
  <c r="AO106" i="4"/>
  <c r="AO188" i="4"/>
  <c r="AO268" i="4"/>
  <c r="AO395" i="4"/>
  <c r="AO512" i="4"/>
  <c r="AO22" i="4"/>
  <c r="AO140" i="4"/>
  <c r="AO259" i="4"/>
  <c r="AO290" i="4"/>
  <c r="AO452" i="4"/>
  <c r="AO21" i="4"/>
  <c r="AO75" i="4"/>
  <c r="AO153" i="4"/>
  <c r="AO216" i="4"/>
  <c r="AO305" i="4"/>
  <c r="AO385" i="4"/>
  <c r="AO50" i="4"/>
  <c r="AO129" i="4"/>
  <c r="AO248" i="4"/>
  <c r="AO292" i="4"/>
  <c r="AO376" i="4"/>
  <c r="AO434" i="4"/>
  <c r="AO537" i="4"/>
  <c r="AO81" i="4"/>
  <c r="AO142" i="4"/>
  <c r="AO206" i="4"/>
  <c r="AO261" i="4"/>
  <c r="AO361" i="4"/>
  <c r="AO443" i="4"/>
  <c r="AO496" i="4"/>
  <c r="AO61" i="4"/>
  <c r="AO110" i="4"/>
  <c r="AO201" i="4"/>
  <c r="AO227" i="4"/>
  <c r="AO311" i="4"/>
  <c r="AO352" i="4"/>
  <c r="AO410" i="4"/>
  <c r="AO448" i="4"/>
  <c r="AO518" i="4"/>
  <c r="AO493" i="4"/>
  <c r="AO426" i="4"/>
  <c r="AO160" i="4"/>
  <c r="AO411" i="4"/>
  <c r="AO464" i="4"/>
  <c r="AO52" i="4"/>
  <c r="AO363" i="4"/>
  <c r="AO169" i="4"/>
  <c r="AO445" i="4"/>
  <c r="AO145" i="4"/>
  <c r="AO167" i="4"/>
  <c r="AO15" i="4"/>
  <c r="AO132" i="4"/>
  <c r="AO154" i="4"/>
  <c r="AO251" i="4"/>
  <c r="AO454" i="4"/>
  <c r="AO126" i="4"/>
  <c r="AO187" i="4"/>
  <c r="AO245" i="4"/>
  <c r="AO345" i="4"/>
  <c r="AO427" i="4"/>
  <c r="AO45" i="4"/>
  <c r="AO83" i="4"/>
  <c r="AO179" i="4"/>
  <c r="AO295" i="4"/>
  <c r="AO336" i="4"/>
  <c r="AO484" i="4"/>
  <c r="AO144" i="4"/>
  <c r="AO166" i="4"/>
  <c r="AO263" i="4"/>
  <c r="AO294" i="4"/>
  <c r="AO417" i="4"/>
  <c r="AO466" i="4"/>
  <c r="AO530" i="4"/>
  <c r="AO88" i="4"/>
  <c r="AO100" i="4"/>
  <c r="AO191" i="4"/>
  <c r="AO224" i="4"/>
  <c r="AO300" i="4"/>
  <c r="AO407" i="4"/>
  <c r="AO460" i="4"/>
  <c r="AO131" i="4"/>
  <c r="AO203" i="4"/>
  <c r="AO238" i="4"/>
  <c r="AO338" i="4"/>
  <c r="AO404" i="4"/>
  <c r="AO544" i="4"/>
  <c r="AO64" i="4"/>
  <c r="AO137" i="4"/>
  <c r="AO171" i="4"/>
  <c r="AO256" i="4"/>
  <c r="AO280" i="4"/>
  <c r="AO378" i="4"/>
  <c r="AO442" i="4"/>
  <c r="AO479" i="4"/>
  <c r="AO549" i="4"/>
  <c r="AO459" i="4"/>
  <c r="AO470" i="4"/>
  <c r="AO524" i="4"/>
  <c r="AO172" i="4"/>
  <c r="AO53" i="4"/>
  <c r="AO175" i="4"/>
  <c r="AO79" i="4"/>
  <c r="AO429" i="4"/>
  <c r="AO401" i="4"/>
  <c r="AO40" i="4"/>
  <c r="AO111" i="4"/>
  <c r="AO228" i="4"/>
  <c r="AO104" i="4"/>
  <c r="AO174" i="4"/>
  <c r="AO283" i="4"/>
  <c r="AO274" i="4"/>
  <c r="AO328" i="4"/>
  <c r="AO386" i="4"/>
  <c r="AO486" i="4"/>
  <c r="AO97" i="4"/>
  <c r="AO38" i="4"/>
  <c r="AO121" i="4"/>
  <c r="AO217" i="4"/>
  <c r="AO240" i="4"/>
  <c r="AO286" i="4"/>
  <c r="AO368" i="4"/>
  <c r="AO516" i="4"/>
  <c r="AO531" i="4"/>
  <c r="AO102" i="4"/>
  <c r="AO192" i="4"/>
  <c r="AO230" i="4"/>
  <c r="AO340" i="4"/>
  <c r="AO398" i="4"/>
  <c r="AO498" i="4"/>
  <c r="AO521" i="4"/>
  <c r="AO77" i="4"/>
  <c r="AO138" i="4"/>
  <c r="AO257" i="4"/>
  <c r="AO357" i="4"/>
  <c r="AO439" i="4"/>
  <c r="AO28" i="4"/>
  <c r="AO94" i="4"/>
  <c r="AO159" i="4"/>
  <c r="AO270" i="4"/>
  <c r="AO370" i="4"/>
  <c r="AO477" i="4"/>
  <c r="AO541" i="4"/>
  <c r="AO96" i="4"/>
  <c r="AO114" i="4"/>
  <c r="AO184" i="4"/>
  <c r="AO233" i="4"/>
  <c r="AO333" i="4"/>
  <c r="AO415" i="4"/>
  <c r="AO468" i="4"/>
  <c r="AO511" i="4"/>
  <c r="AO482" i="4"/>
  <c r="AO491" i="4"/>
  <c r="AO502" i="4"/>
  <c r="AO5" i="4"/>
  <c r="B2" i="4"/>
  <c r="C6" i="2" s="1"/>
  <c r="N6" i="2" s="1"/>
  <c r="B1" i="4"/>
  <c r="C5" i="2" l="1"/>
  <c r="N5" i="2" s="1"/>
  <c r="AP143" i="4"/>
  <c r="AP324" i="4"/>
  <c r="AP412" i="4"/>
  <c r="AP303" i="4"/>
  <c r="AP318" i="4"/>
  <c r="AP424" i="4"/>
  <c r="AP117" i="4"/>
  <c r="AP433" i="4"/>
  <c r="AP321" i="4"/>
  <c r="AP457" i="4"/>
  <c r="AP115" i="4"/>
  <c r="AP205" i="4"/>
  <c r="AP47" i="4"/>
  <c r="AP463" i="4"/>
  <c r="AP396" i="4"/>
  <c r="AP508" i="4"/>
  <c r="AP509" i="4"/>
  <c r="AP218" i="4"/>
  <c r="AP136" i="4"/>
  <c r="AP165" i="4"/>
  <c r="AP403" i="4"/>
  <c r="AP226" i="4"/>
  <c r="AP450" i="4"/>
  <c r="AP413" i="4"/>
  <c r="AP337" i="4"/>
  <c r="AP363" i="4"/>
  <c r="AP198" i="4"/>
  <c r="AP232" i="4"/>
  <c r="AP237" i="4"/>
  <c r="AP93" i="4"/>
  <c r="AP494" i="4"/>
  <c r="AP364" i="4"/>
  <c r="AP244" i="4"/>
  <c r="AP517" i="4"/>
  <c r="AP419" i="4"/>
  <c r="AP322" i="4"/>
  <c r="AP378" i="4"/>
  <c r="AP427" i="4"/>
  <c r="AP421" i="4"/>
  <c r="AP346" i="4"/>
  <c r="AP317" i="4"/>
  <c r="AP478" i="4"/>
  <c r="AP98" i="4"/>
  <c r="AP390" i="4"/>
  <c r="AP284" i="4"/>
  <c r="AP383" i="4"/>
  <c r="AP211" i="4"/>
  <c r="AP18" i="4"/>
  <c r="AP420" i="4"/>
  <c r="AP354" i="4"/>
  <c r="AP217" i="4"/>
  <c r="AP400" i="4"/>
  <c r="AP62" i="4"/>
  <c r="AP405" i="4"/>
  <c r="AP416" i="4"/>
  <c r="AP393" i="4"/>
  <c r="AP380" i="4"/>
  <c r="AP316" i="4"/>
  <c r="AP461" i="4"/>
  <c r="AP467" i="4"/>
  <c r="AP74" i="4"/>
  <c r="AP454" i="4"/>
  <c r="AP308" i="4"/>
  <c r="AP260" i="4"/>
  <c r="AP157" i="4"/>
  <c r="AP156" i="4"/>
  <c r="AP302" i="4"/>
  <c r="AP299" i="4"/>
  <c r="AP296" i="4"/>
  <c r="AP301" i="4"/>
  <c r="AP150" i="4"/>
  <c r="AP190" i="4"/>
  <c r="AP352" i="4"/>
  <c r="AP344" i="4"/>
  <c r="AP350" i="4"/>
  <c r="AP351" i="4"/>
  <c r="AP339" i="4"/>
  <c r="AP347" i="4"/>
  <c r="AP361" i="4"/>
  <c r="AP360" i="4"/>
  <c r="AP358" i="4"/>
  <c r="AP292" i="4"/>
  <c r="AP291" i="4"/>
  <c r="AP197" i="4"/>
  <c r="AP195" i="4"/>
  <c r="AP146" i="4"/>
  <c r="AP268" i="4"/>
  <c r="AP267" i="4"/>
  <c r="AP92" i="4"/>
  <c r="AP89" i="4"/>
  <c r="AP507" i="4"/>
  <c r="AP503" i="4"/>
  <c r="AP151" i="4"/>
  <c r="AP148" i="4"/>
  <c r="AP149" i="4"/>
  <c r="AP12" i="4"/>
  <c r="AP170" i="4"/>
  <c r="AP88" i="4"/>
  <c r="AP86" i="4"/>
  <c r="AP85" i="4"/>
  <c r="AP87" i="4"/>
  <c r="AP15" i="4"/>
  <c r="AP14" i="4"/>
  <c r="AP127" i="4"/>
  <c r="AP6" i="4"/>
  <c r="AP242" i="4"/>
  <c r="AP241" i="4"/>
  <c r="AP223" i="4"/>
  <c r="AP174" i="4"/>
  <c r="AP173" i="4"/>
  <c r="AP491" i="4"/>
  <c r="AP489" i="4"/>
  <c r="AP490" i="4"/>
  <c r="AP114" i="4"/>
  <c r="AP95" i="4"/>
  <c r="AP113" i="4"/>
  <c r="AP485" i="4"/>
  <c r="AP144" i="4"/>
  <c r="AP139" i="4"/>
  <c r="AP63" i="4"/>
  <c r="AP185" i="4"/>
  <c r="AP290" i="4"/>
  <c r="AP287" i="4"/>
  <c r="AP289" i="4"/>
  <c r="AP288" i="4"/>
  <c r="AP285" i="4"/>
  <c r="AP525" i="4"/>
  <c r="AP266" i="4"/>
  <c r="AP265" i="4"/>
  <c r="AP262" i="4"/>
  <c r="AP249" i="4"/>
  <c r="AP138" i="4"/>
  <c r="AP134" i="4"/>
  <c r="AP83" i="4"/>
  <c r="AP80" i="4"/>
  <c r="AP82" i="4"/>
  <c r="AP78" i="4"/>
  <c r="AP476" i="4"/>
  <c r="AP64" i="4"/>
  <c r="AP60" i="4"/>
  <c r="AP56" i="4"/>
  <c r="AP107" i="4"/>
  <c r="AP119" i="4"/>
  <c r="AP118" i="4"/>
  <c r="AP122" i="4"/>
  <c r="AP120" i="4"/>
  <c r="AP192" i="4"/>
  <c r="AP189" i="4"/>
  <c r="AP176" i="4"/>
  <c r="AP305" i="4"/>
  <c r="AP304" i="4"/>
  <c r="AP293" i="4"/>
  <c r="AP42" i="4"/>
  <c r="AP27" i="4"/>
  <c r="AP23" i="4"/>
  <c r="AP26" i="4"/>
  <c r="AP41" i="4"/>
  <c r="AP49" i="4"/>
  <c r="AP30" i="4"/>
  <c r="AP125" i="4"/>
  <c r="AP77" i="4"/>
  <c r="AP97" i="4"/>
  <c r="AP502" i="4"/>
  <c r="AP184" i="4"/>
  <c r="AP159" i="4"/>
  <c r="AP202" i="4"/>
  <c r="AP230" i="4"/>
  <c r="AP240" i="4"/>
  <c r="AP178" i="4"/>
  <c r="AP283" i="4"/>
  <c r="AP228" i="4"/>
  <c r="AP79" i="4"/>
  <c r="AP172" i="4"/>
  <c r="AP459" i="4"/>
  <c r="AP137" i="4"/>
  <c r="AP131" i="4"/>
  <c r="AP100" i="4"/>
  <c r="AP166" i="4"/>
  <c r="AP182" i="4"/>
  <c r="AP126" i="4"/>
  <c r="AP132" i="4"/>
  <c r="AP99" i="4"/>
  <c r="AP397" i="4"/>
  <c r="AP123" i="4"/>
  <c r="AP410" i="4"/>
  <c r="AP443" i="4"/>
  <c r="AP376" i="4"/>
  <c r="AP319" i="4"/>
  <c r="AP312" i="4"/>
  <c r="AP329" i="4"/>
  <c r="AP222" i="4"/>
  <c r="AP17" i="4"/>
  <c r="AP243" i="4"/>
  <c r="AP196" i="4"/>
  <c r="AP235" i="4"/>
  <c r="AP253" i="4"/>
  <c r="AP183" i="4"/>
  <c r="AP158" i="4"/>
  <c r="AP186" i="4"/>
  <c r="AP214" i="4"/>
  <c r="AP342" i="4"/>
  <c r="AP359" i="4"/>
  <c r="AP366" i="4"/>
  <c r="AP349" i="4"/>
  <c r="AP208" i="4"/>
  <c r="AP210" i="4"/>
  <c r="AP161" i="4"/>
  <c r="AP272" i="4"/>
  <c r="AP164" i="4"/>
  <c r="AP379" i="4"/>
  <c r="AP112" i="4"/>
  <c r="AP482" i="4"/>
  <c r="AP102" i="4"/>
  <c r="AP111" i="4"/>
  <c r="AP45" i="4"/>
  <c r="AP438" i="4"/>
  <c r="AP248" i="4"/>
  <c r="AP188" i="4"/>
  <c r="AP200" i="4"/>
  <c r="AP66" i="4"/>
  <c r="AP465" i="4"/>
  <c r="AP276" i="4"/>
  <c r="AP513" i="4"/>
  <c r="AP515" i="4"/>
  <c r="AP9" i="4"/>
  <c r="AP511" i="4"/>
  <c r="AP28" i="4"/>
  <c r="AP521" i="4"/>
  <c r="AP38" i="4"/>
  <c r="AP10" i="4"/>
  <c r="AP40" i="4"/>
  <c r="AP105" i="4"/>
  <c r="AP422" i="4"/>
  <c r="AP442" i="4"/>
  <c r="AP441" i="4"/>
  <c r="AP460" i="4"/>
  <c r="AP466" i="4"/>
  <c r="AP519" i="4"/>
  <c r="AP458" i="4"/>
  <c r="AP445" i="4"/>
  <c r="AP469" i="4"/>
  <c r="AP160" i="4"/>
  <c r="AP332" i="4"/>
  <c r="AP227" i="4"/>
  <c r="AP206" i="4"/>
  <c r="AP225" i="4"/>
  <c r="AP153" i="4"/>
  <c r="AP162" i="4"/>
  <c r="AP106" i="4"/>
  <c r="AP70" i="4"/>
  <c r="AP331" i="4"/>
  <c r="AP215" i="4"/>
  <c r="AP447" i="4"/>
  <c r="AP32" i="4"/>
  <c r="AP57" i="4"/>
  <c r="AP25" i="4"/>
  <c r="AP67" i="4"/>
  <c r="AP11" i="4"/>
  <c r="AP510" i="4"/>
  <c r="AP7" i="4"/>
  <c r="AP297" i="4"/>
  <c r="AP135" i="4"/>
  <c r="AP101" i="4"/>
  <c r="AP130" i="4"/>
  <c r="AP514" i="4"/>
  <c r="AP437" i="4"/>
  <c r="AP444" i="4"/>
  <c r="AP372" i="4"/>
  <c r="AP455" i="4"/>
  <c r="AP453" i="4"/>
  <c r="AP96" i="4"/>
  <c r="AP104" i="4"/>
  <c r="AP479" i="4"/>
  <c r="AP451" i="4"/>
  <c r="AP108" i="4"/>
  <c r="AP311" i="4"/>
  <c r="AP259" i="4"/>
  <c r="AP116" i="4"/>
  <c r="AP34" i="4"/>
  <c r="AP207" i="4"/>
  <c r="AP194" i="4"/>
  <c r="AP468" i="4"/>
  <c r="AP498" i="4"/>
  <c r="AP483" i="4"/>
  <c r="AP402" i="4"/>
  <c r="AP168" i="4"/>
  <c r="AP407" i="4"/>
  <c r="AP52" i="4"/>
  <c r="AP362" i="4"/>
  <c r="AP133" i="4"/>
  <c r="AP426" i="4"/>
  <c r="AP201" i="4"/>
  <c r="AP142" i="4"/>
  <c r="AP129" i="4"/>
  <c r="AP75" i="4"/>
  <c r="AP140" i="4"/>
  <c r="AP76" i="4"/>
  <c r="AP16" i="4"/>
  <c r="AP20" i="4"/>
  <c r="AP124" i="4"/>
  <c r="AP231" i="4"/>
  <c r="AP481" i="4"/>
  <c r="AP475" i="4"/>
  <c r="AP505" i="4"/>
  <c r="AP520" i="4"/>
  <c r="AP462" i="4"/>
  <c r="AP409" i="4"/>
  <c r="AP504" i="4"/>
  <c r="AP71" i="4"/>
  <c r="AP72" i="4"/>
  <c r="AP152" i="4"/>
  <c r="AP90" i="4"/>
  <c r="AP91" i="4"/>
  <c r="AP65" i="4"/>
  <c r="AP282" i="4"/>
  <c r="AP500" i="4"/>
  <c r="AP418" i="4"/>
  <c r="AP281" i="4"/>
  <c r="AP246" i="4"/>
  <c r="AP35" i="4"/>
  <c r="AP415" i="4"/>
  <c r="AP370" i="4"/>
  <c r="AP439" i="4"/>
  <c r="AP398" i="4"/>
  <c r="AP516" i="4"/>
  <c r="AP388" i="4"/>
  <c r="AP386" i="4"/>
  <c r="AP414" i="4"/>
  <c r="AP247" i="4"/>
  <c r="AP193" i="4"/>
  <c r="AP524" i="4"/>
  <c r="AP229" i="4"/>
  <c r="AP280" i="4"/>
  <c r="AP338" i="4"/>
  <c r="AP300" i="4"/>
  <c r="AP336" i="4"/>
  <c r="AP345" i="4"/>
  <c r="AP325" i="4"/>
  <c r="AP310" i="4"/>
  <c r="AP169" i="4"/>
  <c r="AP464" i="4"/>
  <c r="AP355" i="4"/>
  <c r="AP493" i="4"/>
  <c r="AP110" i="4"/>
  <c r="AP81" i="4"/>
  <c r="AP50" i="4"/>
  <c r="AP21" i="4"/>
  <c r="AP22" i="4"/>
  <c r="AP335" i="4"/>
  <c r="AP147" i="4"/>
  <c r="AP155" i="4"/>
  <c r="AP36" i="4"/>
  <c r="AP440" i="4"/>
  <c r="AP375" i="4"/>
  <c r="AP406" i="4"/>
  <c r="AP389" i="4"/>
  <c r="AP488" i="4"/>
  <c r="AP392" i="4"/>
  <c r="AP343" i="4"/>
  <c r="AP423" i="4"/>
  <c r="AP374" i="4"/>
  <c r="AP487" i="4"/>
  <c r="AP58" i="4"/>
  <c r="AP8" i="4"/>
  <c r="AP31" i="4"/>
  <c r="AP48" i="4"/>
  <c r="AP24" i="4"/>
  <c r="AP84" i="4"/>
  <c r="AP522" i="4"/>
  <c r="AP177" i="4"/>
  <c r="AP371" i="4"/>
  <c r="AP327" i="4"/>
  <c r="AP334" i="4"/>
  <c r="AP221" i="4"/>
  <c r="AP68" i="4"/>
  <c r="AP73" i="4"/>
  <c r="AP446" i="4"/>
  <c r="AP340" i="4"/>
  <c r="AP377" i="4"/>
  <c r="AP429" i="4"/>
  <c r="AP250" i="4"/>
  <c r="AP256" i="4"/>
  <c r="AP238" i="4"/>
  <c r="AP224" i="4"/>
  <c r="AP294" i="4"/>
  <c r="AP295" i="4"/>
  <c r="AP245" i="4"/>
  <c r="AP251" i="4"/>
  <c r="AP279" i="4"/>
  <c r="AP37" i="4"/>
  <c r="AP411" i="4"/>
  <c r="AP69" i="4"/>
  <c r="AP518" i="4"/>
  <c r="AP61" i="4"/>
  <c r="AP501" i="4"/>
  <c r="AP495" i="4"/>
  <c r="AP512" i="4"/>
  <c r="AP128" i="4"/>
  <c r="AP54" i="4"/>
  <c r="AP382" i="4"/>
  <c r="AP506" i="4"/>
  <c r="AP19" i="4"/>
  <c r="AP323" i="4"/>
  <c r="AP348" i="4"/>
  <c r="AP320" i="4"/>
  <c r="AP435" i="4"/>
  <c r="AP326" i="4"/>
  <c r="AP278" i="4"/>
  <c r="AP341" i="4"/>
  <c r="AP369" i="4"/>
  <c r="AP391" i="4"/>
  <c r="AP55" i="4"/>
  <c r="AP449" i="4"/>
  <c r="AP474" i="4"/>
  <c r="AP473" i="4"/>
  <c r="AP499" i="4"/>
  <c r="AP497" i="4"/>
  <c r="AP381" i="4"/>
  <c r="AP365" i="4"/>
  <c r="AP313" i="4"/>
  <c r="AP234" i="4"/>
  <c r="AP46" i="4"/>
  <c r="AP254" i="4"/>
  <c r="AP523" i="4"/>
  <c r="AP387" i="4"/>
  <c r="AP373" i="4"/>
  <c r="AP94" i="4"/>
  <c r="AP121" i="4"/>
  <c r="AP175" i="4"/>
  <c r="AP145" i="4"/>
  <c r="AP261" i="4"/>
  <c r="AP216" i="4"/>
  <c r="AP204" i="4"/>
  <c r="AP252" i="4"/>
  <c r="AP109" i="4"/>
  <c r="AP51" i="4"/>
  <c r="AP271" i="4"/>
  <c r="AP181" i="4"/>
  <c r="AP13" i="4"/>
  <c r="AP29" i="4"/>
  <c r="AP43" i="4"/>
  <c r="AP103" i="4"/>
  <c r="AP477" i="4"/>
  <c r="AP492" i="4"/>
  <c r="AP486" i="4"/>
  <c r="AP401" i="4"/>
  <c r="AP236" i="4"/>
  <c r="AP33" i="4"/>
  <c r="AP404" i="4"/>
  <c r="AP417" i="4"/>
  <c r="AP484" i="4"/>
  <c r="AP367" i="4"/>
  <c r="AP333" i="4"/>
  <c r="AP357" i="4"/>
  <c r="AP368" i="4"/>
  <c r="AP328" i="4"/>
  <c r="AP356" i="4"/>
  <c r="AP53" i="4"/>
  <c r="AP471" i="4"/>
  <c r="AP5" i="4"/>
  <c r="AP233" i="4"/>
  <c r="AP270" i="4"/>
  <c r="AP257" i="4"/>
  <c r="AP286" i="4"/>
  <c r="AP277" i="4"/>
  <c r="AP274" i="4"/>
  <c r="AP315" i="4"/>
  <c r="AP306" i="4"/>
  <c r="AP428" i="4"/>
  <c r="AP39" i="4"/>
  <c r="AP470" i="4"/>
  <c r="AP171" i="4"/>
  <c r="AP203" i="4"/>
  <c r="AP191" i="4"/>
  <c r="AP263" i="4"/>
  <c r="AP179" i="4"/>
  <c r="AP187" i="4"/>
  <c r="AP154" i="4"/>
  <c r="AP167" i="4"/>
  <c r="AP394" i="4"/>
  <c r="AP180" i="4"/>
  <c r="AP59" i="4"/>
  <c r="AP480" i="4"/>
  <c r="AP330" i="4"/>
  <c r="AP448" i="4"/>
  <c r="AP496" i="4"/>
  <c r="AP434" i="4"/>
  <c r="AP385" i="4"/>
  <c r="AP452" i="4"/>
  <c r="AP395" i="4"/>
  <c r="AP384" i="4"/>
  <c r="AP275" i="4"/>
  <c r="AP213" i="4"/>
  <c r="AP298" i="4"/>
  <c r="AP212" i="4"/>
  <c r="AP436" i="4"/>
  <c r="AP258" i="4"/>
  <c r="AP163" i="4"/>
  <c r="AP307" i="4"/>
  <c r="AP309" i="4"/>
  <c r="AP353" i="4"/>
  <c r="AP220" i="4"/>
  <c r="AP255" i="4"/>
  <c r="AP269" i="4"/>
  <c r="AP264" i="4"/>
  <c r="AP430" i="4"/>
  <c r="AP408" i="4"/>
  <c r="AP425" i="4"/>
  <c r="AP432" i="4"/>
  <c r="AP456" i="4"/>
  <c r="AP431" i="4"/>
  <c r="AP314" i="4"/>
  <c r="AP472" i="4"/>
  <c r="AP239" i="4"/>
  <c r="AP199" i="4"/>
  <c r="AP399" i="4"/>
  <c r="AP219" i="4"/>
  <c r="AP209" i="4"/>
  <c r="AP273" i="4"/>
  <c r="AP44" i="4"/>
  <c r="AP141" i="4"/>
  <c r="O8" i="2"/>
  <c r="P8" i="2"/>
  <c r="N8" i="2"/>
  <c r="O7" i="2"/>
  <c r="P7" i="2"/>
  <c r="N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<sst xmlns="http://schemas.openxmlformats.org/spreadsheetml/2006/main" count="161" uniqueCount="49">
  <si>
    <t>Risk</t>
  </si>
  <si>
    <t>Bucket</t>
  </si>
  <si>
    <t>Type</t>
  </si>
  <si>
    <t>USD Swap</t>
  </si>
  <si>
    <t>FX</t>
  </si>
  <si>
    <t>Q*S</t>
  </si>
  <si>
    <t xml:space="preserve">CoVaR Multiplier (c) </t>
  </si>
  <si>
    <t>99% VaR</t>
  </si>
  <si>
    <t>95% VaR</t>
  </si>
  <si>
    <t>Allocation</t>
  </si>
  <si>
    <t>Min Trade</t>
  </si>
  <si>
    <t>diag(Q)</t>
  </si>
  <si>
    <t>1mo</t>
  </si>
  <si>
    <t>2mo</t>
  </si>
  <si>
    <t>3mo</t>
  </si>
  <si>
    <t>4mo</t>
  </si>
  <si>
    <t>6mo</t>
  </si>
  <si>
    <t>1y</t>
  </si>
  <si>
    <t>2y</t>
  </si>
  <si>
    <t>3y</t>
  </si>
  <si>
    <t>5y</t>
  </si>
  <si>
    <t>7y</t>
  </si>
  <si>
    <t>10y</t>
  </si>
  <si>
    <t>20y</t>
  </si>
  <si>
    <t>30y</t>
  </si>
  <si>
    <t>USDBRL</t>
  </si>
  <si>
    <t>USDCOP</t>
  </si>
  <si>
    <t>USDCLP</t>
  </si>
  <si>
    <t>USDPEN</t>
  </si>
  <si>
    <t>USDMXN</t>
  </si>
  <si>
    <t>dates</t>
  </si>
  <si>
    <t>Hist VaR</t>
  </si>
  <si>
    <t>PnL</t>
  </si>
  <si>
    <t>Hist 99%</t>
  </si>
  <si>
    <t>eqw</t>
  </si>
  <si>
    <t>c Reduc</t>
  </si>
  <si>
    <t>ewma</t>
  </si>
  <si>
    <t>1Y</t>
  </si>
  <si>
    <t>all</t>
  </si>
  <si>
    <t>rie</t>
  </si>
  <si>
    <t>%c Reduc</t>
  </si>
  <si>
    <t>99% CoVaR</t>
  </si>
  <si>
    <t>95% CoVaR</t>
  </si>
  <si>
    <t>99%  Last 300 obs Hist vs CoVar</t>
  </si>
  <si>
    <t>99%  Last 546 obs Hist vs CoVar</t>
  </si>
  <si>
    <t>Hist 99% 300 obs</t>
  </si>
  <si>
    <t>Hist 99% 546 obs</t>
  </si>
  <si>
    <t>vol</t>
  </si>
  <si>
    <t>chge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</si>
</sst>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9" fontId="0" fillId="0" borderId="0" xfId="0" applyNumberFormat="1"/>
    <xf numFmtId="14" fontId="0" fillId="0" borderId="0" xfId="0" applyNumberFormat="1"/>
    <xf numFmtId="10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AEE0-B28D-41C0-A17A-4F881AAE6663}">
  <dimension ref="A1:P31"/>
  <sheetViews>
    <sheetView tabSelected="1" workbookViewId="0">
      <selection activeCell="L17" sqref="L17"/>
    </sheetView>
  </sheetViews>
  <sheetFormatPr defaultRowHeight="15" x14ac:dyDescent="0.25"/>
  <cols>
    <col min="3" max="3" width="12.7109375" bestFit="1" customWidth="1"/>
    <col min="4" max="4" width="10" bestFit="1" customWidth="1"/>
    <col min="5" max="8" width="10.85546875" bestFit="1" customWidth="1"/>
  </cols>
  <sheetData>
    <row r="1" spans="1:16" x14ac:dyDescent="0.25">
      <c r="N1" t="s">
        <v>34</v>
      </c>
      <c r="O1" t="s">
        <v>36</v>
      </c>
      <c r="P1" t="s">
        <v>39</v>
      </c>
    </row>
    <row r="2" spans="1:16" x14ac:dyDescent="0.25">
      <c r="A2" t="s">
        <v>6</v>
      </c>
      <c r="C2" s="2" cm="1">
        <f t="array" ref="C2">SQRT(MMULT(TRANSPOSE(C11:C28),K11:K28))</f>
        <v>372682.33249601384</v>
      </c>
      <c r="M2" t="s">
        <v>6</v>
      </c>
      <c r="N2" s="2">
        <v>198545.56473182217</v>
      </c>
      <c r="O2" s="2">
        <v>299271.20297015866</v>
      </c>
      <c r="P2" s="2">
        <v>205307.0039625697</v>
      </c>
    </row>
    <row r="3" spans="1:16" x14ac:dyDescent="0.25">
      <c r="B3" s="6" t="s">
        <v>7</v>
      </c>
      <c r="C3" s="7">
        <f>C2*2.326</f>
        <v>866859.10538572818</v>
      </c>
      <c r="M3" s="6" t="s">
        <v>41</v>
      </c>
      <c r="N3" s="2">
        <v>461816.98356621841</v>
      </c>
      <c r="O3" s="2">
        <v>696104.81810858904</v>
      </c>
      <c r="P3" s="2">
        <v>477544.09121693711</v>
      </c>
    </row>
    <row r="4" spans="1:16" x14ac:dyDescent="0.25">
      <c r="B4" t="s">
        <v>8</v>
      </c>
      <c r="C4" s="2">
        <f>C2*1.644</f>
        <v>612689.75462344673</v>
      </c>
      <c r="M4" t="s">
        <v>42</v>
      </c>
      <c r="N4" s="2">
        <v>326408.90841911564</v>
      </c>
      <c r="O4" s="2">
        <v>492001.85768294078</v>
      </c>
      <c r="P4" s="2">
        <v>337524.71451446455</v>
      </c>
    </row>
    <row r="5" spans="1:16" x14ac:dyDescent="0.25">
      <c r="A5" t="s">
        <v>37</v>
      </c>
      <c r="B5" s="6" t="s">
        <v>33</v>
      </c>
      <c r="C5" s="7">
        <f>Hist!B1*-1</f>
        <v>687389.62183255935</v>
      </c>
      <c r="M5" s="6" t="s">
        <v>45</v>
      </c>
      <c r="N5" s="7">
        <f>C5</f>
        <v>687389.62183255935</v>
      </c>
    </row>
    <row r="6" spans="1:16" x14ac:dyDescent="0.25">
      <c r="A6" t="s">
        <v>38</v>
      </c>
      <c r="B6" s="6" t="s">
        <v>33</v>
      </c>
      <c r="C6" s="7">
        <f>Hist!B2*-1</f>
        <v>907260.79587067035</v>
      </c>
      <c r="M6" s="6" t="s">
        <v>46</v>
      </c>
      <c r="N6" s="7">
        <f>C6</f>
        <v>907260.79587067035</v>
      </c>
    </row>
    <row r="7" spans="1:16" x14ac:dyDescent="0.25">
      <c r="B7" s="6"/>
      <c r="C7" s="7"/>
      <c r="M7" s="6" t="s">
        <v>43</v>
      </c>
      <c r="N7" s="2">
        <f>N3-$C5</f>
        <v>-225572.63826634095</v>
      </c>
      <c r="O7" s="2">
        <f>O3-$C5</f>
        <v>8715.1962760296883</v>
      </c>
      <c r="P7" s="2">
        <f>P3-$C5</f>
        <v>-209845.53061562224</v>
      </c>
    </row>
    <row r="8" spans="1:16" x14ac:dyDescent="0.25">
      <c r="B8" s="6"/>
      <c r="C8" s="7"/>
      <c r="M8" s="6" t="s">
        <v>44</v>
      </c>
      <c r="N8" s="2">
        <f>N3-$C6</f>
        <v>-445443.81230445195</v>
      </c>
      <c r="O8" s="2">
        <f>O3-$C6</f>
        <v>-211155.97776208131</v>
      </c>
      <c r="P8" s="2">
        <f>P3-$C6</f>
        <v>-429716.70465373324</v>
      </c>
    </row>
    <row r="9" spans="1:16" x14ac:dyDescent="0.25">
      <c r="B9" s="6"/>
      <c r="C9" s="7"/>
    </row>
    <row r="10" spans="1:16" x14ac:dyDescent="0.25">
      <c r="A10" t="s">
        <v>2</v>
      </c>
      <c r="B10" t="s">
        <v>1</v>
      </c>
      <c r="C10" t="s">
        <v>0</v>
      </c>
      <c r="D10" t="s">
        <v>9</v>
      </c>
      <c r="E10" t="s">
        <v>10</v>
      </c>
      <c r="F10" t="s">
        <v>35</v>
      </c>
      <c r="G10" t="s">
        <v>40</v>
      </c>
      <c r="K10" t="s">
        <v>5</v>
      </c>
      <c r="L10" t="s">
        <v>11</v>
      </c>
    </row>
    <row r="11" spans="1:16" x14ac:dyDescent="0.25">
      <c r="A11" t="s">
        <v>3</v>
      </c>
      <c r="B11" t="s">
        <v>12</v>
      </c>
      <c r="C11" s="2">
        <v>-4000</v>
      </c>
      <c r="D11" s="2">
        <f t="shared" ref="D11:D28" si="0">(C11*K11)/$C$2</f>
        <v>1321.264217557022</v>
      </c>
      <c r="E11" s="2">
        <f t="shared" ref="E11:E28" si="1">-K11/L11</f>
        <v>85773.673397284991</v>
      </c>
      <c r="F11" s="2">
        <f t="shared" ref="F11:F28" si="2">$C$2-SQRT($C$2^2-(K11^2)/L11)</f>
        <v>14446.19797810656</v>
      </c>
      <c r="G11" s="3">
        <f>F11/$C$2</f>
        <v>3.8762765815471209E-2</v>
      </c>
      <c r="H11" s="2"/>
      <c r="K11" s="2">
        <f t="array" ref="K11:K28">MMULT(Q!B2:S19,C11:C28)</f>
        <v>-123102.95761066792</v>
      </c>
      <c r="L11">
        <v>1.43520678006271</v>
      </c>
    </row>
    <row r="12" spans="1:16" x14ac:dyDescent="0.25">
      <c r="A12" t="s">
        <v>3</v>
      </c>
      <c r="B12" t="s">
        <v>13</v>
      </c>
      <c r="C12" s="2">
        <v>-2223</v>
      </c>
      <c r="D12" s="2">
        <f t="shared" si="0"/>
        <v>477.54745897552124</v>
      </c>
      <c r="E12" s="2">
        <f t="shared" si="1"/>
        <v>37761.156728637157</v>
      </c>
      <c r="F12" s="2">
        <f t="shared" si="2"/>
        <v>4078.2621257961146</v>
      </c>
      <c r="G12" s="3">
        <f t="shared" ref="G12:G28" si="3">F12/$C$2</f>
        <v>1.0942998286187165E-2</v>
      </c>
      <c r="H12" s="2"/>
      <c r="K12" s="2">
        <v>-80060.054380810499</v>
      </c>
      <c r="L12">
        <v>2.1201695423724898</v>
      </c>
    </row>
    <row r="13" spans="1:16" x14ac:dyDescent="0.25">
      <c r="A13" t="s">
        <v>3</v>
      </c>
      <c r="B13" t="s">
        <v>14</v>
      </c>
      <c r="C13" s="2">
        <f>4590</f>
        <v>4590</v>
      </c>
      <c r="D13" s="2">
        <f t="shared" si="0"/>
        <v>-1110.1757846839325</v>
      </c>
      <c r="E13" s="2">
        <f t="shared" si="1"/>
        <v>37384.202630413718</v>
      </c>
      <c r="F13" s="2">
        <f t="shared" si="2"/>
        <v>4548.7881419485784</v>
      </c>
      <c r="G13" s="3">
        <f t="shared" si="3"/>
        <v>1.2205537384837612E-2</v>
      </c>
      <c r="H13" s="2"/>
      <c r="K13" s="2">
        <v>-90140.065559172202</v>
      </c>
      <c r="L13">
        <v>2.4111806382581298</v>
      </c>
    </row>
    <row r="14" spans="1:16" x14ac:dyDescent="0.25">
      <c r="A14" t="s">
        <v>3</v>
      </c>
      <c r="B14" t="s">
        <v>15</v>
      </c>
      <c r="C14" s="2">
        <v>-3445</v>
      </c>
      <c r="D14" s="2">
        <f t="shared" si="0"/>
        <v>-15.772967964446078</v>
      </c>
      <c r="E14" s="2">
        <f t="shared" si="1"/>
        <v>-1526.2469994403252</v>
      </c>
      <c r="F14" s="2">
        <f t="shared" si="2"/>
        <v>3.4939851778908633</v>
      </c>
      <c r="G14" s="3">
        <f t="shared" si="3"/>
        <v>9.3752369598261938E-6</v>
      </c>
      <c r="H14" s="2"/>
      <c r="K14" s="2">
        <v>1706.3298958997584</v>
      </c>
      <c r="L14">
        <v>1.1179906637165999</v>
      </c>
    </row>
    <row r="15" spans="1:16" x14ac:dyDescent="0.25">
      <c r="A15" t="s">
        <v>3</v>
      </c>
      <c r="B15" t="s">
        <v>16</v>
      </c>
      <c r="C15" s="2">
        <f>5435</f>
        <v>5435</v>
      </c>
      <c r="D15" s="2">
        <f t="shared" si="0"/>
        <v>-3327.1159793787306</v>
      </c>
      <c r="E15" s="2">
        <f t="shared" si="1"/>
        <v>59211.729604538195</v>
      </c>
      <c r="F15" s="2">
        <f t="shared" si="2"/>
        <v>18587.178876745922</v>
      </c>
      <c r="G15" s="3">
        <f t="shared" si="3"/>
        <v>4.9874054270991577E-2</v>
      </c>
      <c r="H15" s="2"/>
      <c r="K15" s="2">
        <v>-228143.02551603032</v>
      </c>
      <c r="L15">
        <v>3.8530039071607298</v>
      </c>
    </row>
    <row r="16" spans="1:16" x14ac:dyDescent="0.25">
      <c r="A16" t="s">
        <v>3</v>
      </c>
      <c r="B16" t="s">
        <v>17</v>
      </c>
      <c r="C16" s="2">
        <v>-2000</v>
      </c>
      <c r="D16" s="2">
        <f t="shared" si="0"/>
        <v>3318.9201755466461</v>
      </c>
      <c r="E16" s="2">
        <f t="shared" si="1"/>
        <v>64954.514455132601</v>
      </c>
      <c r="F16" s="2">
        <f t="shared" si="2"/>
        <v>58483.499106347386</v>
      </c>
      <c r="G16" s="3">
        <f t="shared" si="3"/>
        <v>0.1569258695861922</v>
      </c>
      <c r="H16" s="2"/>
      <c r="K16" s="2">
        <v>-618451.45619540196</v>
      </c>
      <c r="L16">
        <v>9.5213005806178099</v>
      </c>
    </row>
    <row r="17" spans="1:12" x14ac:dyDescent="0.25">
      <c r="A17" t="s">
        <v>3</v>
      </c>
      <c r="B17" t="s">
        <v>18</v>
      </c>
      <c r="C17" s="2">
        <v>4564</v>
      </c>
      <c r="D17" s="2">
        <f t="shared" si="0"/>
        <v>-13486.19027552658</v>
      </c>
      <c r="E17" s="2">
        <f t="shared" si="1"/>
        <v>46711.934655239143</v>
      </c>
      <c r="F17" s="2">
        <f t="shared" si="2"/>
        <v>76961.156618782843</v>
      </c>
      <c r="G17" s="3">
        <f t="shared" ref="G17:G27" si="4">F17/$C$2</f>
        <v>0.20650605061780333</v>
      </c>
      <c r="H17" s="2"/>
      <c r="K17" s="2">
        <v>-1101241.2025346856</v>
      </c>
      <c r="L17">
        <v>23.5751571983151</v>
      </c>
    </row>
    <row r="18" spans="1:12" x14ac:dyDescent="0.25">
      <c r="A18" t="s">
        <v>3</v>
      </c>
      <c r="B18" t="s">
        <v>19</v>
      </c>
      <c r="C18" s="2">
        <v>-2223</v>
      </c>
      <c r="D18" s="2">
        <f t="shared" si="0"/>
        <v>6435.7800748805876</v>
      </c>
      <c r="E18" s="2">
        <f t="shared" si="1"/>
        <v>46393.741787325242</v>
      </c>
      <c r="F18" s="2">
        <f t="shared" si="2"/>
        <v>74629.177141831606</v>
      </c>
      <c r="G18" s="3">
        <f t="shared" si="4"/>
        <v>0.20024876586450427</v>
      </c>
      <c r="H18" s="2"/>
      <c r="K18" s="2">
        <v>-1078948.0565622437</v>
      </c>
      <c r="L18">
        <v>23.256327577721098</v>
      </c>
    </row>
    <row r="19" spans="1:12" x14ac:dyDescent="0.25">
      <c r="A19" t="s">
        <v>3</v>
      </c>
      <c r="B19" t="s">
        <v>20</v>
      </c>
      <c r="C19" s="2">
        <v>-100544</v>
      </c>
      <c r="D19" s="2">
        <f t="shared" si="0"/>
        <v>261346.74555245371</v>
      </c>
      <c r="E19" s="2">
        <f t="shared" si="1"/>
        <v>43802.923962100809</v>
      </c>
      <c r="F19" s="2">
        <f t="shared" si="2"/>
        <v>62103.504769019142</v>
      </c>
      <c r="G19" s="3">
        <f t="shared" si="4"/>
        <v>0.16663925105621527</v>
      </c>
      <c r="H19" s="2"/>
      <c r="K19" s="2">
        <v>-968723.29251601966</v>
      </c>
      <c r="L19">
        <v>22.115493781971701</v>
      </c>
    </row>
    <row r="20" spans="1:12" x14ac:dyDescent="0.25">
      <c r="A20" t="s">
        <v>3</v>
      </c>
      <c r="B20" t="s">
        <v>21</v>
      </c>
      <c r="C20" s="2">
        <v>1</v>
      </c>
      <c r="D20" s="2">
        <f t="shared" si="0"/>
        <v>-2.2615534652399583</v>
      </c>
      <c r="E20" s="2">
        <f t="shared" si="1"/>
        <v>40863.089797238601</v>
      </c>
      <c r="F20" s="2">
        <f t="shared" si="2"/>
        <v>49493.482673518534</v>
      </c>
      <c r="G20" s="3">
        <f t="shared" si="4"/>
        <v>0.13280340482479916</v>
      </c>
      <c r="H20" s="2"/>
      <c r="K20" s="2">
        <v>-842841.02049007034</v>
      </c>
      <c r="L20">
        <v>20.625973823130401</v>
      </c>
    </row>
    <row r="21" spans="1:12" x14ac:dyDescent="0.25">
      <c r="A21" t="s">
        <v>3</v>
      </c>
      <c r="B21" t="s">
        <v>22</v>
      </c>
      <c r="C21" s="2">
        <f>50323</f>
        <v>50323</v>
      </c>
      <c r="D21" s="2">
        <f t="shared" si="0"/>
        <v>-90945.145212056086</v>
      </c>
      <c r="E21" s="2">
        <f t="shared" si="1"/>
        <v>41415.76835176281</v>
      </c>
      <c r="F21" s="2">
        <f t="shared" si="2"/>
        <v>39519.176067122549</v>
      </c>
      <c r="G21" s="3">
        <f t="shared" si="4"/>
        <v>0.10603984310832669</v>
      </c>
      <c r="H21" s="2"/>
      <c r="K21" s="2">
        <v>-673522.02465707029</v>
      </c>
      <c r="L21">
        <v>16.2624539266432</v>
      </c>
    </row>
    <row r="22" spans="1:12" x14ac:dyDescent="0.25">
      <c r="A22" t="s">
        <v>3</v>
      </c>
      <c r="B22" t="s">
        <v>23</v>
      </c>
      <c r="C22" s="2">
        <f>25323</f>
        <v>25323</v>
      </c>
      <c r="D22" s="2">
        <f t="shared" si="0"/>
        <v>-33642.196473053984</v>
      </c>
      <c r="E22" s="2">
        <f t="shared" si="1"/>
        <v>32304.817407289909</v>
      </c>
      <c r="F22" s="2">
        <f t="shared" si="2"/>
        <v>22115.005176924693</v>
      </c>
      <c r="G22" s="3">
        <f t="shared" si="4"/>
        <v>5.9340095434122123E-2</v>
      </c>
      <c r="H22" s="2"/>
      <c r="K22" s="2">
        <v>-495117.17615870672</v>
      </c>
      <c r="L22">
        <v>15.326419274141401</v>
      </c>
    </row>
    <row r="23" spans="1:12" x14ac:dyDescent="0.25">
      <c r="A23" t="s">
        <v>3</v>
      </c>
      <c r="B23" t="s">
        <v>24</v>
      </c>
      <c r="C23" s="2">
        <v>1</v>
      </c>
      <c r="D23" s="2">
        <f t="shared" si="0"/>
        <v>-0.62141472665577424</v>
      </c>
      <c r="E23" s="2">
        <f t="shared" si="1"/>
        <v>15044.553620936358</v>
      </c>
      <c r="F23" s="2">
        <f t="shared" si="2"/>
        <v>4704.1423515102942</v>
      </c>
      <c r="G23" s="3">
        <f t="shared" si="4"/>
        <v>1.2622391622389583E-2</v>
      </c>
      <c r="H23" s="2"/>
      <c r="K23" s="2">
        <v>-231590.2897774468</v>
      </c>
      <c r="L23">
        <v>15.393629855202899</v>
      </c>
    </row>
    <row r="24" spans="1:12" x14ac:dyDescent="0.25">
      <c r="A24" t="s">
        <v>4</v>
      </c>
      <c r="B24" t="s">
        <v>25</v>
      </c>
      <c r="C24" s="2">
        <v>1</v>
      </c>
      <c r="D24" s="2">
        <f t="shared" si="0"/>
        <v>-0.44239712576584472</v>
      </c>
      <c r="E24" s="2">
        <f t="shared" si="1"/>
        <v>263676.42189861799</v>
      </c>
      <c r="F24" s="2">
        <f t="shared" si="2"/>
        <v>63782.92822222173</v>
      </c>
      <c r="G24" s="3">
        <f t="shared" si="4"/>
        <v>0.17114556462883559</v>
      </c>
      <c r="H24" s="5"/>
      <c r="K24" s="2">
        <v>-164873.5927199474</v>
      </c>
      <c r="L24">
        <v>0.62528758367079296</v>
      </c>
    </row>
    <row r="25" spans="1:12" x14ac:dyDescent="0.25">
      <c r="A25" t="s">
        <v>4</v>
      </c>
      <c r="B25" t="s">
        <v>26</v>
      </c>
      <c r="C25" s="2">
        <v>-100000</v>
      </c>
      <c r="D25" s="2">
        <f t="shared" si="0"/>
        <v>66445.082770683905</v>
      </c>
      <c r="E25" s="2">
        <f t="shared" si="1"/>
        <v>174605.74957184575</v>
      </c>
      <c r="F25" s="2">
        <f t="shared" si="2"/>
        <v>63401.458410811902</v>
      </c>
      <c r="G25" s="3">
        <f t="shared" si="4"/>
        <v>0.17012198562294345</v>
      </c>
      <c r="H25" s="5"/>
      <c r="K25" s="2">
        <v>-247629.0842986918</v>
      </c>
      <c r="L25">
        <v>1.41821838573992</v>
      </c>
    </row>
    <row r="26" spans="1:12" x14ac:dyDescent="0.25">
      <c r="A26" t="s">
        <v>4</v>
      </c>
      <c r="B26" t="s">
        <v>27</v>
      </c>
      <c r="C26" s="2">
        <v>100000</v>
      </c>
      <c r="D26" s="2">
        <f t="shared" si="0"/>
        <v>15777.450008300477</v>
      </c>
      <c r="E26" s="2">
        <f t="shared" si="1"/>
        <v>-48334.778568324815</v>
      </c>
      <c r="F26" s="2">
        <f t="shared" si="2"/>
        <v>3832.7057445167447</v>
      </c>
      <c r="G26" s="3">
        <f t="shared" si="4"/>
        <v>1.0284109039587324E-2</v>
      </c>
      <c r="H26" s="5"/>
      <c r="K26" s="2">
        <v>58799.768699326742</v>
      </c>
      <c r="L26">
        <v>1.2165105632212401</v>
      </c>
    </row>
    <row r="27" spans="1:12" x14ac:dyDescent="0.25">
      <c r="A27" t="s">
        <v>4</v>
      </c>
      <c r="B27" t="s">
        <v>28</v>
      </c>
      <c r="C27" s="2">
        <f>(-25000000)*0.01</f>
        <v>-250000</v>
      </c>
      <c r="D27" s="2">
        <f t="shared" si="0"/>
        <v>113659.76701128038</v>
      </c>
      <c r="E27" s="2">
        <f t="shared" si="1"/>
        <v>401715.22578574618</v>
      </c>
      <c r="F27" s="2">
        <f t="shared" si="2"/>
        <v>106548.68051279371</v>
      </c>
      <c r="G27" s="3">
        <f t="shared" si="4"/>
        <v>0.28589678453279871</v>
      </c>
      <c r="H27" s="5"/>
      <c r="K27" s="2">
        <v>-169435.94832286984</v>
      </c>
      <c r="L27">
        <v>0.42178124563602698</v>
      </c>
    </row>
    <row r="28" spans="1:12" x14ac:dyDescent="0.25">
      <c r="A28" t="s">
        <v>4</v>
      </c>
      <c r="B28" t="s">
        <v>29</v>
      </c>
      <c r="C28" s="2">
        <f>(-10000000)*0.01</f>
        <v>-100000</v>
      </c>
      <c r="D28" s="2">
        <f t="shared" si="0"/>
        <v>46429.697284316964</v>
      </c>
      <c r="E28" s="2">
        <f t="shared" si="1"/>
        <v>361680.56106759061</v>
      </c>
      <c r="F28" s="2">
        <f t="shared" si="2"/>
        <v>96442.175693693629</v>
      </c>
      <c r="G28" s="3">
        <f t="shared" si="3"/>
        <v>0.25877850191550245</v>
      </c>
      <c r="H28" s="5"/>
      <c r="K28" s="2">
        <v>-173035.27881003087</v>
      </c>
      <c r="L28">
        <v>0.478420179119591</v>
      </c>
    </row>
    <row r="29" spans="1:12" x14ac:dyDescent="0.25">
      <c r="C29" s="2"/>
    </row>
    <row r="30" spans="1:12" x14ac:dyDescent="0.25">
      <c r="B30" s="6"/>
      <c r="C30" s="2"/>
    </row>
    <row r="31" spans="1:12" x14ac:dyDescent="0.25">
      <c r="C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9E1F-BE3F-4036-9CAA-53DF22472DD9}">
  <dimension ref="A1:S19"/>
  <sheetViews>
    <sheetView workbookViewId="0">
      <selection activeCell="A16" sqref="A16"/>
    </sheetView>
  </sheetViews>
  <sheetFormatPr defaultRowHeight="15" x14ac:dyDescent="0.25"/>
  <sheetData>
    <row r="1" spans="1:19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 x14ac:dyDescent="0.25">
      <c r="A2" t="s">
        <v>12</v>
      </c>
      <c r="B2">
        <v>1.43520678006271</v>
      </c>
      <c r="C2">
        <v>0.71559403362253005</v>
      </c>
      <c r="D2">
        <v>0.28725654116503702</v>
      </c>
      <c r="E2">
        <v>0.223676142586715</v>
      </c>
      <c r="F2">
        <v>6.8100075159347906E-2</v>
      </c>
      <c r="G2">
        <v>0.35063582309396502</v>
      </c>
      <c r="H2">
        <v>0.52161864047529305</v>
      </c>
      <c r="I2">
        <v>0.53362192379096796</v>
      </c>
      <c r="J2">
        <v>0.27183172077611001</v>
      </c>
      <c r="K2">
        <v>0.135390265421415</v>
      </c>
      <c r="L2">
        <v>-3.6740770323439198E-2</v>
      </c>
      <c r="M2">
        <v>-0.27440652312608399</v>
      </c>
      <c r="N2">
        <v>-0.58282892732907798</v>
      </c>
      <c r="O2">
        <v>0.125627268568271</v>
      </c>
      <c r="P2">
        <v>0.33922941107655502</v>
      </c>
      <c r="Q2">
        <v>-6.0095521588356099E-2</v>
      </c>
      <c r="R2">
        <v>0.10710347743170601</v>
      </c>
      <c r="S2">
        <v>0.14345151227623101</v>
      </c>
    </row>
    <row r="3" spans="1:19" x14ac:dyDescent="0.25">
      <c r="A3" t="s">
        <v>13</v>
      </c>
      <c r="B3">
        <v>0.71559403362253005</v>
      </c>
      <c r="C3">
        <v>2.1201695423724898</v>
      </c>
      <c r="D3">
        <v>0.75240878944713796</v>
      </c>
      <c r="E3">
        <v>0.27493260347645698</v>
      </c>
      <c r="F3">
        <v>0.51441231519528796</v>
      </c>
      <c r="G3">
        <v>0.830320747791507</v>
      </c>
      <c r="H3">
        <v>1.1131113402822801</v>
      </c>
      <c r="I3">
        <v>1.1734039477457401</v>
      </c>
      <c r="J3">
        <v>0.51587879197200104</v>
      </c>
      <c r="K3">
        <v>0.234859842541602</v>
      </c>
      <c r="L3">
        <v>6.4348762555221895E-4</v>
      </c>
      <c r="M3">
        <v>-0.67510850825200697</v>
      </c>
      <c r="N3">
        <v>-0.90968578551354795</v>
      </c>
      <c r="O3">
        <v>2.14225234051988E-2</v>
      </c>
      <c r="P3">
        <v>0.16751739969400301</v>
      </c>
      <c r="Q3">
        <v>0.32538114332629797</v>
      </c>
      <c r="R3">
        <v>0.113446115156854</v>
      </c>
      <c r="S3">
        <v>-2.9098081191961198E-2</v>
      </c>
    </row>
    <row r="4" spans="1:19" x14ac:dyDescent="0.25">
      <c r="A4" t="s">
        <v>14</v>
      </c>
      <c r="B4">
        <v>0.28725654116503702</v>
      </c>
      <c r="C4">
        <v>0.75240878944713796</v>
      </c>
      <c r="D4">
        <v>2.4111806382581298</v>
      </c>
      <c r="E4">
        <v>0.79910393773562904</v>
      </c>
      <c r="F4">
        <v>2.3338224959776799</v>
      </c>
      <c r="G4">
        <v>2.5084867369980799</v>
      </c>
      <c r="H4">
        <v>3.5782706739847998</v>
      </c>
      <c r="I4">
        <v>3.53713165160858</v>
      </c>
      <c r="J4">
        <v>3.6654033251967899</v>
      </c>
      <c r="K4">
        <v>3.1019776310845901</v>
      </c>
      <c r="L4">
        <v>2.3717488751285001</v>
      </c>
      <c r="M4">
        <v>1.6827620412855799</v>
      </c>
      <c r="N4">
        <v>1.3029264078634899</v>
      </c>
      <c r="O4">
        <v>-8.3650379671805497E-2</v>
      </c>
      <c r="P4">
        <v>-0.30393001891538302</v>
      </c>
      <c r="Q4">
        <v>0.43502167836319899</v>
      </c>
      <c r="R4">
        <v>-3.3058402263003703E-2</v>
      </c>
      <c r="S4">
        <v>-0.126357423608915</v>
      </c>
    </row>
    <row r="5" spans="1:19" x14ac:dyDescent="0.25">
      <c r="A5" t="s">
        <v>15</v>
      </c>
      <c r="B5">
        <v>0.223676142586715</v>
      </c>
      <c r="C5">
        <v>0.27493260347645698</v>
      </c>
      <c r="D5">
        <v>0.79910393773562904</v>
      </c>
      <c r="E5">
        <v>1.1179906637165999</v>
      </c>
      <c r="F5">
        <v>0.96358574507105299</v>
      </c>
      <c r="G5">
        <v>1.2958679547983101</v>
      </c>
      <c r="H5">
        <v>1.4651771368525099</v>
      </c>
      <c r="I5">
        <v>1.45007883092763</v>
      </c>
      <c r="J5">
        <v>1.5907532339919801</v>
      </c>
      <c r="K5">
        <v>1.24797702499384</v>
      </c>
      <c r="L5">
        <v>0.90825076449840503</v>
      </c>
      <c r="M5">
        <v>0.63041082213912303</v>
      </c>
      <c r="N5">
        <v>0.62213527373640098</v>
      </c>
      <c r="O5">
        <v>-0.267891659578959</v>
      </c>
      <c r="P5">
        <v>-8.9806924756677994E-2</v>
      </c>
      <c r="Q5">
        <v>0.124653960015041</v>
      </c>
      <c r="R5">
        <v>-0.19826699536352199</v>
      </c>
      <c r="S5">
        <v>-0.24543361728680499</v>
      </c>
    </row>
    <row r="6" spans="1:19" x14ac:dyDescent="0.25">
      <c r="A6" t="s">
        <v>16</v>
      </c>
      <c r="B6">
        <v>6.8100075159347906E-2</v>
      </c>
      <c r="C6">
        <v>0.51441231519528796</v>
      </c>
      <c r="D6">
        <v>2.3338224959776799</v>
      </c>
      <c r="E6">
        <v>0.96358574507105299</v>
      </c>
      <c r="F6">
        <v>3.8530039071607298</v>
      </c>
      <c r="G6">
        <v>4.02014767940166</v>
      </c>
      <c r="H6">
        <v>5.6726295422070203</v>
      </c>
      <c r="I6">
        <v>5.6035234324450203</v>
      </c>
      <c r="J6">
        <v>5.7111237210358503</v>
      </c>
      <c r="K6">
        <v>4.9258685108949196</v>
      </c>
      <c r="L6">
        <v>3.8127521748584399</v>
      </c>
      <c r="M6">
        <v>2.96553837495546</v>
      </c>
      <c r="N6">
        <v>2.4443084818111802</v>
      </c>
      <c r="O6">
        <v>0.12537732705619101</v>
      </c>
      <c r="P6">
        <v>-0.22509799716092499</v>
      </c>
      <c r="Q6">
        <v>0.51096869662636002</v>
      </c>
      <c r="R6">
        <v>8.3872214838876899E-2</v>
      </c>
      <c r="S6">
        <v>5.8461523003031597E-2</v>
      </c>
    </row>
    <row r="7" spans="1:19" x14ac:dyDescent="0.25">
      <c r="A7" t="s">
        <v>17</v>
      </c>
      <c r="B7">
        <v>0.35063582309396502</v>
      </c>
      <c r="C7">
        <v>0.830320747791507</v>
      </c>
      <c r="D7">
        <v>2.5084867369980799</v>
      </c>
      <c r="E7">
        <v>1.2958679547983101</v>
      </c>
      <c r="F7">
        <v>4.02014767940166</v>
      </c>
      <c r="G7">
        <v>9.5213005806178099</v>
      </c>
      <c r="H7">
        <v>13.1808476084344</v>
      </c>
      <c r="I7">
        <v>13.109374509019201</v>
      </c>
      <c r="J7">
        <v>12.0485781221967</v>
      </c>
      <c r="K7">
        <v>10.5854958218085</v>
      </c>
      <c r="L7">
        <v>8.5498965343573801</v>
      </c>
      <c r="M7">
        <v>6.8363462916207798</v>
      </c>
      <c r="N7">
        <v>5.71452589081734</v>
      </c>
      <c r="O7">
        <v>4.0013075410319898E-2</v>
      </c>
      <c r="P7">
        <v>-0.15352503685159199</v>
      </c>
      <c r="Q7">
        <v>0.17624832277544</v>
      </c>
      <c r="R7">
        <v>0.15508243627661</v>
      </c>
      <c r="S7">
        <v>0.42259017978257202</v>
      </c>
    </row>
    <row r="8" spans="1:19" x14ac:dyDescent="0.25">
      <c r="A8" t="s">
        <v>18</v>
      </c>
      <c r="B8">
        <v>0.52161864047529305</v>
      </c>
      <c r="C8">
        <v>1.1131113402822801</v>
      </c>
      <c r="D8">
        <v>3.5782706739847998</v>
      </c>
      <c r="E8">
        <v>1.4651771368525099</v>
      </c>
      <c r="F8">
        <v>5.6726295422070203</v>
      </c>
      <c r="G8">
        <v>13.1808476084344</v>
      </c>
      <c r="H8">
        <v>23.5751571983151</v>
      </c>
      <c r="I8">
        <v>22.321996491006502</v>
      </c>
      <c r="J8">
        <v>21.374197163242101</v>
      </c>
      <c r="K8">
        <v>19.6784582361805</v>
      </c>
      <c r="L8">
        <v>16.7001932671057</v>
      </c>
      <c r="M8">
        <v>14.2896669117823</v>
      </c>
      <c r="N8">
        <v>12.017395062175</v>
      </c>
      <c r="O8">
        <v>0.82373894958662797</v>
      </c>
      <c r="P8">
        <v>-0.60453093119740298</v>
      </c>
      <c r="Q8">
        <v>0.27339760619172898</v>
      </c>
      <c r="R8">
        <v>0.76149005548028403</v>
      </c>
      <c r="S8">
        <v>1.2116791508679901</v>
      </c>
    </row>
    <row r="9" spans="1:19" x14ac:dyDescent="0.25">
      <c r="A9" t="s">
        <v>19</v>
      </c>
      <c r="B9">
        <v>0.53362192379096796</v>
      </c>
      <c r="C9">
        <v>1.1734039477457401</v>
      </c>
      <c r="D9">
        <v>3.53713165160858</v>
      </c>
      <c r="E9">
        <v>1.45007883092763</v>
      </c>
      <c r="F9">
        <v>5.6035234324450203</v>
      </c>
      <c r="G9">
        <v>13.109374509019201</v>
      </c>
      <c r="H9">
        <v>22.321996491006502</v>
      </c>
      <c r="I9">
        <v>23.256327577721098</v>
      </c>
      <c r="J9">
        <v>22.047672192871101</v>
      </c>
      <c r="K9">
        <v>20.645031847028701</v>
      </c>
      <c r="L9">
        <v>17.5141056826902</v>
      </c>
      <c r="M9">
        <v>14.661103130272</v>
      </c>
      <c r="N9">
        <v>12.519986529618</v>
      </c>
      <c r="O9">
        <v>0.69946226653666399</v>
      </c>
      <c r="P9">
        <v>-0.55078428432668103</v>
      </c>
      <c r="Q9">
        <v>0.34904200269700397</v>
      </c>
      <c r="R9">
        <v>0.69578141901128698</v>
      </c>
      <c r="S9">
        <v>0.91795621524613602</v>
      </c>
    </row>
    <row r="10" spans="1:19" x14ac:dyDescent="0.25">
      <c r="A10" t="s">
        <v>20</v>
      </c>
      <c r="B10">
        <v>0.27183172077611001</v>
      </c>
      <c r="C10">
        <v>0.51587879197200104</v>
      </c>
      <c r="D10">
        <v>3.6654033251967899</v>
      </c>
      <c r="E10">
        <v>1.5907532339919801</v>
      </c>
      <c r="F10">
        <v>5.7111237210358503</v>
      </c>
      <c r="G10">
        <v>12.0485781221967</v>
      </c>
      <c r="H10">
        <v>21.374197163242101</v>
      </c>
      <c r="I10">
        <v>22.047672192871101</v>
      </c>
      <c r="J10">
        <v>22.115493781971701</v>
      </c>
      <c r="K10">
        <v>20.978806710670099</v>
      </c>
      <c r="L10">
        <v>18.0339204866312</v>
      </c>
      <c r="M10">
        <v>15.7535479854642</v>
      </c>
      <c r="N10">
        <v>13.931889121044801</v>
      </c>
      <c r="O10">
        <v>0.69649641309322896</v>
      </c>
      <c r="P10">
        <v>-0.70203279919125405</v>
      </c>
      <c r="Q10">
        <v>0.178705702964185</v>
      </c>
      <c r="R10">
        <v>0.47918026010128201</v>
      </c>
      <c r="S10">
        <v>0.84498147050191097</v>
      </c>
    </row>
    <row r="11" spans="1:19" x14ac:dyDescent="0.25">
      <c r="A11" t="s">
        <v>21</v>
      </c>
      <c r="B11">
        <v>0.135390265421415</v>
      </c>
      <c r="C11">
        <v>0.234859842541602</v>
      </c>
      <c r="D11">
        <v>3.1019776310845901</v>
      </c>
      <c r="E11">
        <v>1.24797702499384</v>
      </c>
      <c r="F11">
        <v>4.9258685108949196</v>
      </c>
      <c r="G11">
        <v>10.5854958218085</v>
      </c>
      <c r="H11">
        <v>19.6784582361805</v>
      </c>
      <c r="I11">
        <v>20.645031847028701</v>
      </c>
      <c r="J11">
        <v>20.978806710670099</v>
      </c>
      <c r="K11">
        <v>20.625973823130401</v>
      </c>
      <c r="L11">
        <v>17.932341451383401</v>
      </c>
      <c r="M11">
        <v>15.915839495562601</v>
      </c>
      <c r="N11">
        <v>14.5199126904125</v>
      </c>
      <c r="O11">
        <v>0.767157627161968</v>
      </c>
      <c r="P11">
        <v>-0.72594993305695699</v>
      </c>
      <c r="Q11">
        <v>9.5906200246755599E-2</v>
      </c>
      <c r="R11">
        <v>0.37581799547037598</v>
      </c>
      <c r="S11">
        <v>0.856557517744712</v>
      </c>
    </row>
    <row r="12" spans="1:19" x14ac:dyDescent="0.25">
      <c r="A12" t="s">
        <v>22</v>
      </c>
      <c r="B12">
        <v>-3.6740770323439198E-2</v>
      </c>
      <c r="C12">
        <v>6.4348762555221895E-4</v>
      </c>
      <c r="D12">
        <v>2.3717488751285001</v>
      </c>
      <c r="E12">
        <v>0.90825076449840503</v>
      </c>
      <c r="F12">
        <v>3.8127521748584399</v>
      </c>
      <c r="G12">
        <v>8.5498965343573801</v>
      </c>
      <c r="H12">
        <v>16.7001932671057</v>
      </c>
      <c r="I12">
        <v>17.5141056826902</v>
      </c>
      <c r="J12">
        <v>18.0339204866312</v>
      </c>
      <c r="K12">
        <v>17.932341451383401</v>
      </c>
      <c r="L12">
        <v>16.2624539266432</v>
      </c>
      <c r="M12">
        <v>14.961846837305</v>
      </c>
      <c r="N12">
        <v>14.034064312592101</v>
      </c>
      <c r="O12">
        <v>0.66128548985999502</v>
      </c>
      <c r="P12">
        <v>-0.61093900525973799</v>
      </c>
      <c r="Q12">
        <v>-0.18435586240229901</v>
      </c>
      <c r="R12">
        <v>0.28964251208602798</v>
      </c>
      <c r="S12">
        <v>0.76665429817789998</v>
      </c>
    </row>
    <row r="13" spans="1:19" x14ac:dyDescent="0.25">
      <c r="A13" t="s">
        <v>23</v>
      </c>
      <c r="B13">
        <v>-0.27440652312608399</v>
      </c>
      <c r="C13">
        <v>-0.67510850825200697</v>
      </c>
      <c r="D13">
        <v>1.6827620412855799</v>
      </c>
      <c r="E13">
        <v>0.63041082213912303</v>
      </c>
      <c r="F13">
        <v>2.96553837495546</v>
      </c>
      <c r="G13">
        <v>6.8363462916207798</v>
      </c>
      <c r="H13">
        <v>14.2896669117823</v>
      </c>
      <c r="I13">
        <v>14.661103130272</v>
      </c>
      <c r="J13">
        <v>15.7535479854642</v>
      </c>
      <c r="K13">
        <v>15.915839495562601</v>
      </c>
      <c r="L13">
        <v>14.961846837305</v>
      </c>
      <c r="M13">
        <v>15.326419274141401</v>
      </c>
      <c r="N13">
        <v>14.8221942741934</v>
      </c>
      <c r="O13">
        <v>0.61929367098541399</v>
      </c>
      <c r="P13">
        <v>-0.73505452347871403</v>
      </c>
      <c r="Q13">
        <v>-0.67997965214905598</v>
      </c>
      <c r="R13">
        <v>0.117065337567581</v>
      </c>
      <c r="S13">
        <v>0.71722812054488705</v>
      </c>
    </row>
    <row r="14" spans="1:19" x14ac:dyDescent="0.25">
      <c r="A14" t="s">
        <v>24</v>
      </c>
      <c r="B14">
        <v>-0.58282892732907798</v>
      </c>
      <c r="C14">
        <v>-0.90968578551354795</v>
      </c>
      <c r="D14">
        <v>1.3029264078634899</v>
      </c>
      <c r="E14">
        <v>0.62213527373640098</v>
      </c>
      <c r="F14">
        <v>2.4443084818111802</v>
      </c>
      <c r="G14">
        <v>5.71452589081734</v>
      </c>
      <c r="H14">
        <v>12.017395062175</v>
      </c>
      <c r="I14">
        <v>12.519986529618</v>
      </c>
      <c r="J14">
        <v>13.931889121044801</v>
      </c>
      <c r="K14">
        <v>14.5199126904125</v>
      </c>
      <c r="L14">
        <v>14.034064312592101</v>
      </c>
      <c r="M14">
        <v>14.8221942741934</v>
      </c>
      <c r="N14">
        <v>15.393629855202899</v>
      </c>
      <c r="O14">
        <v>0.332465260303625</v>
      </c>
      <c r="P14">
        <v>-0.961856449606037</v>
      </c>
      <c r="Q14">
        <v>-0.84063660890541603</v>
      </c>
      <c r="R14">
        <v>-0.32472910551392498</v>
      </c>
      <c r="S14">
        <v>0.42797529685458902</v>
      </c>
    </row>
    <row r="15" spans="1:19" x14ac:dyDescent="0.25">
      <c r="A15" t="s">
        <v>25</v>
      </c>
      <c r="B15">
        <v>0.125627268568271</v>
      </c>
      <c r="C15">
        <v>2.14225234051988E-2</v>
      </c>
      <c r="D15">
        <v>-8.3650379671805497E-2</v>
      </c>
      <c r="E15">
        <v>-0.267891659578959</v>
      </c>
      <c r="F15">
        <v>0.12537732705619101</v>
      </c>
      <c r="G15">
        <v>4.0013075410319898E-2</v>
      </c>
      <c r="H15">
        <v>0.82373894958662797</v>
      </c>
      <c r="I15">
        <v>0.69946226653666399</v>
      </c>
      <c r="J15">
        <v>0.69649641309322896</v>
      </c>
      <c r="K15">
        <v>0.767157627161968</v>
      </c>
      <c r="L15">
        <v>0.66128548985999502</v>
      </c>
      <c r="M15">
        <v>0.61929367098541399</v>
      </c>
      <c r="N15">
        <v>0.332465260303625</v>
      </c>
      <c r="O15">
        <v>0.62528758367079296</v>
      </c>
      <c r="P15">
        <v>0.25951056779578802</v>
      </c>
      <c r="Q15">
        <v>-4.6495162706820498E-2</v>
      </c>
      <c r="R15">
        <v>0.31626446906807298</v>
      </c>
      <c r="S15">
        <v>0.36935175041567198</v>
      </c>
    </row>
    <row r="16" spans="1:19" x14ac:dyDescent="0.25">
      <c r="A16" t="s">
        <v>26</v>
      </c>
      <c r="B16">
        <v>0.33922941107655502</v>
      </c>
      <c r="C16">
        <v>0.16751739969400301</v>
      </c>
      <c r="D16">
        <v>-0.30393001891538302</v>
      </c>
      <c r="E16">
        <v>-8.9806924756677994E-2</v>
      </c>
      <c r="F16">
        <v>-0.22509799716092499</v>
      </c>
      <c r="G16">
        <v>-0.15352503685159199</v>
      </c>
      <c r="H16">
        <v>-0.60453093119740298</v>
      </c>
      <c r="I16">
        <v>-0.55078428432668103</v>
      </c>
      <c r="J16">
        <v>-0.70203279919125405</v>
      </c>
      <c r="K16">
        <v>-0.72594993305695699</v>
      </c>
      <c r="L16">
        <v>-0.61093900525973799</v>
      </c>
      <c r="M16">
        <v>-0.73505452347871403</v>
      </c>
      <c r="N16">
        <v>-0.961856449606037</v>
      </c>
      <c r="O16">
        <v>0.25951056779578802</v>
      </c>
      <c r="P16">
        <v>1.41821838573992</v>
      </c>
      <c r="Q16">
        <v>-0.243147465495516</v>
      </c>
      <c r="R16">
        <v>0.29826000728928997</v>
      </c>
      <c r="S16">
        <v>0.22887179557505</v>
      </c>
    </row>
    <row r="17" spans="1:19" x14ac:dyDescent="0.25">
      <c r="A17" t="s">
        <v>27</v>
      </c>
      <c r="B17">
        <v>-6.0095521588356099E-2</v>
      </c>
      <c r="C17">
        <v>0.32538114332629797</v>
      </c>
      <c r="D17">
        <v>0.43502167836319899</v>
      </c>
      <c r="E17">
        <v>0.124653960015041</v>
      </c>
      <c r="F17">
        <v>0.51096869662636002</v>
      </c>
      <c r="G17">
        <v>0.17624832277544</v>
      </c>
      <c r="H17">
        <v>0.27339760619172898</v>
      </c>
      <c r="I17">
        <v>0.34904200269700397</v>
      </c>
      <c r="J17">
        <v>0.178705702964185</v>
      </c>
      <c r="K17">
        <v>9.5906200246755599E-2</v>
      </c>
      <c r="L17">
        <v>-0.18435586240229901</v>
      </c>
      <c r="M17">
        <v>-0.67997965214905598</v>
      </c>
      <c r="N17">
        <v>-0.84063660890541603</v>
      </c>
      <c r="O17">
        <v>-4.6495162706820498E-2</v>
      </c>
      <c r="P17">
        <v>-0.243147465495516</v>
      </c>
      <c r="Q17">
        <v>1.2165105632212401</v>
      </c>
      <c r="R17">
        <v>0.21972831367759199</v>
      </c>
      <c r="S17">
        <v>-8.2502255270416394E-2</v>
      </c>
    </row>
    <row r="18" spans="1:19" x14ac:dyDescent="0.25">
      <c r="A18" t="s">
        <v>28</v>
      </c>
      <c r="B18">
        <v>0.10710347743170601</v>
      </c>
      <c r="C18">
        <v>0.113446115156854</v>
      </c>
      <c r="D18">
        <v>-3.3058402263003703E-2</v>
      </c>
      <c r="E18">
        <v>-0.19826699536352199</v>
      </c>
      <c r="F18">
        <v>8.3872214838876899E-2</v>
      </c>
      <c r="G18">
        <v>0.15508243627661</v>
      </c>
      <c r="H18">
        <v>0.76149005548028403</v>
      </c>
      <c r="I18">
        <v>0.69578141901128698</v>
      </c>
      <c r="J18">
        <v>0.47918026010128201</v>
      </c>
      <c r="K18">
        <v>0.37581799547037598</v>
      </c>
      <c r="L18">
        <v>0.28964251208602798</v>
      </c>
      <c r="M18">
        <v>0.117065337567581</v>
      </c>
      <c r="N18">
        <v>-0.32472910551392498</v>
      </c>
      <c r="O18">
        <v>0.31626446906807298</v>
      </c>
      <c r="P18">
        <v>0.29826000728928997</v>
      </c>
      <c r="Q18">
        <v>0.21972831367759199</v>
      </c>
      <c r="R18">
        <v>0.42178124563602698</v>
      </c>
      <c r="S18">
        <v>0.27424346756123702</v>
      </c>
    </row>
    <row r="19" spans="1:19" x14ac:dyDescent="0.25">
      <c r="A19" t="s">
        <v>29</v>
      </c>
      <c r="B19">
        <v>0.14345151227623101</v>
      </c>
      <c r="C19">
        <v>-2.9098081191961198E-2</v>
      </c>
      <c r="D19">
        <v>-0.126357423608915</v>
      </c>
      <c r="E19">
        <v>-0.24543361728680499</v>
      </c>
      <c r="F19">
        <v>5.8461523003031597E-2</v>
      </c>
      <c r="G19">
        <v>0.42259017978257202</v>
      </c>
      <c r="H19">
        <v>1.2116791508679901</v>
      </c>
      <c r="I19">
        <v>0.91795621524613602</v>
      </c>
      <c r="J19">
        <v>0.84498147050191097</v>
      </c>
      <c r="K19">
        <v>0.856557517744712</v>
      </c>
      <c r="L19">
        <v>0.76665429817789998</v>
      </c>
      <c r="M19">
        <v>0.71722812054488705</v>
      </c>
      <c r="N19">
        <v>0.42797529685458902</v>
      </c>
      <c r="O19">
        <v>0.36935175041567198</v>
      </c>
      <c r="P19">
        <v>0.22887179557505</v>
      </c>
      <c r="Q19">
        <v>-8.2502255270416394E-2</v>
      </c>
      <c r="R19">
        <v>0.27424346756123702</v>
      </c>
      <c r="S19">
        <v>0.478420179119591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E859-9EB0-484D-9C84-1DD42B44CF82}">
  <dimension ref="A1:AP1100"/>
  <sheetViews>
    <sheetView workbookViewId="0">
      <selection activeCell="B1" sqref="B1"/>
    </sheetView>
  </sheetViews>
  <sheetFormatPr defaultRowHeight="15" x14ac:dyDescent="0.25"/>
  <cols>
    <col min="2" max="2" width="10.85546875" bestFit="1" customWidth="1"/>
    <col min="15" max="15" width="9.28515625" bestFit="1" customWidth="1"/>
    <col min="16" max="16" width="13.5703125" bestFit="1" customWidth="1"/>
    <col min="17" max="17" width="12.7109375" bestFit="1" customWidth="1"/>
    <col min="18" max="19" width="13.5703125" bestFit="1" customWidth="1"/>
    <col min="40" max="40" width="10.85546875" bestFit="1" customWidth="1"/>
  </cols>
  <sheetData>
    <row r="1" spans="1:42" x14ac:dyDescent="0.25">
      <c r="A1" t="s">
        <v>31</v>
      </c>
      <c r="B1" s="1">
        <f>SMALL(AN5:AN304,4)</f>
        <v>-687389.62183255935</v>
      </c>
    </row>
    <row r="2" spans="1:42" x14ac:dyDescent="0.25">
      <c r="A2" t="s">
        <v>31</v>
      </c>
      <c r="B2" s="1">
        <f>SMALL(AN5:AN550,4)</f>
        <v>-907260.79587067035</v>
      </c>
      <c r="O2" s="5"/>
      <c r="P2" s="5"/>
      <c r="Q2" s="5"/>
      <c r="R2" s="5"/>
      <c r="S2" s="5"/>
    </row>
    <row r="3" spans="1:42" x14ac:dyDescent="0.25">
      <c r="A3" t="s">
        <v>0</v>
      </c>
      <c r="B3" cm="1">
        <f t="array" ref="B3:N3">TRANSPOSE(Risk!C11:C23)</f>
        <v>-4000</v>
      </c>
      <c r="C3">
        <v>-2223</v>
      </c>
      <c r="D3">
        <v>4590</v>
      </c>
      <c r="E3">
        <v>-3445</v>
      </c>
      <c r="F3">
        <v>5435</v>
      </c>
      <c r="G3">
        <v>-2000</v>
      </c>
      <c r="H3">
        <v>4564</v>
      </c>
      <c r="I3">
        <v>-2223</v>
      </c>
      <c r="J3">
        <v>-100544</v>
      </c>
      <c r="K3">
        <v>1</v>
      </c>
      <c r="L3">
        <v>50323</v>
      </c>
      <c r="M3">
        <v>25323</v>
      </c>
      <c r="N3">
        <v>1</v>
      </c>
      <c r="O3" s="1" cm="1">
        <f t="array" ref="O3:S3">TRANSPOSE(Risk!C24:C28)/0.01</f>
        <v>100</v>
      </c>
      <c r="P3" s="1">
        <v>-10000000</v>
      </c>
      <c r="Q3" s="1">
        <v>10000000</v>
      </c>
      <c r="R3" s="1">
        <v>-25000000</v>
      </c>
      <c r="S3" s="1">
        <v>-10000000</v>
      </c>
    </row>
    <row r="4" spans="1:42" x14ac:dyDescent="0.25">
      <c r="A4" t="s">
        <v>30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  <c r="R4" t="s">
        <v>28</v>
      </c>
      <c r="S4" t="s">
        <v>29</v>
      </c>
      <c r="U4" t="s">
        <v>30</v>
      </c>
      <c r="V4" t="s">
        <v>12</v>
      </c>
      <c r="W4" t="s">
        <v>13</v>
      </c>
      <c r="X4" t="s">
        <v>14</v>
      </c>
      <c r="Y4" t="s">
        <v>15</v>
      </c>
      <c r="Z4" t="s">
        <v>16</v>
      </c>
      <c r="AA4" t="s">
        <v>17</v>
      </c>
      <c r="AB4" t="s">
        <v>18</v>
      </c>
      <c r="AC4" t="s">
        <v>19</v>
      </c>
      <c r="AD4" t="s">
        <v>20</v>
      </c>
      <c r="AE4" t="s">
        <v>21</v>
      </c>
      <c r="AF4" t="s">
        <v>22</v>
      </c>
      <c r="AG4" t="s">
        <v>23</v>
      </c>
      <c r="AH4" t="s">
        <v>24</v>
      </c>
      <c r="AI4" t="s">
        <v>25</v>
      </c>
      <c r="AJ4" t="s">
        <v>26</v>
      </c>
      <c r="AK4" t="s">
        <v>27</v>
      </c>
      <c r="AL4" t="s">
        <v>28</v>
      </c>
      <c r="AM4" t="s">
        <v>29</v>
      </c>
      <c r="AN4" t="s">
        <v>32</v>
      </c>
      <c r="AO4" t="s">
        <v>48</v>
      </c>
      <c r="AP4" t="s">
        <v>47</v>
      </c>
    </row>
    <row r="5" spans="1:42" x14ac:dyDescent="0.25">
      <c r="A5" s="4">
        <v>46093</v>
      </c>
      <c r="B5">
        <f t="shared" ref="B5:K5" si="0">(B554-B555)*100</f>
        <v>0.99999999999997868</v>
      </c>
      <c r="C5">
        <f t="shared" si="0"/>
        <v>2.0000000000000018</v>
      </c>
      <c r="D5">
        <f t="shared" si="0"/>
        <v>1.0000000000000231</v>
      </c>
      <c r="E5">
        <f t="shared" si="0"/>
        <v>0</v>
      </c>
      <c r="F5">
        <f t="shared" si="0"/>
        <v>2.0000000000000018</v>
      </c>
      <c r="G5">
        <f t="shared" si="0"/>
        <v>6.0000000000000053</v>
      </c>
      <c r="H5">
        <f t="shared" si="0"/>
        <v>11.999999999999966</v>
      </c>
      <c r="I5">
        <f t="shared" si="0"/>
        <v>10.999999999999988</v>
      </c>
      <c r="J5">
        <f t="shared" si="0"/>
        <v>8.9999999999999858</v>
      </c>
      <c r="K5">
        <f t="shared" si="0"/>
        <v>7.9999999999999627</v>
      </c>
      <c r="L5">
        <f>(L554-L555)*100</f>
        <v>5.9999999999999609</v>
      </c>
      <c r="M5">
        <f>(M554-M555)*100</f>
        <v>4.0000000000000036</v>
      </c>
      <c r="N5">
        <f>(N554-N555)*100</f>
        <v>1.9999999999999574</v>
      </c>
      <c r="O5" s="5">
        <f t="shared" ref="O5:S14" si="1">LN(O554/O555)</f>
        <v>8.7803653607101493E-3</v>
      </c>
      <c r="P5" s="5">
        <f t="shared" si="1"/>
        <v>-5.9286303675641396E-3</v>
      </c>
      <c r="Q5" s="5">
        <f t="shared" si="1"/>
        <v>2.4251918790547562E-3</v>
      </c>
      <c r="R5" s="5">
        <f t="shared" si="1"/>
        <v>7.5757938084575014E-3</v>
      </c>
      <c r="S5" s="5">
        <f t="shared" si="1"/>
        <v>9.8607854674106418E-3</v>
      </c>
      <c r="U5" s="4">
        <v>46093</v>
      </c>
      <c r="V5">
        <f>B5*B$3</f>
        <v>-3999.9999999999145</v>
      </c>
      <c r="W5">
        <f t="shared" ref="W5:AM5" si="2">C5*C$3</f>
        <v>-4446.0000000000036</v>
      </c>
      <c r="X5">
        <f t="shared" si="2"/>
        <v>4590.0000000001064</v>
      </c>
      <c r="Y5">
        <f t="shared" si="2"/>
        <v>0</v>
      </c>
      <c r="Z5">
        <f t="shared" si="2"/>
        <v>10870.000000000009</v>
      </c>
      <c r="AA5">
        <f t="shared" si="2"/>
        <v>-12000.000000000011</v>
      </c>
      <c r="AB5">
        <f t="shared" si="2"/>
        <v>54767.999999999847</v>
      </c>
      <c r="AC5">
        <f t="shared" si="2"/>
        <v>-24452.999999999971</v>
      </c>
      <c r="AD5">
        <f t="shared" si="2"/>
        <v>-904895.9999999986</v>
      </c>
      <c r="AE5">
        <f t="shared" si="2"/>
        <v>7.9999999999999627</v>
      </c>
      <c r="AF5">
        <f t="shared" si="2"/>
        <v>301937.99999999802</v>
      </c>
      <c r="AG5">
        <f t="shared" si="2"/>
        <v>101292.00000000009</v>
      </c>
      <c r="AH5">
        <f t="shared" si="2"/>
        <v>1.9999999999999574</v>
      </c>
      <c r="AI5">
        <f t="shared" si="2"/>
        <v>0.87803653607101495</v>
      </c>
      <c r="AJ5">
        <f t="shared" si="2"/>
        <v>59286.303675641393</v>
      </c>
      <c r="AK5">
        <f t="shared" si="2"/>
        <v>24251.918790547563</v>
      </c>
      <c r="AL5">
        <f t="shared" si="2"/>
        <v>-189394.84521143752</v>
      </c>
      <c r="AM5" s="1">
        <f t="shared" si="2"/>
        <v>-98607.85467410642</v>
      </c>
      <c r="AN5" s="1">
        <f>SUM(V5:AM5)</f>
        <v>-680790.59938281926</v>
      </c>
      <c r="AO5">
        <f>AN5/AN6-1</f>
        <v>2.3755909649781413</v>
      </c>
      <c r="AP5">
        <f>STDEV(AO5:AO25)</f>
        <v>23.037162596610493</v>
      </c>
    </row>
    <row r="6" spans="1:42" x14ac:dyDescent="0.25">
      <c r="A6" s="4">
        <v>46092</v>
      </c>
      <c r="B6">
        <f t="shared" ref="B6:N6" si="3">(B556-B555)*100</f>
        <v>0</v>
      </c>
      <c r="C6">
        <f t="shared" si="3"/>
        <v>0.99999999999997868</v>
      </c>
      <c r="D6">
        <f t="shared" si="3"/>
        <v>0</v>
      </c>
      <c r="E6">
        <f t="shared" si="3"/>
        <v>0</v>
      </c>
      <c r="F6">
        <f t="shared" si="3"/>
        <v>0</v>
      </c>
      <c r="G6">
        <f t="shared" si="3"/>
        <v>-4.0000000000000036</v>
      </c>
      <c r="H6">
        <f t="shared" si="3"/>
        <v>-7.0000000000000284</v>
      </c>
      <c r="I6">
        <f t="shared" si="3"/>
        <v>-6.0000000000000053</v>
      </c>
      <c r="J6">
        <f t="shared" si="3"/>
        <v>-6.0000000000000053</v>
      </c>
      <c r="K6">
        <f t="shared" si="3"/>
        <v>-4.9999999999999822</v>
      </c>
      <c r="L6">
        <f t="shared" si="3"/>
        <v>-5.9999999999999609</v>
      </c>
      <c r="M6">
        <f t="shared" si="3"/>
        <v>-8.0000000000000071</v>
      </c>
      <c r="N6">
        <f t="shared" si="3"/>
        <v>-8.0000000000000071</v>
      </c>
      <c r="O6" s="5">
        <f t="shared" si="1"/>
        <v>-5.0381739623241455E-4</v>
      </c>
      <c r="P6" s="5">
        <f t="shared" si="1"/>
        <v>2.1210634881449093E-3</v>
      </c>
      <c r="Q6" s="5">
        <f t="shared" si="1"/>
        <v>-2.5050341677574452E-2</v>
      </c>
      <c r="R6" s="5">
        <f t="shared" si="1"/>
        <v>-1.169248890884063E-3</v>
      </c>
      <c r="S6" s="5">
        <f t="shared" si="1"/>
        <v>4.5093538994223819E-3</v>
      </c>
      <c r="U6" s="4">
        <v>46092</v>
      </c>
      <c r="V6">
        <f>B6*B$3</f>
        <v>0</v>
      </c>
      <c r="W6">
        <f t="shared" ref="W6:AF8" si="4">C6*C$3</f>
        <v>-2222.9999999999527</v>
      </c>
      <c r="X6">
        <f t="shared" si="4"/>
        <v>0</v>
      </c>
      <c r="Y6">
        <f t="shared" si="4"/>
        <v>0</v>
      </c>
      <c r="Z6">
        <f t="shared" si="4"/>
        <v>0</v>
      </c>
      <c r="AA6">
        <f t="shared" si="4"/>
        <v>8000.0000000000073</v>
      </c>
      <c r="AB6">
        <f t="shared" si="4"/>
        <v>-31948.000000000131</v>
      </c>
      <c r="AC6">
        <f t="shared" si="4"/>
        <v>13338.000000000013</v>
      </c>
      <c r="AD6">
        <f t="shared" si="4"/>
        <v>603264.00000000058</v>
      </c>
      <c r="AE6">
        <f t="shared" si="4"/>
        <v>-4.9999999999999822</v>
      </c>
      <c r="AF6">
        <f t="shared" si="4"/>
        <v>-301937.99999999802</v>
      </c>
      <c r="AG6">
        <f t="shared" ref="AG6:AP8" si="5">M6*M$3</f>
        <v>-202584.00000000017</v>
      </c>
      <c r="AH6">
        <f t="shared" si="5"/>
        <v>-8.0000000000000071</v>
      </c>
      <c r="AI6">
        <f t="shared" si="5"/>
        <v>-5.0381739623241453E-2</v>
      </c>
      <c r="AJ6">
        <f t="shared" si="5"/>
        <v>-21210.634881449092</v>
      </c>
      <c r="AK6">
        <f t="shared" si="5"/>
        <v>-250503.41677574452</v>
      </c>
      <c r="AL6">
        <f t="shared" si="5"/>
        <v>29231.222272101575</v>
      </c>
      <c r="AM6" s="1">
        <f t="shared" si="5"/>
        <v>-45093.538994223818</v>
      </c>
      <c r="AN6" s="1">
        <f t="shared" ref="AN6:AN69" si="6">SUM(V6:AM6)</f>
        <v>-201680.41876105321</v>
      </c>
      <c r="AO6">
        <f t="shared" ref="AO6:AO69" si="7">AN6/AN7-1</f>
        <v>-1.3416781661865125</v>
      </c>
      <c r="AP6">
        <f t="shared" ref="AP6:AP69" si="8">STDEV(AO6:AO26)</f>
        <v>23.049109077707605</v>
      </c>
    </row>
    <row r="7" spans="1:42" x14ac:dyDescent="0.25">
      <c r="A7" s="4">
        <v>46091</v>
      </c>
      <c r="B7">
        <f t="shared" ref="B7:N7" si="9">(B557-B556)*100</f>
        <v>0</v>
      </c>
      <c r="C7">
        <f t="shared" si="9"/>
        <v>1.0000000000000231</v>
      </c>
      <c r="D7">
        <f t="shared" si="9"/>
        <v>0</v>
      </c>
      <c r="E7">
        <f t="shared" si="9"/>
        <v>-0.99999999999997868</v>
      </c>
      <c r="F7">
        <f t="shared" si="9"/>
        <v>0</v>
      </c>
      <c r="G7">
        <f t="shared" si="9"/>
        <v>0</v>
      </c>
      <c r="H7">
        <f t="shared" si="9"/>
        <v>-0.99999999999997868</v>
      </c>
      <c r="I7">
        <f t="shared" si="9"/>
        <v>0</v>
      </c>
      <c r="J7">
        <f t="shared" si="9"/>
        <v>-2.0000000000000018</v>
      </c>
      <c r="K7">
        <f t="shared" si="9"/>
        <v>-3.0000000000000249</v>
      </c>
      <c r="L7">
        <f t="shared" si="9"/>
        <v>-3.0000000000000249</v>
      </c>
      <c r="M7">
        <f t="shared" si="9"/>
        <v>-4.0000000000000036</v>
      </c>
      <c r="N7">
        <f t="shared" si="9"/>
        <v>-6.0000000000000497</v>
      </c>
      <c r="O7" s="5">
        <f t="shared" si="1"/>
        <v>-9.9658672635611935E-3</v>
      </c>
      <c r="P7" s="5">
        <f t="shared" si="1"/>
        <v>-1.8743724367556495E-2</v>
      </c>
      <c r="Q7" s="5">
        <f t="shared" si="1"/>
        <v>-5.8755854189256737E-3</v>
      </c>
      <c r="R7" s="5">
        <f t="shared" si="1"/>
        <v>-1.8811146498684851E-2</v>
      </c>
      <c r="S7" s="5">
        <f t="shared" si="1"/>
        <v>-4.5829230502128287E-3</v>
      </c>
      <c r="U7" s="4">
        <v>46091</v>
      </c>
      <c r="V7">
        <f>B7*B$3</f>
        <v>0</v>
      </c>
      <c r="W7">
        <f t="shared" si="4"/>
        <v>-2223.0000000000514</v>
      </c>
      <c r="X7">
        <f t="shared" si="4"/>
        <v>0</v>
      </c>
      <c r="Y7">
        <f t="shared" si="4"/>
        <v>3444.9999999999268</v>
      </c>
      <c r="Z7">
        <f t="shared" si="4"/>
        <v>0</v>
      </c>
      <c r="AA7">
        <f t="shared" si="4"/>
        <v>0</v>
      </c>
      <c r="AB7">
        <f t="shared" si="4"/>
        <v>-4563.9999999999027</v>
      </c>
      <c r="AC7">
        <f t="shared" si="4"/>
        <v>0</v>
      </c>
      <c r="AD7">
        <f t="shared" si="4"/>
        <v>201088.00000000017</v>
      </c>
      <c r="AE7">
        <f t="shared" si="4"/>
        <v>-3.0000000000000249</v>
      </c>
      <c r="AF7">
        <f t="shared" si="4"/>
        <v>-150969.00000000125</v>
      </c>
      <c r="AG7">
        <f t="shared" si="5"/>
        <v>-101292.00000000009</v>
      </c>
      <c r="AH7">
        <f t="shared" si="5"/>
        <v>-6.0000000000000497</v>
      </c>
      <c r="AI7">
        <f t="shared" si="5"/>
        <v>-0.99658672635611933</v>
      </c>
      <c r="AJ7">
        <f t="shared" si="5"/>
        <v>187437.24367556497</v>
      </c>
      <c r="AK7">
        <f t="shared" si="5"/>
        <v>-58755.854189256737</v>
      </c>
      <c r="AL7">
        <f t="shared" si="5"/>
        <v>470278.66246712126</v>
      </c>
      <c r="AM7" s="1">
        <f t="shared" si="5"/>
        <v>45829.230502128288</v>
      </c>
      <c r="AN7" s="1">
        <f t="shared" si="6"/>
        <v>590264.28586883016</v>
      </c>
      <c r="AO7">
        <f t="shared" si="7"/>
        <v>0.96873889992518847</v>
      </c>
      <c r="AP7">
        <f t="shared" si="8"/>
        <v>23.047272231631638</v>
      </c>
    </row>
    <row r="8" spans="1:42" x14ac:dyDescent="0.25">
      <c r="A8" s="4">
        <v>46090</v>
      </c>
      <c r="B8">
        <f t="shared" ref="B8:N8" si="10">(B558-B557)*100</f>
        <v>0</v>
      </c>
      <c r="C8">
        <f t="shared" si="10"/>
        <v>0</v>
      </c>
      <c r="D8">
        <f t="shared" si="10"/>
        <v>-2.0000000000000018</v>
      </c>
      <c r="E8">
        <f t="shared" si="10"/>
        <v>-1.0000000000000231</v>
      </c>
      <c r="F8">
        <f t="shared" si="10"/>
        <v>-2.0000000000000018</v>
      </c>
      <c r="G8">
        <f t="shared" si="10"/>
        <v>-1.0000000000000231</v>
      </c>
      <c r="H8">
        <f t="shared" si="10"/>
        <v>0</v>
      </c>
      <c r="I8">
        <f t="shared" si="10"/>
        <v>0.99999999999997868</v>
      </c>
      <c r="J8">
        <f t="shared" si="10"/>
        <v>1.0000000000000231</v>
      </c>
      <c r="K8">
        <f t="shared" si="10"/>
        <v>3.0000000000000249</v>
      </c>
      <c r="L8">
        <f t="shared" si="10"/>
        <v>3.0000000000000249</v>
      </c>
      <c r="M8">
        <f t="shared" si="10"/>
        <v>4.0000000000000036</v>
      </c>
      <c r="N8">
        <f t="shared" si="10"/>
        <v>4.9999999999999822</v>
      </c>
      <c r="O8" s="5">
        <f t="shared" si="1"/>
        <v>-1.4074948336362842E-2</v>
      </c>
      <c r="P8" s="5">
        <f t="shared" si="1"/>
        <v>-7.9607275001533748E-4</v>
      </c>
      <c r="Q8" s="5">
        <f t="shared" si="1"/>
        <v>1.5415026845646284E-2</v>
      </c>
      <c r="R8" s="5">
        <f t="shared" si="1"/>
        <v>2.8710901146419198E-3</v>
      </c>
      <c r="S8" s="5">
        <f t="shared" si="1"/>
        <v>-7.4589134944600521E-3</v>
      </c>
      <c r="U8" s="4">
        <v>46090</v>
      </c>
      <c r="V8">
        <f>B8*B$3</f>
        <v>0</v>
      </c>
      <c r="W8">
        <f t="shared" si="4"/>
        <v>0</v>
      </c>
      <c r="X8">
        <f t="shared" si="4"/>
        <v>-9180.0000000000073</v>
      </c>
      <c r="Y8">
        <f t="shared" si="4"/>
        <v>3445.0000000000796</v>
      </c>
      <c r="Z8">
        <f t="shared" si="4"/>
        <v>-10870.000000000009</v>
      </c>
      <c r="AA8">
        <f t="shared" si="4"/>
        <v>2000.0000000000462</v>
      </c>
      <c r="AB8">
        <f t="shared" si="4"/>
        <v>0</v>
      </c>
      <c r="AC8">
        <f t="shared" si="4"/>
        <v>-2222.9999999999527</v>
      </c>
      <c r="AD8">
        <f t="shared" si="4"/>
        <v>-100544.00000000233</v>
      </c>
      <c r="AE8">
        <f t="shared" si="4"/>
        <v>3.0000000000000249</v>
      </c>
      <c r="AF8">
        <f t="shared" si="4"/>
        <v>150969.00000000125</v>
      </c>
      <c r="AG8">
        <f t="shared" si="5"/>
        <v>101292.00000000009</v>
      </c>
      <c r="AH8">
        <f t="shared" si="5"/>
        <v>4.9999999999999822</v>
      </c>
      <c r="AI8">
        <f t="shared" si="5"/>
        <v>-1.4074948336362842</v>
      </c>
      <c r="AJ8">
        <f t="shared" si="5"/>
        <v>7960.7275001533744</v>
      </c>
      <c r="AK8">
        <f t="shared" si="5"/>
        <v>154150.26845646283</v>
      </c>
      <c r="AL8">
        <f t="shared" si="5"/>
        <v>-71777.252866048002</v>
      </c>
      <c r="AM8" s="1">
        <f t="shared" si="5"/>
        <v>74589.134944600519</v>
      </c>
      <c r="AN8" s="1">
        <f t="shared" si="6"/>
        <v>299818.47054033424</v>
      </c>
      <c r="AO8">
        <f t="shared" si="7"/>
        <v>-1.9819338845113725</v>
      </c>
      <c r="AP8">
        <f t="shared" si="8"/>
        <v>23.077660552366094</v>
      </c>
    </row>
    <row r="9" spans="1:42" x14ac:dyDescent="0.25">
      <c r="A9" s="4">
        <v>46087</v>
      </c>
      <c r="B9">
        <f t="shared" ref="B9:N9" si="11">(B559-B558)*100</f>
        <v>0</v>
      </c>
      <c r="C9">
        <f t="shared" si="11"/>
        <v>0</v>
      </c>
      <c r="D9">
        <f t="shared" si="11"/>
        <v>1.0000000000000231</v>
      </c>
      <c r="E9">
        <f t="shared" si="11"/>
        <v>1.0000000000000231</v>
      </c>
      <c r="F9">
        <f t="shared" si="11"/>
        <v>2.0000000000000018</v>
      </c>
      <c r="G9">
        <f t="shared" si="11"/>
        <v>4.0000000000000036</v>
      </c>
      <c r="H9">
        <f t="shared" si="11"/>
        <v>0.99999999999997868</v>
      </c>
      <c r="I9">
        <f t="shared" si="11"/>
        <v>0</v>
      </c>
      <c r="J9">
        <f t="shared" si="11"/>
        <v>0</v>
      </c>
      <c r="K9">
        <f t="shared" si="11"/>
        <v>-1.0000000000000231</v>
      </c>
      <c r="L9">
        <f t="shared" si="11"/>
        <v>-2.0000000000000462</v>
      </c>
      <c r="M9">
        <f t="shared" si="11"/>
        <v>-3.0000000000000249</v>
      </c>
      <c r="N9">
        <f t="shared" si="11"/>
        <v>-2.9999999999999361</v>
      </c>
      <c r="O9" s="5">
        <f t="shared" si="1"/>
        <v>8.1847037292866361E-3</v>
      </c>
      <c r="P9" s="5">
        <f t="shared" si="1"/>
        <v>-1.325381241068682E-3</v>
      </c>
      <c r="Q9" s="5">
        <f t="shared" si="1"/>
        <v>1.388972851561493E-2</v>
      </c>
      <c r="R9" s="5">
        <f t="shared" si="1"/>
        <v>1.1276684481962146E-2</v>
      </c>
      <c r="S9" s="5">
        <f t="shared" si="1"/>
        <v>7.5294861592734106E-4</v>
      </c>
      <c r="U9" s="4">
        <v>46087</v>
      </c>
      <c r="V9">
        <f t="shared" ref="V9:V72" si="12">B9*B$3</f>
        <v>0</v>
      </c>
      <c r="W9">
        <f t="shared" ref="W9:W72" si="13">C9*C$3</f>
        <v>0</v>
      </c>
      <c r="X9">
        <f t="shared" ref="X9:X72" si="14">D9*D$3</f>
        <v>4590.0000000001064</v>
      </c>
      <c r="Y9">
        <f t="shared" ref="Y9:Y72" si="15">E9*E$3</f>
        <v>-3445.0000000000796</v>
      </c>
      <c r="Z9">
        <f t="shared" ref="Z9:Z72" si="16">F9*F$3</f>
        <v>10870.000000000009</v>
      </c>
      <c r="AA9">
        <f t="shared" ref="AA9:AA72" si="17">G9*G$3</f>
        <v>-8000.0000000000073</v>
      </c>
      <c r="AB9">
        <f t="shared" ref="AB9:AB72" si="18">H9*H$3</f>
        <v>4563.9999999999027</v>
      </c>
      <c r="AC9">
        <f t="shared" ref="AC9:AC72" si="19">I9*I$3</f>
        <v>0</v>
      </c>
      <c r="AD9">
        <f t="shared" ref="AD9:AD72" si="20">J9*J$3</f>
        <v>0</v>
      </c>
      <c r="AE9">
        <f t="shared" ref="AE9:AE72" si="21">K9*K$3</f>
        <v>-1.0000000000000231</v>
      </c>
      <c r="AF9">
        <f t="shared" ref="AF9:AF72" si="22">L9*L$3</f>
        <v>-100646.00000000233</v>
      </c>
      <c r="AG9">
        <f t="shared" ref="AG9:AG72" si="23">M9*M$3</f>
        <v>-75969.000000000626</v>
      </c>
      <c r="AH9">
        <f t="shared" ref="AH9:AH72" si="24">N9*N$3</f>
        <v>-2.9999999999999361</v>
      </c>
      <c r="AI9">
        <f t="shared" ref="AI9:AI72" si="25">O9*O$3</f>
        <v>0.81847037292866365</v>
      </c>
      <c r="AJ9">
        <f t="shared" ref="AJ9:AJ72" si="26">P9*P$3</f>
        <v>13253.81241068682</v>
      </c>
      <c r="AK9">
        <f t="shared" ref="AK9:AK72" si="27">Q9*Q$3</f>
        <v>138897.2851561493</v>
      </c>
      <c r="AL9">
        <f t="shared" ref="AL9:AL72" si="28">R9*R$3</f>
        <v>-281917.11204905366</v>
      </c>
      <c r="AM9" s="1">
        <f t="shared" ref="AM9:AM72" si="29">S9*S$3</f>
        <v>-7529.4861592734105</v>
      </c>
      <c r="AN9" s="1">
        <f t="shared" si="6"/>
        <v>-305334.68217112107</v>
      </c>
      <c r="AO9">
        <f t="shared" si="7"/>
        <v>-9.740805498539773E-2</v>
      </c>
      <c r="AP9">
        <f t="shared" si="8"/>
        <v>23.042688329988174</v>
      </c>
    </row>
    <row r="10" spans="1:42" x14ac:dyDescent="0.25">
      <c r="A10" s="4">
        <v>46086</v>
      </c>
      <c r="B10">
        <f t="shared" ref="B10:N10" si="30">(B560-B559)*100</f>
        <v>0</v>
      </c>
      <c r="C10">
        <f t="shared" si="30"/>
        <v>2.9999999999999805</v>
      </c>
      <c r="D10">
        <f t="shared" si="30"/>
        <v>0.99999999999997868</v>
      </c>
      <c r="E10">
        <f t="shared" si="30"/>
        <v>0</v>
      </c>
      <c r="F10">
        <f t="shared" si="30"/>
        <v>0</v>
      </c>
      <c r="G10">
        <f t="shared" si="30"/>
        <v>-0.99999999999997868</v>
      </c>
      <c r="H10">
        <f t="shared" si="30"/>
        <v>-2.9999999999999805</v>
      </c>
      <c r="I10">
        <f t="shared" si="30"/>
        <v>-4.0000000000000036</v>
      </c>
      <c r="J10">
        <f t="shared" si="30"/>
        <v>-5.0000000000000266</v>
      </c>
      <c r="K10">
        <f t="shared" si="30"/>
        <v>-4.9999999999999822</v>
      </c>
      <c r="L10">
        <f t="shared" si="30"/>
        <v>-4.0000000000000036</v>
      </c>
      <c r="M10">
        <f t="shared" si="30"/>
        <v>-4.0000000000000036</v>
      </c>
      <c r="N10">
        <f t="shared" si="30"/>
        <v>-2.0000000000000462</v>
      </c>
      <c r="O10" s="5">
        <f t="shared" si="1"/>
        <v>6.8113377025942941E-3</v>
      </c>
      <c r="P10" s="5">
        <f t="shared" si="1"/>
        <v>7.4448628894377049E-3</v>
      </c>
      <c r="Q10" s="5">
        <f t="shared" si="1"/>
        <v>-1.2412313942421293E-2</v>
      </c>
      <c r="R10" s="5">
        <f t="shared" si="1"/>
        <v>8.1752280136205176E-3</v>
      </c>
      <c r="S10" s="5">
        <f t="shared" si="1"/>
        <v>1.3058472595134532E-2</v>
      </c>
      <c r="U10" s="4">
        <v>46086</v>
      </c>
      <c r="V10">
        <f t="shared" si="12"/>
        <v>0</v>
      </c>
      <c r="W10">
        <f t="shared" si="13"/>
        <v>-6668.9999999999563</v>
      </c>
      <c r="X10">
        <f t="shared" si="14"/>
        <v>4589.9999999999018</v>
      </c>
      <c r="Y10">
        <f t="shared" si="15"/>
        <v>0</v>
      </c>
      <c r="Z10">
        <f t="shared" si="16"/>
        <v>0</v>
      </c>
      <c r="AA10">
        <f t="shared" si="17"/>
        <v>1999.9999999999573</v>
      </c>
      <c r="AB10">
        <f t="shared" si="18"/>
        <v>-13691.999999999911</v>
      </c>
      <c r="AC10">
        <f t="shared" si="19"/>
        <v>8892.0000000000073</v>
      </c>
      <c r="AD10">
        <f t="shared" si="20"/>
        <v>502720.00000000268</v>
      </c>
      <c r="AE10">
        <f t="shared" si="21"/>
        <v>-4.9999999999999822</v>
      </c>
      <c r="AF10">
        <f t="shared" si="22"/>
        <v>-201292.00000000017</v>
      </c>
      <c r="AG10">
        <f t="shared" si="23"/>
        <v>-101292.00000000009</v>
      </c>
      <c r="AH10">
        <f t="shared" si="24"/>
        <v>-2.0000000000000462</v>
      </c>
      <c r="AI10">
        <f t="shared" si="25"/>
        <v>0.68113377025942945</v>
      </c>
      <c r="AJ10">
        <f t="shared" si="26"/>
        <v>-74448.628894377049</v>
      </c>
      <c r="AK10">
        <f t="shared" si="27"/>
        <v>-124123.13942421293</v>
      </c>
      <c r="AL10">
        <f t="shared" si="28"/>
        <v>-204380.70034051294</v>
      </c>
      <c r="AM10" s="1">
        <f t="shared" si="29"/>
        <v>-130584.72595134532</v>
      </c>
      <c r="AN10" s="1">
        <f t="shared" si="6"/>
        <v>-338286.51347667555</v>
      </c>
      <c r="AO10">
        <f t="shared" si="7"/>
        <v>-1.5045907771248559</v>
      </c>
      <c r="AP10">
        <f t="shared" si="8"/>
        <v>23.079147368600253</v>
      </c>
    </row>
    <row r="11" spans="1:42" x14ac:dyDescent="0.25">
      <c r="A11" s="4">
        <v>46085</v>
      </c>
      <c r="B11">
        <f t="shared" ref="B11:N11" si="31">(B561-B560)*100</f>
        <v>0</v>
      </c>
      <c r="C11">
        <f t="shared" si="31"/>
        <v>-0.99999999999997868</v>
      </c>
      <c r="D11">
        <f t="shared" si="31"/>
        <v>0</v>
      </c>
      <c r="E11">
        <f t="shared" si="31"/>
        <v>-1.0000000000000231</v>
      </c>
      <c r="F11">
        <f t="shared" si="31"/>
        <v>0</v>
      </c>
      <c r="G11">
        <f t="shared" si="31"/>
        <v>-3.0000000000000249</v>
      </c>
      <c r="H11">
        <f t="shared" si="31"/>
        <v>-3.0000000000000249</v>
      </c>
      <c r="I11">
        <f t="shared" si="31"/>
        <v>-4.9999999999999822</v>
      </c>
      <c r="J11">
        <f t="shared" si="31"/>
        <v>-4.0000000000000036</v>
      </c>
      <c r="K11">
        <f t="shared" si="31"/>
        <v>-4.0000000000000036</v>
      </c>
      <c r="L11">
        <f t="shared" si="31"/>
        <v>-3.0000000000000249</v>
      </c>
      <c r="M11">
        <f t="shared" si="31"/>
        <v>-1.9999999999999574</v>
      </c>
      <c r="N11">
        <f t="shared" si="31"/>
        <v>-1.9999999999999574</v>
      </c>
      <c r="O11" s="5">
        <f t="shared" si="1"/>
        <v>-1.4844729748438942E-2</v>
      </c>
      <c r="P11" s="5">
        <f t="shared" si="1"/>
        <v>-1.4045546920789735E-2</v>
      </c>
      <c r="Q11" s="5">
        <f t="shared" si="1"/>
        <v>2.4697853578595688E-2</v>
      </c>
      <c r="R11" s="5">
        <f t="shared" si="1"/>
        <v>-1.1719895862447518E-3</v>
      </c>
      <c r="S11" s="5">
        <f t="shared" si="1"/>
        <v>-4.4039291654255231E-3</v>
      </c>
      <c r="U11" s="4">
        <v>46085</v>
      </c>
      <c r="V11">
        <f t="shared" si="12"/>
        <v>0</v>
      </c>
      <c r="W11">
        <f t="shared" si="13"/>
        <v>2222.9999999999527</v>
      </c>
      <c r="X11">
        <f t="shared" si="14"/>
        <v>0</v>
      </c>
      <c r="Y11">
        <f t="shared" si="15"/>
        <v>3445.0000000000796</v>
      </c>
      <c r="Z11">
        <f t="shared" si="16"/>
        <v>0</v>
      </c>
      <c r="AA11">
        <f t="shared" si="17"/>
        <v>6000.00000000005</v>
      </c>
      <c r="AB11">
        <f t="shared" si="18"/>
        <v>-13692.000000000113</v>
      </c>
      <c r="AC11">
        <f t="shared" si="19"/>
        <v>11114.99999999996</v>
      </c>
      <c r="AD11">
        <f t="shared" si="20"/>
        <v>402176.00000000035</v>
      </c>
      <c r="AE11">
        <f t="shared" si="21"/>
        <v>-4.0000000000000036</v>
      </c>
      <c r="AF11">
        <f t="shared" si="22"/>
        <v>-150969.00000000125</v>
      </c>
      <c r="AG11">
        <f t="shared" si="23"/>
        <v>-50645.999999998923</v>
      </c>
      <c r="AH11">
        <f t="shared" si="24"/>
        <v>-1.9999999999999574</v>
      </c>
      <c r="AI11">
        <f t="shared" si="25"/>
        <v>-1.4844729748438943</v>
      </c>
      <c r="AJ11">
        <f t="shared" si="26"/>
        <v>140455.46920789735</v>
      </c>
      <c r="AK11">
        <f t="shared" si="27"/>
        <v>246978.53578595686</v>
      </c>
      <c r="AL11">
        <f t="shared" si="28"/>
        <v>29299.739656118792</v>
      </c>
      <c r="AM11" s="1">
        <f t="shared" si="29"/>
        <v>44039.291654255234</v>
      </c>
      <c r="AN11" s="1">
        <f t="shared" si="6"/>
        <v>670417.55183125357</v>
      </c>
      <c r="AO11">
        <f t="shared" si="7"/>
        <v>-2.201152131306185</v>
      </c>
      <c r="AP11">
        <f t="shared" si="8"/>
        <v>23.070063365986503</v>
      </c>
    </row>
    <row r="12" spans="1:42" x14ac:dyDescent="0.25">
      <c r="A12" s="4">
        <v>46084</v>
      </c>
      <c r="B12">
        <f t="shared" ref="B12:N12" si="32">(B562-B561)*100</f>
        <v>-0.99999999999997868</v>
      </c>
      <c r="C12">
        <f t="shared" si="32"/>
        <v>0</v>
      </c>
      <c r="D12">
        <f t="shared" si="32"/>
        <v>1.0000000000000231</v>
      </c>
      <c r="E12">
        <f t="shared" si="32"/>
        <v>1.0000000000000231</v>
      </c>
      <c r="F12">
        <f t="shared" si="32"/>
        <v>0</v>
      </c>
      <c r="G12">
        <f t="shared" si="32"/>
        <v>-0.99999999999997868</v>
      </c>
      <c r="H12">
        <f t="shared" si="32"/>
        <v>-3.9999999999999591</v>
      </c>
      <c r="I12">
        <f t="shared" si="32"/>
        <v>-0.99999999999997868</v>
      </c>
      <c r="J12">
        <f t="shared" si="32"/>
        <v>-0.99999999999997868</v>
      </c>
      <c r="K12">
        <f t="shared" si="32"/>
        <v>-1.0000000000000231</v>
      </c>
      <c r="L12">
        <f t="shared" si="32"/>
        <v>-0.99999999999997868</v>
      </c>
      <c r="M12">
        <f t="shared" si="32"/>
        <v>-1.0000000000000675</v>
      </c>
      <c r="N12">
        <f t="shared" si="32"/>
        <v>0</v>
      </c>
      <c r="O12" s="5">
        <f t="shared" si="1"/>
        <v>1.6574069379698204E-2</v>
      </c>
      <c r="P12" s="5">
        <f t="shared" si="1"/>
        <v>1.3511928978565036E-2</v>
      </c>
      <c r="Q12" s="5">
        <f t="shared" si="1"/>
        <v>1.4582001583050733E-2</v>
      </c>
      <c r="R12" s="5">
        <f t="shared" si="1"/>
        <v>1.5344060264620764E-2</v>
      </c>
      <c r="S12" s="5">
        <f t="shared" si="1"/>
        <v>2.012552893596745E-2</v>
      </c>
      <c r="U12" s="4">
        <v>46084</v>
      </c>
      <c r="V12">
        <f t="shared" si="12"/>
        <v>3999.9999999999145</v>
      </c>
      <c r="W12">
        <f t="shared" si="13"/>
        <v>0</v>
      </c>
      <c r="X12">
        <f t="shared" si="14"/>
        <v>4590.0000000001064</v>
      </c>
      <c r="Y12">
        <f t="shared" si="15"/>
        <v>-3445.0000000000796</v>
      </c>
      <c r="Z12">
        <f t="shared" si="16"/>
        <v>0</v>
      </c>
      <c r="AA12">
        <f t="shared" si="17"/>
        <v>1999.9999999999573</v>
      </c>
      <c r="AB12">
        <f t="shared" si="18"/>
        <v>-18255.999999999814</v>
      </c>
      <c r="AC12">
        <f t="shared" si="19"/>
        <v>2222.9999999999527</v>
      </c>
      <c r="AD12">
        <f t="shared" si="20"/>
        <v>100543.99999999786</v>
      </c>
      <c r="AE12">
        <f t="shared" si="21"/>
        <v>-1.0000000000000231</v>
      </c>
      <c r="AF12">
        <f t="shared" si="22"/>
        <v>-50322.99999999893</v>
      </c>
      <c r="AG12">
        <f t="shared" si="23"/>
        <v>-25323.00000000171</v>
      </c>
      <c r="AH12">
        <f t="shared" si="24"/>
        <v>0</v>
      </c>
      <c r="AI12">
        <f t="shared" si="25"/>
        <v>1.6574069379698204</v>
      </c>
      <c r="AJ12">
        <f t="shared" si="26"/>
        <v>-135119.28978565036</v>
      </c>
      <c r="AK12">
        <f t="shared" si="27"/>
        <v>145820.01583050733</v>
      </c>
      <c r="AL12">
        <f t="shared" si="28"/>
        <v>-383601.50661551912</v>
      </c>
      <c r="AM12" s="1">
        <f t="shared" si="29"/>
        <v>-201255.2893596745</v>
      </c>
      <c r="AN12" s="1">
        <f t="shared" si="6"/>
        <v>-558145.41252340144</v>
      </c>
      <c r="AO12">
        <f t="shared" si="7"/>
        <v>-2.1631893988901489</v>
      </c>
      <c r="AP12">
        <f t="shared" si="8"/>
        <v>23.063080064686758</v>
      </c>
    </row>
    <row r="13" spans="1:42" x14ac:dyDescent="0.25">
      <c r="A13" s="4">
        <v>46083</v>
      </c>
      <c r="B13">
        <f t="shared" ref="B13:N13" si="33">(B563-B562)*100</f>
        <v>0</v>
      </c>
      <c r="C13">
        <f t="shared" si="33"/>
        <v>-1.0000000000000231</v>
      </c>
      <c r="D13">
        <f t="shared" si="33"/>
        <v>-5.0000000000000266</v>
      </c>
      <c r="E13">
        <f t="shared" si="33"/>
        <v>-1.0000000000000231</v>
      </c>
      <c r="F13">
        <f t="shared" si="33"/>
        <v>-8.0000000000000071</v>
      </c>
      <c r="G13">
        <f t="shared" si="33"/>
        <v>-6.0000000000000053</v>
      </c>
      <c r="H13">
        <f t="shared" si="33"/>
        <v>-9.0000000000000302</v>
      </c>
      <c r="I13">
        <f t="shared" si="33"/>
        <v>-10.000000000000009</v>
      </c>
      <c r="J13">
        <f t="shared" si="33"/>
        <v>-11.000000000000032</v>
      </c>
      <c r="K13">
        <f t="shared" si="33"/>
        <v>-9.9999999999999645</v>
      </c>
      <c r="L13">
        <f t="shared" si="33"/>
        <v>-7.9999999999999627</v>
      </c>
      <c r="M13">
        <f t="shared" si="33"/>
        <v>-6.9999999999999396</v>
      </c>
      <c r="N13">
        <f t="shared" si="33"/>
        <v>-6.0000000000000497</v>
      </c>
      <c r="O13" s="5">
        <f t="shared" si="1"/>
        <v>9.7788005059138133E-3</v>
      </c>
      <c r="P13" s="5">
        <f t="shared" si="1"/>
        <v>-8.798475498610302E-4</v>
      </c>
      <c r="Q13" s="5">
        <f t="shared" si="1"/>
        <v>1.179743568539323E-2</v>
      </c>
      <c r="R13" s="5">
        <f t="shared" si="1"/>
        <v>2.9779652740410064E-3</v>
      </c>
      <c r="S13" s="5">
        <f t="shared" si="1"/>
        <v>3.0999152792231225E-3</v>
      </c>
      <c r="U13" s="4">
        <v>46083</v>
      </c>
      <c r="V13">
        <f t="shared" si="12"/>
        <v>0</v>
      </c>
      <c r="W13">
        <f t="shared" si="13"/>
        <v>2223.0000000000514</v>
      </c>
      <c r="X13">
        <f t="shared" si="14"/>
        <v>-22950.000000000124</v>
      </c>
      <c r="Y13">
        <f t="shared" si="15"/>
        <v>3445.0000000000796</v>
      </c>
      <c r="Z13">
        <f t="shared" si="16"/>
        <v>-43480.000000000036</v>
      </c>
      <c r="AA13">
        <f t="shared" si="17"/>
        <v>12000.000000000011</v>
      </c>
      <c r="AB13">
        <f t="shared" si="18"/>
        <v>-41076.000000000138</v>
      </c>
      <c r="AC13">
        <f t="shared" si="19"/>
        <v>22230.000000000018</v>
      </c>
      <c r="AD13">
        <f t="shared" si="20"/>
        <v>1105984.0000000033</v>
      </c>
      <c r="AE13">
        <f t="shared" si="21"/>
        <v>-9.9999999999999645</v>
      </c>
      <c r="AF13">
        <f t="shared" si="22"/>
        <v>-402583.99999999814</v>
      </c>
      <c r="AG13">
        <f t="shared" si="23"/>
        <v>-177260.99999999846</v>
      </c>
      <c r="AH13">
        <f t="shared" si="24"/>
        <v>-6.0000000000000497</v>
      </c>
      <c r="AI13">
        <f t="shared" si="25"/>
        <v>0.97788005059138128</v>
      </c>
      <c r="AJ13">
        <f t="shared" si="26"/>
        <v>8798.4754986103017</v>
      </c>
      <c r="AK13">
        <f t="shared" si="27"/>
        <v>117974.3568539323</v>
      </c>
      <c r="AL13">
        <f t="shared" si="28"/>
        <v>-74449.131851025159</v>
      </c>
      <c r="AM13" s="1">
        <f t="shared" si="29"/>
        <v>-30999.152792231223</v>
      </c>
      <c r="AN13" s="1">
        <f t="shared" si="6"/>
        <v>479840.52558934334</v>
      </c>
      <c r="AO13">
        <f t="shared" si="7"/>
        <v>-13.51282936600936</v>
      </c>
      <c r="AP13">
        <f t="shared" si="8"/>
        <v>23.015088054107952</v>
      </c>
    </row>
    <row r="14" spans="1:42" x14ac:dyDescent="0.25">
      <c r="A14" s="4">
        <v>46080</v>
      </c>
      <c r="B14">
        <f t="shared" ref="B14:N14" si="34">(B564-B563)*100</f>
        <v>0</v>
      </c>
      <c r="C14">
        <f t="shared" si="34"/>
        <v>2.0000000000000018</v>
      </c>
      <c r="D14">
        <f t="shared" si="34"/>
        <v>1.0000000000000231</v>
      </c>
      <c r="E14">
        <f t="shared" si="34"/>
        <v>1.0000000000000231</v>
      </c>
      <c r="F14">
        <f t="shared" si="34"/>
        <v>0.99999999999997868</v>
      </c>
      <c r="G14">
        <f t="shared" si="34"/>
        <v>4.0000000000000036</v>
      </c>
      <c r="H14">
        <f t="shared" si="34"/>
        <v>4.0000000000000036</v>
      </c>
      <c r="I14">
        <f t="shared" si="34"/>
        <v>6.999999999999984</v>
      </c>
      <c r="J14">
        <f t="shared" si="34"/>
        <v>6.0000000000000053</v>
      </c>
      <c r="K14">
        <f t="shared" si="34"/>
        <v>5.9999999999999609</v>
      </c>
      <c r="L14">
        <f t="shared" si="34"/>
        <v>4.9999999999999378</v>
      </c>
      <c r="M14">
        <f t="shared" si="34"/>
        <v>2.9999999999999361</v>
      </c>
      <c r="N14">
        <f t="shared" si="34"/>
        <v>3.0000000000000249</v>
      </c>
      <c r="O14" s="5">
        <f t="shared" si="1"/>
        <v>2.1969271310561095E-3</v>
      </c>
      <c r="P14" s="5">
        <f t="shared" si="1"/>
        <v>-2.0495817888918619E-2</v>
      </c>
      <c r="Q14" s="5">
        <f t="shared" si="1"/>
        <v>4.2006845691145668E-3</v>
      </c>
      <c r="R14" s="5">
        <f t="shared" si="1"/>
        <v>-5.9630293955354905E-4</v>
      </c>
      <c r="S14" s="5">
        <f t="shared" si="1"/>
        <v>2.1378701486147156E-3</v>
      </c>
      <c r="U14" s="4">
        <v>46080</v>
      </c>
      <c r="V14">
        <f t="shared" si="12"/>
        <v>0</v>
      </c>
      <c r="W14">
        <f t="shared" si="13"/>
        <v>-4446.0000000000036</v>
      </c>
      <c r="X14">
        <f t="shared" si="14"/>
        <v>4590.0000000001064</v>
      </c>
      <c r="Y14">
        <f t="shared" si="15"/>
        <v>-3445.0000000000796</v>
      </c>
      <c r="Z14">
        <f t="shared" si="16"/>
        <v>5434.9999999998845</v>
      </c>
      <c r="AA14">
        <f t="shared" si="17"/>
        <v>-8000.0000000000073</v>
      </c>
      <c r="AB14">
        <f t="shared" si="18"/>
        <v>18256.000000000015</v>
      </c>
      <c r="AC14">
        <f t="shared" si="19"/>
        <v>-15560.999999999964</v>
      </c>
      <c r="AD14">
        <f t="shared" si="20"/>
        <v>-603264.00000000058</v>
      </c>
      <c r="AE14">
        <f t="shared" si="21"/>
        <v>5.9999999999999609</v>
      </c>
      <c r="AF14">
        <f t="shared" si="22"/>
        <v>251614.99999999686</v>
      </c>
      <c r="AG14">
        <f t="shared" si="23"/>
        <v>75968.999999998385</v>
      </c>
      <c r="AH14">
        <f t="shared" si="24"/>
        <v>3.0000000000000249</v>
      </c>
      <c r="AI14">
        <f t="shared" si="25"/>
        <v>0.21969271310561095</v>
      </c>
      <c r="AJ14">
        <f t="shared" si="26"/>
        <v>204958.17888918618</v>
      </c>
      <c r="AK14">
        <f t="shared" si="27"/>
        <v>42006.845691145667</v>
      </c>
      <c r="AL14">
        <f t="shared" si="28"/>
        <v>14907.573488838727</v>
      </c>
      <c r="AM14" s="1">
        <f t="shared" si="29"/>
        <v>-21378.701486147158</v>
      </c>
      <c r="AN14" s="1">
        <f t="shared" si="6"/>
        <v>-38347.883724268824</v>
      </c>
      <c r="AO14">
        <f t="shared" si="7"/>
        <v>-0.93972019205760438</v>
      </c>
      <c r="AP14">
        <f t="shared" si="8"/>
        <v>22.659873874685232</v>
      </c>
    </row>
    <row r="15" spans="1:42" x14ac:dyDescent="0.25">
      <c r="A15" s="4">
        <v>46079</v>
      </c>
      <c r="B15">
        <f t="shared" ref="B15:N15" si="35">(B565-B564)*100</f>
        <v>-3.0000000000000249</v>
      </c>
      <c r="C15">
        <f t="shared" si="35"/>
        <v>-2.0000000000000018</v>
      </c>
      <c r="D15">
        <f t="shared" si="35"/>
        <v>0.99999999999997868</v>
      </c>
      <c r="E15">
        <f t="shared" si="35"/>
        <v>0</v>
      </c>
      <c r="F15">
        <f t="shared" si="35"/>
        <v>1.0000000000000231</v>
      </c>
      <c r="G15">
        <f t="shared" si="35"/>
        <v>0.99999999999997868</v>
      </c>
      <c r="H15">
        <f t="shared" si="35"/>
        <v>3.0000000000000249</v>
      </c>
      <c r="I15">
        <f t="shared" si="35"/>
        <v>3.0000000000000249</v>
      </c>
      <c r="J15">
        <f t="shared" si="35"/>
        <v>4.0000000000000036</v>
      </c>
      <c r="K15">
        <f t="shared" si="35"/>
        <v>4.0000000000000036</v>
      </c>
      <c r="L15">
        <f t="shared" si="35"/>
        <v>3.0000000000000249</v>
      </c>
      <c r="M15">
        <f t="shared" si="35"/>
        <v>3.0000000000000249</v>
      </c>
      <c r="N15">
        <f t="shared" si="35"/>
        <v>3.0000000000000249</v>
      </c>
      <c r="O15" s="5">
        <f t="shared" ref="O15:S24" si="36">LN(O564/O565)</f>
        <v>-1.1282291890825195E-3</v>
      </c>
      <c r="P15" s="5">
        <f t="shared" si="36"/>
        <v>3.8051683940547101E-2</v>
      </c>
      <c r="Q15" s="5">
        <f t="shared" si="36"/>
        <v>-9.0311361729552026E-3</v>
      </c>
      <c r="R15" s="5">
        <f t="shared" si="36"/>
        <v>0</v>
      </c>
      <c r="S15" s="5">
        <f t="shared" si="36"/>
        <v>2.1599349355431612E-3</v>
      </c>
      <c r="U15" s="4">
        <v>46079</v>
      </c>
      <c r="V15">
        <f t="shared" si="12"/>
        <v>12000.0000000001</v>
      </c>
      <c r="W15">
        <f t="shared" si="13"/>
        <v>4446.0000000000036</v>
      </c>
      <c r="X15">
        <f t="shared" si="14"/>
        <v>4589.9999999999018</v>
      </c>
      <c r="Y15">
        <f t="shared" si="15"/>
        <v>0</v>
      </c>
      <c r="Z15">
        <f t="shared" si="16"/>
        <v>5435.0000000001255</v>
      </c>
      <c r="AA15">
        <f t="shared" si="17"/>
        <v>-1999.9999999999573</v>
      </c>
      <c r="AB15">
        <f t="shared" si="18"/>
        <v>13692.000000000113</v>
      </c>
      <c r="AC15">
        <f t="shared" si="19"/>
        <v>-6669.0000000000555</v>
      </c>
      <c r="AD15">
        <f t="shared" si="20"/>
        <v>-402176.00000000035</v>
      </c>
      <c r="AE15">
        <f t="shared" si="21"/>
        <v>4.0000000000000036</v>
      </c>
      <c r="AF15">
        <f t="shared" si="22"/>
        <v>150969.00000000125</v>
      </c>
      <c r="AG15">
        <f t="shared" si="23"/>
        <v>75969.000000000626</v>
      </c>
      <c r="AH15">
        <f t="shared" si="24"/>
        <v>3.0000000000000249</v>
      </c>
      <c r="AI15">
        <f t="shared" si="25"/>
        <v>-0.11282291890825195</v>
      </c>
      <c r="AJ15">
        <f t="shared" si="26"/>
        <v>-380516.83940547099</v>
      </c>
      <c r="AK15">
        <f t="shared" si="27"/>
        <v>-90311.361729552023</v>
      </c>
      <c r="AL15">
        <f t="shared" si="28"/>
        <v>0</v>
      </c>
      <c r="AM15" s="1">
        <f t="shared" si="29"/>
        <v>-21599.349355431612</v>
      </c>
      <c r="AN15" s="1">
        <f t="shared" si="6"/>
        <v>-636164.66331337183</v>
      </c>
      <c r="AO15">
        <f t="shared" si="7"/>
        <v>27.166202837550358</v>
      </c>
      <c r="AP15">
        <f t="shared" si="8"/>
        <v>22.648888507138629</v>
      </c>
    </row>
    <row r="16" spans="1:42" x14ac:dyDescent="0.25">
      <c r="A16" s="4">
        <v>46078</v>
      </c>
      <c r="B16">
        <f t="shared" ref="B16:N16" si="37">(B566-B565)*100</f>
        <v>1.0000000000000231</v>
      </c>
      <c r="C16">
        <f t="shared" si="37"/>
        <v>0</v>
      </c>
      <c r="D16">
        <f t="shared" si="37"/>
        <v>0</v>
      </c>
      <c r="E16">
        <f t="shared" si="37"/>
        <v>2.0000000000000018</v>
      </c>
      <c r="F16">
        <f t="shared" si="37"/>
        <v>0</v>
      </c>
      <c r="G16">
        <f t="shared" si="37"/>
        <v>-0.99999999999997868</v>
      </c>
      <c r="H16">
        <f t="shared" si="37"/>
        <v>-2.0000000000000018</v>
      </c>
      <c r="I16">
        <f t="shared" si="37"/>
        <v>-2.0000000000000018</v>
      </c>
      <c r="J16">
        <f t="shared" si="37"/>
        <v>0</v>
      </c>
      <c r="K16">
        <f t="shared" si="37"/>
        <v>-0.99999999999997868</v>
      </c>
      <c r="L16">
        <f t="shared" si="37"/>
        <v>-0.99999999999997868</v>
      </c>
      <c r="M16">
        <f t="shared" si="37"/>
        <v>0</v>
      </c>
      <c r="N16">
        <f t="shared" si="37"/>
        <v>0</v>
      </c>
      <c r="O16" s="5">
        <f t="shared" si="36"/>
        <v>-4.693751586520167E-3</v>
      </c>
      <c r="P16" s="5">
        <f t="shared" si="36"/>
        <v>-4.6001975319254753E-3</v>
      </c>
      <c r="Q16" s="5">
        <f t="shared" si="36"/>
        <v>-2.2278022661613548E-3</v>
      </c>
      <c r="R16" s="5">
        <f t="shared" si="36"/>
        <v>-2.9801818131454513E-4</v>
      </c>
      <c r="S16" s="5">
        <f t="shared" si="36"/>
        <v>-1.0135962560842203E-3</v>
      </c>
      <c r="U16" s="4">
        <v>46078</v>
      </c>
      <c r="V16">
        <f t="shared" si="12"/>
        <v>-4000.0000000000923</v>
      </c>
      <c r="W16">
        <f t="shared" si="13"/>
        <v>0</v>
      </c>
      <c r="X16">
        <f t="shared" si="14"/>
        <v>0</v>
      </c>
      <c r="Y16">
        <f t="shared" si="15"/>
        <v>-6890.0000000000064</v>
      </c>
      <c r="Z16">
        <f t="shared" si="16"/>
        <v>0</v>
      </c>
      <c r="AA16">
        <f t="shared" si="17"/>
        <v>1999.9999999999573</v>
      </c>
      <c r="AB16">
        <f t="shared" si="18"/>
        <v>-9128.0000000000073</v>
      </c>
      <c r="AC16">
        <f t="shared" si="19"/>
        <v>4446.0000000000036</v>
      </c>
      <c r="AD16">
        <f t="shared" si="20"/>
        <v>0</v>
      </c>
      <c r="AE16">
        <f t="shared" si="21"/>
        <v>-0.99999999999997868</v>
      </c>
      <c r="AF16">
        <f t="shared" si="22"/>
        <v>-50322.99999999893</v>
      </c>
      <c r="AG16">
        <f t="shared" si="23"/>
        <v>0</v>
      </c>
      <c r="AH16">
        <f t="shared" si="24"/>
        <v>0</v>
      </c>
      <c r="AI16">
        <f t="shared" si="25"/>
        <v>-0.46937515865201668</v>
      </c>
      <c r="AJ16">
        <f t="shared" si="26"/>
        <v>46001.975319254751</v>
      </c>
      <c r="AK16">
        <f t="shared" si="27"/>
        <v>-22278.022661613548</v>
      </c>
      <c r="AL16">
        <f t="shared" si="28"/>
        <v>7450.4545328636286</v>
      </c>
      <c r="AM16" s="1">
        <f t="shared" si="29"/>
        <v>10135.962560842203</v>
      </c>
      <c r="AN16" s="1">
        <f t="shared" si="6"/>
        <v>-22586.099623810693</v>
      </c>
      <c r="AO16">
        <f t="shared" si="7"/>
        <v>-1.1326295741858738</v>
      </c>
      <c r="AP16">
        <f t="shared" si="8"/>
        <v>22.114735953247823</v>
      </c>
    </row>
    <row r="17" spans="1:42" x14ac:dyDescent="0.25">
      <c r="A17" s="4">
        <v>46077</v>
      </c>
      <c r="B17">
        <f t="shared" ref="B17:N17" si="38">(B567-B566)*100</f>
        <v>0</v>
      </c>
      <c r="C17">
        <f t="shared" si="38"/>
        <v>1.0000000000000231</v>
      </c>
      <c r="D17">
        <f t="shared" si="38"/>
        <v>0</v>
      </c>
      <c r="E17">
        <f t="shared" si="38"/>
        <v>0</v>
      </c>
      <c r="F17">
        <f t="shared" si="38"/>
        <v>0</v>
      </c>
      <c r="G17">
        <f t="shared" si="38"/>
        <v>-2.0000000000000018</v>
      </c>
      <c r="H17">
        <f t="shared" si="38"/>
        <v>0</v>
      </c>
      <c r="I17">
        <f t="shared" si="38"/>
        <v>-2.0000000000000018</v>
      </c>
      <c r="J17">
        <f t="shared" si="38"/>
        <v>-2.0000000000000018</v>
      </c>
      <c r="K17">
        <f t="shared" si="38"/>
        <v>-2.0000000000000018</v>
      </c>
      <c r="L17">
        <f t="shared" si="38"/>
        <v>-0.99999999999997868</v>
      </c>
      <c r="M17">
        <f t="shared" si="38"/>
        <v>0</v>
      </c>
      <c r="N17">
        <f t="shared" si="38"/>
        <v>0</v>
      </c>
      <c r="O17" s="5">
        <f t="shared" si="36"/>
        <v>9.0987413232850825E-4</v>
      </c>
      <c r="P17" s="5">
        <f t="shared" si="36"/>
        <v>5.6042273029859513E-3</v>
      </c>
      <c r="Q17" s="5">
        <f t="shared" si="36"/>
        <v>1.8449971800813976E-4</v>
      </c>
      <c r="R17" s="5">
        <f t="shared" si="36"/>
        <v>-5.9577005038945153E-4</v>
      </c>
      <c r="S17" s="5">
        <f t="shared" si="36"/>
        <v>-5.2611528623775555E-3</v>
      </c>
      <c r="U17" s="4">
        <v>46077</v>
      </c>
      <c r="V17">
        <f t="shared" si="12"/>
        <v>0</v>
      </c>
      <c r="W17">
        <f t="shared" si="13"/>
        <v>-2223.0000000000514</v>
      </c>
      <c r="X17">
        <f t="shared" si="14"/>
        <v>0</v>
      </c>
      <c r="Y17">
        <f t="shared" si="15"/>
        <v>0</v>
      </c>
      <c r="Z17">
        <f t="shared" si="16"/>
        <v>0</v>
      </c>
      <c r="AA17">
        <f t="shared" si="17"/>
        <v>4000.0000000000036</v>
      </c>
      <c r="AB17">
        <f t="shared" si="18"/>
        <v>0</v>
      </c>
      <c r="AC17">
        <f t="shared" si="19"/>
        <v>4446.0000000000036</v>
      </c>
      <c r="AD17">
        <f t="shared" si="20"/>
        <v>201088.00000000017</v>
      </c>
      <c r="AE17">
        <f t="shared" si="21"/>
        <v>-2.0000000000000018</v>
      </c>
      <c r="AF17">
        <f t="shared" si="22"/>
        <v>-50322.99999999893</v>
      </c>
      <c r="AG17">
        <f t="shared" si="23"/>
        <v>0</v>
      </c>
      <c r="AH17">
        <f t="shared" si="24"/>
        <v>0</v>
      </c>
      <c r="AI17">
        <f t="shared" si="25"/>
        <v>9.0987413232850825E-2</v>
      </c>
      <c r="AJ17">
        <f t="shared" si="26"/>
        <v>-56042.273029859512</v>
      </c>
      <c r="AK17">
        <f t="shared" si="27"/>
        <v>1844.9971800813976</v>
      </c>
      <c r="AL17">
        <f t="shared" si="28"/>
        <v>14894.251259736287</v>
      </c>
      <c r="AM17" s="1">
        <f t="shared" si="29"/>
        <v>52611.528623775557</v>
      </c>
      <c r="AN17" s="1">
        <f t="shared" si="6"/>
        <v>170294.59502114812</v>
      </c>
      <c r="AO17">
        <f t="shared" si="7"/>
        <v>-1.7148929106938828</v>
      </c>
      <c r="AP17">
        <f t="shared" si="8"/>
        <v>22.101811872888163</v>
      </c>
    </row>
    <row r="18" spans="1:42" x14ac:dyDescent="0.25">
      <c r="A18" s="4">
        <v>46076</v>
      </c>
      <c r="B18">
        <f t="shared" ref="B18:N18" si="39">(B568-B567)*100</f>
        <v>0</v>
      </c>
      <c r="C18">
        <f t="shared" si="39"/>
        <v>0</v>
      </c>
      <c r="D18">
        <f t="shared" si="39"/>
        <v>0</v>
      </c>
      <c r="E18">
        <f t="shared" si="39"/>
        <v>0.99999999999997868</v>
      </c>
      <c r="F18">
        <f t="shared" si="39"/>
        <v>-1.0000000000000231</v>
      </c>
      <c r="G18">
        <f t="shared" si="39"/>
        <v>0.99999999999997868</v>
      </c>
      <c r="H18">
        <f t="shared" si="39"/>
        <v>4.9999999999999822</v>
      </c>
      <c r="I18">
        <f t="shared" si="39"/>
        <v>4.9999999999999822</v>
      </c>
      <c r="J18">
        <f t="shared" si="39"/>
        <v>6.0000000000000053</v>
      </c>
      <c r="K18">
        <f t="shared" si="39"/>
        <v>6.0000000000000053</v>
      </c>
      <c r="L18">
        <f t="shared" si="39"/>
        <v>4.9999999999999822</v>
      </c>
      <c r="M18">
        <f t="shared" si="39"/>
        <v>3.0000000000000249</v>
      </c>
      <c r="N18">
        <f t="shared" si="39"/>
        <v>1.9999999999999574</v>
      </c>
      <c r="O18" s="5">
        <f t="shared" si="36"/>
        <v>-7.159773915376616E-3</v>
      </c>
      <c r="P18" s="5">
        <f t="shared" si="36"/>
        <v>-9.2423098712260052E-3</v>
      </c>
      <c r="Q18" s="5">
        <f t="shared" si="36"/>
        <v>4.4986072378802377E-4</v>
      </c>
      <c r="R18" s="5">
        <f t="shared" si="36"/>
        <v>-5.9541531976367568E-4</v>
      </c>
      <c r="S18" s="5">
        <f t="shared" si="36"/>
        <v>7.5169309691290416E-3</v>
      </c>
      <c r="U18" s="4">
        <v>46076</v>
      </c>
      <c r="V18">
        <f t="shared" si="12"/>
        <v>0</v>
      </c>
      <c r="W18">
        <f t="shared" si="13"/>
        <v>0</v>
      </c>
      <c r="X18">
        <f t="shared" si="14"/>
        <v>0</v>
      </c>
      <c r="Y18">
        <f t="shared" si="15"/>
        <v>-3444.9999999999268</v>
      </c>
      <c r="Z18">
        <f t="shared" si="16"/>
        <v>-5435.0000000001255</v>
      </c>
      <c r="AA18">
        <f t="shared" si="17"/>
        <v>-1999.9999999999573</v>
      </c>
      <c r="AB18">
        <f t="shared" si="18"/>
        <v>22819.99999999992</v>
      </c>
      <c r="AC18">
        <f t="shared" si="19"/>
        <v>-11114.99999999996</v>
      </c>
      <c r="AD18">
        <f t="shared" si="20"/>
        <v>-603264.00000000058</v>
      </c>
      <c r="AE18">
        <f t="shared" si="21"/>
        <v>6.0000000000000053</v>
      </c>
      <c r="AF18">
        <f t="shared" si="22"/>
        <v>251614.9999999991</v>
      </c>
      <c r="AG18">
        <f t="shared" si="23"/>
        <v>75969.000000000626</v>
      </c>
      <c r="AH18">
        <f t="shared" si="24"/>
        <v>1.9999999999999574</v>
      </c>
      <c r="AI18">
        <f t="shared" si="25"/>
        <v>-0.7159773915376616</v>
      </c>
      <c r="AJ18">
        <f t="shared" si="26"/>
        <v>92423.098712260049</v>
      </c>
      <c r="AK18">
        <f t="shared" si="27"/>
        <v>4498.6072378802373</v>
      </c>
      <c r="AL18">
        <f t="shared" si="28"/>
        <v>14885.382994091891</v>
      </c>
      <c r="AM18" s="1">
        <f t="shared" si="29"/>
        <v>-75169.309691290415</v>
      </c>
      <c r="AN18" s="1">
        <f t="shared" si="6"/>
        <v>-238209.93672445061</v>
      </c>
      <c r="AO18">
        <f t="shared" si="7"/>
        <v>100.38007609649554</v>
      </c>
      <c r="AP18">
        <f t="shared" si="8"/>
        <v>22.095964486650775</v>
      </c>
    </row>
    <row r="19" spans="1:42" x14ac:dyDescent="0.25">
      <c r="A19" s="4">
        <v>46073</v>
      </c>
      <c r="B19">
        <f t="shared" ref="B19:N19" si="40">(B569-B568)*100</f>
        <v>0</v>
      </c>
      <c r="C19">
        <f t="shared" si="40"/>
        <v>0.99999999999997868</v>
      </c>
      <c r="D19">
        <f t="shared" si="40"/>
        <v>0</v>
      </c>
      <c r="E19">
        <f t="shared" si="40"/>
        <v>-0.99999999999997868</v>
      </c>
      <c r="F19">
        <f t="shared" si="40"/>
        <v>-0.99999999999997868</v>
      </c>
      <c r="G19">
        <f t="shared" si="40"/>
        <v>-0.99999999999997868</v>
      </c>
      <c r="H19">
        <f t="shared" si="40"/>
        <v>-0.99999999999997868</v>
      </c>
      <c r="I19">
        <f t="shared" si="40"/>
        <v>0</v>
      </c>
      <c r="J19">
        <f t="shared" si="40"/>
        <v>0</v>
      </c>
      <c r="K19">
        <f t="shared" si="40"/>
        <v>0</v>
      </c>
      <c r="L19">
        <f t="shared" si="40"/>
        <v>0</v>
      </c>
      <c r="M19">
        <f t="shared" si="40"/>
        <v>-2.0000000000000462</v>
      </c>
      <c r="N19">
        <f t="shared" si="40"/>
        <v>-1.9999999999999574</v>
      </c>
      <c r="O19" s="5">
        <f t="shared" si="36"/>
        <v>-4.8054650224326366E-3</v>
      </c>
      <c r="P19" s="5">
        <f t="shared" si="36"/>
        <v>5.1402902310028449E-3</v>
      </c>
      <c r="Q19" s="5">
        <f t="shared" si="36"/>
        <v>3.9883754308319471E-3</v>
      </c>
      <c r="R19" s="5">
        <f t="shared" si="36"/>
        <v>5.9541531976368511E-4</v>
      </c>
      <c r="S19" s="5">
        <f t="shared" si="36"/>
        <v>-8.1480339438115782E-3</v>
      </c>
      <c r="U19" s="4">
        <v>46073</v>
      </c>
      <c r="V19">
        <f t="shared" si="12"/>
        <v>0</v>
      </c>
      <c r="W19">
        <f t="shared" si="13"/>
        <v>-2222.9999999999527</v>
      </c>
      <c r="X19">
        <f t="shared" si="14"/>
        <v>0</v>
      </c>
      <c r="Y19">
        <f t="shared" si="15"/>
        <v>3444.9999999999268</v>
      </c>
      <c r="Z19">
        <f t="shared" si="16"/>
        <v>-5434.9999999998845</v>
      </c>
      <c r="AA19">
        <f t="shared" si="17"/>
        <v>1999.9999999999573</v>
      </c>
      <c r="AB19">
        <f t="shared" si="18"/>
        <v>-4563.9999999999027</v>
      </c>
      <c r="AC19">
        <f t="shared" si="19"/>
        <v>0</v>
      </c>
      <c r="AD19">
        <f t="shared" si="20"/>
        <v>0</v>
      </c>
      <c r="AE19">
        <f t="shared" si="21"/>
        <v>0</v>
      </c>
      <c r="AF19">
        <f t="shared" si="22"/>
        <v>0</v>
      </c>
      <c r="AG19">
        <f t="shared" si="23"/>
        <v>-50646.000000001171</v>
      </c>
      <c r="AH19">
        <f t="shared" si="24"/>
        <v>-1.9999999999999574</v>
      </c>
      <c r="AI19">
        <f t="shared" si="25"/>
        <v>-0.48054650224326367</v>
      </c>
      <c r="AJ19">
        <f t="shared" si="26"/>
        <v>-51402.902310028447</v>
      </c>
      <c r="AK19">
        <f t="shared" si="27"/>
        <v>39883.754308319469</v>
      </c>
      <c r="AL19">
        <f t="shared" si="28"/>
        <v>-14885.382994092128</v>
      </c>
      <c r="AM19" s="1">
        <f t="shared" si="29"/>
        <v>81480.339438115785</v>
      </c>
      <c r="AN19" s="1">
        <f t="shared" si="6"/>
        <v>-2349.6721041885758</v>
      </c>
      <c r="AO19">
        <f t="shared" si="7"/>
        <v>-0.98779346307838323</v>
      </c>
      <c r="AP19">
        <f t="shared" si="8"/>
        <v>1.729495021872921</v>
      </c>
    </row>
    <row r="20" spans="1:42" x14ac:dyDescent="0.25">
      <c r="A20" s="4">
        <v>46072</v>
      </c>
      <c r="B20">
        <f t="shared" ref="B20:N20" si="41">(B570-B569)*100</f>
        <v>-1.0000000000000231</v>
      </c>
      <c r="C20">
        <f t="shared" si="41"/>
        <v>-2.0000000000000018</v>
      </c>
      <c r="D20">
        <f t="shared" si="41"/>
        <v>1.0000000000000231</v>
      </c>
      <c r="E20">
        <f t="shared" si="41"/>
        <v>0</v>
      </c>
      <c r="F20">
        <f t="shared" si="41"/>
        <v>0</v>
      </c>
      <c r="G20">
        <f t="shared" si="41"/>
        <v>-0.99999999999997868</v>
      </c>
      <c r="H20">
        <f t="shared" si="41"/>
        <v>0</v>
      </c>
      <c r="I20">
        <f t="shared" si="41"/>
        <v>0</v>
      </c>
      <c r="J20">
        <f t="shared" si="41"/>
        <v>1.0000000000000231</v>
      </c>
      <c r="K20">
        <f t="shared" si="41"/>
        <v>0.99999999999997868</v>
      </c>
      <c r="L20">
        <f t="shared" si="41"/>
        <v>0.99999999999997868</v>
      </c>
      <c r="M20">
        <f t="shared" si="41"/>
        <v>1.0000000000000675</v>
      </c>
      <c r="N20">
        <f t="shared" si="41"/>
        <v>0.99999999999997868</v>
      </c>
      <c r="O20" s="5">
        <f t="shared" si="36"/>
        <v>-1.7686513628202469E-3</v>
      </c>
      <c r="P20" s="5">
        <f t="shared" si="36"/>
        <v>4.7266547242861444E-3</v>
      </c>
      <c r="Q20" s="5">
        <f t="shared" si="36"/>
        <v>-5.7175024221921391E-3</v>
      </c>
      <c r="R20" s="5">
        <f t="shared" si="36"/>
        <v>2.0867499001757492E-3</v>
      </c>
      <c r="S20" s="5">
        <f t="shared" si="36"/>
        <v>2.6022438015539818E-3</v>
      </c>
      <c r="U20" s="4">
        <v>46072</v>
      </c>
      <c r="V20">
        <f t="shared" si="12"/>
        <v>4000.0000000000923</v>
      </c>
      <c r="W20">
        <f t="shared" si="13"/>
        <v>4446.0000000000036</v>
      </c>
      <c r="X20">
        <f t="shared" si="14"/>
        <v>4590.0000000001064</v>
      </c>
      <c r="Y20">
        <f t="shared" si="15"/>
        <v>0</v>
      </c>
      <c r="Z20">
        <f t="shared" si="16"/>
        <v>0</v>
      </c>
      <c r="AA20">
        <f t="shared" si="17"/>
        <v>1999.9999999999573</v>
      </c>
      <c r="AB20">
        <f t="shared" si="18"/>
        <v>0</v>
      </c>
      <c r="AC20">
        <f t="shared" si="19"/>
        <v>0</v>
      </c>
      <c r="AD20">
        <f t="shared" si="20"/>
        <v>-100544.00000000233</v>
      </c>
      <c r="AE20">
        <f t="shared" si="21"/>
        <v>0.99999999999997868</v>
      </c>
      <c r="AF20">
        <f t="shared" si="22"/>
        <v>50322.99999999893</v>
      </c>
      <c r="AG20">
        <f t="shared" si="23"/>
        <v>25323.00000000171</v>
      </c>
      <c r="AH20">
        <f t="shared" si="24"/>
        <v>0.99999999999997868</v>
      </c>
      <c r="AI20">
        <f t="shared" si="25"/>
        <v>-0.17686513628202469</v>
      </c>
      <c r="AJ20">
        <f t="shared" si="26"/>
        <v>-47266.547242861445</v>
      </c>
      <c r="AK20">
        <f t="shared" si="27"/>
        <v>-57175.024221921391</v>
      </c>
      <c r="AL20">
        <f t="shared" si="28"/>
        <v>-52168.74750439373</v>
      </c>
      <c r="AM20" s="1">
        <f t="shared" si="29"/>
        <v>-26022.438015539818</v>
      </c>
      <c r="AN20" s="1">
        <f t="shared" si="6"/>
        <v>-192492.93384985419</v>
      </c>
      <c r="AO20">
        <f t="shared" si="7"/>
        <v>0.84250360304842609</v>
      </c>
      <c r="AP20">
        <f t="shared" si="8"/>
        <v>2.2179395987836723</v>
      </c>
    </row>
    <row r="21" spans="1:42" x14ac:dyDescent="0.25">
      <c r="A21" s="4">
        <v>46071</v>
      </c>
      <c r="B21">
        <f t="shared" ref="B21:N21" si="42">(B571-B570)*100</f>
        <v>1.0000000000000231</v>
      </c>
      <c r="C21">
        <f t="shared" si="42"/>
        <v>0</v>
      </c>
      <c r="D21">
        <f t="shared" si="42"/>
        <v>-1.0000000000000231</v>
      </c>
      <c r="E21">
        <f t="shared" si="42"/>
        <v>0</v>
      </c>
      <c r="F21">
        <f t="shared" si="42"/>
        <v>-1.0000000000000231</v>
      </c>
      <c r="G21">
        <f t="shared" si="42"/>
        <v>-1.0000000000000231</v>
      </c>
      <c r="H21">
        <f t="shared" si="42"/>
        <v>-4.0000000000000036</v>
      </c>
      <c r="I21">
        <f t="shared" si="42"/>
        <v>-2.9999999999999805</v>
      </c>
      <c r="J21">
        <f t="shared" si="42"/>
        <v>-3.0000000000000249</v>
      </c>
      <c r="K21">
        <f t="shared" si="42"/>
        <v>-4.0000000000000036</v>
      </c>
      <c r="L21">
        <f t="shared" si="42"/>
        <v>-4.0000000000000036</v>
      </c>
      <c r="M21">
        <f t="shared" si="42"/>
        <v>-2.0000000000000462</v>
      </c>
      <c r="N21">
        <f t="shared" si="42"/>
        <v>-3.0000000000000249</v>
      </c>
      <c r="O21" s="5">
        <f t="shared" si="36"/>
        <v>1.1660025596832544E-3</v>
      </c>
      <c r="P21" s="5">
        <f t="shared" si="36"/>
        <v>8.7312969425735552E-3</v>
      </c>
      <c r="Q21" s="5">
        <f t="shared" si="36"/>
        <v>6.1577758622782053E-3</v>
      </c>
      <c r="R21" s="5">
        <f t="shared" si="36"/>
        <v>1.7921151749815361E-3</v>
      </c>
      <c r="S21" s="5">
        <f t="shared" si="36"/>
        <v>6.0010598974468005E-3</v>
      </c>
      <c r="U21" s="4">
        <v>46071</v>
      </c>
      <c r="V21">
        <f t="shared" si="12"/>
        <v>-4000.0000000000923</v>
      </c>
      <c r="W21">
        <f t="shared" si="13"/>
        <v>0</v>
      </c>
      <c r="X21">
        <f t="shared" si="14"/>
        <v>-4590.0000000001064</v>
      </c>
      <c r="Y21">
        <f t="shared" si="15"/>
        <v>0</v>
      </c>
      <c r="Z21">
        <f t="shared" si="16"/>
        <v>-5435.0000000001255</v>
      </c>
      <c r="AA21">
        <f t="shared" si="17"/>
        <v>2000.0000000000462</v>
      </c>
      <c r="AB21">
        <f t="shared" si="18"/>
        <v>-18256.000000000015</v>
      </c>
      <c r="AC21">
        <f t="shared" si="19"/>
        <v>6668.9999999999563</v>
      </c>
      <c r="AD21">
        <f t="shared" si="20"/>
        <v>301632.0000000025</v>
      </c>
      <c r="AE21">
        <f t="shared" si="21"/>
        <v>-4.0000000000000036</v>
      </c>
      <c r="AF21">
        <f t="shared" si="22"/>
        <v>-201292.00000000017</v>
      </c>
      <c r="AG21">
        <f t="shared" si="23"/>
        <v>-50646.000000001171</v>
      </c>
      <c r="AH21">
        <f t="shared" si="24"/>
        <v>-3.0000000000000249</v>
      </c>
      <c r="AI21">
        <f t="shared" si="25"/>
        <v>0.11660025596832543</v>
      </c>
      <c r="AJ21">
        <f t="shared" si="26"/>
        <v>-87312.969425735559</v>
      </c>
      <c r="AK21">
        <f t="shared" si="27"/>
        <v>61577.75862278205</v>
      </c>
      <c r="AL21">
        <f t="shared" si="28"/>
        <v>-44802.879374538403</v>
      </c>
      <c r="AM21" s="1">
        <f t="shared" si="29"/>
        <v>-60010.598974468005</v>
      </c>
      <c r="AN21" s="1">
        <f t="shared" si="6"/>
        <v>-104473.57255170314</v>
      </c>
      <c r="AO21">
        <f t="shared" si="7"/>
        <v>-1.2978974914603048</v>
      </c>
      <c r="AP21">
        <f t="shared" si="8"/>
        <v>2.190087040938629</v>
      </c>
    </row>
    <row r="22" spans="1:42" x14ac:dyDescent="0.25">
      <c r="A22" s="4">
        <v>46070</v>
      </c>
      <c r="B22">
        <f t="shared" ref="B22:N22" si="43">(B572-B571)*100</f>
        <v>0</v>
      </c>
      <c r="C22">
        <f t="shared" si="43"/>
        <v>0</v>
      </c>
      <c r="D22">
        <f t="shared" si="43"/>
        <v>-0.99999999999997868</v>
      </c>
      <c r="E22">
        <f t="shared" si="43"/>
        <v>0</v>
      </c>
      <c r="F22">
        <f t="shared" si="43"/>
        <v>0</v>
      </c>
      <c r="G22">
        <f t="shared" si="43"/>
        <v>-6.0000000000000053</v>
      </c>
      <c r="H22">
        <f t="shared" si="43"/>
        <v>-3.0000000000000249</v>
      </c>
      <c r="I22">
        <f t="shared" si="43"/>
        <v>-4.0000000000000036</v>
      </c>
      <c r="J22">
        <f t="shared" si="43"/>
        <v>-2.0000000000000018</v>
      </c>
      <c r="K22">
        <f t="shared" si="43"/>
        <v>-0.99999999999997868</v>
      </c>
      <c r="L22">
        <f t="shared" si="43"/>
        <v>-0.99999999999997868</v>
      </c>
      <c r="M22">
        <f t="shared" si="43"/>
        <v>0.99999999999997868</v>
      </c>
      <c r="N22">
        <f t="shared" si="43"/>
        <v>1.0000000000000675</v>
      </c>
      <c r="O22" s="5">
        <f t="shared" si="36"/>
        <v>0</v>
      </c>
      <c r="P22" s="5">
        <f t="shared" si="36"/>
        <v>-1.9164961375929563E-3</v>
      </c>
      <c r="Q22" s="5">
        <f t="shared" si="36"/>
        <v>9.8992260181934525E-3</v>
      </c>
      <c r="R22" s="5">
        <f t="shared" si="36"/>
        <v>-1.7921151749814655E-3</v>
      </c>
      <c r="S22" s="5">
        <f t="shared" si="36"/>
        <v>-9.0449950875407241E-4</v>
      </c>
      <c r="U22" s="4">
        <v>46070</v>
      </c>
      <c r="V22">
        <f t="shared" si="12"/>
        <v>0</v>
      </c>
      <c r="W22">
        <f t="shared" si="13"/>
        <v>0</v>
      </c>
      <c r="X22">
        <f t="shared" si="14"/>
        <v>-4589.9999999999018</v>
      </c>
      <c r="Y22">
        <f t="shared" si="15"/>
        <v>0</v>
      </c>
      <c r="Z22">
        <f t="shared" si="16"/>
        <v>0</v>
      </c>
      <c r="AA22">
        <f t="shared" si="17"/>
        <v>12000.000000000011</v>
      </c>
      <c r="AB22">
        <f t="shared" si="18"/>
        <v>-13692.000000000113</v>
      </c>
      <c r="AC22">
        <f t="shared" si="19"/>
        <v>8892.0000000000073</v>
      </c>
      <c r="AD22">
        <f t="shared" si="20"/>
        <v>201088.00000000017</v>
      </c>
      <c r="AE22">
        <f t="shared" si="21"/>
        <v>-0.99999999999997868</v>
      </c>
      <c r="AF22">
        <f t="shared" si="22"/>
        <v>-50322.99999999893</v>
      </c>
      <c r="AG22">
        <f t="shared" si="23"/>
        <v>25322.999999999462</v>
      </c>
      <c r="AH22">
        <f t="shared" si="24"/>
        <v>1.0000000000000675</v>
      </c>
      <c r="AI22">
        <f t="shared" si="25"/>
        <v>0</v>
      </c>
      <c r="AJ22">
        <f t="shared" si="26"/>
        <v>19164.961375929564</v>
      </c>
      <c r="AK22">
        <f t="shared" si="27"/>
        <v>98992.260181934529</v>
      </c>
      <c r="AL22">
        <f t="shared" si="28"/>
        <v>44802.879374536635</v>
      </c>
      <c r="AM22" s="1">
        <f t="shared" si="29"/>
        <v>9044.9950875407249</v>
      </c>
      <c r="AN22" s="1">
        <f t="shared" si="6"/>
        <v>350703.09601994214</v>
      </c>
      <c r="AO22">
        <f t="shared" si="7"/>
        <v>-2.8666180080650161</v>
      </c>
      <c r="AP22">
        <f t="shared" si="8"/>
        <v>2.1876502095011787</v>
      </c>
    </row>
    <row r="23" spans="1:42" x14ac:dyDescent="0.25">
      <c r="A23" s="4">
        <v>46066</v>
      </c>
      <c r="B23">
        <f t="shared" ref="B23:N23" si="44">(B573-B572)*100</f>
        <v>0</v>
      </c>
      <c r="C23">
        <f t="shared" si="44"/>
        <v>1.0000000000000231</v>
      </c>
      <c r="D23">
        <f t="shared" si="44"/>
        <v>2.0000000000000018</v>
      </c>
      <c r="E23">
        <f t="shared" si="44"/>
        <v>0</v>
      </c>
      <c r="F23">
        <f t="shared" si="44"/>
        <v>-0.99999999999997868</v>
      </c>
      <c r="G23">
        <f t="shared" si="44"/>
        <v>3.0000000000000249</v>
      </c>
      <c r="H23">
        <f t="shared" si="44"/>
        <v>7.0000000000000284</v>
      </c>
      <c r="I23">
        <f t="shared" si="44"/>
        <v>6.0000000000000053</v>
      </c>
      <c r="J23">
        <f t="shared" si="44"/>
        <v>6.0000000000000053</v>
      </c>
      <c r="K23">
        <f t="shared" si="44"/>
        <v>6.0000000000000053</v>
      </c>
      <c r="L23">
        <f t="shared" si="44"/>
        <v>4.9999999999999822</v>
      </c>
      <c r="M23">
        <f t="shared" si="44"/>
        <v>4.0000000000000036</v>
      </c>
      <c r="N23">
        <f t="shared" si="44"/>
        <v>2.9999999999999361</v>
      </c>
      <c r="O23" s="5">
        <f t="shared" si="36"/>
        <v>1.1812827348646244E-2</v>
      </c>
      <c r="P23" s="5">
        <f t="shared" si="36"/>
        <v>-1.9128302047737411E-3</v>
      </c>
      <c r="Q23" s="5">
        <f t="shared" si="36"/>
        <v>-2.3030306124442431E-3</v>
      </c>
      <c r="R23" s="5">
        <f t="shared" si="36"/>
        <v>-5.9665872891826247E-4</v>
      </c>
      <c r="S23" s="5">
        <f t="shared" si="36"/>
        <v>-3.7318798460083563E-3</v>
      </c>
      <c r="U23" s="4">
        <v>46066</v>
      </c>
      <c r="V23">
        <f t="shared" si="12"/>
        <v>0</v>
      </c>
      <c r="W23">
        <f t="shared" si="13"/>
        <v>-2223.0000000000514</v>
      </c>
      <c r="X23">
        <f t="shared" si="14"/>
        <v>9180.0000000000073</v>
      </c>
      <c r="Y23">
        <f t="shared" si="15"/>
        <v>0</v>
      </c>
      <c r="Z23">
        <f t="shared" si="16"/>
        <v>-5434.9999999998845</v>
      </c>
      <c r="AA23">
        <f t="shared" si="17"/>
        <v>-6000.00000000005</v>
      </c>
      <c r="AB23">
        <f t="shared" si="18"/>
        <v>31948.000000000131</v>
      </c>
      <c r="AC23">
        <f t="shared" si="19"/>
        <v>-13338.000000000013</v>
      </c>
      <c r="AD23">
        <f t="shared" si="20"/>
        <v>-603264.00000000058</v>
      </c>
      <c r="AE23">
        <f t="shared" si="21"/>
        <v>6.0000000000000053</v>
      </c>
      <c r="AF23">
        <f t="shared" si="22"/>
        <v>251614.9999999991</v>
      </c>
      <c r="AG23">
        <f t="shared" si="23"/>
        <v>101292.00000000009</v>
      </c>
      <c r="AH23">
        <f t="shared" si="24"/>
        <v>2.9999999999999361</v>
      </c>
      <c r="AI23">
        <f t="shared" si="25"/>
        <v>1.1812827348646244</v>
      </c>
      <c r="AJ23">
        <f t="shared" si="26"/>
        <v>19128.302047737412</v>
      </c>
      <c r="AK23">
        <f t="shared" si="27"/>
        <v>-23030.306124442432</v>
      </c>
      <c r="AL23">
        <f t="shared" si="28"/>
        <v>14916.468222956562</v>
      </c>
      <c r="AM23" s="1">
        <f t="shared" si="29"/>
        <v>37318.798460083563</v>
      </c>
      <c r="AN23" s="1">
        <f t="shared" si="6"/>
        <v>-187881.55611093133</v>
      </c>
      <c r="AO23">
        <f t="shared" si="7"/>
        <v>0.49582991133194598</v>
      </c>
      <c r="AP23">
        <f t="shared" si="8"/>
        <v>2.2165839713092832</v>
      </c>
    </row>
    <row r="24" spans="1:42" x14ac:dyDescent="0.25">
      <c r="A24" s="4">
        <v>46065</v>
      </c>
      <c r="B24">
        <f t="shared" ref="B24:N24" si="45">(B574-B573)*100</f>
        <v>-1.0000000000000231</v>
      </c>
      <c r="C24">
        <f t="shared" si="45"/>
        <v>-1.0000000000000231</v>
      </c>
      <c r="D24">
        <f t="shared" si="45"/>
        <v>0</v>
      </c>
      <c r="E24">
        <f t="shared" si="45"/>
        <v>0</v>
      </c>
      <c r="F24">
        <f t="shared" si="45"/>
        <v>2.0000000000000018</v>
      </c>
      <c r="G24">
        <f t="shared" si="45"/>
        <v>2.0000000000000018</v>
      </c>
      <c r="H24">
        <f t="shared" si="45"/>
        <v>4.9999999999999822</v>
      </c>
      <c r="I24">
        <f t="shared" si="45"/>
        <v>5.9999999999999609</v>
      </c>
      <c r="J24">
        <f t="shared" si="45"/>
        <v>8.0000000000000071</v>
      </c>
      <c r="K24">
        <f t="shared" si="45"/>
        <v>8.9999999999999858</v>
      </c>
      <c r="L24">
        <f t="shared" si="45"/>
        <v>8.9999999999999858</v>
      </c>
      <c r="M24">
        <f t="shared" si="45"/>
        <v>8.0000000000000071</v>
      </c>
      <c r="N24">
        <f t="shared" si="45"/>
        <v>10.000000000000053</v>
      </c>
      <c r="O24" s="5">
        <f t="shared" si="36"/>
        <v>-3.1303163604280062E-3</v>
      </c>
      <c r="P24" s="5">
        <f t="shared" si="36"/>
        <v>-2.7296301520650856E-4</v>
      </c>
      <c r="Q24" s="5">
        <f t="shared" si="36"/>
        <v>3.7373572647770393E-4</v>
      </c>
      <c r="R24" s="5">
        <f t="shared" si="36"/>
        <v>-2.9819591692560355E-4</v>
      </c>
      <c r="S24" s="5">
        <f t="shared" si="36"/>
        <v>1.3258128359469993E-3</v>
      </c>
      <c r="U24" s="4">
        <v>46065</v>
      </c>
      <c r="V24">
        <f t="shared" si="12"/>
        <v>4000.0000000000923</v>
      </c>
      <c r="W24">
        <f t="shared" si="13"/>
        <v>2223.0000000000514</v>
      </c>
      <c r="X24">
        <f t="shared" si="14"/>
        <v>0</v>
      </c>
      <c r="Y24">
        <f t="shared" si="15"/>
        <v>0</v>
      </c>
      <c r="Z24">
        <f t="shared" si="16"/>
        <v>10870.000000000009</v>
      </c>
      <c r="AA24">
        <f t="shared" si="17"/>
        <v>-4000.0000000000036</v>
      </c>
      <c r="AB24">
        <f t="shared" si="18"/>
        <v>22819.99999999992</v>
      </c>
      <c r="AC24">
        <f t="shared" si="19"/>
        <v>-13337.999999999913</v>
      </c>
      <c r="AD24">
        <f t="shared" si="20"/>
        <v>-804352.0000000007</v>
      </c>
      <c r="AE24">
        <f t="shared" si="21"/>
        <v>8.9999999999999858</v>
      </c>
      <c r="AF24">
        <f t="shared" si="22"/>
        <v>452906.9999999993</v>
      </c>
      <c r="AG24">
        <f t="shared" si="23"/>
        <v>202584.00000000017</v>
      </c>
      <c r="AH24">
        <f t="shared" si="24"/>
        <v>10.000000000000053</v>
      </c>
      <c r="AI24">
        <f t="shared" si="25"/>
        <v>-0.3130316360428006</v>
      </c>
      <c r="AJ24">
        <f t="shared" si="26"/>
        <v>2729.6301520650854</v>
      </c>
      <c r="AK24">
        <f t="shared" si="27"/>
        <v>3737.3572647770393</v>
      </c>
      <c r="AL24">
        <f t="shared" si="28"/>
        <v>7454.897923140089</v>
      </c>
      <c r="AM24" s="1">
        <f t="shared" si="29"/>
        <v>-13258.128359469993</v>
      </c>
      <c r="AN24" s="1">
        <f t="shared" si="6"/>
        <v>-125603.55605112494</v>
      </c>
      <c r="AO24">
        <f t="shared" si="7"/>
        <v>-1.3480523210799196</v>
      </c>
      <c r="AP24">
        <f t="shared" si="8"/>
        <v>2.3653199664361266</v>
      </c>
    </row>
    <row r="25" spans="1:42" x14ac:dyDescent="0.25">
      <c r="A25" s="4">
        <v>46064</v>
      </c>
      <c r="B25">
        <f t="shared" ref="B25:N25" si="46">(B575-B574)*100</f>
        <v>1.0000000000000231</v>
      </c>
      <c r="C25">
        <f t="shared" si="46"/>
        <v>1.0000000000000231</v>
      </c>
      <c r="D25">
        <f t="shared" si="46"/>
        <v>-1.0000000000000231</v>
      </c>
      <c r="E25">
        <f t="shared" si="46"/>
        <v>-1.0000000000000231</v>
      </c>
      <c r="F25">
        <f t="shared" si="46"/>
        <v>-2.0000000000000018</v>
      </c>
      <c r="G25">
        <f t="shared" si="46"/>
        <v>-7.0000000000000284</v>
      </c>
      <c r="H25">
        <f t="shared" si="46"/>
        <v>-6.999999999999984</v>
      </c>
      <c r="I25">
        <f t="shared" si="46"/>
        <v>-4.9999999999999822</v>
      </c>
      <c r="J25">
        <f t="shared" si="46"/>
        <v>-4.9999999999999822</v>
      </c>
      <c r="K25">
        <f t="shared" si="46"/>
        <v>-4.0000000000000036</v>
      </c>
      <c r="L25">
        <f t="shared" si="46"/>
        <v>-1.9999999999999574</v>
      </c>
      <c r="M25">
        <f t="shared" si="46"/>
        <v>-2.9999999999999361</v>
      </c>
      <c r="N25">
        <f t="shared" si="46"/>
        <v>-4.0000000000000036</v>
      </c>
      <c r="O25" s="5">
        <f t="shared" ref="O25:S34" si="47">LN(O574/O575)</f>
        <v>-3.5628004678269526E-3</v>
      </c>
      <c r="P25" s="5">
        <f t="shared" si="47"/>
        <v>-1.9358978657112638E-3</v>
      </c>
      <c r="Q25" s="5">
        <f t="shared" si="47"/>
        <v>2.1165761478531852E-3</v>
      </c>
      <c r="R25" s="5">
        <f t="shared" si="47"/>
        <v>-8.9405459688080143E-4</v>
      </c>
      <c r="S25" s="5">
        <f t="shared" si="47"/>
        <v>3.0262468950050122E-4</v>
      </c>
      <c r="U25" s="4">
        <v>46064</v>
      </c>
      <c r="V25">
        <f t="shared" si="12"/>
        <v>-4000.0000000000923</v>
      </c>
      <c r="W25">
        <f t="shared" si="13"/>
        <v>-2223.0000000000514</v>
      </c>
      <c r="X25">
        <f t="shared" si="14"/>
        <v>-4590.0000000001064</v>
      </c>
      <c r="Y25">
        <f t="shared" si="15"/>
        <v>3445.0000000000796</v>
      </c>
      <c r="Z25">
        <f t="shared" si="16"/>
        <v>-10870.000000000009</v>
      </c>
      <c r="AA25">
        <f t="shared" si="17"/>
        <v>14000.000000000056</v>
      </c>
      <c r="AB25">
        <f t="shared" si="18"/>
        <v>-31947.999999999927</v>
      </c>
      <c r="AC25">
        <f t="shared" si="19"/>
        <v>11114.99999999996</v>
      </c>
      <c r="AD25">
        <f t="shared" si="20"/>
        <v>502719.9999999982</v>
      </c>
      <c r="AE25">
        <f t="shared" si="21"/>
        <v>-4.0000000000000036</v>
      </c>
      <c r="AF25">
        <f t="shared" si="22"/>
        <v>-100645.99999999786</v>
      </c>
      <c r="AG25">
        <f t="shared" si="23"/>
        <v>-75968.999999998385</v>
      </c>
      <c r="AH25">
        <f t="shared" si="24"/>
        <v>-4.0000000000000036</v>
      </c>
      <c r="AI25">
        <f t="shared" si="25"/>
        <v>-0.35628004678269526</v>
      </c>
      <c r="AJ25">
        <f t="shared" si="26"/>
        <v>19358.978657112639</v>
      </c>
      <c r="AK25">
        <f t="shared" si="27"/>
        <v>21165.761478531851</v>
      </c>
      <c r="AL25">
        <f t="shared" si="28"/>
        <v>22351.364922020035</v>
      </c>
      <c r="AM25" s="1">
        <f t="shared" si="29"/>
        <v>-3026.246895005012</v>
      </c>
      <c r="AN25" s="1">
        <f t="shared" si="6"/>
        <v>360875.50188261463</v>
      </c>
      <c r="AO25">
        <f t="shared" si="7"/>
        <v>-3.3687319320655353</v>
      </c>
      <c r="AP25">
        <f t="shared" si="8"/>
        <v>2.3670731090392216</v>
      </c>
    </row>
    <row r="26" spans="1:42" x14ac:dyDescent="0.25">
      <c r="A26" s="4">
        <v>46063</v>
      </c>
      <c r="B26">
        <f t="shared" ref="B26:N26" si="48">(B576-B575)*100</f>
        <v>0</v>
      </c>
      <c r="C26">
        <f t="shared" si="48"/>
        <v>-1.0000000000000231</v>
      </c>
      <c r="D26">
        <f t="shared" si="48"/>
        <v>0</v>
      </c>
      <c r="E26">
        <f t="shared" si="48"/>
        <v>1.0000000000000231</v>
      </c>
      <c r="F26">
        <f t="shared" si="48"/>
        <v>0.99999999999997868</v>
      </c>
      <c r="G26">
        <f t="shared" si="48"/>
        <v>3.0000000000000249</v>
      </c>
      <c r="H26">
        <f t="shared" si="48"/>
        <v>2.9999999999999805</v>
      </c>
      <c r="I26">
        <f t="shared" si="48"/>
        <v>6.0000000000000053</v>
      </c>
      <c r="J26">
        <f t="shared" si="48"/>
        <v>4.9999999999999822</v>
      </c>
      <c r="K26">
        <f t="shared" si="48"/>
        <v>5.0000000000000266</v>
      </c>
      <c r="L26">
        <f t="shared" si="48"/>
        <v>5.9999999999999609</v>
      </c>
      <c r="M26">
        <f t="shared" si="48"/>
        <v>5.9999999999999609</v>
      </c>
      <c r="N26">
        <f t="shared" si="48"/>
        <v>6.9999999999999396</v>
      </c>
      <c r="O26" s="5">
        <f t="shared" si="47"/>
        <v>1.5006062955582877E-3</v>
      </c>
      <c r="P26" s="5">
        <f t="shared" si="47"/>
        <v>3.5747947089211588E-3</v>
      </c>
      <c r="Q26" s="5">
        <f t="shared" si="47"/>
        <v>-6.3130712439874153E-3</v>
      </c>
      <c r="R26" s="5">
        <f t="shared" si="47"/>
        <v>5.9594757425278963E-4</v>
      </c>
      <c r="S26" s="5">
        <f t="shared" si="47"/>
        <v>-1.1692539921867649E-3</v>
      </c>
      <c r="U26" s="4">
        <v>46063</v>
      </c>
      <c r="V26">
        <f t="shared" si="12"/>
        <v>0</v>
      </c>
      <c r="W26">
        <f t="shared" si="13"/>
        <v>2223.0000000000514</v>
      </c>
      <c r="X26">
        <f t="shared" si="14"/>
        <v>0</v>
      </c>
      <c r="Y26">
        <f t="shared" si="15"/>
        <v>-3445.0000000000796</v>
      </c>
      <c r="Z26">
        <f t="shared" si="16"/>
        <v>5434.9999999998845</v>
      </c>
      <c r="AA26">
        <f t="shared" si="17"/>
        <v>-6000.00000000005</v>
      </c>
      <c r="AB26">
        <f t="shared" si="18"/>
        <v>13691.999999999911</v>
      </c>
      <c r="AC26">
        <f t="shared" si="19"/>
        <v>-13338.000000000013</v>
      </c>
      <c r="AD26">
        <f t="shared" si="20"/>
        <v>-502719.9999999982</v>
      </c>
      <c r="AE26">
        <f t="shared" si="21"/>
        <v>5.0000000000000266</v>
      </c>
      <c r="AF26">
        <f t="shared" si="22"/>
        <v>301937.99999999802</v>
      </c>
      <c r="AG26">
        <f t="shared" si="23"/>
        <v>151937.99999999901</v>
      </c>
      <c r="AH26">
        <f t="shared" si="24"/>
        <v>6.9999999999999396</v>
      </c>
      <c r="AI26">
        <f t="shared" si="25"/>
        <v>0.15006062955582877</v>
      </c>
      <c r="AJ26">
        <f t="shared" si="26"/>
        <v>-35747.947089211586</v>
      </c>
      <c r="AK26">
        <f t="shared" si="27"/>
        <v>-63130.712439874151</v>
      </c>
      <c r="AL26">
        <f t="shared" si="28"/>
        <v>-14898.689356319741</v>
      </c>
      <c r="AM26" s="1">
        <f t="shared" si="29"/>
        <v>11692.539921867648</v>
      </c>
      <c r="AN26" s="1">
        <f t="shared" si="6"/>
        <v>-152349.65890290972</v>
      </c>
      <c r="AO26">
        <f t="shared" si="7"/>
        <v>0.56789085474377754</v>
      </c>
      <c r="AP26">
        <f t="shared" si="8"/>
        <v>2.3104668067847971</v>
      </c>
    </row>
    <row r="27" spans="1:42" x14ac:dyDescent="0.25">
      <c r="A27" s="4">
        <v>46062</v>
      </c>
      <c r="B27">
        <f t="shared" ref="B27:N27" si="49">(B577-B576)*100</f>
        <v>0</v>
      </c>
      <c r="C27">
        <f t="shared" si="49"/>
        <v>1.0000000000000231</v>
      </c>
      <c r="D27">
        <f t="shared" si="49"/>
        <v>-0.99999999999997868</v>
      </c>
      <c r="E27">
        <f t="shared" si="49"/>
        <v>0</v>
      </c>
      <c r="F27">
        <f t="shared" si="49"/>
        <v>0</v>
      </c>
      <c r="G27">
        <f t="shared" si="49"/>
        <v>2.0000000000000018</v>
      </c>
      <c r="H27">
        <f t="shared" si="49"/>
        <v>2.0000000000000018</v>
      </c>
      <c r="I27">
        <f t="shared" si="49"/>
        <v>0.99999999999997868</v>
      </c>
      <c r="J27">
        <f t="shared" si="49"/>
        <v>0.99999999999997868</v>
      </c>
      <c r="K27">
        <f t="shared" si="49"/>
        <v>0.99999999999997868</v>
      </c>
      <c r="L27">
        <f t="shared" si="49"/>
        <v>0</v>
      </c>
      <c r="M27">
        <f t="shared" si="49"/>
        <v>0.99999999999997868</v>
      </c>
      <c r="N27">
        <f t="shared" si="49"/>
        <v>0</v>
      </c>
      <c r="O27" s="5">
        <f t="shared" si="47"/>
        <v>-7.633478444533979E-3</v>
      </c>
      <c r="P27" s="5">
        <f t="shared" si="47"/>
        <v>4.7851797064446034E-4</v>
      </c>
      <c r="Q27" s="5">
        <f t="shared" si="47"/>
        <v>-6.966811344679082E-3</v>
      </c>
      <c r="R27" s="5">
        <f t="shared" si="47"/>
        <v>-8.9378823170402832E-4</v>
      </c>
      <c r="S27" s="5">
        <f t="shared" si="47"/>
        <v>-3.4068814746957086E-3</v>
      </c>
      <c r="U27" s="4">
        <v>46062</v>
      </c>
      <c r="V27">
        <f t="shared" si="12"/>
        <v>0</v>
      </c>
      <c r="W27">
        <f t="shared" si="13"/>
        <v>-2223.0000000000514</v>
      </c>
      <c r="X27">
        <f t="shared" si="14"/>
        <v>-4589.9999999999018</v>
      </c>
      <c r="Y27">
        <f t="shared" si="15"/>
        <v>0</v>
      </c>
      <c r="Z27">
        <f t="shared" si="16"/>
        <v>0</v>
      </c>
      <c r="AA27">
        <f t="shared" si="17"/>
        <v>-4000.0000000000036</v>
      </c>
      <c r="AB27">
        <f t="shared" si="18"/>
        <v>9128.0000000000073</v>
      </c>
      <c r="AC27">
        <f t="shared" si="19"/>
        <v>-2222.9999999999527</v>
      </c>
      <c r="AD27">
        <f t="shared" si="20"/>
        <v>-100543.99999999786</v>
      </c>
      <c r="AE27">
        <f t="shared" si="21"/>
        <v>0.99999999999997868</v>
      </c>
      <c r="AF27">
        <f t="shared" si="22"/>
        <v>0</v>
      </c>
      <c r="AG27">
        <f t="shared" si="23"/>
        <v>25322.999999999462</v>
      </c>
      <c r="AH27">
        <f t="shared" si="24"/>
        <v>0</v>
      </c>
      <c r="AI27">
        <f t="shared" si="25"/>
        <v>-0.76334784445339787</v>
      </c>
      <c r="AJ27">
        <f t="shared" si="26"/>
        <v>-4785.1797064446037</v>
      </c>
      <c r="AK27">
        <f t="shared" si="27"/>
        <v>-69668.113446790827</v>
      </c>
      <c r="AL27">
        <f t="shared" si="28"/>
        <v>22344.705792600707</v>
      </c>
      <c r="AM27" s="1">
        <f t="shared" si="29"/>
        <v>34068.814746957083</v>
      </c>
      <c r="AN27" s="1">
        <f t="shared" si="6"/>
        <v>-97168.535961520407</v>
      </c>
      <c r="AO27">
        <f t="shared" si="7"/>
        <v>-1.1943173403196869</v>
      </c>
      <c r="AP27">
        <f t="shared" si="8"/>
        <v>2.301010379044627</v>
      </c>
    </row>
    <row r="28" spans="1:42" x14ac:dyDescent="0.25">
      <c r="A28" s="4">
        <v>46059</v>
      </c>
      <c r="B28">
        <f t="shared" ref="B28:N28" si="50">(B578-B577)*100</f>
        <v>0</v>
      </c>
      <c r="C28">
        <f t="shared" si="50"/>
        <v>0</v>
      </c>
      <c r="D28">
        <f t="shared" si="50"/>
        <v>-1.0000000000000231</v>
      </c>
      <c r="E28">
        <f t="shared" si="50"/>
        <v>-2.0000000000000018</v>
      </c>
      <c r="F28">
        <f t="shared" si="50"/>
        <v>-0.99999999999997868</v>
      </c>
      <c r="G28">
        <f t="shared" si="50"/>
        <v>-1.0000000000000231</v>
      </c>
      <c r="H28">
        <f t="shared" si="50"/>
        <v>-2.9999999999999805</v>
      </c>
      <c r="I28">
        <f t="shared" si="50"/>
        <v>-2.0000000000000018</v>
      </c>
      <c r="J28">
        <f t="shared" si="50"/>
        <v>-1.9999999999999574</v>
      </c>
      <c r="K28">
        <f t="shared" si="50"/>
        <v>-0.99999999999997868</v>
      </c>
      <c r="L28">
        <f t="shared" si="50"/>
        <v>-0.99999999999997868</v>
      </c>
      <c r="M28">
        <f t="shared" si="50"/>
        <v>-0.99999999999997868</v>
      </c>
      <c r="N28">
        <f t="shared" si="50"/>
        <v>0</v>
      </c>
      <c r="O28" s="5">
        <f t="shared" si="47"/>
        <v>-4.5560770800516168E-3</v>
      </c>
      <c r="P28" s="5">
        <f t="shared" si="47"/>
        <v>-1.459384462131416E-2</v>
      </c>
      <c r="Q28" s="5">
        <f t="shared" si="47"/>
        <v>9.3776437832748059E-3</v>
      </c>
      <c r="R28" s="5">
        <f t="shared" si="47"/>
        <v>-2.379537113265209E-3</v>
      </c>
      <c r="S28" s="5">
        <f t="shared" si="47"/>
        <v>-8.5787915327108829E-3</v>
      </c>
      <c r="U28" s="4">
        <v>46059</v>
      </c>
      <c r="V28">
        <f t="shared" si="12"/>
        <v>0</v>
      </c>
      <c r="W28">
        <f t="shared" si="13"/>
        <v>0</v>
      </c>
      <c r="X28">
        <f t="shared" si="14"/>
        <v>-4590.0000000001064</v>
      </c>
      <c r="Y28">
        <f t="shared" si="15"/>
        <v>6890.0000000000064</v>
      </c>
      <c r="Z28">
        <f t="shared" si="16"/>
        <v>-5434.9999999998845</v>
      </c>
      <c r="AA28">
        <f t="shared" si="17"/>
        <v>2000.0000000000462</v>
      </c>
      <c r="AB28">
        <f t="shared" si="18"/>
        <v>-13691.999999999911</v>
      </c>
      <c r="AC28">
        <f t="shared" si="19"/>
        <v>4446.0000000000036</v>
      </c>
      <c r="AD28">
        <f t="shared" si="20"/>
        <v>201087.99999999572</v>
      </c>
      <c r="AE28">
        <f t="shared" si="21"/>
        <v>-0.99999999999997868</v>
      </c>
      <c r="AF28">
        <f t="shared" si="22"/>
        <v>-50322.99999999893</v>
      </c>
      <c r="AG28">
        <f t="shared" si="23"/>
        <v>-25322.999999999462</v>
      </c>
      <c r="AH28">
        <f t="shared" si="24"/>
        <v>0</v>
      </c>
      <c r="AI28">
        <f t="shared" si="25"/>
        <v>-0.4556077080051617</v>
      </c>
      <c r="AJ28">
        <f t="shared" si="26"/>
        <v>145938.44621314161</v>
      </c>
      <c r="AK28">
        <f t="shared" si="27"/>
        <v>93776.437832748052</v>
      </c>
      <c r="AL28">
        <f t="shared" si="28"/>
        <v>59488.427831630222</v>
      </c>
      <c r="AM28" s="1">
        <f t="shared" si="29"/>
        <v>85787.915327108829</v>
      </c>
      <c r="AN28" s="1">
        <f t="shared" si="6"/>
        <v>500050.77159691817</v>
      </c>
      <c r="AO28">
        <f t="shared" si="7"/>
        <v>-1.9033277229116381</v>
      </c>
      <c r="AP28">
        <f t="shared" si="8"/>
        <v>2.3384646295699176</v>
      </c>
    </row>
    <row r="29" spans="1:42" x14ac:dyDescent="0.25">
      <c r="A29" s="4">
        <v>46058</v>
      </c>
      <c r="B29">
        <f t="shared" ref="B29:N29" si="51">(B579-B578)*100</f>
        <v>0</v>
      </c>
      <c r="C29">
        <f t="shared" si="51"/>
        <v>0</v>
      </c>
      <c r="D29">
        <f t="shared" si="51"/>
        <v>2.0000000000000018</v>
      </c>
      <c r="E29">
        <f t="shared" si="51"/>
        <v>2.0000000000000018</v>
      </c>
      <c r="F29">
        <f t="shared" si="51"/>
        <v>4.0000000000000036</v>
      </c>
      <c r="G29">
        <f t="shared" si="51"/>
        <v>5.0000000000000266</v>
      </c>
      <c r="H29">
        <f t="shared" si="51"/>
        <v>9.9999999999999645</v>
      </c>
      <c r="I29">
        <f t="shared" si="51"/>
        <v>9.0000000000000302</v>
      </c>
      <c r="J29">
        <f t="shared" si="51"/>
        <v>8.9999999999999858</v>
      </c>
      <c r="K29">
        <f t="shared" si="51"/>
        <v>7.9999999999999627</v>
      </c>
      <c r="L29">
        <f t="shared" si="51"/>
        <v>8.0000000000000071</v>
      </c>
      <c r="M29">
        <f t="shared" si="51"/>
        <v>7.0000000000000284</v>
      </c>
      <c r="N29">
        <f t="shared" si="51"/>
        <v>6.0000000000000497</v>
      </c>
      <c r="O29" s="5">
        <f t="shared" si="47"/>
        <v>4.2122178297150786E-3</v>
      </c>
      <c r="P29" s="5">
        <f t="shared" si="47"/>
        <v>1.6167732105340404E-2</v>
      </c>
      <c r="Q29" s="5">
        <f t="shared" si="47"/>
        <v>-2.2595984269417643E-3</v>
      </c>
      <c r="R29" s="5">
        <f t="shared" si="47"/>
        <v>1.4865470256456587E-3</v>
      </c>
      <c r="S29" s="5">
        <f t="shared" si="47"/>
        <v>4.6754618115019426E-3</v>
      </c>
      <c r="U29" s="4">
        <v>46058</v>
      </c>
      <c r="V29">
        <f t="shared" si="12"/>
        <v>0</v>
      </c>
      <c r="W29">
        <f t="shared" si="13"/>
        <v>0</v>
      </c>
      <c r="X29">
        <f t="shared" si="14"/>
        <v>9180.0000000000073</v>
      </c>
      <c r="Y29">
        <f t="shared" si="15"/>
        <v>-6890.0000000000064</v>
      </c>
      <c r="Z29">
        <f t="shared" si="16"/>
        <v>21740.000000000018</v>
      </c>
      <c r="AA29">
        <f t="shared" si="17"/>
        <v>-10000.000000000053</v>
      </c>
      <c r="AB29">
        <f t="shared" si="18"/>
        <v>45639.99999999984</v>
      </c>
      <c r="AC29">
        <f t="shared" si="19"/>
        <v>-20007.000000000065</v>
      </c>
      <c r="AD29">
        <f t="shared" si="20"/>
        <v>-904895.9999999986</v>
      </c>
      <c r="AE29">
        <f t="shared" si="21"/>
        <v>7.9999999999999627</v>
      </c>
      <c r="AF29">
        <f t="shared" si="22"/>
        <v>402584.00000000035</v>
      </c>
      <c r="AG29">
        <f t="shared" si="23"/>
        <v>177261.00000000073</v>
      </c>
      <c r="AH29">
        <f t="shared" si="24"/>
        <v>6.0000000000000497</v>
      </c>
      <c r="AI29">
        <f t="shared" si="25"/>
        <v>0.42122178297150786</v>
      </c>
      <c r="AJ29">
        <f t="shared" si="26"/>
        <v>-161677.32105340404</v>
      </c>
      <c r="AK29">
        <f t="shared" si="27"/>
        <v>-22595.984269417644</v>
      </c>
      <c r="AL29">
        <f t="shared" si="28"/>
        <v>-37163.675641141468</v>
      </c>
      <c r="AM29" s="1">
        <f t="shared" si="29"/>
        <v>-46754.618115019424</v>
      </c>
      <c r="AN29" s="1">
        <f t="shared" si="6"/>
        <v>-553565.17785719747</v>
      </c>
      <c r="AO29">
        <f t="shared" si="7"/>
        <v>1.4583768825686998</v>
      </c>
      <c r="AP29">
        <f t="shared" si="8"/>
        <v>2.3500703716129223</v>
      </c>
    </row>
    <row r="30" spans="1:42" x14ac:dyDescent="0.25">
      <c r="A30" s="4">
        <v>46057</v>
      </c>
      <c r="B30">
        <f t="shared" ref="B30:N30" si="52">(B580-B579)*100</f>
        <v>0</v>
      </c>
      <c r="C30">
        <f t="shared" si="52"/>
        <v>0</v>
      </c>
      <c r="D30">
        <f t="shared" si="52"/>
        <v>0</v>
      </c>
      <c r="E30">
        <f t="shared" si="52"/>
        <v>0</v>
      </c>
      <c r="F30">
        <f t="shared" si="52"/>
        <v>0</v>
      </c>
      <c r="G30">
        <f t="shared" si="52"/>
        <v>0</v>
      </c>
      <c r="H30">
        <f t="shared" si="52"/>
        <v>0</v>
      </c>
      <c r="I30">
        <f t="shared" si="52"/>
        <v>0</v>
      </c>
      <c r="J30">
        <f t="shared" si="52"/>
        <v>0</v>
      </c>
      <c r="K30">
        <f t="shared" si="52"/>
        <v>-0.99999999999997868</v>
      </c>
      <c r="L30">
        <f t="shared" si="52"/>
        <v>-0.99999999999997868</v>
      </c>
      <c r="M30">
        <f t="shared" si="52"/>
        <v>-1.0000000000000675</v>
      </c>
      <c r="N30">
        <f t="shared" si="52"/>
        <v>-0.99999999999997868</v>
      </c>
      <c r="O30" s="5">
        <f t="shared" si="47"/>
        <v>2.3520648769017956E-3</v>
      </c>
      <c r="P30" s="5">
        <f t="shared" si="47"/>
        <v>6.8507230191845335E-4</v>
      </c>
      <c r="Q30" s="5">
        <f t="shared" si="47"/>
        <v>-1.0404885397836575E-2</v>
      </c>
      <c r="R30" s="5">
        <f t="shared" si="47"/>
        <v>0</v>
      </c>
      <c r="S30" s="5">
        <f t="shared" si="47"/>
        <v>3.8627724644962765E-3</v>
      </c>
      <c r="U30" s="4">
        <v>46057</v>
      </c>
      <c r="V30">
        <f t="shared" si="12"/>
        <v>0</v>
      </c>
      <c r="W30">
        <f t="shared" si="13"/>
        <v>0</v>
      </c>
      <c r="X30">
        <f t="shared" si="14"/>
        <v>0</v>
      </c>
      <c r="Y30">
        <f t="shared" si="15"/>
        <v>0</v>
      </c>
      <c r="Z30">
        <f t="shared" si="16"/>
        <v>0</v>
      </c>
      <c r="AA30">
        <f t="shared" si="17"/>
        <v>0</v>
      </c>
      <c r="AB30">
        <f t="shared" si="18"/>
        <v>0</v>
      </c>
      <c r="AC30">
        <f t="shared" si="19"/>
        <v>0</v>
      </c>
      <c r="AD30">
        <f t="shared" si="20"/>
        <v>0</v>
      </c>
      <c r="AE30">
        <f t="shared" si="21"/>
        <v>-0.99999999999997868</v>
      </c>
      <c r="AF30">
        <f t="shared" si="22"/>
        <v>-50322.99999999893</v>
      </c>
      <c r="AG30">
        <f t="shared" si="23"/>
        <v>-25323.00000000171</v>
      </c>
      <c r="AH30">
        <f t="shared" si="24"/>
        <v>-0.99999999999997868</v>
      </c>
      <c r="AI30">
        <f t="shared" si="25"/>
        <v>0.23520648769017957</v>
      </c>
      <c r="AJ30">
        <f t="shared" si="26"/>
        <v>-6850.7230191845338</v>
      </c>
      <c r="AK30">
        <f t="shared" si="27"/>
        <v>-104048.85397836575</v>
      </c>
      <c r="AL30">
        <f t="shared" si="28"/>
        <v>0</v>
      </c>
      <c r="AM30" s="1">
        <f t="shared" si="29"/>
        <v>-38627.724644962764</v>
      </c>
      <c r="AN30" s="1">
        <f t="shared" si="6"/>
        <v>-225175.06643602598</v>
      </c>
      <c r="AO30">
        <f t="shared" si="7"/>
        <v>-2.9229142726381454</v>
      </c>
      <c r="AP30">
        <f t="shared" si="8"/>
        <v>2.2805471683648082</v>
      </c>
    </row>
    <row r="31" spans="1:42" x14ac:dyDescent="0.25">
      <c r="A31" s="4">
        <v>46056</v>
      </c>
      <c r="B31">
        <f t="shared" ref="B31:N31" si="53">(B581-B580)*100</f>
        <v>0</v>
      </c>
      <c r="C31">
        <f t="shared" si="53"/>
        <v>0</v>
      </c>
      <c r="D31">
        <f t="shared" si="53"/>
        <v>0</v>
      </c>
      <c r="E31">
        <f t="shared" si="53"/>
        <v>0</v>
      </c>
      <c r="F31">
        <f t="shared" si="53"/>
        <v>0</v>
      </c>
      <c r="G31">
        <f t="shared" si="53"/>
        <v>0</v>
      </c>
      <c r="H31">
        <f t="shared" si="53"/>
        <v>0</v>
      </c>
      <c r="I31">
        <f t="shared" si="53"/>
        <v>0</v>
      </c>
      <c r="J31">
        <f t="shared" si="53"/>
        <v>0</v>
      </c>
      <c r="K31">
        <f t="shared" si="53"/>
        <v>0.99999999999997868</v>
      </c>
      <c r="L31">
        <f t="shared" si="53"/>
        <v>0.99999999999997868</v>
      </c>
      <c r="M31">
        <f t="shared" si="53"/>
        <v>0</v>
      </c>
      <c r="N31">
        <f t="shared" si="53"/>
        <v>0</v>
      </c>
      <c r="O31" s="5">
        <f t="shared" si="47"/>
        <v>-6.6974119087039406E-3</v>
      </c>
      <c r="P31" s="5">
        <f t="shared" si="47"/>
        <v>9.4801015160333232E-3</v>
      </c>
      <c r="Q31" s="5">
        <f t="shared" si="47"/>
        <v>3.9455064392425751E-3</v>
      </c>
      <c r="R31" s="5">
        <f t="shared" si="47"/>
        <v>-1.1894143537225126E-3</v>
      </c>
      <c r="S31" s="5">
        <f t="shared" si="47"/>
        <v>-9.2388200402684865E-3</v>
      </c>
      <c r="U31" s="4">
        <v>46056</v>
      </c>
      <c r="V31">
        <f t="shared" si="12"/>
        <v>0</v>
      </c>
      <c r="W31">
        <f t="shared" si="13"/>
        <v>0</v>
      </c>
      <c r="X31">
        <f t="shared" si="14"/>
        <v>0</v>
      </c>
      <c r="Y31">
        <f t="shared" si="15"/>
        <v>0</v>
      </c>
      <c r="Z31">
        <f t="shared" si="16"/>
        <v>0</v>
      </c>
      <c r="AA31">
        <f t="shared" si="17"/>
        <v>0</v>
      </c>
      <c r="AB31">
        <f t="shared" si="18"/>
        <v>0</v>
      </c>
      <c r="AC31">
        <f t="shared" si="19"/>
        <v>0</v>
      </c>
      <c r="AD31">
        <f t="shared" si="20"/>
        <v>0</v>
      </c>
      <c r="AE31">
        <f t="shared" si="21"/>
        <v>0.99999999999997868</v>
      </c>
      <c r="AF31">
        <f t="shared" si="22"/>
        <v>50322.99999999893</v>
      </c>
      <c r="AG31">
        <f t="shared" si="23"/>
        <v>0</v>
      </c>
      <c r="AH31">
        <f t="shared" si="24"/>
        <v>0</v>
      </c>
      <c r="AI31">
        <f t="shared" si="25"/>
        <v>-0.66974119087039408</v>
      </c>
      <c r="AJ31">
        <f t="shared" si="26"/>
        <v>-94801.015160333234</v>
      </c>
      <c r="AK31">
        <f t="shared" si="27"/>
        <v>39455.064392425753</v>
      </c>
      <c r="AL31">
        <f t="shared" si="28"/>
        <v>29735.358843062815</v>
      </c>
      <c r="AM31" s="1">
        <f t="shared" si="29"/>
        <v>92388.200402684859</v>
      </c>
      <c r="AN31" s="1">
        <f t="shared" si="6"/>
        <v>117100.93873664826</v>
      </c>
      <c r="AO31">
        <f t="shared" si="7"/>
        <v>-0.74467255862495119</v>
      </c>
      <c r="AP31">
        <f t="shared" si="8"/>
        <v>2.3984092256342286</v>
      </c>
    </row>
    <row r="32" spans="1:42" x14ac:dyDescent="0.25">
      <c r="A32" s="4">
        <v>46055</v>
      </c>
      <c r="B32">
        <f t="shared" ref="B32:N32" si="54">(B582-B581)*100</f>
        <v>0</v>
      </c>
      <c r="C32">
        <f t="shared" si="54"/>
        <v>0.99999999999997868</v>
      </c>
      <c r="D32">
        <f t="shared" si="54"/>
        <v>-2.0000000000000018</v>
      </c>
      <c r="E32">
        <f t="shared" si="54"/>
        <v>-1.0000000000000231</v>
      </c>
      <c r="F32">
        <f t="shared" si="54"/>
        <v>-1.0000000000000231</v>
      </c>
      <c r="G32">
        <f t="shared" si="54"/>
        <v>-1.0000000000000231</v>
      </c>
      <c r="H32">
        <f t="shared" si="54"/>
        <v>-4.9999999999999822</v>
      </c>
      <c r="I32">
        <f t="shared" si="54"/>
        <v>-4.0000000000000036</v>
      </c>
      <c r="J32">
        <f t="shared" si="54"/>
        <v>-4.0000000000000036</v>
      </c>
      <c r="K32">
        <f t="shared" si="54"/>
        <v>-4.0000000000000036</v>
      </c>
      <c r="L32">
        <f t="shared" si="54"/>
        <v>-3.0000000000000249</v>
      </c>
      <c r="M32">
        <f t="shared" si="54"/>
        <v>-2.9999999999999361</v>
      </c>
      <c r="N32">
        <f t="shared" si="54"/>
        <v>-3.0000000000000249</v>
      </c>
      <c r="O32" s="5">
        <f t="shared" si="47"/>
        <v>5.4537615393824403E-3</v>
      </c>
      <c r="P32" s="5">
        <f t="shared" si="47"/>
        <v>-2.092748735638424E-2</v>
      </c>
      <c r="Q32" s="5">
        <f t="shared" si="47"/>
        <v>7.7166696631075617E-3</v>
      </c>
      <c r="R32" s="5">
        <f t="shared" si="47"/>
        <v>-8.9113328338903078E-4</v>
      </c>
      <c r="S32" s="5">
        <f t="shared" si="47"/>
        <v>0</v>
      </c>
      <c r="U32" s="4">
        <v>46055</v>
      </c>
      <c r="V32">
        <f t="shared" si="12"/>
        <v>0</v>
      </c>
      <c r="W32">
        <f t="shared" si="13"/>
        <v>-2222.9999999999527</v>
      </c>
      <c r="X32">
        <f t="shared" si="14"/>
        <v>-9180.0000000000073</v>
      </c>
      <c r="Y32">
        <f t="shared" si="15"/>
        <v>3445.0000000000796</v>
      </c>
      <c r="Z32">
        <f t="shared" si="16"/>
        <v>-5435.0000000001255</v>
      </c>
      <c r="AA32">
        <f t="shared" si="17"/>
        <v>2000.0000000000462</v>
      </c>
      <c r="AB32">
        <f t="shared" si="18"/>
        <v>-22819.99999999992</v>
      </c>
      <c r="AC32">
        <f t="shared" si="19"/>
        <v>8892.0000000000073</v>
      </c>
      <c r="AD32">
        <f t="shared" si="20"/>
        <v>402176.00000000035</v>
      </c>
      <c r="AE32">
        <f t="shared" si="21"/>
        <v>-4.0000000000000036</v>
      </c>
      <c r="AF32">
        <f t="shared" si="22"/>
        <v>-150969.00000000125</v>
      </c>
      <c r="AG32">
        <f t="shared" si="23"/>
        <v>-75968.999999998385</v>
      </c>
      <c r="AH32">
        <f t="shared" si="24"/>
        <v>-3.0000000000000249</v>
      </c>
      <c r="AI32">
        <f t="shared" si="25"/>
        <v>0.54537615393824401</v>
      </c>
      <c r="AJ32">
        <f t="shared" si="26"/>
        <v>209274.87356384238</v>
      </c>
      <c r="AK32">
        <f t="shared" si="27"/>
        <v>77166.696631075611</v>
      </c>
      <c r="AL32">
        <f t="shared" si="28"/>
        <v>22278.332084725771</v>
      </c>
      <c r="AM32" s="1">
        <f t="shared" si="29"/>
        <v>0</v>
      </c>
      <c r="AN32" s="1">
        <f t="shared" si="6"/>
        <v>458630.44765579846</v>
      </c>
      <c r="AO32">
        <f t="shared" si="7"/>
        <v>-1.6954386592370769</v>
      </c>
      <c r="AP32">
        <f t="shared" si="8"/>
        <v>2.3969100824699372</v>
      </c>
    </row>
    <row r="33" spans="1:42" x14ac:dyDescent="0.25">
      <c r="A33" s="4">
        <v>46052</v>
      </c>
      <c r="B33">
        <f t="shared" ref="B33:N33" si="55">(B583-B582)*100</f>
        <v>0</v>
      </c>
      <c r="C33">
        <f t="shared" si="55"/>
        <v>0</v>
      </c>
      <c r="D33">
        <f t="shared" si="55"/>
        <v>0</v>
      </c>
      <c r="E33">
        <f t="shared" si="55"/>
        <v>0</v>
      </c>
      <c r="F33">
        <f t="shared" si="55"/>
        <v>1.0000000000000231</v>
      </c>
      <c r="G33">
        <f t="shared" si="55"/>
        <v>2.0000000000000018</v>
      </c>
      <c r="H33">
        <f t="shared" si="55"/>
        <v>0.99999999999997868</v>
      </c>
      <c r="I33">
        <f t="shared" si="55"/>
        <v>2.9999999999999805</v>
      </c>
      <c r="J33">
        <f t="shared" si="55"/>
        <v>0.99999999999997868</v>
      </c>
      <c r="K33">
        <f t="shared" si="55"/>
        <v>0</v>
      </c>
      <c r="L33">
        <f t="shared" si="55"/>
        <v>-1.9999999999999574</v>
      </c>
      <c r="M33">
        <f t="shared" si="55"/>
        <v>-2.0000000000000462</v>
      </c>
      <c r="N33">
        <f t="shared" si="55"/>
        <v>-2.0000000000000462</v>
      </c>
      <c r="O33" s="5">
        <f t="shared" si="47"/>
        <v>6.6186657095421812E-3</v>
      </c>
      <c r="P33" s="5">
        <f t="shared" si="47"/>
        <v>1.3368088859139366E-2</v>
      </c>
      <c r="Q33" s="5">
        <f t="shared" si="47"/>
        <v>5.8261479159089729E-4</v>
      </c>
      <c r="R33" s="5">
        <f t="shared" si="47"/>
        <v>6.8524027998884823E-3</v>
      </c>
      <c r="S33" s="5">
        <f t="shared" si="47"/>
        <v>1.0781153327582229E-2</v>
      </c>
      <c r="U33" s="4">
        <v>46052</v>
      </c>
      <c r="V33">
        <f t="shared" si="12"/>
        <v>0</v>
      </c>
      <c r="W33">
        <f t="shared" si="13"/>
        <v>0</v>
      </c>
      <c r="X33">
        <f t="shared" si="14"/>
        <v>0</v>
      </c>
      <c r="Y33">
        <f t="shared" si="15"/>
        <v>0</v>
      </c>
      <c r="Z33">
        <f t="shared" si="16"/>
        <v>5435.0000000001255</v>
      </c>
      <c r="AA33">
        <f t="shared" si="17"/>
        <v>-4000.0000000000036</v>
      </c>
      <c r="AB33">
        <f t="shared" si="18"/>
        <v>4563.9999999999027</v>
      </c>
      <c r="AC33">
        <f t="shared" si="19"/>
        <v>-6668.9999999999563</v>
      </c>
      <c r="AD33">
        <f t="shared" si="20"/>
        <v>-100543.99999999786</v>
      </c>
      <c r="AE33">
        <f t="shared" si="21"/>
        <v>0</v>
      </c>
      <c r="AF33">
        <f t="shared" si="22"/>
        <v>-100645.99999999786</v>
      </c>
      <c r="AG33">
        <f t="shared" si="23"/>
        <v>-50646.000000001171</v>
      </c>
      <c r="AH33">
        <f t="shared" si="24"/>
        <v>-2.0000000000000462</v>
      </c>
      <c r="AI33">
        <f t="shared" si="25"/>
        <v>0.66186657095421808</v>
      </c>
      <c r="AJ33">
        <f t="shared" si="26"/>
        <v>-133680.88859139365</v>
      </c>
      <c r="AK33">
        <f t="shared" si="27"/>
        <v>5826.1479159089731</v>
      </c>
      <c r="AL33">
        <f t="shared" si="28"/>
        <v>-171310.06999721206</v>
      </c>
      <c r="AM33" s="1">
        <f t="shared" si="29"/>
        <v>-107811.53327582228</v>
      </c>
      <c r="AN33" s="1">
        <f t="shared" si="6"/>
        <v>-659483.68208194489</v>
      </c>
      <c r="AO33">
        <f t="shared" si="7"/>
        <v>3.520020924845551</v>
      </c>
      <c r="AP33">
        <f t="shared" si="8"/>
        <v>2.7314811634560048</v>
      </c>
    </row>
    <row r="34" spans="1:42" x14ac:dyDescent="0.25">
      <c r="A34" s="4">
        <v>46051</v>
      </c>
      <c r="B34">
        <f t="shared" ref="B34:N34" si="56">(B584-B583)*100</f>
        <v>3.9999999999999591</v>
      </c>
      <c r="C34">
        <f t="shared" si="56"/>
        <v>-4.0000000000000036</v>
      </c>
      <c r="D34">
        <f t="shared" si="56"/>
        <v>1.0000000000000231</v>
      </c>
      <c r="E34">
        <f t="shared" si="56"/>
        <v>1.0000000000000231</v>
      </c>
      <c r="F34">
        <f t="shared" si="56"/>
        <v>0.99999999999997868</v>
      </c>
      <c r="G34">
        <f t="shared" si="56"/>
        <v>2.0000000000000018</v>
      </c>
      <c r="H34">
        <f t="shared" si="56"/>
        <v>3.0000000000000249</v>
      </c>
      <c r="I34">
        <f t="shared" si="56"/>
        <v>3.0000000000000249</v>
      </c>
      <c r="J34">
        <f t="shared" si="56"/>
        <v>3.0000000000000249</v>
      </c>
      <c r="K34">
        <f t="shared" si="56"/>
        <v>4.0000000000000036</v>
      </c>
      <c r="L34">
        <f t="shared" si="56"/>
        <v>1.9999999999999574</v>
      </c>
      <c r="M34">
        <f t="shared" si="56"/>
        <v>0.99999999999997868</v>
      </c>
      <c r="N34">
        <f t="shared" si="56"/>
        <v>0</v>
      </c>
      <c r="O34" s="5">
        <f t="shared" si="47"/>
        <v>2.2738669372749333E-3</v>
      </c>
      <c r="P34" s="5">
        <f t="shared" si="47"/>
        <v>-8.5325683126531385E-3</v>
      </c>
      <c r="Q34" s="5">
        <f t="shared" si="47"/>
        <v>-4.9066442648501444E-3</v>
      </c>
      <c r="R34" s="5">
        <f t="shared" si="47"/>
        <v>0</v>
      </c>
      <c r="S34" s="5">
        <f t="shared" si="47"/>
        <v>8.998261910850041E-4</v>
      </c>
      <c r="U34" s="4">
        <v>46051</v>
      </c>
      <c r="V34">
        <f t="shared" si="12"/>
        <v>-15999.999999999836</v>
      </c>
      <c r="W34">
        <f t="shared" si="13"/>
        <v>8892.0000000000073</v>
      </c>
      <c r="X34">
        <f t="shared" si="14"/>
        <v>4590.0000000001064</v>
      </c>
      <c r="Y34">
        <f t="shared" si="15"/>
        <v>-3445.0000000000796</v>
      </c>
      <c r="Z34">
        <f t="shared" si="16"/>
        <v>5434.9999999998845</v>
      </c>
      <c r="AA34">
        <f t="shared" si="17"/>
        <v>-4000.0000000000036</v>
      </c>
      <c r="AB34">
        <f t="shared" si="18"/>
        <v>13692.000000000113</v>
      </c>
      <c r="AC34">
        <f t="shared" si="19"/>
        <v>-6669.0000000000555</v>
      </c>
      <c r="AD34">
        <f t="shared" si="20"/>
        <v>-301632.0000000025</v>
      </c>
      <c r="AE34">
        <f t="shared" si="21"/>
        <v>4.0000000000000036</v>
      </c>
      <c r="AF34">
        <f t="shared" si="22"/>
        <v>100645.99999999786</v>
      </c>
      <c r="AG34">
        <f t="shared" si="23"/>
        <v>25322.999999999462</v>
      </c>
      <c r="AH34">
        <f t="shared" si="24"/>
        <v>0</v>
      </c>
      <c r="AI34">
        <f t="shared" si="25"/>
        <v>0.22738669372749332</v>
      </c>
      <c r="AJ34">
        <f t="shared" si="26"/>
        <v>85325.683126531381</v>
      </c>
      <c r="AK34">
        <f t="shared" si="27"/>
        <v>-49066.442648501441</v>
      </c>
      <c r="AL34">
        <f t="shared" si="28"/>
        <v>0</v>
      </c>
      <c r="AM34" s="1">
        <f t="shared" si="29"/>
        <v>-8998.2619108500403</v>
      </c>
      <c r="AN34" s="1">
        <f t="shared" si="6"/>
        <v>-145902.79404613143</v>
      </c>
      <c r="AO34">
        <f t="shared" si="7"/>
        <v>0.59691423804318355</v>
      </c>
      <c r="AP34">
        <f t="shared" si="8"/>
        <v>2.4786360562867431</v>
      </c>
    </row>
    <row r="35" spans="1:42" x14ac:dyDescent="0.25">
      <c r="A35" s="4">
        <v>46050</v>
      </c>
      <c r="B35">
        <f t="shared" ref="B35:N35" si="57">(B585-B584)*100</f>
        <v>1.0000000000000231</v>
      </c>
      <c r="C35">
        <f t="shared" si="57"/>
        <v>-0.99999999999997868</v>
      </c>
      <c r="D35">
        <f t="shared" si="57"/>
        <v>-1.0000000000000231</v>
      </c>
      <c r="E35">
        <f t="shared" si="57"/>
        <v>-4.0000000000000036</v>
      </c>
      <c r="F35">
        <f t="shared" si="57"/>
        <v>-2.0000000000000018</v>
      </c>
      <c r="G35">
        <f t="shared" si="57"/>
        <v>-2.0000000000000018</v>
      </c>
      <c r="H35">
        <f t="shared" si="57"/>
        <v>-3.0000000000000249</v>
      </c>
      <c r="I35">
        <f t="shared" si="57"/>
        <v>-1.0000000000000231</v>
      </c>
      <c r="J35">
        <f t="shared" si="57"/>
        <v>-2.0000000000000018</v>
      </c>
      <c r="K35">
        <f t="shared" si="57"/>
        <v>-1.9999999999999574</v>
      </c>
      <c r="L35">
        <f t="shared" si="57"/>
        <v>-1.9999999999999574</v>
      </c>
      <c r="M35">
        <f t="shared" si="57"/>
        <v>-1.9999999999999574</v>
      </c>
      <c r="N35">
        <f t="shared" si="57"/>
        <v>-1.9999999999999574</v>
      </c>
      <c r="O35" s="5">
        <f t="shared" ref="O35:S44" si="58">LN(O584/O585)</f>
        <v>-1.0631048850742361E-2</v>
      </c>
      <c r="P35" s="5">
        <f t="shared" si="58"/>
        <v>1.3488525593009363E-2</v>
      </c>
      <c r="Q35" s="5">
        <f t="shared" si="58"/>
        <v>-9.3904884737255857E-4</v>
      </c>
      <c r="R35" s="5">
        <f t="shared" si="58"/>
        <v>0</v>
      </c>
      <c r="S35" s="5">
        <f t="shared" si="58"/>
        <v>-1.404535370392026E-3</v>
      </c>
      <c r="U35" s="4">
        <v>46050</v>
      </c>
      <c r="V35">
        <f t="shared" si="12"/>
        <v>-4000.0000000000923</v>
      </c>
      <c r="W35">
        <f t="shared" si="13"/>
        <v>2222.9999999999527</v>
      </c>
      <c r="X35">
        <f t="shared" si="14"/>
        <v>-4590.0000000001064</v>
      </c>
      <c r="Y35">
        <f t="shared" si="15"/>
        <v>13780.000000000013</v>
      </c>
      <c r="Z35">
        <f t="shared" si="16"/>
        <v>-10870.000000000009</v>
      </c>
      <c r="AA35">
        <f t="shared" si="17"/>
        <v>4000.0000000000036</v>
      </c>
      <c r="AB35">
        <f t="shared" si="18"/>
        <v>-13692.000000000113</v>
      </c>
      <c r="AC35">
        <f t="shared" si="19"/>
        <v>2223.0000000000514</v>
      </c>
      <c r="AD35">
        <f t="shared" si="20"/>
        <v>201088.00000000017</v>
      </c>
      <c r="AE35">
        <f t="shared" si="21"/>
        <v>-1.9999999999999574</v>
      </c>
      <c r="AF35">
        <f t="shared" si="22"/>
        <v>-100645.99999999786</v>
      </c>
      <c r="AG35">
        <f t="shared" si="23"/>
        <v>-50645.999999998923</v>
      </c>
      <c r="AH35">
        <f t="shared" si="24"/>
        <v>-1.9999999999999574</v>
      </c>
      <c r="AI35">
        <f t="shared" si="25"/>
        <v>-1.0631048850742362</v>
      </c>
      <c r="AJ35">
        <f t="shared" si="26"/>
        <v>-134885.25593009364</v>
      </c>
      <c r="AK35">
        <f t="shared" si="27"/>
        <v>-9390.4884737255852</v>
      </c>
      <c r="AL35">
        <f t="shared" si="28"/>
        <v>0</v>
      </c>
      <c r="AM35" s="1">
        <f t="shared" si="29"/>
        <v>14045.35370392026</v>
      </c>
      <c r="AN35" s="1">
        <f t="shared" si="6"/>
        <v>-91365.453804780933</v>
      </c>
      <c r="AO35">
        <f t="shared" si="7"/>
        <v>-9.8353790882681258E-2</v>
      </c>
      <c r="AP35">
        <f t="shared" si="8"/>
        <v>5.8151694744994771</v>
      </c>
    </row>
    <row r="36" spans="1:42" x14ac:dyDescent="0.25">
      <c r="A36" s="4">
        <v>46049</v>
      </c>
      <c r="B36">
        <f t="shared" ref="B36:N36" si="59">(B586-B585)*100</f>
        <v>0</v>
      </c>
      <c r="C36">
        <f t="shared" si="59"/>
        <v>0</v>
      </c>
      <c r="D36">
        <f t="shared" si="59"/>
        <v>0</v>
      </c>
      <c r="E36">
        <f t="shared" si="59"/>
        <v>0.99999999999997868</v>
      </c>
      <c r="F36">
        <f t="shared" si="59"/>
        <v>1.0000000000000231</v>
      </c>
      <c r="G36">
        <f t="shared" si="59"/>
        <v>2.0000000000000018</v>
      </c>
      <c r="H36">
        <f t="shared" si="59"/>
        <v>3.0000000000000249</v>
      </c>
      <c r="I36">
        <f t="shared" si="59"/>
        <v>1.0000000000000231</v>
      </c>
      <c r="J36">
        <f t="shared" si="59"/>
        <v>0.99999999999997868</v>
      </c>
      <c r="K36">
        <f t="shared" si="59"/>
        <v>-1.0000000000000675</v>
      </c>
      <c r="L36">
        <f t="shared" si="59"/>
        <v>-2.0000000000000462</v>
      </c>
      <c r="M36">
        <f t="shared" si="59"/>
        <v>-4.0000000000000036</v>
      </c>
      <c r="N36">
        <f t="shared" si="59"/>
        <v>-3.0000000000000249</v>
      </c>
      <c r="O36" s="5">
        <f t="shared" si="58"/>
        <v>-6.9998193481040378E-3</v>
      </c>
      <c r="P36" s="5">
        <f t="shared" si="58"/>
        <v>-1.6968113728359758E-2</v>
      </c>
      <c r="Q36" s="5">
        <f t="shared" si="58"/>
        <v>-8.9174549368240853E-3</v>
      </c>
      <c r="R36" s="5">
        <f t="shared" si="58"/>
        <v>-1.4936522567832536E-3</v>
      </c>
      <c r="S36" s="5">
        <f t="shared" si="58"/>
        <v>-7.3847982942141519E-3</v>
      </c>
      <c r="U36" s="4">
        <v>46049</v>
      </c>
      <c r="V36">
        <f t="shared" si="12"/>
        <v>0</v>
      </c>
      <c r="W36">
        <f t="shared" si="13"/>
        <v>0</v>
      </c>
      <c r="X36">
        <f t="shared" si="14"/>
        <v>0</v>
      </c>
      <c r="Y36">
        <f t="shared" si="15"/>
        <v>-3444.9999999999268</v>
      </c>
      <c r="Z36">
        <f t="shared" si="16"/>
        <v>5435.0000000001255</v>
      </c>
      <c r="AA36">
        <f t="shared" si="17"/>
        <v>-4000.0000000000036</v>
      </c>
      <c r="AB36">
        <f t="shared" si="18"/>
        <v>13692.000000000113</v>
      </c>
      <c r="AC36">
        <f t="shared" si="19"/>
        <v>-2223.0000000000514</v>
      </c>
      <c r="AD36">
        <f t="shared" si="20"/>
        <v>-100543.99999999786</v>
      </c>
      <c r="AE36">
        <f t="shared" si="21"/>
        <v>-1.0000000000000675</v>
      </c>
      <c r="AF36">
        <f t="shared" si="22"/>
        <v>-100646.00000000233</v>
      </c>
      <c r="AG36">
        <f t="shared" si="23"/>
        <v>-101292.00000000009</v>
      </c>
      <c r="AH36">
        <f t="shared" si="24"/>
        <v>-3.0000000000000249</v>
      </c>
      <c r="AI36">
        <f t="shared" si="25"/>
        <v>-0.69998193481040383</v>
      </c>
      <c r="AJ36">
        <f t="shared" si="26"/>
        <v>169681.13728359758</v>
      </c>
      <c r="AK36">
        <f t="shared" si="27"/>
        <v>-89174.549368240856</v>
      </c>
      <c r="AL36">
        <f t="shared" si="28"/>
        <v>37341.306419581342</v>
      </c>
      <c r="AM36" s="1">
        <f t="shared" si="29"/>
        <v>73847.98294214152</v>
      </c>
      <c r="AN36" s="1">
        <f t="shared" si="6"/>
        <v>-101331.82270485519</v>
      </c>
      <c r="AO36">
        <f t="shared" si="7"/>
        <v>-7.5415127431709417E-2</v>
      </c>
      <c r="AP36">
        <f t="shared" si="8"/>
        <v>5.8143796367952225</v>
      </c>
    </row>
    <row r="37" spans="1:42" x14ac:dyDescent="0.25">
      <c r="A37" s="4">
        <v>46048</v>
      </c>
      <c r="B37">
        <f t="shared" ref="B37:N37" si="60">(B587-B586)*100</f>
        <v>0.99999999999997868</v>
      </c>
      <c r="C37">
        <f t="shared" si="60"/>
        <v>2.0000000000000018</v>
      </c>
      <c r="D37">
        <f t="shared" si="60"/>
        <v>3.0000000000000249</v>
      </c>
      <c r="E37">
        <f t="shared" si="60"/>
        <v>0</v>
      </c>
      <c r="F37">
        <f t="shared" si="60"/>
        <v>-1.0000000000000231</v>
      </c>
      <c r="G37">
        <f t="shared" si="60"/>
        <v>0.99999999999997868</v>
      </c>
      <c r="H37">
        <f t="shared" si="60"/>
        <v>4.0000000000000036</v>
      </c>
      <c r="I37">
        <f t="shared" si="60"/>
        <v>0.99999999999997868</v>
      </c>
      <c r="J37">
        <f t="shared" si="60"/>
        <v>2.0000000000000018</v>
      </c>
      <c r="K37">
        <f t="shared" si="60"/>
        <v>1.0000000000000675</v>
      </c>
      <c r="L37">
        <f t="shared" si="60"/>
        <v>2.0000000000000462</v>
      </c>
      <c r="M37">
        <f t="shared" si="60"/>
        <v>3.0000000000000249</v>
      </c>
      <c r="N37">
        <f t="shared" si="60"/>
        <v>2.0000000000000462</v>
      </c>
      <c r="O37" s="5">
        <f t="shared" si="58"/>
        <v>-2.2436286125853805E-3</v>
      </c>
      <c r="P37" s="5">
        <f t="shared" si="58"/>
        <v>9.543358046899696E-3</v>
      </c>
      <c r="Q37" s="5">
        <f t="shared" si="58"/>
        <v>-1.7327148856116378E-3</v>
      </c>
      <c r="R37" s="5">
        <f t="shared" si="58"/>
        <v>-5.9683678286152561E-4</v>
      </c>
      <c r="S37" s="5">
        <f t="shared" si="58"/>
        <v>1.2090680115495847E-4</v>
      </c>
      <c r="U37" s="4">
        <v>46048</v>
      </c>
      <c r="V37">
        <f t="shared" si="12"/>
        <v>-3999.9999999999145</v>
      </c>
      <c r="W37">
        <f t="shared" si="13"/>
        <v>-4446.0000000000036</v>
      </c>
      <c r="X37">
        <f t="shared" si="14"/>
        <v>13770.000000000115</v>
      </c>
      <c r="Y37">
        <f t="shared" si="15"/>
        <v>0</v>
      </c>
      <c r="Z37">
        <f t="shared" si="16"/>
        <v>-5435.0000000001255</v>
      </c>
      <c r="AA37">
        <f t="shared" si="17"/>
        <v>-1999.9999999999573</v>
      </c>
      <c r="AB37">
        <f t="shared" si="18"/>
        <v>18256.000000000015</v>
      </c>
      <c r="AC37">
        <f t="shared" si="19"/>
        <v>-2222.9999999999527</v>
      </c>
      <c r="AD37">
        <f t="shared" si="20"/>
        <v>-201088.00000000017</v>
      </c>
      <c r="AE37">
        <f t="shared" si="21"/>
        <v>1.0000000000000675</v>
      </c>
      <c r="AF37">
        <f t="shared" si="22"/>
        <v>100646.00000000233</v>
      </c>
      <c r="AG37">
        <f t="shared" si="23"/>
        <v>75969.000000000626</v>
      </c>
      <c r="AH37">
        <f t="shared" si="24"/>
        <v>2.0000000000000462</v>
      </c>
      <c r="AI37">
        <f t="shared" si="25"/>
        <v>-0.22436286125853805</v>
      </c>
      <c r="AJ37">
        <f t="shared" si="26"/>
        <v>-95433.580468996966</v>
      </c>
      <c r="AK37">
        <f t="shared" si="27"/>
        <v>-17327.148856116379</v>
      </c>
      <c r="AL37">
        <f t="shared" si="28"/>
        <v>14920.919571538141</v>
      </c>
      <c r="AM37" s="1">
        <f t="shared" si="29"/>
        <v>-1209.0680115495848</v>
      </c>
      <c r="AN37" s="1">
        <f t="shared" si="6"/>
        <v>-109597.1021279831</v>
      </c>
      <c r="AO37">
        <f t="shared" si="7"/>
        <v>9.1206739721078511E-2</v>
      </c>
      <c r="AP37">
        <f t="shared" si="8"/>
        <v>5.8119986410561459</v>
      </c>
    </row>
    <row r="38" spans="1:42" x14ac:dyDescent="0.25">
      <c r="A38" s="4">
        <v>46045</v>
      </c>
      <c r="B38">
        <f t="shared" ref="B38:N38" si="61">(B588-B587)*100</f>
        <v>1.0000000000000231</v>
      </c>
      <c r="C38">
        <f t="shared" si="61"/>
        <v>0</v>
      </c>
      <c r="D38">
        <f t="shared" si="61"/>
        <v>0.99999999999997868</v>
      </c>
      <c r="E38">
        <f t="shared" si="61"/>
        <v>0</v>
      </c>
      <c r="F38">
        <f t="shared" si="61"/>
        <v>0</v>
      </c>
      <c r="G38">
        <f t="shared" si="61"/>
        <v>0</v>
      </c>
      <c r="H38">
        <f t="shared" si="61"/>
        <v>0.99999999999997868</v>
      </c>
      <c r="I38">
        <f t="shared" si="61"/>
        <v>1.0000000000000231</v>
      </c>
      <c r="J38">
        <f t="shared" si="61"/>
        <v>1.0000000000000231</v>
      </c>
      <c r="K38">
        <f t="shared" si="61"/>
        <v>1.9999999999999574</v>
      </c>
      <c r="L38">
        <f t="shared" si="61"/>
        <v>1.9999999999999574</v>
      </c>
      <c r="M38">
        <f t="shared" si="61"/>
        <v>0.99999999999997868</v>
      </c>
      <c r="N38">
        <f t="shared" si="61"/>
        <v>1.9999999999999574</v>
      </c>
      <c r="O38" s="5">
        <f t="shared" si="58"/>
        <v>-4.5192806454693634E-3</v>
      </c>
      <c r="P38" s="5">
        <f t="shared" si="58"/>
        <v>1.3237920840635789E-2</v>
      </c>
      <c r="Q38" s="5">
        <f t="shared" si="58"/>
        <v>-6.8440593243048785E-3</v>
      </c>
      <c r="R38" s="5">
        <f t="shared" si="58"/>
        <v>-2.9828486425494203E-4</v>
      </c>
      <c r="S38" s="5">
        <f t="shared" si="58"/>
        <v>-6.4566525287389669E-3</v>
      </c>
      <c r="U38" s="4">
        <v>46045</v>
      </c>
      <c r="V38">
        <f t="shared" si="12"/>
        <v>-4000.0000000000923</v>
      </c>
      <c r="W38">
        <f t="shared" si="13"/>
        <v>0</v>
      </c>
      <c r="X38">
        <f t="shared" si="14"/>
        <v>4589.9999999999018</v>
      </c>
      <c r="Y38">
        <f t="shared" si="15"/>
        <v>0</v>
      </c>
      <c r="Z38">
        <f t="shared" si="16"/>
        <v>0</v>
      </c>
      <c r="AA38">
        <f t="shared" si="17"/>
        <v>0</v>
      </c>
      <c r="AB38">
        <f t="shared" si="18"/>
        <v>4563.9999999999027</v>
      </c>
      <c r="AC38">
        <f t="shared" si="19"/>
        <v>-2223.0000000000514</v>
      </c>
      <c r="AD38">
        <f t="shared" si="20"/>
        <v>-100544.00000000233</v>
      </c>
      <c r="AE38">
        <f t="shared" si="21"/>
        <v>1.9999999999999574</v>
      </c>
      <c r="AF38">
        <f t="shared" si="22"/>
        <v>100645.99999999786</v>
      </c>
      <c r="AG38">
        <f t="shared" si="23"/>
        <v>25322.999999999462</v>
      </c>
      <c r="AH38">
        <f t="shared" si="24"/>
        <v>1.9999999999999574</v>
      </c>
      <c r="AI38">
        <f t="shared" si="25"/>
        <v>-0.45192806454693635</v>
      </c>
      <c r="AJ38">
        <f t="shared" si="26"/>
        <v>-132379.20840635788</v>
      </c>
      <c r="AK38">
        <f t="shared" si="27"/>
        <v>-68440.593243048788</v>
      </c>
      <c r="AL38">
        <f t="shared" si="28"/>
        <v>7457.121606373551</v>
      </c>
      <c r="AM38" s="1">
        <f t="shared" si="29"/>
        <v>64566.525287389668</v>
      </c>
      <c r="AN38" s="1">
        <f t="shared" si="6"/>
        <v>-100436.60668371333</v>
      </c>
      <c r="AO38">
        <f t="shared" si="7"/>
        <v>-1.2595613825134815</v>
      </c>
      <c r="AP38">
        <f t="shared" si="8"/>
        <v>5.8153139154839311</v>
      </c>
    </row>
    <row r="39" spans="1:42" x14ac:dyDescent="0.25">
      <c r="A39" s="4">
        <v>46044</v>
      </c>
      <c r="B39">
        <f t="shared" ref="B39:N39" si="62">(B589-B588)*100</f>
        <v>-4.0000000000000036</v>
      </c>
      <c r="C39">
        <f t="shared" si="62"/>
        <v>-2.0000000000000018</v>
      </c>
      <c r="D39">
        <f t="shared" si="62"/>
        <v>-0.99999999999997868</v>
      </c>
      <c r="E39">
        <f t="shared" si="62"/>
        <v>0</v>
      </c>
      <c r="F39">
        <f t="shared" si="62"/>
        <v>1.0000000000000231</v>
      </c>
      <c r="G39">
        <f t="shared" si="62"/>
        <v>0</v>
      </c>
      <c r="H39">
        <f t="shared" si="62"/>
        <v>-0.99999999999997868</v>
      </c>
      <c r="I39">
        <f t="shared" si="62"/>
        <v>-2.0000000000000018</v>
      </c>
      <c r="J39">
        <f t="shared" si="62"/>
        <v>-2.0000000000000018</v>
      </c>
      <c r="K39">
        <f t="shared" si="62"/>
        <v>-0.99999999999997868</v>
      </c>
      <c r="L39">
        <f t="shared" si="62"/>
        <v>0</v>
      </c>
      <c r="M39">
        <f t="shared" si="62"/>
        <v>3.0000000000000249</v>
      </c>
      <c r="N39">
        <f t="shared" si="62"/>
        <v>3.0000000000000249</v>
      </c>
      <c r="O39" s="5">
        <f t="shared" si="58"/>
        <v>-4.6957261339516162E-3</v>
      </c>
      <c r="P39" s="5">
        <f t="shared" si="58"/>
        <v>-1.9219992518183276E-2</v>
      </c>
      <c r="Q39" s="5">
        <f t="shared" si="58"/>
        <v>-1.2818730187972372E-2</v>
      </c>
      <c r="R39" s="5">
        <f t="shared" si="58"/>
        <v>-8.9432112086811619E-4</v>
      </c>
      <c r="S39" s="5">
        <f t="shared" si="58"/>
        <v>-2.3452358928587619E-4</v>
      </c>
      <c r="U39" s="4">
        <v>46044</v>
      </c>
      <c r="V39">
        <f t="shared" si="12"/>
        <v>16000.000000000015</v>
      </c>
      <c r="W39">
        <f t="shared" si="13"/>
        <v>4446.0000000000036</v>
      </c>
      <c r="X39">
        <f t="shared" si="14"/>
        <v>-4589.9999999999018</v>
      </c>
      <c r="Y39">
        <f t="shared" si="15"/>
        <v>0</v>
      </c>
      <c r="Z39">
        <f t="shared" si="16"/>
        <v>5435.0000000001255</v>
      </c>
      <c r="AA39">
        <f t="shared" si="17"/>
        <v>0</v>
      </c>
      <c r="AB39">
        <f t="shared" si="18"/>
        <v>-4563.9999999999027</v>
      </c>
      <c r="AC39">
        <f t="shared" si="19"/>
        <v>4446.0000000000036</v>
      </c>
      <c r="AD39">
        <f t="shared" si="20"/>
        <v>201088.00000000017</v>
      </c>
      <c r="AE39">
        <f t="shared" si="21"/>
        <v>-0.99999999999997868</v>
      </c>
      <c r="AF39">
        <f t="shared" si="22"/>
        <v>0</v>
      </c>
      <c r="AG39">
        <f t="shared" si="23"/>
        <v>75969.000000000626</v>
      </c>
      <c r="AH39">
        <f t="shared" si="24"/>
        <v>3.0000000000000249</v>
      </c>
      <c r="AI39">
        <f t="shared" si="25"/>
        <v>-0.4695726133951616</v>
      </c>
      <c r="AJ39">
        <f t="shared" si="26"/>
        <v>192199.92518183275</v>
      </c>
      <c r="AK39">
        <f t="shared" si="27"/>
        <v>-128187.30187972373</v>
      </c>
      <c r="AL39">
        <f t="shared" si="28"/>
        <v>22358.028021702903</v>
      </c>
      <c r="AM39" s="1">
        <f t="shared" si="29"/>
        <v>2345.2358928587619</v>
      </c>
      <c r="AN39" s="1">
        <f t="shared" si="6"/>
        <v>386947.41764405841</v>
      </c>
      <c r="AO39">
        <f t="shared" si="7"/>
        <v>2.3649839550246297</v>
      </c>
      <c r="AP39">
        <f t="shared" si="8"/>
        <v>5.8149388978298671</v>
      </c>
    </row>
    <row r="40" spans="1:42" x14ac:dyDescent="0.25">
      <c r="A40" s="4">
        <v>46043</v>
      </c>
      <c r="B40">
        <f t="shared" ref="B40:N40" si="63">(B590-B589)*100</f>
        <v>0</v>
      </c>
      <c r="C40">
        <f t="shared" si="63"/>
        <v>-1.0000000000000231</v>
      </c>
      <c r="D40">
        <f t="shared" si="63"/>
        <v>0</v>
      </c>
      <c r="E40">
        <f t="shared" si="63"/>
        <v>-2.0000000000000018</v>
      </c>
      <c r="F40">
        <f t="shared" si="63"/>
        <v>-1.0000000000000231</v>
      </c>
      <c r="G40">
        <f t="shared" si="63"/>
        <v>0</v>
      </c>
      <c r="H40">
        <f t="shared" si="63"/>
        <v>0</v>
      </c>
      <c r="I40">
        <f t="shared" si="63"/>
        <v>2.0000000000000018</v>
      </c>
      <c r="J40">
        <f t="shared" si="63"/>
        <v>2.9999999999999805</v>
      </c>
      <c r="K40">
        <f t="shared" si="63"/>
        <v>4.0000000000000036</v>
      </c>
      <c r="L40">
        <f t="shared" si="63"/>
        <v>4.0000000000000036</v>
      </c>
      <c r="M40">
        <f t="shared" si="63"/>
        <v>4.9999999999999822</v>
      </c>
      <c r="N40">
        <f t="shared" si="63"/>
        <v>4.0000000000000036</v>
      </c>
      <c r="O40" s="5">
        <f t="shared" si="58"/>
        <v>-7.8767019154716515E-3</v>
      </c>
      <c r="P40" s="5">
        <f t="shared" si="58"/>
        <v>-2.995275655826216E-4</v>
      </c>
      <c r="Q40" s="5">
        <f t="shared" si="58"/>
        <v>9.8976501162969946E-4</v>
      </c>
      <c r="R40" s="5">
        <f t="shared" si="58"/>
        <v>-2.9792939293817766E-4</v>
      </c>
      <c r="S40" s="5">
        <f t="shared" si="58"/>
        <v>-6.9136978543707494E-3</v>
      </c>
      <c r="U40" s="4">
        <v>46043</v>
      </c>
      <c r="V40">
        <f t="shared" si="12"/>
        <v>0</v>
      </c>
      <c r="W40">
        <f t="shared" si="13"/>
        <v>2223.0000000000514</v>
      </c>
      <c r="X40">
        <f t="shared" si="14"/>
        <v>0</v>
      </c>
      <c r="Y40">
        <f t="shared" si="15"/>
        <v>6890.0000000000064</v>
      </c>
      <c r="Z40">
        <f t="shared" si="16"/>
        <v>-5435.0000000001255</v>
      </c>
      <c r="AA40">
        <f t="shared" si="17"/>
        <v>0</v>
      </c>
      <c r="AB40">
        <f t="shared" si="18"/>
        <v>0</v>
      </c>
      <c r="AC40">
        <f t="shared" si="19"/>
        <v>-4446.0000000000036</v>
      </c>
      <c r="AD40">
        <f t="shared" si="20"/>
        <v>-301631.99999999802</v>
      </c>
      <c r="AE40">
        <f t="shared" si="21"/>
        <v>4.0000000000000036</v>
      </c>
      <c r="AF40">
        <f t="shared" si="22"/>
        <v>201292.00000000017</v>
      </c>
      <c r="AG40">
        <f t="shared" si="23"/>
        <v>126614.99999999955</v>
      </c>
      <c r="AH40">
        <f t="shared" si="24"/>
        <v>4.0000000000000036</v>
      </c>
      <c r="AI40">
        <f t="shared" si="25"/>
        <v>-0.78767019154716511</v>
      </c>
      <c r="AJ40">
        <f t="shared" si="26"/>
        <v>2995.2756558262158</v>
      </c>
      <c r="AK40">
        <f t="shared" si="27"/>
        <v>9897.6501162969944</v>
      </c>
      <c r="AL40">
        <f t="shared" si="28"/>
        <v>7448.2348234544415</v>
      </c>
      <c r="AM40" s="1">
        <f t="shared" si="29"/>
        <v>69136.97854370749</v>
      </c>
      <c r="AN40" s="1">
        <f t="shared" si="6"/>
        <v>114992.35146909524</v>
      </c>
      <c r="AO40">
        <f t="shared" si="7"/>
        <v>-6.828441651372855</v>
      </c>
      <c r="AP40">
        <f t="shared" si="8"/>
        <v>6.0921580735737493</v>
      </c>
    </row>
    <row r="41" spans="1:42" x14ac:dyDescent="0.25">
      <c r="A41" s="4">
        <v>46042</v>
      </c>
      <c r="B41">
        <f t="shared" ref="B41:N41" si="64">(B591-B590)*100</f>
        <v>0</v>
      </c>
      <c r="C41">
        <f t="shared" si="64"/>
        <v>-0.99999999999997868</v>
      </c>
      <c r="D41">
        <f t="shared" si="64"/>
        <v>-3.0000000000000249</v>
      </c>
      <c r="E41">
        <f t="shared" si="64"/>
        <v>1.0000000000000231</v>
      </c>
      <c r="F41">
        <f t="shared" si="64"/>
        <v>-0.99999999999997868</v>
      </c>
      <c r="G41">
        <f t="shared" si="64"/>
        <v>2.0000000000000018</v>
      </c>
      <c r="H41">
        <f t="shared" si="64"/>
        <v>-1.0000000000000231</v>
      </c>
      <c r="I41">
        <f t="shared" si="64"/>
        <v>-1.0000000000000231</v>
      </c>
      <c r="J41">
        <f t="shared" si="64"/>
        <v>-4.0000000000000036</v>
      </c>
      <c r="K41">
        <f t="shared" si="64"/>
        <v>-6.0000000000000497</v>
      </c>
      <c r="L41">
        <f t="shared" si="64"/>
        <v>-5.9999999999999609</v>
      </c>
      <c r="M41">
        <f t="shared" si="64"/>
        <v>-8.0000000000000071</v>
      </c>
      <c r="N41">
        <f t="shared" si="64"/>
        <v>-8.0000000000000071</v>
      </c>
      <c r="O41" s="5">
        <f t="shared" si="58"/>
        <v>-1.487237644725782E-4</v>
      </c>
      <c r="P41" s="5">
        <f t="shared" si="58"/>
        <v>-3.2617588037696307E-3</v>
      </c>
      <c r="Q41" s="5">
        <f t="shared" si="58"/>
        <v>4.6130589410705563E-3</v>
      </c>
      <c r="R41" s="5">
        <f t="shared" si="58"/>
        <v>-2.9784065745115326E-4</v>
      </c>
      <c r="S41" s="5">
        <f t="shared" si="58"/>
        <v>-2.32043017873069E-3</v>
      </c>
      <c r="U41" s="4">
        <v>46042</v>
      </c>
      <c r="V41">
        <f t="shared" si="12"/>
        <v>0</v>
      </c>
      <c r="W41">
        <f t="shared" si="13"/>
        <v>2222.9999999999527</v>
      </c>
      <c r="X41">
        <f t="shared" si="14"/>
        <v>-13770.000000000115</v>
      </c>
      <c r="Y41">
        <f t="shared" si="15"/>
        <v>-3445.0000000000796</v>
      </c>
      <c r="Z41">
        <f t="shared" si="16"/>
        <v>-5434.9999999998845</v>
      </c>
      <c r="AA41">
        <f t="shared" si="17"/>
        <v>-4000.0000000000036</v>
      </c>
      <c r="AB41">
        <f t="shared" si="18"/>
        <v>-4564.0000000001055</v>
      </c>
      <c r="AC41">
        <f t="shared" si="19"/>
        <v>2223.0000000000514</v>
      </c>
      <c r="AD41">
        <f t="shared" si="20"/>
        <v>402176.00000000035</v>
      </c>
      <c r="AE41">
        <f t="shared" si="21"/>
        <v>-6.0000000000000497</v>
      </c>
      <c r="AF41">
        <f t="shared" si="22"/>
        <v>-301937.99999999802</v>
      </c>
      <c r="AG41">
        <f t="shared" si="23"/>
        <v>-202584.00000000017</v>
      </c>
      <c r="AH41">
        <f t="shared" si="24"/>
        <v>-8.0000000000000071</v>
      </c>
      <c r="AI41">
        <f t="shared" si="25"/>
        <v>-1.4872376447257819E-2</v>
      </c>
      <c r="AJ41">
        <f t="shared" si="26"/>
        <v>32617.588037696307</v>
      </c>
      <c r="AK41">
        <f t="shared" si="27"/>
        <v>46130.589410705565</v>
      </c>
      <c r="AL41">
        <f t="shared" si="28"/>
        <v>7446.0164362788319</v>
      </c>
      <c r="AM41" s="1">
        <f t="shared" si="29"/>
        <v>23204.3017873069</v>
      </c>
      <c r="AN41" s="1">
        <f t="shared" si="6"/>
        <v>-19729.519200386861</v>
      </c>
      <c r="AO41">
        <f t="shared" si="7"/>
        <v>-1.2767770164331635</v>
      </c>
      <c r="AP41">
        <f t="shared" si="8"/>
        <v>5.9632421936922775</v>
      </c>
    </row>
    <row r="42" spans="1:42" x14ac:dyDescent="0.25">
      <c r="A42" s="4">
        <v>46038</v>
      </c>
      <c r="B42">
        <f t="shared" ref="B42:N42" si="65">(B592-B591)*100</f>
        <v>0</v>
      </c>
      <c r="C42">
        <f t="shared" si="65"/>
        <v>0.99999999999997868</v>
      </c>
      <c r="D42">
        <f t="shared" si="65"/>
        <v>1.0000000000000231</v>
      </c>
      <c r="E42">
        <f t="shared" si="65"/>
        <v>0</v>
      </c>
      <c r="F42">
        <f t="shared" si="65"/>
        <v>0</v>
      </c>
      <c r="G42">
        <f t="shared" si="65"/>
        <v>-0.99999999999997868</v>
      </c>
      <c r="H42">
        <f t="shared" si="65"/>
        <v>-2.9999999999999805</v>
      </c>
      <c r="I42">
        <f t="shared" si="65"/>
        <v>-4.9999999999999822</v>
      </c>
      <c r="J42">
        <f t="shared" si="65"/>
        <v>-4.9999999999999822</v>
      </c>
      <c r="K42">
        <f t="shared" si="65"/>
        <v>-5.9999999999999609</v>
      </c>
      <c r="L42">
        <f t="shared" si="65"/>
        <v>-7.0000000000000284</v>
      </c>
      <c r="M42">
        <f t="shared" si="65"/>
        <v>-4.9999999999999822</v>
      </c>
      <c r="N42">
        <f t="shared" si="65"/>
        <v>-4.0000000000000036</v>
      </c>
      <c r="O42" s="5">
        <f t="shared" si="58"/>
        <v>-8.9187839205085654E-4</v>
      </c>
      <c r="P42" s="5">
        <f t="shared" si="58"/>
        <v>-8.1378005304745386E-4</v>
      </c>
      <c r="Q42" s="5">
        <f t="shared" si="58"/>
        <v>2.0709447171620449E-3</v>
      </c>
      <c r="R42" s="5">
        <f t="shared" si="58"/>
        <v>-5.9541531976367568E-4</v>
      </c>
      <c r="S42" s="5">
        <f t="shared" si="58"/>
        <v>-1.9265420895705804E-4</v>
      </c>
      <c r="U42" s="4">
        <v>46038</v>
      </c>
      <c r="V42">
        <f t="shared" si="12"/>
        <v>0</v>
      </c>
      <c r="W42">
        <f t="shared" si="13"/>
        <v>-2222.9999999999527</v>
      </c>
      <c r="X42">
        <f t="shared" si="14"/>
        <v>4590.0000000001064</v>
      </c>
      <c r="Y42">
        <f t="shared" si="15"/>
        <v>0</v>
      </c>
      <c r="Z42">
        <f t="shared" si="16"/>
        <v>0</v>
      </c>
      <c r="AA42">
        <f t="shared" si="17"/>
        <v>1999.9999999999573</v>
      </c>
      <c r="AB42">
        <f t="shared" si="18"/>
        <v>-13691.999999999911</v>
      </c>
      <c r="AC42">
        <f t="shared" si="19"/>
        <v>11114.99999999996</v>
      </c>
      <c r="AD42">
        <f t="shared" si="20"/>
        <v>502719.9999999982</v>
      </c>
      <c r="AE42">
        <f t="shared" si="21"/>
        <v>-5.9999999999999609</v>
      </c>
      <c r="AF42">
        <f t="shared" si="22"/>
        <v>-352261.00000000146</v>
      </c>
      <c r="AG42">
        <f t="shared" si="23"/>
        <v>-126614.99999999955</v>
      </c>
      <c r="AH42">
        <f t="shared" si="24"/>
        <v>-4.0000000000000036</v>
      </c>
      <c r="AI42">
        <f t="shared" si="25"/>
        <v>-8.9187839205085648E-2</v>
      </c>
      <c r="AJ42">
        <f t="shared" si="26"/>
        <v>8137.8005304745384</v>
      </c>
      <c r="AK42">
        <f t="shared" si="27"/>
        <v>20709.44717162045</v>
      </c>
      <c r="AL42">
        <f t="shared" si="28"/>
        <v>14885.382994091891</v>
      </c>
      <c r="AM42" s="1">
        <f t="shared" si="29"/>
        <v>1926.5420895705804</v>
      </c>
      <c r="AN42" s="1">
        <f t="shared" si="6"/>
        <v>71283.083597915611</v>
      </c>
      <c r="AO42">
        <f t="shared" si="7"/>
        <v>-0.838666901354026</v>
      </c>
      <c r="AP42">
        <f t="shared" si="8"/>
        <v>5.9635152728683911</v>
      </c>
    </row>
    <row r="43" spans="1:42" x14ac:dyDescent="0.25">
      <c r="A43" s="4">
        <v>46037</v>
      </c>
      <c r="B43">
        <f t="shared" ref="B43:N43" si="66">(B593-B592)*100</f>
        <v>-2.9999999999999805</v>
      </c>
      <c r="C43">
        <f t="shared" si="66"/>
        <v>-2.9999999999999805</v>
      </c>
      <c r="D43">
        <f t="shared" si="66"/>
        <v>-1.0000000000000231</v>
      </c>
      <c r="E43">
        <f t="shared" si="66"/>
        <v>-1.0000000000000231</v>
      </c>
      <c r="F43">
        <f t="shared" si="66"/>
        <v>-2.0000000000000018</v>
      </c>
      <c r="G43">
        <f t="shared" si="66"/>
        <v>-4.0000000000000036</v>
      </c>
      <c r="H43">
        <f t="shared" si="66"/>
        <v>-5.0000000000000266</v>
      </c>
      <c r="I43">
        <f t="shared" si="66"/>
        <v>-6.0000000000000053</v>
      </c>
      <c r="J43">
        <f t="shared" si="66"/>
        <v>-4.9999999999999822</v>
      </c>
      <c r="K43">
        <f t="shared" si="66"/>
        <v>-4.0000000000000036</v>
      </c>
      <c r="L43">
        <f t="shared" si="66"/>
        <v>-1.9999999999999574</v>
      </c>
      <c r="M43">
        <f t="shared" si="66"/>
        <v>-0.99999999999997868</v>
      </c>
      <c r="N43">
        <f t="shared" si="66"/>
        <v>0</v>
      </c>
      <c r="O43" s="5">
        <f t="shared" si="58"/>
        <v>9.4764721171831674E-4</v>
      </c>
      <c r="P43" s="5">
        <f t="shared" si="58"/>
        <v>1.8591023314626185E-3</v>
      </c>
      <c r="Q43" s="5">
        <f t="shared" si="58"/>
        <v>-1.3811062364007022E-3</v>
      </c>
      <c r="R43" s="5">
        <f t="shared" si="58"/>
        <v>0</v>
      </c>
      <c r="S43" s="5">
        <f t="shared" si="58"/>
        <v>-9.2320928672348142E-3</v>
      </c>
      <c r="U43" s="4">
        <v>46037</v>
      </c>
      <c r="V43">
        <f t="shared" si="12"/>
        <v>11999.999999999922</v>
      </c>
      <c r="W43">
        <f t="shared" si="13"/>
        <v>6668.9999999999563</v>
      </c>
      <c r="X43">
        <f t="shared" si="14"/>
        <v>-4590.0000000001064</v>
      </c>
      <c r="Y43">
        <f t="shared" si="15"/>
        <v>3445.0000000000796</v>
      </c>
      <c r="Z43">
        <f t="shared" si="16"/>
        <v>-10870.000000000009</v>
      </c>
      <c r="AA43">
        <f t="shared" si="17"/>
        <v>8000.0000000000073</v>
      </c>
      <c r="AB43">
        <f t="shared" si="18"/>
        <v>-22820.00000000012</v>
      </c>
      <c r="AC43">
        <f t="shared" si="19"/>
        <v>13338.000000000013</v>
      </c>
      <c r="AD43">
        <f t="shared" si="20"/>
        <v>502719.9999999982</v>
      </c>
      <c r="AE43">
        <f t="shared" si="21"/>
        <v>-4.0000000000000036</v>
      </c>
      <c r="AF43">
        <f t="shared" si="22"/>
        <v>-100645.99999999786</v>
      </c>
      <c r="AG43">
        <f t="shared" si="23"/>
        <v>-25322.999999999462</v>
      </c>
      <c r="AH43">
        <f t="shared" si="24"/>
        <v>0</v>
      </c>
      <c r="AI43">
        <f t="shared" si="25"/>
        <v>9.476472117183167E-2</v>
      </c>
      <c r="AJ43">
        <f t="shared" si="26"/>
        <v>-18591.023314626185</v>
      </c>
      <c r="AK43">
        <f t="shared" si="27"/>
        <v>-13811.062364007023</v>
      </c>
      <c r="AL43">
        <f t="shared" si="28"/>
        <v>0</v>
      </c>
      <c r="AM43" s="1">
        <f t="shared" si="29"/>
        <v>92320.928672348149</v>
      </c>
      <c r="AN43" s="1">
        <f t="shared" si="6"/>
        <v>441837.93775843678</v>
      </c>
      <c r="AO43">
        <f t="shared" si="7"/>
        <v>-3.4195014216401929</v>
      </c>
      <c r="AP43">
        <f t="shared" si="8"/>
        <v>5.9668200137005982</v>
      </c>
    </row>
    <row r="44" spans="1:42" x14ac:dyDescent="0.25">
      <c r="A44" s="4">
        <v>46036</v>
      </c>
      <c r="B44">
        <f t="shared" ref="B44:N44" si="67">(B594-B593)*100</f>
        <v>0</v>
      </c>
      <c r="C44">
        <f t="shared" si="67"/>
        <v>0</v>
      </c>
      <c r="D44">
        <f t="shared" si="67"/>
        <v>0</v>
      </c>
      <c r="E44">
        <f t="shared" si="67"/>
        <v>-2.0000000000000018</v>
      </c>
      <c r="F44">
        <f t="shared" si="67"/>
        <v>0.99999999999997868</v>
      </c>
      <c r="G44">
        <f t="shared" si="67"/>
        <v>0.99999999999997868</v>
      </c>
      <c r="H44">
        <f t="shared" si="67"/>
        <v>2.0000000000000018</v>
      </c>
      <c r="I44">
        <f t="shared" si="67"/>
        <v>0.99999999999997868</v>
      </c>
      <c r="J44">
        <f t="shared" si="67"/>
        <v>2.9999999999999805</v>
      </c>
      <c r="K44">
        <f t="shared" si="67"/>
        <v>3.0000000000000249</v>
      </c>
      <c r="L44">
        <f t="shared" si="67"/>
        <v>2.9999999999999361</v>
      </c>
      <c r="M44">
        <f t="shared" si="67"/>
        <v>3.9999999999999147</v>
      </c>
      <c r="N44">
        <f t="shared" si="67"/>
        <v>4.0000000000000036</v>
      </c>
      <c r="O44" s="5">
        <f t="shared" si="58"/>
        <v>5.7645999383476446E-4</v>
      </c>
      <c r="P44" s="5">
        <f t="shared" si="58"/>
        <v>1.4020103674950499E-2</v>
      </c>
      <c r="Q44" s="5">
        <f t="shared" si="58"/>
        <v>-1.977770511381345E-3</v>
      </c>
      <c r="R44" s="5">
        <f t="shared" si="58"/>
        <v>2.9766334495714942E-4</v>
      </c>
      <c r="S44" s="5">
        <f t="shared" si="58"/>
        <v>-1.6938984458234048E-3</v>
      </c>
      <c r="U44" s="4">
        <v>46036</v>
      </c>
      <c r="V44">
        <f t="shared" si="12"/>
        <v>0</v>
      </c>
      <c r="W44">
        <f t="shared" si="13"/>
        <v>0</v>
      </c>
      <c r="X44">
        <f t="shared" si="14"/>
        <v>0</v>
      </c>
      <c r="Y44">
        <f t="shared" si="15"/>
        <v>6890.0000000000064</v>
      </c>
      <c r="Z44">
        <f t="shared" si="16"/>
        <v>5434.9999999998845</v>
      </c>
      <c r="AA44">
        <f t="shared" si="17"/>
        <v>-1999.9999999999573</v>
      </c>
      <c r="AB44">
        <f t="shared" si="18"/>
        <v>9128.0000000000073</v>
      </c>
      <c r="AC44">
        <f t="shared" si="19"/>
        <v>-2222.9999999999527</v>
      </c>
      <c r="AD44">
        <f t="shared" si="20"/>
        <v>-301631.99999999802</v>
      </c>
      <c r="AE44">
        <f t="shared" si="21"/>
        <v>3.0000000000000249</v>
      </c>
      <c r="AF44">
        <f t="shared" si="22"/>
        <v>150968.99999999677</v>
      </c>
      <c r="AG44">
        <f t="shared" si="23"/>
        <v>101291.99999999785</v>
      </c>
      <c r="AH44">
        <f t="shared" si="24"/>
        <v>4.0000000000000036</v>
      </c>
      <c r="AI44">
        <f t="shared" si="25"/>
        <v>5.7645999383476448E-2</v>
      </c>
      <c r="AJ44">
        <f t="shared" si="26"/>
        <v>-140201.036749505</v>
      </c>
      <c r="AK44">
        <f t="shared" si="27"/>
        <v>-19777.705113813452</v>
      </c>
      <c r="AL44">
        <f t="shared" si="28"/>
        <v>-7441.5836239287355</v>
      </c>
      <c r="AM44" s="1">
        <f t="shared" si="29"/>
        <v>16938.984458234048</v>
      </c>
      <c r="AN44" s="1">
        <f t="shared" si="6"/>
        <v>-182615.28338301717</v>
      </c>
      <c r="AO44">
        <f t="shared" si="7"/>
        <v>-4.9575976587936754</v>
      </c>
      <c r="AP44">
        <f t="shared" si="8"/>
        <v>5.9462687159769159</v>
      </c>
    </row>
    <row r="45" spans="1:42" x14ac:dyDescent="0.25">
      <c r="A45" s="4">
        <v>46035</v>
      </c>
      <c r="B45">
        <f t="shared" ref="B45:N45" si="68">(B595-B594)*100</f>
        <v>-1.0000000000000231</v>
      </c>
      <c r="C45">
        <f t="shared" si="68"/>
        <v>-2.0000000000000018</v>
      </c>
      <c r="D45">
        <f t="shared" si="68"/>
        <v>0</v>
      </c>
      <c r="E45">
        <f t="shared" si="68"/>
        <v>0</v>
      </c>
      <c r="F45">
        <f t="shared" si="68"/>
        <v>-0.99999999999997868</v>
      </c>
      <c r="G45">
        <f t="shared" si="68"/>
        <v>2.0000000000000018</v>
      </c>
      <c r="H45">
        <f t="shared" si="68"/>
        <v>1.0000000000000231</v>
      </c>
      <c r="I45">
        <f t="shared" si="68"/>
        <v>2.0000000000000018</v>
      </c>
      <c r="J45">
        <f t="shared" si="68"/>
        <v>2.0000000000000018</v>
      </c>
      <c r="K45">
        <f t="shared" si="68"/>
        <v>2.0000000000000018</v>
      </c>
      <c r="L45">
        <f t="shared" si="68"/>
        <v>1.0000000000000675</v>
      </c>
      <c r="M45">
        <f t="shared" si="68"/>
        <v>1.0000000000000675</v>
      </c>
      <c r="N45">
        <f t="shared" si="68"/>
        <v>0</v>
      </c>
      <c r="O45" s="5">
        <f t="shared" ref="O45:S54" si="69">LN(O594/O595)</f>
        <v>7.4406145982036645E-5</v>
      </c>
      <c r="P45" s="5">
        <f t="shared" si="69"/>
        <v>-2.4088368547466175E-2</v>
      </c>
      <c r="Q45" s="5">
        <f t="shared" si="69"/>
        <v>-1.1037305030066325E-2</v>
      </c>
      <c r="R45" s="5">
        <f t="shared" si="69"/>
        <v>0</v>
      </c>
      <c r="S45" s="5">
        <f t="shared" si="69"/>
        <v>-4.1943320649282618E-3</v>
      </c>
      <c r="U45" s="4">
        <v>46035</v>
      </c>
      <c r="V45">
        <f t="shared" si="12"/>
        <v>4000.0000000000923</v>
      </c>
      <c r="W45">
        <f t="shared" si="13"/>
        <v>4446.0000000000036</v>
      </c>
      <c r="X45">
        <f t="shared" si="14"/>
        <v>0</v>
      </c>
      <c r="Y45">
        <f t="shared" si="15"/>
        <v>0</v>
      </c>
      <c r="Z45">
        <f t="shared" si="16"/>
        <v>-5434.9999999998845</v>
      </c>
      <c r="AA45">
        <f t="shared" si="17"/>
        <v>-4000.0000000000036</v>
      </c>
      <c r="AB45">
        <f t="shared" si="18"/>
        <v>4564.0000000001055</v>
      </c>
      <c r="AC45">
        <f t="shared" si="19"/>
        <v>-4446.0000000000036</v>
      </c>
      <c r="AD45">
        <f t="shared" si="20"/>
        <v>-201088.00000000017</v>
      </c>
      <c r="AE45">
        <f t="shared" si="21"/>
        <v>2.0000000000000018</v>
      </c>
      <c r="AF45">
        <f t="shared" si="22"/>
        <v>50323.000000003398</v>
      </c>
      <c r="AG45">
        <f t="shared" si="23"/>
        <v>25323.00000000171</v>
      </c>
      <c r="AH45">
        <f t="shared" si="24"/>
        <v>0</v>
      </c>
      <c r="AI45">
        <f t="shared" si="25"/>
        <v>7.4406145982036645E-3</v>
      </c>
      <c r="AJ45">
        <f t="shared" si="26"/>
        <v>240883.68547466176</v>
      </c>
      <c r="AK45">
        <f t="shared" si="27"/>
        <v>-110373.05030066325</v>
      </c>
      <c r="AL45">
        <f t="shared" si="28"/>
        <v>0</v>
      </c>
      <c r="AM45" s="1">
        <f t="shared" si="29"/>
        <v>41943.320649282621</v>
      </c>
      <c r="AN45" s="1">
        <f t="shared" si="6"/>
        <v>46142.963263901001</v>
      </c>
      <c r="AO45">
        <f t="shared" si="7"/>
        <v>-0.6132664237508898</v>
      </c>
      <c r="AP45">
        <f t="shared" si="8"/>
        <v>5.884334725110417</v>
      </c>
    </row>
    <row r="46" spans="1:42" x14ac:dyDescent="0.25">
      <c r="A46" s="4">
        <v>46034</v>
      </c>
      <c r="B46">
        <f t="shared" ref="B46:N46" si="70">(B596-B595)*100</f>
        <v>-0.99999999999997868</v>
      </c>
      <c r="C46">
        <f t="shared" si="70"/>
        <v>-1.0000000000000231</v>
      </c>
      <c r="D46">
        <f t="shared" si="70"/>
        <v>-4.9999999999999822</v>
      </c>
      <c r="E46">
        <f t="shared" si="70"/>
        <v>-0.99999999999997868</v>
      </c>
      <c r="F46">
        <f t="shared" si="70"/>
        <v>-1.0000000000000231</v>
      </c>
      <c r="G46">
        <f t="shared" si="70"/>
        <v>-0.99999999999997868</v>
      </c>
      <c r="H46">
        <f t="shared" si="70"/>
        <v>0</v>
      </c>
      <c r="I46">
        <f t="shared" si="70"/>
        <v>0</v>
      </c>
      <c r="J46">
        <f t="shared" si="70"/>
        <v>-2.0000000000000018</v>
      </c>
      <c r="K46">
        <f t="shared" si="70"/>
        <v>-2.0000000000000018</v>
      </c>
      <c r="L46">
        <f t="shared" si="70"/>
        <v>-1.0000000000000675</v>
      </c>
      <c r="M46">
        <f t="shared" si="70"/>
        <v>-2.0000000000000462</v>
      </c>
      <c r="N46">
        <f t="shared" si="70"/>
        <v>-0.99999999999997868</v>
      </c>
      <c r="O46" s="5">
        <f t="shared" si="69"/>
        <v>9.8640444993783284E-4</v>
      </c>
      <c r="P46" s="5">
        <f t="shared" si="69"/>
        <v>0</v>
      </c>
      <c r="Q46" s="5">
        <f t="shared" si="69"/>
        <v>-1.5063352602529903E-3</v>
      </c>
      <c r="R46" s="5">
        <f t="shared" si="69"/>
        <v>-5.9523811281300785E-4</v>
      </c>
      <c r="S46" s="5">
        <f t="shared" si="69"/>
        <v>-3.609790452178868E-3</v>
      </c>
      <c r="U46" s="4">
        <v>46034</v>
      </c>
      <c r="V46">
        <f t="shared" si="12"/>
        <v>3999.9999999999145</v>
      </c>
      <c r="W46">
        <f t="shared" si="13"/>
        <v>2223.0000000000514</v>
      </c>
      <c r="X46">
        <f t="shared" si="14"/>
        <v>-22949.99999999992</v>
      </c>
      <c r="Y46">
        <f t="shared" si="15"/>
        <v>3444.9999999999268</v>
      </c>
      <c r="Z46">
        <f t="shared" si="16"/>
        <v>-5435.0000000001255</v>
      </c>
      <c r="AA46">
        <f t="shared" si="17"/>
        <v>1999.9999999999573</v>
      </c>
      <c r="AB46">
        <f t="shared" si="18"/>
        <v>0</v>
      </c>
      <c r="AC46">
        <f t="shared" si="19"/>
        <v>0</v>
      </c>
      <c r="AD46">
        <f t="shared" si="20"/>
        <v>201088.00000000017</v>
      </c>
      <c r="AE46">
        <f t="shared" si="21"/>
        <v>-2.0000000000000018</v>
      </c>
      <c r="AF46">
        <f t="shared" si="22"/>
        <v>-50323.000000003398</v>
      </c>
      <c r="AG46">
        <f t="shared" si="23"/>
        <v>-50646.000000001171</v>
      </c>
      <c r="AH46">
        <f t="shared" si="24"/>
        <v>-0.99999999999997868</v>
      </c>
      <c r="AI46">
        <f t="shared" si="25"/>
        <v>9.8640444993783286E-2</v>
      </c>
      <c r="AJ46">
        <f t="shared" si="26"/>
        <v>0</v>
      </c>
      <c r="AK46">
        <f t="shared" si="27"/>
        <v>-15063.352602529903</v>
      </c>
      <c r="AL46">
        <f t="shared" si="28"/>
        <v>14880.952820325196</v>
      </c>
      <c r="AM46" s="1">
        <f t="shared" si="29"/>
        <v>36097.904521788681</v>
      </c>
      <c r="AN46" s="1">
        <f t="shared" si="6"/>
        <v>119314.60338002437</v>
      </c>
      <c r="AO46">
        <f t="shared" si="7"/>
        <v>-0.47698713969509809</v>
      </c>
      <c r="AP46">
        <f t="shared" si="8"/>
        <v>5.8881582416000171</v>
      </c>
    </row>
    <row r="47" spans="1:42" x14ac:dyDescent="0.25">
      <c r="A47" s="4">
        <v>46031</v>
      </c>
      <c r="B47">
        <f t="shared" ref="B47:N47" si="71">(B597-B596)*100</f>
        <v>0</v>
      </c>
      <c r="C47">
        <f t="shared" si="71"/>
        <v>0</v>
      </c>
      <c r="D47">
        <f t="shared" si="71"/>
        <v>0</v>
      </c>
      <c r="E47">
        <f t="shared" si="71"/>
        <v>-2.0000000000000018</v>
      </c>
      <c r="F47">
        <f t="shared" si="71"/>
        <v>-0.99999999999997868</v>
      </c>
      <c r="G47">
        <f t="shared" si="71"/>
        <v>-4.0000000000000036</v>
      </c>
      <c r="H47">
        <f t="shared" si="71"/>
        <v>-4.9999999999999822</v>
      </c>
      <c r="I47">
        <f t="shared" si="71"/>
        <v>-2.9999999999999805</v>
      </c>
      <c r="J47">
        <f t="shared" si="71"/>
        <v>-0.99999999999997868</v>
      </c>
      <c r="K47">
        <f t="shared" si="71"/>
        <v>0</v>
      </c>
      <c r="L47">
        <f t="shared" si="71"/>
        <v>1.0000000000000675</v>
      </c>
      <c r="M47">
        <f t="shared" si="71"/>
        <v>3.0000000000000249</v>
      </c>
      <c r="N47">
        <f t="shared" si="71"/>
        <v>2.9999999999999361</v>
      </c>
      <c r="O47" s="5">
        <f t="shared" si="69"/>
        <v>-2.8448992328351948E-3</v>
      </c>
      <c r="P47" s="5">
        <f t="shared" si="69"/>
        <v>1.7415112478766524E-3</v>
      </c>
      <c r="Q47" s="5">
        <f t="shared" si="69"/>
        <v>1.7408581468528078E-3</v>
      </c>
      <c r="R47" s="5">
        <f t="shared" si="69"/>
        <v>-2.9748624345523331E-4</v>
      </c>
      <c r="S47" s="5">
        <f t="shared" si="69"/>
        <v>-5.5604673031118885E-5</v>
      </c>
      <c r="U47" s="4">
        <v>46031</v>
      </c>
      <c r="V47">
        <f t="shared" si="12"/>
        <v>0</v>
      </c>
      <c r="W47">
        <f t="shared" si="13"/>
        <v>0</v>
      </c>
      <c r="X47">
        <f t="shared" si="14"/>
        <v>0</v>
      </c>
      <c r="Y47">
        <f t="shared" si="15"/>
        <v>6890.0000000000064</v>
      </c>
      <c r="Z47">
        <f t="shared" si="16"/>
        <v>-5434.9999999998845</v>
      </c>
      <c r="AA47">
        <f t="shared" si="17"/>
        <v>8000.0000000000073</v>
      </c>
      <c r="AB47">
        <f t="shared" si="18"/>
        <v>-22819.99999999992</v>
      </c>
      <c r="AC47">
        <f t="shared" si="19"/>
        <v>6668.9999999999563</v>
      </c>
      <c r="AD47">
        <f t="shared" si="20"/>
        <v>100543.99999999786</v>
      </c>
      <c r="AE47">
        <f t="shared" si="21"/>
        <v>0</v>
      </c>
      <c r="AF47">
        <f t="shared" si="22"/>
        <v>50323.000000003398</v>
      </c>
      <c r="AG47">
        <f t="shared" si="23"/>
        <v>75969.000000000626</v>
      </c>
      <c r="AH47">
        <f t="shared" si="24"/>
        <v>2.9999999999999361</v>
      </c>
      <c r="AI47">
        <f t="shared" si="25"/>
        <v>-0.28448992328351946</v>
      </c>
      <c r="AJ47">
        <f t="shared" si="26"/>
        <v>-17415.112478766525</v>
      </c>
      <c r="AK47">
        <f t="shared" si="27"/>
        <v>17408.581468528078</v>
      </c>
      <c r="AL47">
        <f t="shared" si="28"/>
        <v>7437.1560863808327</v>
      </c>
      <c r="AM47" s="1">
        <f t="shared" si="29"/>
        <v>556.04673031118887</v>
      </c>
      <c r="AN47" s="1">
        <f t="shared" si="6"/>
        <v>228129.38731653232</v>
      </c>
      <c r="AO47">
        <f t="shared" si="7"/>
        <v>0.24552635593941674</v>
      </c>
      <c r="AP47">
        <f t="shared" si="8"/>
        <v>5.8911558263480428</v>
      </c>
    </row>
    <row r="48" spans="1:42" x14ac:dyDescent="0.25">
      <c r="A48" s="4">
        <v>46030</v>
      </c>
      <c r="B48">
        <f t="shared" ref="B48:N48" si="72">(B598-B597)*100</f>
        <v>0</v>
      </c>
      <c r="C48">
        <f t="shared" si="72"/>
        <v>-2.9999999999999805</v>
      </c>
      <c r="D48">
        <f t="shared" si="72"/>
        <v>0</v>
      </c>
      <c r="E48">
        <f t="shared" si="72"/>
        <v>0</v>
      </c>
      <c r="F48">
        <f t="shared" si="72"/>
        <v>0</v>
      </c>
      <c r="G48">
        <f t="shared" si="72"/>
        <v>0</v>
      </c>
      <c r="H48">
        <f t="shared" si="72"/>
        <v>-2.0000000000000018</v>
      </c>
      <c r="I48">
        <f t="shared" si="72"/>
        <v>-3.0000000000000249</v>
      </c>
      <c r="J48">
        <f t="shared" si="72"/>
        <v>-4.0000000000000036</v>
      </c>
      <c r="K48">
        <f t="shared" si="72"/>
        <v>-4.0000000000000036</v>
      </c>
      <c r="L48">
        <f t="shared" si="72"/>
        <v>-4.0000000000000036</v>
      </c>
      <c r="M48">
        <f t="shared" si="72"/>
        <v>-3.0000000000000249</v>
      </c>
      <c r="N48">
        <f t="shared" si="72"/>
        <v>-2.9999999999999361</v>
      </c>
      <c r="O48" s="5">
        <f t="shared" si="69"/>
        <v>-3.7128483542335662E-4</v>
      </c>
      <c r="P48" s="5">
        <f t="shared" si="69"/>
        <v>-8.068270864374269E-3</v>
      </c>
      <c r="Q48" s="5">
        <f t="shared" si="69"/>
        <v>-1.6628076258260161E-3</v>
      </c>
      <c r="R48" s="5">
        <f t="shared" si="69"/>
        <v>0</v>
      </c>
      <c r="S48" s="5">
        <f t="shared" si="69"/>
        <v>1.0013574792538237E-3</v>
      </c>
      <c r="U48" s="4">
        <v>46030</v>
      </c>
      <c r="V48">
        <f t="shared" si="12"/>
        <v>0</v>
      </c>
      <c r="W48">
        <f t="shared" si="13"/>
        <v>6668.9999999999563</v>
      </c>
      <c r="X48">
        <f t="shared" si="14"/>
        <v>0</v>
      </c>
      <c r="Y48">
        <f t="shared" si="15"/>
        <v>0</v>
      </c>
      <c r="Z48">
        <f t="shared" si="16"/>
        <v>0</v>
      </c>
      <c r="AA48">
        <f t="shared" si="17"/>
        <v>0</v>
      </c>
      <c r="AB48">
        <f t="shared" si="18"/>
        <v>-9128.0000000000073</v>
      </c>
      <c r="AC48">
        <f t="shared" si="19"/>
        <v>6669.0000000000555</v>
      </c>
      <c r="AD48">
        <f t="shared" si="20"/>
        <v>402176.00000000035</v>
      </c>
      <c r="AE48">
        <f t="shared" si="21"/>
        <v>-4.0000000000000036</v>
      </c>
      <c r="AF48">
        <f t="shared" si="22"/>
        <v>-201292.00000000017</v>
      </c>
      <c r="AG48">
        <f t="shared" si="23"/>
        <v>-75969.000000000626</v>
      </c>
      <c r="AH48">
        <f t="shared" si="24"/>
        <v>-2.9999999999999361</v>
      </c>
      <c r="AI48">
        <f t="shared" si="25"/>
        <v>-3.7128483542335659E-2</v>
      </c>
      <c r="AJ48">
        <f t="shared" si="26"/>
        <v>80682.708643742691</v>
      </c>
      <c r="AK48">
        <f t="shared" si="27"/>
        <v>-16628.07625826016</v>
      </c>
      <c r="AL48">
        <f t="shared" si="28"/>
        <v>0</v>
      </c>
      <c r="AM48" s="1">
        <f t="shared" si="29"/>
        <v>-10013.574792538237</v>
      </c>
      <c r="AN48" s="1">
        <f t="shared" si="6"/>
        <v>183159.02046446031</v>
      </c>
      <c r="AO48">
        <f t="shared" si="7"/>
        <v>-2.8685956351973139</v>
      </c>
      <c r="AP48">
        <f t="shared" si="8"/>
        <v>6.6663824317619786</v>
      </c>
    </row>
    <row r="49" spans="1:42" x14ac:dyDescent="0.25">
      <c r="A49" s="4">
        <v>46029</v>
      </c>
      <c r="B49">
        <f t="shared" ref="B49:N49" si="73">(B599-B598)*100</f>
        <v>0</v>
      </c>
      <c r="C49">
        <f t="shared" si="73"/>
        <v>0.99999999999997868</v>
      </c>
      <c r="D49">
        <f t="shared" si="73"/>
        <v>0.99999999999997868</v>
      </c>
      <c r="E49">
        <f t="shared" si="73"/>
        <v>-2.0000000000000018</v>
      </c>
      <c r="F49">
        <f t="shared" si="73"/>
        <v>0</v>
      </c>
      <c r="G49">
        <f t="shared" si="73"/>
        <v>0</v>
      </c>
      <c r="H49">
        <f t="shared" si="73"/>
        <v>0</v>
      </c>
      <c r="I49">
        <f t="shared" si="73"/>
        <v>1.0000000000000231</v>
      </c>
      <c r="J49">
        <f t="shared" si="73"/>
        <v>2.0000000000000018</v>
      </c>
      <c r="K49">
        <f t="shared" si="73"/>
        <v>2.0000000000000018</v>
      </c>
      <c r="L49">
        <f t="shared" si="73"/>
        <v>2.9999999999999361</v>
      </c>
      <c r="M49">
        <f t="shared" si="73"/>
        <v>4.0000000000000036</v>
      </c>
      <c r="N49">
        <f t="shared" si="73"/>
        <v>4.0000000000000036</v>
      </c>
      <c r="O49" s="5">
        <f t="shared" si="69"/>
        <v>1.5417339198208885E-3</v>
      </c>
      <c r="P49" s="5">
        <f t="shared" si="69"/>
        <v>6.7060268820752925E-3</v>
      </c>
      <c r="Q49" s="5">
        <f t="shared" si="69"/>
        <v>-9.2344548425317384E-3</v>
      </c>
      <c r="R49" s="5">
        <f t="shared" si="69"/>
        <v>0</v>
      </c>
      <c r="S49" s="5">
        <f t="shared" si="69"/>
        <v>-3.1720503675928202E-4</v>
      </c>
      <c r="U49" s="4">
        <v>46029</v>
      </c>
      <c r="V49">
        <f t="shared" si="12"/>
        <v>0</v>
      </c>
      <c r="W49">
        <f t="shared" si="13"/>
        <v>-2222.9999999999527</v>
      </c>
      <c r="X49">
        <f t="shared" si="14"/>
        <v>4589.9999999999018</v>
      </c>
      <c r="Y49">
        <f t="shared" si="15"/>
        <v>6890.0000000000064</v>
      </c>
      <c r="Z49">
        <f t="shared" si="16"/>
        <v>0</v>
      </c>
      <c r="AA49">
        <f t="shared" si="17"/>
        <v>0</v>
      </c>
      <c r="AB49">
        <f t="shared" si="18"/>
        <v>0</v>
      </c>
      <c r="AC49">
        <f t="shared" si="19"/>
        <v>-2223.0000000000514</v>
      </c>
      <c r="AD49">
        <f t="shared" si="20"/>
        <v>-201088.00000000017</v>
      </c>
      <c r="AE49">
        <f t="shared" si="21"/>
        <v>2.0000000000000018</v>
      </c>
      <c r="AF49">
        <f t="shared" si="22"/>
        <v>150968.99999999677</v>
      </c>
      <c r="AG49">
        <f t="shared" si="23"/>
        <v>101292.00000000009</v>
      </c>
      <c r="AH49">
        <f t="shared" si="24"/>
        <v>4.0000000000000036</v>
      </c>
      <c r="AI49">
        <f t="shared" si="25"/>
        <v>0.15417339198208885</v>
      </c>
      <c r="AJ49">
        <f t="shared" si="26"/>
        <v>-67060.268820752928</v>
      </c>
      <c r="AK49">
        <f t="shared" si="27"/>
        <v>-92344.548425317378</v>
      </c>
      <c r="AL49">
        <f t="shared" si="28"/>
        <v>0</v>
      </c>
      <c r="AM49" s="1">
        <f t="shared" si="29"/>
        <v>3172.0503675928203</v>
      </c>
      <c r="AN49" s="1">
        <f t="shared" si="6"/>
        <v>-98019.612705088904</v>
      </c>
      <c r="AO49">
        <f t="shared" si="7"/>
        <v>-2.3959938320306535</v>
      </c>
      <c r="AP49">
        <f t="shared" si="8"/>
        <v>6.6398064727931789</v>
      </c>
    </row>
    <row r="50" spans="1:42" x14ac:dyDescent="0.25">
      <c r="A50" s="4">
        <v>46028</v>
      </c>
      <c r="B50">
        <f t="shared" ref="B50:N50" si="74">(B600-B599)*100</f>
        <v>0.99999999999997868</v>
      </c>
      <c r="C50">
        <f t="shared" si="74"/>
        <v>3.0000000000000249</v>
      </c>
      <c r="D50">
        <f t="shared" si="74"/>
        <v>1.0000000000000231</v>
      </c>
      <c r="E50">
        <f t="shared" si="74"/>
        <v>2.9999999999999805</v>
      </c>
      <c r="F50">
        <f t="shared" si="74"/>
        <v>0.99999999999997868</v>
      </c>
      <c r="G50">
        <f t="shared" si="74"/>
        <v>-0.99999999999997868</v>
      </c>
      <c r="H50">
        <f t="shared" si="74"/>
        <v>-1.0000000000000231</v>
      </c>
      <c r="I50">
        <f t="shared" si="74"/>
        <v>-1.0000000000000231</v>
      </c>
      <c r="J50">
        <f t="shared" si="74"/>
        <v>-1.0000000000000231</v>
      </c>
      <c r="K50">
        <f t="shared" si="74"/>
        <v>-1.0000000000000231</v>
      </c>
      <c r="L50">
        <f t="shared" si="74"/>
        <v>-0.99999999999997868</v>
      </c>
      <c r="M50">
        <f t="shared" si="74"/>
        <v>-0.99999999999997868</v>
      </c>
      <c r="N50">
        <f t="shared" si="74"/>
        <v>-1.0000000000000675</v>
      </c>
      <c r="O50" s="5">
        <f t="shared" si="69"/>
        <v>-1.0245877577189021E-2</v>
      </c>
      <c r="P50" s="5">
        <f t="shared" si="69"/>
        <v>-5.368949533524142E-3</v>
      </c>
      <c r="Q50" s="5">
        <f t="shared" si="69"/>
        <v>3.9741236459326246E-3</v>
      </c>
      <c r="R50" s="5">
        <f t="shared" si="69"/>
        <v>0</v>
      </c>
      <c r="S50" s="5">
        <f t="shared" si="69"/>
        <v>3.6790774693461208E-3</v>
      </c>
      <c r="U50" s="4">
        <v>46028</v>
      </c>
      <c r="V50">
        <f t="shared" si="12"/>
        <v>-3999.9999999999145</v>
      </c>
      <c r="W50">
        <f t="shared" si="13"/>
        <v>-6669.0000000000555</v>
      </c>
      <c r="X50">
        <f t="shared" si="14"/>
        <v>4590.0000000001064</v>
      </c>
      <c r="Y50">
        <f t="shared" si="15"/>
        <v>-10334.999999999933</v>
      </c>
      <c r="Z50">
        <f t="shared" si="16"/>
        <v>5434.9999999998845</v>
      </c>
      <c r="AA50">
        <f t="shared" si="17"/>
        <v>1999.9999999999573</v>
      </c>
      <c r="AB50">
        <f t="shared" si="18"/>
        <v>-4564.0000000001055</v>
      </c>
      <c r="AC50">
        <f t="shared" si="19"/>
        <v>2223.0000000000514</v>
      </c>
      <c r="AD50">
        <f t="shared" si="20"/>
        <v>100544.00000000233</v>
      </c>
      <c r="AE50">
        <f t="shared" si="21"/>
        <v>-1.0000000000000231</v>
      </c>
      <c r="AF50">
        <f t="shared" si="22"/>
        <v>-50322.99999999893</v>
      </c>
      <c r="AG50">
        <f t="shared" si="23"/>
        <v>-25322.999999999462</v>
      </c>
      <c r="AH50">
        <f t="shared" si="24"/>
        <v>-1.0000000000000675</v>
      </c>
      <c r="AI50">
        <f t="shared" si="25"/>
        <v>-1.0245877577189022</v>
      </c>
      <c r="AJ50">
        <f t="shared" si="26"/>
        <v>53689.495335241423</v>
      </c>
      <c r="AK50">
        <f t="shared" si="27"/>
        <v>39741.236459326246</v>
      </c>
      <c r="AL50">
        <f t="shared" si="28"/>
        <v>0</v>
      </c>
      <c r="AM50" s="1">
        <f t="shared" si="29"/>
        <v>-36790.774693461208</v>
      </c>
      <c r="AN50" s="1">
        <f t="shared" si="6"/>
        <v>70214.932513352658</v>
      </c>
      <c r="AO50">
        <f t="shared" si="7"/>
        <v>-1.6458403023158994</v>
      </c>
      <c r="AP50">
        <f t="shared" si="8"/>
        <v>6.6197449461432134</v>
      </c>
    </row>
    <row r="51" spans="1:42" x14ac:dyDescent="0.25">
      <c r="A51" s="4">
        <v>46027</v>
      </c>
      <c r="B51">
        <f t="shared" ref="B51:N51" si="75">(B601-B600)*100</f>
        <v>1.0000000000000231</v>
      </c>
      <c r="C51">
        <f t="shared" si="75"/>
        <v>2.0000000000000018</v>
      </c>
      <c r="D51">
        <f t="shared" si="75"/>
        <v>0.99999999999997868</v>
      </c>
      <c r="E51">
        <f t="shared" si="75"/>
        <v>1.0000000000000231</v>
      </c>
      <c r="F51">
        <f t="shared" si="75"/>
        <v>1.0000000000000231</v>
      </c>
      <c r="G51">
        <f t="shared" si="75"/>
        <v>0</v>
      </c>
      <c r="H51">
        <f t="shared" si="75"/>
        <v>1.0000000000000231</v>
      </c>
      <c r="I51">
        <f t="shared" si="75"/>
        <v>2.0000000000000018</v>
      </c>
      <c r="J51">
        <f t="shared" si="75"/>
        <v>3.0000000000000249</v>
      </c>
      <c r="K51">
        <f t="shared" si="75"/>
        <v>3.0000000000000249</v>
      </c>
      <c r="L51">
        <f t="shared" si="75"/>
        <v>2.0000000000000462</v>
      </c>
      <c r="M51">
        <f t="shared" si="75"/>
        <v>1.9999999999999574</v>
      </c>
      <c r="N51">
        <f t="shared" si="75"/>
        <v>1.0000000000000675</v>
      </c>
      <c r="O51" s="5">
        <f t="shared" si="69"/>
        <v>-3.8632413074636958E-4</v>
      </c>
      <c r="P51" s="5">
        <f t="shared" si="69"/>
        <v>-9.3222142678641776E-3</v>
      </c>
      <c r="Q51" s="5">
        <f t="shared" si="69"/>
        <v>-6.1702652802590853E-3</v>
      </c>
      <c r="R51" s="5">
        <f t="shared" si="69"/>
        <v>-2.9739777170862368E-4</v>
      </c>
      <c r="S51" s="5">
        <f t="shared" si="69"/>
        <v>-4.410882108336477E-4</v>
      </c>
      <c r="U51" s="4">
        <v>46027</v>
      </c>
      <c r="V51">
        <f t="shared" si="12"/>
        <v>-4000.0000000000923</v>
      </c>
      <c r="W51">
        <f t="shared" si="13"/>
        <v>-4446.0000000000036</v>
      </c>
      <c r="X51">
        <f t="shared" si="14"/>
        <v>4589.9999999999018</v>
      </c>
      <c r="Y51">
        <f t="shared" si="15"/>
        <v>-3445.0000000000796</v>
      </c>
      <c r="Z51">
        <f t="shared" si="16"/>
        <v>5435.0000000001255</v>
      </c>
      <c r="AA51">
        <f t="shared" si="17"/>
        <v>0</v>
      </c>
      <c r="AB51">
        <f t="shared" si="18"/>
        <v>4564.0000000001055</v>
      </c>
      <c r="AC51">
        <f t="shared" si="19"/>
        <v>-4446.0000000000036</v>
      </c>
      <c r="AD51">
        <f t="shared" si="20"/>
        <v>-301632.0000000025</v>
      </c>
      <c r="AE51">
        <f t="shared" si="21"/>
        <v>3.0000000000000249</v>
      </c>
      <c r="AF51">
        <f t="shared" si="22"/>
        <v>100646.00000000233</v>
      </c>
      <c r="AG51">
        <f t="shared" si="23"/>
        <v>50645.999999998923</v>
      </c>
      <c r="AH51">
        <f t="shared" si="24"/>
        <v>1.0000000000000675</v>
      </c>
      <c r="AI51">
        <f t="shared" si="25"/>
        <v>-3.8632413074636961E-2</v>
      </c>
      <c r="AJ51">
        <f t="shared" si="26"/>
        <v>93222.142678641772</v>
      </c>
      <c r="AK51">
        <f t="shared" si="27"/>
        <v>-61702.652802590856</v>
      </c>
      <c r="AL51">
        <f t="shared" si="28"/>
        <v>7434.9442927155924</v>
      </c>
      <c r="AM51" s="1">
        <f t="shared" si="29"/>
        <v>4410.8821083364774</v>
      </c>
      <c r="AN51" s="1">
        <f t="shared" si="6"/>
        <v>-108718.72235531142</v>
      </c>
      <c r="AO51">
        <f t="shared" si="7"/>
        <v>-4.9705297282592689</v>
      </c>
      <c r="AP51">
        <f t="shared" si="8"/>
        <v>6.6319125997171069</v>
      </c>
    </row>
    <row r="52" spans="1:42" x14ac:dyDescent="0.25">
      <c r="A52" s="4">
        <v>46024</v>
      </c>
      <c r="B52">
        <f t="shared" ref="B52:N52" si="76">(B602-B601)*100</f>
        <v>2.0000000000000018</v>
      </c>
      <c r="C52">
        <f t="shared" si="76"/>
        <v>0.99999999999997868</v>
      </c>
      <c r="D52">
        <f t="shared" si="76"/>
        <v>2.0000000000000018</v>
      </c>
      <c r="E52">
        <f t="shared" si="76"/>
        <v>0.99999999999997868</v>
      </c>
      <c r="F52">
        <f t="shared" si="76"/>
        <v>0.99999999999997868</v>
      </c>
      <c r="G52">
        <f t="shared" si="76"/>
        <v>0.99999999999997868</v>
      </c>
      <c r="H52">
        <f t="shared" si="76"/>
        <v>0</v>
      </c>
      <c r="I52">
        <f t="shared" si="76"/>
        <v>0</v>
      </c>
      <c r="J52">
        <f t="shared" si="76"/>
        <v>-1.0000000000000231</v>
      </c>
      <c r="K52">
        <f t="shared" si="76"/>
        <v>-1.0000000000000231</v>
      </c>
      <c r="L52">
        <f t="shared" si="76"/>
        <v>-1.0000000000000675</v>
      </c>
      <c r="M52">
        <f t="shared" si="76"/>
        <v>-1.9999999999999574</v>
      </c>
      <c r="N52">
        <f t="shared" si="76"/>
        <v>-2.0000000000000462</v>
      </c>
      <c r="O52" s="5">
        <f t="shared" si="69"/>
        <v>-1.1920792047452859E-2</v>
      </c>
      <c r="P52" s="5">
        <f t="shared" si="69"/>
        <v>-2.1186448602852144E-3</v>
      </c>
      <c r="Q52" s="5">
        <f t="shared" si="69"/>
        <v>-4.4546933113126415E-3</v>
      </c>
      <c r="R52" s="5">
        <f t="shared" si="69"/>
        <v>0</v>
      </c>
      <c r="S52" s="5">
        <f t="shared" si="69"/>
        <v>-5.2224091613658902E-3</v>
      </c>
      <c r="U52" s="4">
        <v>46024</v>
      </c>
      <c r="V52">
        <f t="shared" si="12"/>
        <v>-8000.0000000000073</v>
      </c>
      <c r="W52">
        <f t="shared" si="13"/>
        <v>-2222.9999999999527</v>
      </c>
      <c r="X52">
        <f t="shared" si="14"/>
        <v>9180.0000000000073</v>
      </c>
      <c r="Y52">
        <f t="shared" si="15"/>
        <v>-3444.9999999999268</v>
      </c>
      <c r="Z52">
        <f t="shared" si="16"/>
        <v>5434.9999999998845</v>
      </c>
      <c r="AA52">
        <f t="shared" si="17"/>
        <v>-1999.9999999999573</v>
      </c>
      <c r="AB52">
        <f t="shared" si="18"/>
        <v>0</v>
      </c>
      <c r="AC52">
        <f t="shared" si="19"/>
        <v>0</v>
      </c>
      <c r="AD52">
        <f t="shared" si="20"/>
        <v>100544.00000000233</v>
      </c>
      <c r="AE52">
        <f t="shared" si="21"/>
        <v>-1.0000000000000231</v>
      </c>
      <c r="AF52">
        <f t="shared" si="22"/>
        <v>-50323.000000003398</v>
      </c>
      <c r="AG52">
        <f t="shared" si="23"/>
        <v>-50645.999999998923</v>
      </c>
      <c r="AH52">
        <f t="shared" si="24"/>
        <v>-2.0000000000000462</v>
      </c>
      <c r="AI52">
        <f t="shared" si="25"/>
        <v>-1.1920792047452859</v>
      </c>
      <c r="AJ52">
        <f t="shared" si="26"/>
        <v>21186.448602852142</v>
      </c>
      <c r="AK52">
        <f t="shared" si="27"/>
        <v>-44546.933113126412</v>
      </c>
      <c r="AL52">
        <f t="shared" si="28"/>
        <v>0</v>
      </c>
      <c r="AM52" s="1">
        <f t="shared" si="29"/>
        <v>52224.0916136589</v>
      </c>
      <c r="AN52" s="1">
        <f t="shared" si="6"/>
        <v>27381.415024179936</v>
      </c>
      <c r="AO52">
        <f t="shared" si="7"/>
        <v>-0.89219172812646508</v>
      </c>
      <c r="AP52">
        <f t="shared" si="8"/>
        <v>6.5381665711513692</v>
      </c>
    </row>
    <row r="53" spans="1:42" x14ac:dyDescent="0.25">
      <c r="A53" s="4">
        <v>46022</v>
      </c>
      <c r="B53">
        <f t="shared" ref="B53:N53" si="77">(B603-B602)*100</f>
        <v>-9.0000000000000302</v>
      </c>
      <c r="C53">
        <f t="shared" si="77"/>
        <v>-2.0000000000000018</v>
      </c>
      <c r="D53">
        <f t="shared" si="77"/>
        <v>-2.0000000000000018</v>
      </c>
      <c r="E53">
        <f t="shared" si="77"/>
        <v>0</v>
      </c>
      <c r="F53">
        <f t="shared" si="77"/>
        <v>0</v>
      </c>
      <c r="G53">
        <f t="shared" si="77"/>
        <v>-0.99999999999997868</v>
      </c>
      <c r="H53">
        <f t="shared" si="77"/>
        <v>-2.0000000000000018</v>
      </c>
      <c r="I53">
        <f t="shared" si="77"/>
        <v>-4.9999999999999822</v>
      </c>
      <c r="J53">
        <f t="shared" si="77"/>
        <v>-4.9999999999999822</v>
      </c>
      <c r="K53">
        <f t="shared" si="77"/>
        <v>-4.9999999999999822</v>
      </c>
      <c r="L53">
        <f t="shared" si="77"/>
        <v>-4.0000000000000036</v>
      </c>
      <c r="M53">
        <f t="shared" si="77"/>
        <v>-3.0000000000000249</v>
      </c>
      <c r="N53">
        <f t="shared" si="77"/>
        <v>-3.0000000000000249</v>
      </c>
      <c r="O53" s="5">
        <f t="shared" si="69"/>
        <v>0</v>
      </c>
      <c r="P53" s="5">
        <f t="shared" si="69"/>
        <v>0</v>
      </c>
      <c r="Q53" s="5">
        <f t="shared" si="69"/>
        <v>0</v>
      </c>
      <c r="R53" s="5">
        <f t="shared" si="69"/>
        <v>0</v>
      </c>
      <c r="S53" s="5">
        <f t="shared" si="69"/>
        <v>6.7214943134222152E-4</v>
      </c>
      <c r="U53" s="4">
        <v>46022</v>
      </c>
      <c r="V53">
        <f t="shared" si="12"/>
        <v>36000.000000000124</v>
      </c>
      <c r="W53">
        <f t="shared" si="13"/>
        <v>4446.0000000000036</v>
      </c>
      <c r="X53">
        <f t="shared" si="14"/>
        <v>-9180.0000000000073</v>
      </c>
      <c r="Y53">
        <f t="shared" si="15"/>
        <v>0</v>
      </c>
      <c r="Z53">
        <f t="shared" si="16"/>
        <v>0</v>
      </c>
      <c r="AA53">
        <f t="shared" si="17"/>
        <v>1999.9999999999573</v>
      </c>
      <c r="AB53">
        <f t="shared" si="18"/>
        <v>-9128.0000000000073</v>
      </c>
      <c r="AC53">
        <f t="shared" si="19"/>
        <v>11114.99999999996</v>
      </c>
      <c r="AD53">
        <f t="shared" si="20"/>
        <v>502719.9999999982</v>
      </c>
      <c r="AE53">
        <f t="shared" si="21"/>
        <v>-4.9999999999999822</v>
      </c>
      <c r="AF53">
        <f t="shared" si="22"/>
        <v>-201292.00000000017</v>
      </c>
      <c r="AG53">
        <f t="shared" si="23"/>
        <v>-75969.000000000626</v>
      </c>
      <c r="AH53">
        <f t="shared" si="24"/>
        <v>-3.0000000000000249</v>
      </c>
      <c r="AI53">
        <f t="shared" si="25"/>
        <v>0</v>
      </c>
      <c r="AJ53">
        <f t="shared" si="26"/>
        <v>0</v>
      </c>
      <c r="AK53">
        <f t="shared" si="27"/>
        <v>0</v>
      </c>
      <c r="AL53">
        <f t="shared" si="28"/>
        <v>0</v>
      </c>
      <c r="AM53" s="1">
        <f t="shared" si="29"/>
        <v>-6721.4943134222149</v>
      </c>
      <c r="AN53" s="1">
        <f t="shared" si="6"/>
        <v>253982.50568657523</v>
      </c>
      <c r="AO53">
        <f t="shared" si="7"/>
        <v>-7.3063025828414077</v>
      </c>
      <c r="AP53">
        <f t="shared" si="8"/>
        <v>6.5342565499874112</v>
      </c>
    </row>
    <row r="54" spans="1:42" x14ac:dyDescent="0.25">
      <c r="A54" s="4">
        <v>46021</v>
      </c>
      <c r="B54">
        <f t="shared" ref="B54:N54" si="78">(B604-B603)*100</f>
        <v>4.0000000000000036</v>
      </c>
      <c r="C54">
        <f t="shared" si="78"/>
        <v>5.0000000000000266</v>
      </c>
      <c r="D54">
        <f t="shared" si="78"/>
        <v>3.0000000000000249</v>
      </c>
      <c r="E54">
        <f t="shared" si="78"/>
        <v>3.0000000000000249</v>
      </c>
      <c r="F54">
        <f t="shared" si="78"/>
        <v>0</v>
      </c>
      <c r="G54">
        <f t="shared" si="78"/>
        <v>0.99999999999997868</v>
      </c>
      <c r="H54">
        <f t="shared" si="78"/>
        <v>0</v>
      </c>
      <c r="I54">
        <f t="shared" si="78"/>
        <v>0.99999999999997868</v>
      </c>
      <c r="J54">
        <f t="shared" si="78"/>
        <v>-1.0000000000000231</v>
      </c>
      <c r="K54">
        <f t="shared" si="78"/>
        <v>-1.0000000000000231</v>
      </c>
      <c r="L54">
        <f t="shared" si="78"/>
        <v>-1.9999999999999574</v>
      </c>
      <c r="M54">
        <f t="shared" si="78"/>
        <v>-0.99999999999997868</v>
      </c>
      <c r="N54">
        <f t="shared" si="78"/>
        <v>-0.99999999999997868</v>
      </c>
      <c r="O54" s="5">
        <f t="shared" si="69"/>
        <v>-1.2911327187541361E-2</v>
      </c>
      <c r="P54" s="5">
        <f t="shared" si="69"/>
        <v>6.6969779558055612E-3</v>
      </c>
      <c r="Q54" s="5">
        <f t="shared" si="69"/>
        <v>7.3139356286164641E-3</v>
      </c>
      <c r="R54" s="5">
        <f t="shared" si="69"/>
        <v>-8.916630104817922E-4</v>
      </c>
      <c r="S54" s="5">
        <f t="shared" si="69"/>
        <v>1.5404253395728258E-3</v>
      </c>
      <c r="U54" s="4">
        <v>46021</v>
      </c>
      <c r="V54">
        <f t="shared" si="12"/>
        <v>-16000.000000000015</v>
      </c>
      <c r="W54">
        <f t="shared" si="13"/>
        <v>-11115.00000000006</v>
      </c>
      <c r="X54">
        <f t="shared" si="14"/>
        <v>13770.000000000115</v>
      </c>
      <c r="Y54">
        <f t="shared" si="15"/>
        <v>-10335.000000000085</v>
      </c>
      <c r="Z54">
        <f t="shared" si="16"/>
        <v>0</v>
      </c>
      <c r="AA54">
        <f t="shared" si="17"/>
        <v>-1999.9999999999573</v>
      </c>
      <c r="AB54">
        <f t="shared" si="18"/>
        <v>0</v>
      </c>
      <c r="AC54">
        <f t="shared" si="19"/>
        <v>-2222.9999999999527</v>
      </c>
      <c r="AD54">
        <f t="shared" si="20"/>
        <v>100544.00000000233</v>
      </c>
      <c r="AE54">
        <f t="shared" si="21"/>
        <v>-1.0000000000000231</v>
      </c>
      <c r="AF54">
        <f t="shared" si="22"/>
        <v>-100645.99999999786</v>
      </c>
      <c r="AG54">
        <f t="shared" si="23"/>
        <v>-25322.999999999462</v>
      </c>
      <c r="AH54">
        <f t="shared" si="24"/>
        <v>-0.99999999999997868</v>
      </c>
      <c r="AI54">
        <f t="shared" si="25"/>
        <v>-1.2911327187541362</v>
      </c>
      <c r="AJ54">
        <f t="shared" si="26"/>
        <v>-66969.779558055612</v>
      </c>
      <c r="AK54">
        <f t="shared" si="27"/>
        <v>73139.356286164635</v>
      </c>
      <c r="AL54">
        <f t="shared" si="28"/>
        <v>22291.575262044804</v>
      </c>
      <c r="AM54" s="1">
        <f t="shared" si="29"/>
        <v>-15404.253395728258</v>
      </c>
      <c r="AN54" s="1">
        <f t="shared" si="6"/>
        <v>-40274.392538288143</v>
      </c>
      <c r="AO54">
        <f t="shared" si="7"/>
        <v>-0.84541754367222754</v>
      </c>
      <c r="AP54">
        <f t="shared" si="8"/>
        <v>6.3216754120831942</v>
      </c>
    </row>
    <row r="55" spans="1:42" x14ac:dyDescent="0.25">
      <c r="A55" s="4">
        <v>46020</v>
      </c>
      <c r="B55">
        <f t="shared" ref="B55:N55" si="79">(B605-B604)*100</f>
        <v>1.0000000000000231</v>
      </c>
      <c r="C55">
        <f t="shared" si="79"/>
        <v>2.0000000000000018</v>
      </c>
      <c r="D55">
        <f t="shared" si="79"/>
        <v>-4.0000000000000036</v>
      </c>
      <c r="E55">
        <f t="shared" si="79"/>
        <v>0</v>
      </c>
      <c r="F55">
        <f t="shared" si="79"/>
        <v>-0.99999999999997868</v>
      </c>
      <c r="G55">
        <f t="shared" si="79"/>
        <v>1.0000000000000231</v>
      </c>
      <c r="H55">
        <f t="shared" si="79"/>
        <v>0.99999999999997868</v>
      </c>
      <c r="I55">
        <f t="shared" si="79"/>
        <v>3.0000000000000249</v>
      </c>
      <c r="J55">
        <f t="shared" si="79"/>
        <v>1.0000000000000231</v>
      </c>
      <c r="K55">
        <f t="shared" si="79"/>
        <v>1.0000000000000231</v>
      </c>
      <c r="L55">
        <f t="shared" si="79"/>
        <v>1.9999999999999574</v>
      </c>
      <c r="M55">
        <f t="shared" si="79"/>
        <v>0.99999999999997868</v>
      </c>
      <c r="N55">
        <f t="shared" si="79"/>
        <v>0.99999999999997868</v>
      </c>
      <c r="O55" s="5">
        <f t="shared" ref="O55:S64" si="80">LN(O604/O605)</f>
        <v>5.8661748485593201E-3</v>
      </c>
      <c r="P55" s="5">
        <f t="shared" si="80"/>
        <v>1.8729369360531406E-2</v>
      </c>
      <c r="Q55" s="5">
        <f t="shared" si="80"/>
        <v>-5.5261443287863397E-4</v>
      </c>
      <c r="R55" s="5">
        <f t="shared" si="80"/>
        <v>5.9435365791266363E-4</v>
      </c>
      <c r="S55" s="5">
        <f t="shared" si="80"/>
        <v>4.193953923791246E-3</v>
      </c>
      <c r="U55" s="4">
        <v>46020</v>
      </c>
      <c r="V55">
        <f t="shared" si="12"/>
        <v>-4000.0000000000923</v>
      </c>
      <c r="W55">
        <f t="shared" si="13"/>
        <v>-4446.0000000000036</v>
      </c>
      <c r="X55">
        <f t="shared" si="14"/>
        <v>-18360.000000000015</v>
      </c>
      <c r="Y55">
        <f t="shared" si="15"/>
        <v>0</v>
      </c>
      <c r="Z55">
        <f t="shared" si="16"/>
        <v>-5434.9999999998845</v>
      </c>
      <c r="AA55">
        <f t="shared" si="17"/>
        <v>-2000.0000000000462</v>
      </c>
      <c r="AB55">
        <f t="shared" si="18"/>
        <v>4563.9999999999027</v>
      </c>
      <c r="AC55">
        <f t="shared" si="19"/>
        <v>-6669.0000000000555</v>
      </c>
      <c r="AD55">
        <f t="shared" si="20"/>
        <v>-100544.00000000233</v>
      </c>
      <c r="AE55">
        <f t="shared" si="21"/>
        <v>1.0000000000000231</v>
      </c>
      <c r="AF55">
        <f t="shared" si="22"/>
        <v>100645.99999999786</v>
      </c>
      <c r="AG55">
        <f t="shared" si="23"/>
        <v>25322.999999999462</v>
      </c>
      <c r="AH55">
        <f t="shared" si="24"/>
        <v>0.99999999999997868</v>
      </c>
      <c r="AI55">
        <f t="shared" si="25"/>
        <v>0.58661748485593201</v>
      </c>
      <c r="AJ55">
        <f t="shared" si="26"/>
        <v>-187293.69360531407</v>
      </c>
      <c r="AK55">
        <f t="shared" si="27"/>
        <v>-5526.1443287863394</v>
      </c>
      <c r="AL55">
        <f t="shared" si="28"/>
        <v>-14858.841447816591</v>
      </c>
      <c r="AM55" s="1">
        <f t="shared" si="29"/>
        <v>-41939.539237912461</v>
      </c>
      <c r="AN55" s="1">
        <f t="shared" si="6"/>
        <v>-260536.63200234977</v>
      </c>
      <c r="AO55">
        <f t="shared" si="7"/>
        <v>22.332439565278158</v>
      </c>
      <c r="AP55">
        <f t="shared" si="8"/>
        <v>6.3216168422672814</v>
      </c>
    </row>
    <row r="56" spans="1:42" x14ac:dyDescent="0.25">
      <c r="A56" s="4">
        <v>46017</v>
      </c>
      <c r="B56">
        <f t="shared" ref="B56:N56" si="81">(B606-B605)*100</f>
        <v>2.0000000000000018</v>
      </c>
      <c r="C56">
        <f t="shared" si="81"/>
        <v>2.0000000000000018</v>
      </c>
      <c r="D56">
        <f t="shared" si="81"/>
        <v>4.9999999999999822</v>
      </c>
      <c r="E56">
        <f t="shared" si="81"/>
        <v>0.99999999999997868</v>
      </c>
      <c r="F56">
        <f t="shared" si="81"/>
        <v>0.99999999999997868</v>
      </c>
      <c r="G56">
        <f t="shared" si="81"/>
        <v>0.99999999999997868</v>
      </c>
      <c r="H56">
        <f t="shared" si="81"/>
        <v>1.0000000000000231</v>
      </c>
      <c r="I56">
        <f t="shared" si="81"/>
        <v>2.0000000000000018</v>
      </c>
      <c r="J56">
        <f t="shared" si="81"/>
        <v>2.0000000000000018</v>
      </c>
      <c r="K56">
        <f t="shared" si="81"/>
        <v>2.0000000000000018</v>
      </c>
      <c r="L56">
        <f t="shared" si="81"/>
        <v>1.0000000000000675</v>
      </c>
      <c r="M56">
        <f t="shared" si="81"/>
        <v>-0.99999999999997868</v>
      </c>
      <c r="N56">
        <f t="shared" si="81"/>
        <v>-1.9999999999999574</v>
      </c>
      <c r="O56" s="5">
        <f t="shared" si="80"/>
        <v>1.1556937253666166E-3</v>
      </c>
      <c r="P56" s="5">
        <f t="shared" si="80"/>
        <v>-1.4253046718211667E-2</v>
      </c>
      <c r="Q56" s="5">
        <f t="shared" si="80"/>
        <v>-1.5456977485127539E-3</v>
      </c>
      <c r="R56" s="5">
        <f t="shared" si="80"/>
        <v>0</v>
      </c>
      <c r="S56" s="5">
        <f t="shared" si="80"/>
        <v>-2.7236111359217764E-3</v>
      </c>
      <c r="U56" s="4">
        <v>46017</v>
      </c>
      <c r="V56">
        <f t="shared" si="12"/>
        <v>-8000.0000000000073</v>
      </c>
      <c r="W56">
        <f t="shared" si="13"/>
        <v>-4446.0000000000036</v>
      </c>
      <c r="X56">
        <f t="shared" si="14"/>
        <v>22949.99999999992</v>
      </c>
      <c r="Y56">
        <f t="shared" si="15"/>
        <v>-3444.9999999999268</v>
      </c>
      <c r="Z56">
        <f t="shared" si="16"/>
        <v>5434.9999999998845</v>
      </c>
      <c r="AA56">
        <f t="shared" si="17"/>
        <v>-1999.9999999999573</v>
      </c>
      <c r="AB56">
        <f t="shared" si="18"/>
        <v>4564.0000000001055</v>
      </c>
      <c r="AC56">
        <f t="shared" si="19"/>
        <v>-4446.0000000000036</v>
      </c>
      <c r="AD56">
        <f t="shared" si="20"/>
        <v>-201088.00000000017</v>
      </c>
      <c r="AE56">
        <f t="shared" si="21"/>
        <v>2.0000000000000018</v>
      </c>
      <c r="AF56">
        <f t="shared" si="22"/>
        <v>50323.000000003398</v>
      </c>
      <c r="AG56">
        <f t="shared" si="23"/>
        <v>-25322.999999999462</v>
      </c>
      <c r="AH56">
        <f t="shared" si="24"/>
        <v>-1.9999999999999574</v>
      </c>
      <c r="AI56">
        <f t="shared" si="25"/>
        <v>0.11556937253666165</v>
      </c>
      <c r="AJ56">
        <f t="shared" si="26"/>
        <v>142530.46718211667</v>
      </c>
      <c r="AK56">
        <f t="shared" si="27"/>
        <v>-15456.97748512754</v>
      </c>
      <c r="AL56">
        <f t="shared" si="28"/>
        <v>0</v>
      </c>
      <c r="AM56" s="1">
        <f t="shared" si="29"/>
        <v>27236.111359217764</v>
      </c>
      <c r="AN56" s="1">
        <f t="shared" si="6"/>
        <v>-11166.28337441678</v>
      </c>
      <c r="AO56">
        <f t="shared" si="7"/>
        <v>-1.3055521753178061</v>
      </c>
      <c r="AP56">
        <f t="shared" si="8"/>
        <v>3.9113344944414861</v>
      </c>
    </row>
    <row r="57" spans="1:42" x14ac:dyDescent="0.25">
      <c r="A57" s="4">
        <v>46015</v>
      </c>
      <c r="B57">
        <f t="shared" ref="B57:N57" si="82">(B607-B606)*100</f>
        <v>-1.0000000000000231</v>
      </c>
      <c r="C57">
        <f t="shared" si="82"/>
        <v>-4.0000000000000036</v>
      </c>
      <c r="D57">
        <f t="shared" si="82"/>
        <v>-4.0000000000000036</v>
      </c>
      <c r="E57">
        <f t="shared" si="82"/>
        <v>-0.99999999999997868</v>
      </c>
      <c r="F57">
        <f t="shared" si="82"/>
        <v>0</v>
      </c>
      <c r="G57">
        <f t="shared" si="82"/>
        <v>2.0000000000000018</v>
      </c>
      <c r="H57">
        <f t="shared" si="82"/>
        <v>0.99999999999997868</v>
      </c>
      <c r="I57">
        <f t="shared" si="82"/>
        <v>2.0000000000000018</v>
      </c>
      <c r="J57">
        <f t="shared" si="82"/>
        <v>2.0000000000000018</v>
      </c>
      <c r="K57">
        <f t="shared" si="82"/>
        <v>2.9999999999999805</v>
      </c>
      <c r="L57">
        <f t="shared" si="82"/>
        <v>2.9999999999999361</v>
      </c>
      <c r="M57">
        <f t="shared" si="82"/>
        <v>3.0000000000000249</v>
      </c>
      <c r="N57">
        <f t="shared" si="82"/>
        <v>4.0000000000000036</v>
      </c>
      <c r="O57" s="5">
        <f t="shared" si="80"/>
        <v>-5.2979779013504515E-3</v>
      </c>
      <c r="P57" s="5">
        <f t="shared" si="80"/>
        <v>-4.5375761827270216E-3</v>
      </c>
      <c r="Q57" s="5">
        <f t="shared" si="80"/>
        <v>-2.15997086467937E-3</v>
      </c>
      <c r="R57" s="5">
        <f t="shared" si="80"/>
        <v>-2.9722098598961597E-4</v>
      </c>
      <c r="S57" s="5">
        <f t="shared" si="80"/>
        <v>1.4613443619764515E-3</v>
      </c>
      <c r="U57" s="4">
        <v>46015</v>
      </c>
      <c r="V57">
        <f t="shared" si="12"/>
        <v>4000.0000000000923</v>
      </c>
      <c r="W57">
        <f t="shared" si="13"/>
        <v>8892.0000000000073</v>
      </c>
      <c r="X57">
        <f t="shared" si="14"/>
        <v>-18360.000000000015</v>
      </c>
      <c r="Y57">
        <f t="shared" si="15"/>
        <v>3444.9999999999268</v>
      </c>
      <c r="Z57">
        <f t="shared" si="16"/>
        <v>0</v>
      </c>
      <c r="AA57">
        <f t="shared" si="17"/>
        <v>-4000.0000000000036</v>
      </c>
      <c r="AB57">
        <f t="shared" si="18"/>
        <v>4563.9999999999027</v>
      </c>
      <c r="AC57">
        <f t="shared" si="19"/>
        <v>-4446.0000000000036</v>
      </c>
      <c r="AD57">
        <f t="shared" si="20"/>
        <v>-201088.00000000017</v>
      </c>
      <c r="AE57">
        <f t="shared" si="21"/>
        <v>2.9999999999999805</v>
      </c>
      <c r="AF57">
        <f t="shared" si="22"/>
        <v>150968.99999999677</v>
      </c>
      <c r="AG57">
        <f t="shared" si="23"/>
        <v>75969.000000000626</v>
      </c>
      <c r="AH57">
        <f t="shared" si="24"/>
        <v>4.0000000000000036</v>
      </c>
      <c r="AI57">
        <f t="shared" si="25"/>
        <v>-0.52979779013504513</v>
      </c>
      <c r="AJ57">
        <f t="shared" si="26"/>
        <v>45375.761827270217</v>
      </c>
      <c r="AK57">
        <f t="shared" si="27"/>
        <v>-21599.708646793701</v>
      </c>
      <c r="AL57">
        <f t="shared" si="28"/>
        <v>7430.5246497403996</v>
      </c>
      <c r="AM57" s="1">
        <f t="shared" si="29"/>
        <v>-14613.443619764515</v>
      </c>
      <c r="AN57" s="1">
        <f t="shared" si="6"/>
        <v>36544.604412659406</v>
      </c>
      <c r="AO57">
        <f t="shared" si="7"/>
        <v>-0.75170412515709295</v>
      </c>
      <c r="AP57">
        <f t="shared" si="8"/>
        <v>3.922380814514832</v>
      </c>
    </row>
    <row r="58" spans="1:42" x14ac:dyDescent="0.25">
      <c r="A58" s="4">
        <v>46014</v>
      </c>
      <c r="B58">
        <f t="shared" ref="B58:N58" si="83">(B608-B607)*100</f>
        <v>1.0000000000000231</v>
      </c>
      <c r="C58">
        <f t="shared" si="83"/>
        <v>0.99999999999997868</v>
      </c>
      <c r="D58">
        <f t="shared" si="83"/>
        <v>-0.99999999999997868</v>
      </c>
      <c r="E58">
        <f t="shared" si="83"/>
        <v>-1.0000000000000231</v>
      </c>
      <c r="F58">
        <f t="shared" si="83"/>
        <v>1.0000000000000231</v>
      </c>
      <c r="G58">
        <f t="shared" si="83"/>
        <v>0.99999999999997868</v>
      </c>
      <c r="H58">
        <f t="shared" si="83"/>
        <v>-4.0000000000000036</v>
      </c>
      <c r="I58">
        <f t="shared" si="83"/>
        <v>-2.0000000000000018</v>
      </c>
      <c r="J58">
        <f t="shared" si="83"/>
        <v>-1.0000000000000231</v>
      </c>
      <c r="K58">
        <f t="shared" si="83"/>
        <v>-0.99999999999997868</v>
      </c>
      <c r="L58">
        <f t="shared" si="83"/>
        <v>-0.99999999999997868</v>
      </c>
      <c r="M58">
        <f t="shared" si="83"/>
        <v>0</v>
      </c>
      <c r="N58">
        <f t="shared" si="83"/>
        <v>0.99999999999997868</v>
      </c>
      <c r="O58" s="5">
        <f t="shared" si="80"/>
        <v>4.5755128191727265E-3</v>
      </c>
      <c r="P58" s="5">
        <f t="shared" si="80"/>
        <v>-7.9576016733140884E-3</v>
      </c>
      <c r="Q58" s="5">
        <f t="shared" si="80"/>
        <v>-1.6498931312416702E-3</v>
      </c>
      <c r="R58" s="5">
        <f t="shared" si="80"/>
        <v>-5.9417708224621113E-4</v>
      </c>
      <c r="S58" s="5">
        <f t="shared" si="80"/>
        <v>-3.6771711648103675E-3</v>
      </c>
      <c r="U58" s="4">
        <v>46014</v>
      </c>
      <c r="V58">
        <f t="shared" si="12"/>
        <v>-4000.0000000000923</v>
      </c>
      <c r="W58">
        <f t="shared" si="13"/>
        <v>-2222.9999999999527</v>
      </c>
      <c r="X58">
        <f t="shared" si="14"/>
        <v>-4589.9999999999018</v>
      </c>
      <c r="Y58">
        <f t="shared" si="15"/>
        <v>3445.0000000000796</v>
      </c>
      <c r="Z58">
        <f t="shared" si="16"/>
        <v>5435.0000000001255</v>
      </c>
      <c r="AA58">
        <f t="shared" si="17"/>
        <v>-1999.9999999999573</v>
      </c>
      <c r="AB58">
        <f t="shared" si="18"/>
        <v>-18256.000000000015</v>
      </c>
      <c r="AC58">
        <f t="shared" si="19"/>
        <v>4446.0000000000036</v>
      </c>
      <c r="AD58">
        <f t="shared" si="20"/>
        <v>100544.00000000233</v>
      </c>
      <c r="AE58">
        <f t="shared" si="21"/>
        <v>-0.99999999999997868</v>
      </c>
      <c r="AF58">
        <f t="shared" si="22"/>
        <v>-50322.99999999893</v>
      </c>
      <c r="AG58">
        <f t="shared" si="23"/>
        <v>0</v>
      </c>
      <c r="AH58">
        <f t="shared" si="24"/>
        <v>0.99999999999997868</v>
      </c>
      <c r="AI58">
        <f t="shared" si="25"/>
        <v>0.45755128191727268</v>
      </c>
      <c r="AJ58">
        <f t="shared" si="26"/>
        <v>79576.016733140888</v>
      </c>
      <c r="AK58">
        <f t="shared" si="27"/>
        <v>-16498.931312416702</v>
      </c>
      <c r="AL58">
        <f t="shared" si="28"/>
        <v>14854.427056155278</v>
      </c>
      <c r="AM58" s="1">
        <f t="shared" si="29"/>
        <v>36771.711648103672</v>
      </c>
      <c r="AN58" s="1">
        <f t="shared" si="6"/>
        <v>147181.68167626875</v>
      </c>
      <c r="AO58">
        <f t="shared" si="7"/>
        <v>0.44245301944112758</v>
      </c>
      <c r="AP58">
        <f t="shared" si="8"/>
        <v>3.9247177146473327</v>
      </c>
    </row>
    <row r="59" spans="1:42" x14ac:dyDescent="0.25">
      <c r="A59" s="4">
        <v>46013</v>
      </c>
      <c r="B59">
        <f t="shared" ref="B59:N59" si="84">(B609-B608)*100</f>
        <v>-1.0000000000000231</v>
      </c>
      <c r="C59">
        <f t="shared" si="84"/>
        <v>1.0000000000000231</v>
      </c>
      <c r="D59">
        <f t="shared" si="84"/>
        <v>-2.0000000000000018</v>
      </c>
      <c r="E59">
        <f t="shared" si="84"/>
        <v>-0.99999999999997868</v>
      </c>
      <c r="F59">
        <f t="shared" si="84"/>
        <v>0</v>
      </c>
      <c r="G59">
        <f t="shared" si="84"/>
        <v>-2.0000000000000018</v>
      </c>
      <c r="H59">
        <f t="shared" si="84"/>
        <v>4.0000000000000036</v>
      </c>
      <c r="I59">
        <f t="shared" si="84"/>
        <v>-3.0000000000000249</v>
      </c>
      <c r="J59">
        <f t="shared" si="84"/>
        <v>-0.99999999999997868</v>
      </c>
      <c r="K59">
        <f t="shared" si="84"/>
        <v>-2.0000000000000018</v>
      </c>
      <c r="L59">
        <f t="shared" si="84"/>
        <v>-0.99999999999997868</v>
      </c>
      <c r="M59">
        <f t="shared" si="84"/>
        <v>-1.0000000000000675</v>
      </c>
      <c r="N59">
        <f t="shared" si="84"/>
        <v>-1.9999999999999574</v>
      </c>
      <c r="O59" s="5">
        <f t="shared" si="80"/>
        <v>4.1431900271361099E-3</v>
      </c>
      <c r="P59" s="5">
        <f t="shared" si="80"/>
        <v>-9.8064487838957493E-3</v>
      </c>
      <c r="Q59" s="5">
        <f t="shared" si="80"/>
        <v>-5.5784328914060986E-3</v>
      </c>
      <c r="R59" s="5">
        <f t="shared" si="80"/>
        <v>0</v>
      </c>
      <c r="S59" s="5">
        <f t="shared" si="80"/>
        <v>-9.8941115878311572E-4</v>
      </c>
      <c r="U59" s="4">
        <v>46013</v>
      </c>
      <c r="V59">
        <f t="shared" si="12"/>
        <v>4000.0000000000923</v>
      </c>
      <c r="W59">
        <f t="shared" si="13"/>
        <v>-2223.0000000000514</v>
      </c>
      <c r="X59">
        <f t="shared" si="14"/>
        <v>-9180.0000000000073</v>
      </c>
      <c r="Y59">
        <f t="shared" si="15"/>
        <v>3444.9999999999268</v>
      </c>
      <c r="Z59">
        <f t="shared" si="16"/>
        <v>0</v>
      </c>
      <c r="AA59">
        <f t="shared" si="17"/>
        <v>4000.0000000000036</v>
      </c>
      <c r="AB59">
        <f t="shared" si="18"/>
        <v>18256.000000000015</v>
      </c>
      <c r="AC59">
        <f t="shared" si="19"/>
        <v>6669.0000000000555</v>
      </c>
      <c r="AD59">
        <f t="shared" si="20"/>
        <v>100543.99999999786</v>
      </c>
      <c r="AE59">
        <f t="shared" si="21"/>
        <v>-2.0000000000000018</v>
      </c>
      <c r="AF59">
        <f t="shared" si="22"/>
        <v>-50322.99999999893</v>
      </c>
      <c r="AG59">
        <f t="shared" si="23"/>
        <v>-25323.00000000171</v>
      </c>
      <c r="AH59">
        <f t="shared" si="24"/>
        <v>-1.9999999999999574</v>
      </c>
      <c r="AI59">
        <f t="shared" si="25"/>
        <v>0.414319002713611</v>
      </c>
      <c r="AJ59">
        <f t="shared" si="26"/>
        <v>98064.487838957488</v>
      </c>
      <c r="AK59">
        <f t="shared" si="27"/>
        <v>-55784.328914060985</v>
      </c>
      <c r="AL59">
        <f t="shared" si="28"/>
        <v>0</v>
      </c>
      <c r="AM59" s="1">
        <f t="shared" si="29"/>
        <v>9894.1115878311575</v>
      </c>
      <c r="AN59" s="1">
        <f t="shared" si="6"/>
        <v>102035.6848317276</v>
      </c>
      <c r="AO59">
        <f t="shared" si="7"/>
        <v>-0.45508912342706997</v>
      </c>
      <c r="AP59">
        <f t="shared" si="8"/>
        <v>3.9763724446626596</v>
      </c>
    </row>
    <row r="60" spans="1:42" x14ac:dyDescent="0.25">
      <c r="A60" s="4">
        <v>46010</v>
      </c>
      <c r="B60">
        <f t="shared" ref="B60:N60" si="85">(B610-B609)*100</f>
        <v>0</v>
      </c>
      <c r="C60">
        <f t="shared" si="85"/>
        <v>0</v>
      </c>
      <c r="D60">
        <f t="shared" si="85"/>
        <v>0</v>
      </c>
      <c r="E60">
        <f t="shared" si="85"/>
        <v>-1.0000000000000231</v>
      </c>
      <c r="F60">
        <f t="shared" si="85"/>
        <v>-2.0000000000000018</v>
      </c>
      <c r="G60">
        <f t="shared" si="85"/>
        <v>-1.9999999999999574</v>
      </c>
      <c r="H60">
        <f t="shared" si="85"/>
        <v>-2.0000000000000018</v>
      </c>
      <c r="I60">
        <f t="shared" si="85"/>
        <v>-2.9999999999999805</v>
      </c>
      <c r="J60">
        <f t="shared" si="85"/>
        <v>-4.0000000000000036</v>
      </c>
      <c r="K60">
        <f t="shared" si="85"/>
        <v>-4.0000000000000036</v>
      </c>
      <c r="L60">
        <f t="shared" si="85"/>
        <v>-4.0000000000000036</v>
      </c>
      <c r="M60">
        <f t="shared" si="85"/>
        <v>-2.9999999999999361</v>
      </c>
      <c r="N60">
        <f t="shared" si="85"/>
        <v>-2.0000000000000462</v>
      </c>
      <c r="O60" s="5">
        <f t="shared" si="80"/>
        <v>-2.2275152504811083E-3</v>
      </c>
      <c r="P60" s="5">
        <f t="shared" si="80"/>
        <v>-9.2965788102294389E-3</v>
      </c>
      <c r="Q60" s="5">
        <f t="shared" si="80"/>
        <v>-2.684946276911509E-3</v>
      </c>
      <c r="R60" s="5">
        <f t="shared" si="80"/>
        <v>0</v>
      </c>
      <c r="S60" s="5">
        <f t="shared" si="80"/>
        <v>-2.110958660823738E-4</v>
      </c>
      <c r="U60" s="4">
        <v>46010</v>
      </c>
      <c r="V60">
        <f t="shared" si="12"/>
        <v>0</v>
      </c>
      <c r="W60">
        <f t="shared" si="13"/>
        <v>0</v>
      </c>
      <c r="X60">
        <f t="shared" si="14"/>
        <v>0</v>
      </c>
      <c r="Y60">
        <f t="shared" si="15"/>
        <v>3445.0000000000796</v>
      </c>
      <c r="Z60">
        <f t="shared" si="16"/>
        <v>-10870.000000000009</v>
      </c>
      <c r="AA60">
        <f t="shared" si="17"/>
        <v>3999.9999999999145</v>
      </c>
      <c r="AB60">
        <f t="shared" si="18"/>
        <v>-9128.0000000000073</v>
      </c>
      <c r="AC60">
        <f t="shared" si="19"/>
        <v>6668.9999999999563</v>
      </c>
      <c r="AD60">
        <f t="shared" si="20"/>
        <v>402176.00000000035</v>
      </c>
      <c r="AE60">
        <f t="shared" si="21"/>
        <v>-4.0000000000000036</v>
      </c>
      <c r="AF60">
        <f t="shared" si="22"/>
        <v>-201292.00000000017</v>
      </c>
      <c r="AG60">
        <f t="shared" si="23"/>
        <v>-75968.999999998385</v>
      </c>
      <c r="AH60">
        <f t="shared" si="24"/>
        <v>-2.0000000000000462</v>
      </c>
      <c r="AI60">
        <f t="shared" si="25"/>
        <v>-0.22275152504811083</v>
      </c>
      <c r="AJ60">
        <f t="shared" si="26"/>
        <v>92965.788102294391</v>
      </c>
      <c r="AK60">
        <f t="shared" si="27"/>
        <v>-26849.462769115089</v>
      </c>
      <c r="AL60">
        <f t="shared" si="28"/>
        <v>0</v>
      </c>
      <c r="AM60" s="1">
        <f t="shared" si="29"/>
        <v>2110.9586608237378</v>
      </c>
      <c r="AN60" s="1">
        <f t="shared" si="6"/>
        <v>187252.06124247971</v>
      </c>
      <c r="AO60">
        <f t="shared" si="7"/>
        <v>-9.8996703038463565</v>
      </c>
      <c r="AP60">
        <f t="shared" si="8"/>
        <v>3.9924440908755034</v>
      </c>
    </row>
    <row r="61" spans="1:42" x14ac:dyDescent="0.25">
      <c r="A61" s="4">
        <v>46009</v>
      </c>
      <c r="B61">
        <f t="shared" ref="B61:N61" si="86">(B611-B610)*100</f>
        <v>2.0000000000000018</v>
      </c>
      <c r="C61">
        <f t="shared" si="86"/>
        <v>0.99999999999997868</v>
      </c>
      <c r="D61">
        <f t="shared" si="86"/>
        <v>2.0000000000000018</v>
      </c>
      <c r="E61">
        <f t="shared" si="86"/>
        <v>2.0000000000000018</v>
      </c>
      <c r="F61">
        <f t="shared" si="86"/>
        <v>0.99999999999997868</v>
      </c>
      <c r="G61">
        <f t="shared" si="86"/>
        <v>1.9999999999999574</v>
      </c>
      <c r="H61">
        <f t="shared" si="86"/>
        <v>3.0000000000000249</v>
      </c>
      <c r="I61">
        <f t="shared" si="86"/>
        <v>2.9999999999999805</v>
      </c>
      <c r="J61">
        <f t="shared" si="86"/>
        <v>4.0000000000000036</v>
      </c>
      <c r="K61">
        <f t="shared" si="86"/>
        <v>4.0000000000000036</v>
      </c>
      <c r="L61">
        <f t="shared" si="86"/>
        <v>4.0000000000000036</v>
      </c>
      <c r="M61">
        <f t="shared" si="86"/>
        <v>4.0000000000000036</v>
      </c>
      <c r="N61">
        <f t="shared" si="86"/>
        <v>3.0000000000000249</v>
      </c>
      <c r="O61" s="5">
        <f t="shared" si="80"/>
        <v>3.442967974789081E-3</v>
      </c>
      <c r="P61" s="5">
        <f t="shared" si="80"/>
        <v>-2.3300981416227323E-3</v>
      </c>
      <c r="Q61" s="5">
        <f t="shared" si="80"/>
        <v>4.0520154393080335E-3</v>
      </c>
      <c r="R61" s="5">
        <f t="shared" si="80"/>
        <v>-2.9695620114277802E-4</v>
      </c>
      <c r="S61" s="5">
        <f t="shared" si="80"/>
        <v>-6.7742779933457886E-4</v>
      </c>
      <c r="U61" s="4">
        <v>46009</v>
      </c>
      <c r="V61">
        <f t="shared" si="12"/>
        <v>-8000.0000000000073</v>
      </c>
      <c r="W61">
        <f t="shared" si="13"/>
        <v>-2222.9999999999527</v>
      </c>
      <c r="X61">
        <f t="shared" si="14"/>
        <v>9180.0000000000073</v>
      </c>
      <c r="Y61">
        <f t="shared" si="15"/>
        <v>-6890.0000000000064</v>
      </c>
      <c r="Z61">
        <f t="shared" si="16"/>
        <v>5434.9999999998845</v>
      </c>
      <c r="AA61">
        <f t="shared" si="17"/>
        <v>-3999.9999999999145</v>
      </c>
      <c r="AB61">
        <f t="shared" si="18"/>
        <v>13692.000000000113</v>
      </c>
      <c r="AC61">
        <f t="shared" si="19"/>
        <v>-6668.9999999999563</v>
      </c>
      <c r="AD61">
        <f t="shared" si="20"/>
        <v>-402176.00000000035</v>
      </c>
      <c r="AE61">
        <f t="shared" si="21"/>
        <v>4.0000000000000036</v>
      </c>
      <c r="AF61">
        <f t="shared" si="22"/>
        <v>201292.00000000017</v>
      </c>
      <c r="AG61">
        <f t="shared" si="23"/>
        <v>101292.00000000009</v>
      </c>
      <c r="AH61">
        <f t="shared" si="24"/>
        <v>3.0000000000000249</v>
      </c>
      <c r="AI61">
        <f t="shared" si="25"/>
        <v>0.34429679747890807</v>
      </c>
      <c r="AJ61">
        <f t="shared" si="26"/>
        <v>23300.981416227321</v>
      </c>
      <c r="AK61">
        <f t="shared" si="27"/>
        <v>40520.154393080338</v>
      </c>
      <c r="AL61">
        <f t="shared" si="28"/>
        <v>7423.9050285694502</v>
      </c>
      <c r="AM61" s="1">
        <f t="shared" si="29"/>
        <v>6774.2779933457887</v>
      </c>
      <c r="AN61" s="1">
        <f t="shared" si="6"/>
        <v>-21040.336871979525</v>
      </c>
      <c r="AO61">
        <f t="shared" si="7"/>
        <v>-0.60917360776347385</v>
      </c>
      <c r="AP61">
        <f t="shared" si="8"/>
        <v>3.4042197532373608</v>
      </c>
    </row>
    <row r="62" spans="1:42" x14ac:dyDescent="0.25">
      <c r="A62" s="4">
        <v>46008</v>
      </c>
      <c r="B62">
        <f t="shared" ref="B62:N62" si="87">(B612-B611)*100</f>
        <v>2.9999999999999805</v>
      </c>
      <c r="C62">
        <f t="shared" si="87"/>
        <v>0</v>
      </c>
      <c r="D62">
        <f t="shared" si="87"/>
        <v>0</v>
      </c>
      <c r="E62">
        <f t="shared" si="87"/>
        <v>-0.99999999999997868</v>
      </c>
      <c r="F62">
        <f t="shared" si="87"/>
        <v>1.0000000000000231</v>
      </c>
      <c r="G62">
        <f t="shared" si="87"/>
        <v>0</v>
      </c>
      <c r="H62">
        <f t="shared" si="87"/>
        <v>-1.0000000000000231</v>
      </c>
      <c r="I62">
        <f t="shared" si="87"/>
        <v>-0.99999999999997868</v>
      </c>
      <c r="J62">
        <f t="shared" si="87"/>
        <v>-1.0000000000000231</v>
      </c>
      <c r="K62">
        <f t="shared" si="87"/>
        <v>-1.0000000000000231</v>
      </c>
      <c r="L62">
        <f t="shared" si="87"/>
        <v>-0.99999999999997868</v>
      </c>
      <c r="M62">
        <f t="shared" si="87"/>
        <v>-1.0000000000000675</v>
      </c>
      <c r="N62">
        <f t="shared" si="87"/>
        <v>-0.99999999999997868</v>
      </c>
      <c r="O62" s="5">
        <f t="shared" si="80"/>
        <v>1.0730813241047885E-2</v>
      </c>
      <c r="P62" s="5">
        <f t="shared" si="80"/>
        <v>6.3558161945460904E-3</v>
      </c>
      <c r="Q62" s="5">
        <f t="shared" si="80"/>
        <v>1.8731828215010097E-3</v>
      </c>
      <c r="R62" s="5">
        <f t="shared" si="80"/>
        <v>-2.9686804433560544E-4</v>
      </c>
      <c r="S62" s="5">
        <f t="shared" si="80"/>
        <v>3.5866947195580946E-3</v>
      </c>
      <c r="U62" s="4">
        <v>46008</v>
      </c>
      <c r="V62">
        <f t="shared" si="12"/>
        <v>-11999.999999999922</v>
      </c>
      <c r="W62">
        <f t="shared" si="13"/>
        <v>0</v>
      </c>
      <c r="X62">
        <f t="shared" si="14"/>
        <v>0</v>
      </c>
      <c r="Y62">
        <f t="shared" si="15"/>
        <v>3444.9999999999268</v>
      </c>
      <c r="Z62">
        <f t="shared" si="16"/>
        <v>5435.0000000001255</v>
      </c>
      <c r="AA62">
        <f t="shared" si="17"/>
        <v>0</v>
      </c>
      <c r="AB62">
        <f t="shared" si="18"/>
        <v>-4564.0000000001055</v>
      </c>
      <c r="AC62">
        <f t="shared" si="19"/>
        <v>2222.9999999999527</v>
      </c>
      <c r="AD62">
        <f t="shared" si="20"/>
        <v>100544.00000000233</v>
      </c>
      <c r="AE62">
        <f t="shared" si="21"/>
        <v>-1.0000000000000231</v>
      </c>
      <c r="AF62">
        <f t="shared" si="22"/>
        <v>-50322.99999999893</v>
      </c>
      <c r="AG62">
        <f t="shared" si="23"/>
        <v>-25323.00000000171</v>
      </c>
      <c r="AH62">
        <f t="shared" si="24"/>
        <v>-0.99999999999997868</v>
      </c>
      <c r="AI62">
        <f t="shared" si="25"/>
        <v>1.0730813241047885</v>
      </c>
      <c r="AJ62">
        <f t="shared" si="26"/>
        <v>-63558.161945460903</v>
      </c>
      <c r="AK62">
        <f t="shared" si="27"/>
        <v>18731.828215010097</v>
      </c>
      <c r="AL62">
        <f t="shared" si="28"/>
        <v>7421.7011083901361</v>
      </c>
      <c r="AM62" s="1">
        <f t="shared" si="29"/>
        <v>-35866.947195580949</v>
      </c>
      <c r="AN62" s="1">
        <f t="shared" si="6"/>
        <v>-53835.506736315852</v>
      </c>
      <c r="AO62">
        <f t="shared" si="7"/>
        <v>-0.72290273149439277</v>
      </c>
      <c r="AP62">
        <f t="shared" si="8"/>
        <v>4.3972854752239821</v>
      </c>
    </row>
    <row r="63" spans="1:42" x14ac:dyDescent="0.25">
      <c r="A63" s="4">
        <v>46007</v>
      </c>
      <c r="B63">
        <f t="shared" ref="B63:N63" si="88">(B613-B612)*100</f>
        <v>1.0000000000000231</v>
      </c>
      <c r="C63">
        <f t="shared" si="88"/>
        <v>2.0000000000000018</v>
      </c>
      <c r="D63">
        <f t="shared" si="88"/>
        <v>0.99999999999997868</v>
      </c>
      <c r="E63">
        <f t="shared" si="88"/>
        <v>0.99999999999997868</v>
      </c>
      <c r="F63">
        <f t="shared" si="88"/>
        <v>0</v>
      </c>
      <c r="G63">
        <f t="shared" si="88"/>
        <v>1.0000000000000231</v>
      </c>
      <c r="H63">
        <f t="shared" si="88"/>
        <v>2.9999999999999805</v>
      </c>
      <c r="I63">
        <f t="shared" si="88"/>
        <v>4.0000000000000036</v>
      </c>
      <c r="J63">
        <f t="shared" si="88"/>
        <v>4.0000000000000036</v>
      </c>
      <c r="K63">
        <f t="shared" si="88"/>
        <v>4.0000000000000036</v>
      </c>
      <c r="L63">
        <f t="shared" si="88"/>
        <v>2.9999999999999361</v>
      </c>
      <c r="M63">
        <f t="shared" si="88"/>
        <v>3.0000000000000249</v>
      </c>
      <c r="N63">
        <f t="shared" si="88"/>
        <v>1.9999999999999574</v>
      </c>
      <c r="O63" s="5">
        <f t="shared" si="80"/>
        <v>1.0624661865844851E-2</v>
      </c>
      <c r="P63" s="5">
        <f t="shared" si="80"/>
        <v>3.1931212168879231E-3</v>
      </c>
      <c r="Q63" s="5">
        <f t="shared" si="80"/>
        <v>-6.9052828155304849E-4</v>
      </c>
      <c r="R63" s="5">
        <f t="shared" si="80"/>
        <v>-2.9677993985455795E-4</v>
      </c>
      <c r="S63" s="5">
        <f t="shared" si="80"/>
        <v>-1.6865146864189784E-3</v>
      </c>
      <c r="U63" s="4">
        <v>46007</v>
      </c>
      <c r="V63">
        <f t="shared" si="12"/>
        <v>-4000.0000000000923</v>
      </c>
      <c r="W63">
        <f t="shared" si="13"/>
        <v>-4446.0000000000036</v>
      </c>
      <c r="X63">
        <f t="shared" si="14"/>
        <v>4589.9999999999018</v>
      </c>
      <c r="Y63">
        <f t="shared" si="15"/>
        <v>-3444.9999999999268</v>
      </c>
      <c r="Z63">
        <f t="shared" si="16"/>
        <v>0</v>
      </c>
      <c r="AA63">
        <f t="shared" si="17"/>
        <v>-2000.0000000000462</v>
      </c>
      <c r="AB63">
        <f t="shared" si="18"/>
        <v>13691.999999999911</v>
      </c>
      <c r="AC63">
        <f t="shared" si="19"/>
        <v>-8892.0000000000073</v>
      </c>
      <c r="AD63">
        <f t="shared" si="20"/>
        <v>-402176.00000000035</v>
      </c>
      <c r="AE63">
        <f t="shared" si="21"/>
        <v>4.0000000000000036</v>
      </c>
      <c r="AF63">
        <f t="shared" si="22"/>
        <v>150968.99999999677</v>
      </c>
      <c r="AG63">
        <f t="shared" si="23"/>
        <v>75969.000000000626</v>
      </c>
      <c r="AH63">
        <f t="shared" si="24"/>
        <v>1.9999999999999574</v>
      </c>
      <c r="AI63">
        <f t="shared" si="25"/>
        <v>1.0624661865844851</v>
      </c>
      <c r="AJ63">
        <f t="shared" si="26"/>
        <v>-31931.212168879232</v>
      </c>
      <c r="AK63">
        <f t="shared" si="27"/>
        <v>-6905.2828155304851</v>
      </c>
      <c r="AL63">
        <f t="shared" si="28"/>
        <v>7419.498496363949</v>
      </c>
      <c r="AM63" s="1">
        <f t="shared" si="29"/>
        <v>16865.146864189785</v>
      </c>
      <c r="AN63" s="1">
        <f t="shared" si="6"/>
        <v>-194283.78715767263</v>
      </c>
      <c r="AO63">
        <f t="shared" si="7"/>
        <v>-0.12032463310177921</v>
      </c>
      <c r="AP63">
        <f t="shared" si="8"/>
        <v>4.4330457847623572</v>
      </c>
    </row>
    <row r="64" spans="1:42" x14ac:dyDescent="0.25">
      <c r="A64" s="4">
        <v>46006</v>
      </c>
      <c r="B64">
        <f t="shared" ref="B64:N64" si="89">(B614-B613)*100</f>
        <v>-1.0000000000000231</v>
      </c>
      <c r="C64">
        <f t="shared" si="89"/>
        <v>0</v>
      </c>
      <c r="D64">
        <f t="shared" si="89"/>
        <v>-2.0000000000000018</v>
      </c>
      <c r="E64">
        <f t="shared" si="89"/>
        <v>-0.99999999999997868</v>
      </c>
      <c r="F64">
        <f t="shared" si="89"/>
        <v>-2.0000000000000018</v>
      </c>
      <c r="G64">
        <f t="shared" si="89"/>
        <v>2.0000000000000018</v>
      </c>
      <c r="H64">
        <f t="shared" si="89"/>
        <v>1.0000000000000231</v>
      </c>
      <c r="I64">
        <f t="shared" si="89"/>
        <v>2.0000000000000018</v>
      </c>
      <c r="J64">
        <f t="shared" si="89"/>
        <v>2.0000000000000018</v>
      </c>
      <c r="K64">
        <f t="shared" si="89"/>
        <v>1.0000000000000231</v>
      </c>
      <c r="L64">
        <f t="shared" si="89"/>
        <v>1.0000000000000675</v>
      </c>
      <c r="M64">
        <f t="shared" si="89"/>
        <v>2.0000000000000462</v>
      </c>
      <c r="N64">
        <f t="shared" si="89"/>
        <v>0.99999999999997868</v>
      </c>
      <c r="O64" s="5">
        <f t="shared" si="80"/>
        <v>-1.5194473618369846E-3</v>
      </c>
      <c r="P64" s="5">
        <f t="shared" si="80"/>
        <v>7.316038491144778E-3</v>
      </c>
      <c r="Q64" s="5">
        <f t="shared" si="80"/>
        <v>-4.635002504148519E-3</v>
      </c>
      <c r="R64" s="5">
        <f t="shared" si="80"/>
        <v>5.9364798419012012E-4</v>
      </c>
      <c r="S64" s="5">
        <f t="shared" si="80"/>
        <v>-3.0097255662101816E-3</v>
      </c>
      <c r="U64" s="4">
        <v>46006</v>
      </c>
      <c r="V64">
        <f t="shared" si="12"/>
        <v>4000.0000000000923</v>
      </c>
      <c r="W64">
        <f t="shared" si="13"/>
        <v>0</v>
      </c>
      <c r="X64">
        <f t="shared" si="14"/>
        <v>-9180.0000000000073</v>
      </c>
      <c r="Y64">
        <f t="shared" si="15"/>
        <v>3444.9999999999268</v>
      </c>
      <c r="Z64">
        <f t="shared" si="16"/>
        <v>-10870.000000000009</v>
      </c>
      <c r="AA64">
        <f t="shared" si="17"/>
        <v>-4000.0000000000036</v>
      </c>
      <c r="AB64">
        <f t="shared" si="18"/>
        <v>4564.0000000001055</v>
      </c>
      <c r="AC64">
        <f t="shared" si="19"/>
        <v>-4446.0000000000036</v>
      </c>
      <c r="AD64">
        <f t="shared" si="20"/>
        <v>-201088.00000000017</v>
      </c>
      <c r="AE64">
        <f t="shared" si="21"/>
        <v>1.0000000000000231</v>
      </c>
      <c r="AF64">
        <f t="shared" si="22"/>
        <v>50323.000000003398</v>
      </c>
      <c r="AG64">
        <f t="shared" si="23"/>
        <v>50646.000000001171</v>
      </c>
      <c r="AH64">
        <f t="shared" si="24"/>
        <v>0.99999999999997868</v>
      </c>
      <c r="AI64">
        <f t="shared" si="25"/>
        <v>-0.15194473618369847</v>
      </c>
      <c r="AJ64">
        <f t="shared" si="26"/>
        <v>-73160.384911447778</v>
      </c>
      <c r="AK64">
        <f t="shared" si="27"/>
        <v>-46350.025041485191</v>
      </c>
      <c r="AL64">
        <f t="shared" si="28"/>
        <v>-14841.199604753003</v>
      </c>
      <c r="AM64" s="1">
        <f t="shared" si="29"/>
        <v>30097.255662101816</v>
      </c>
      <c r="AN64" s="1">
        <f t="shared" si="6"/>
        <v>-220858.5058403158</v>
      </c>
      <c r="AO64">
        <f t="shared" si="7"/>
        <v>0.22841848114932017</v>
      </c>
      <c r="AP64">
        <f t="shared" si="8"/>
        <v>4.4420429575112852</v>
      </c>
    </row>
    <row r="65" spans="1:42" x14ac:dyDescent="0.25">
      <c r="A65" s="4">
        <v>46003</v>
      </c>
      <c r="B65">
        <f t="shared" ref="B65:N65" si="90">(B615-B614)*100</f>
        <v>1.0000000000000231</v>
      </c>
      <c r="C65">
        <f t="shared" si="90"/>
        <v>0.99999999999997868</v>
      </c>
      <c r="D65">
        <f t="shared" si="90"/>
        <v>3.0000000000000249</v>
      </c>
      <c r="E65">
        <f t="shared" si="90"/>
        <v>2.9999999999999805</v>
      </c>
      <c r="F65">
        <f t="shared" si="90"/>
        <v>4.0000000000000036</v>
      </c>
      <c r="G65">
        <f t="shared" si="90"/>
        <v>2.0000000000000018</v>
      </c>
      <c r="H65">
        <f t="shared" si="90"/>
        <v>0</v>
      </c>
      <c r="I65">
        <f t="shared" si="90"/>
        <v>-3.0000000000000249</v>
      </c>
      <c r="J65">
        <f t="shared" si="90"/>
        <v>-2.9999999999999805</v>
      </c>
      <c r="K65">
        <f t="shared" si="90"/>
        <v>-4.0000000000000036</v>
      </c>
      <c r="L65">
        <f t="shared" si="90"/>
        <v>-5.0000000000000711</v>
      </c>
      <c r="M65">
        <f t="shared" si="90"/>
        <v>-7.0000000000000284</v>
      </c>
      <c r="N65">
        <f t="shared" si="90"/>
        <v>-5.9999999999999609</v>
      </c>
      <c r="O65" s="5">
        <f t="shared" ref="O65:S74" si="91">LN(O614/O615)</f>
        <v>-4.1758343047595091E-3</v>
      </c>
      <c r="P65" s="5">
        <f t="shared" si="91"/>
        <v>4.550877174610191E-4</v>
      </c>
      <c r="Q65" s="5">
        <f t="shared" si="91"/>
        <v>-7.7028340164428067E-3</v>
      </c>
      <c r="R65" s="5">
        <f t="shared" si="91"/>
        <v>-2.9686804433560544E-4</v>
      </c>
      <c r="S65" s="5">
        <f t="shared" si="91"/>
        <v>0</v>
      </c>
      <c r="U65" s="4">
        <v>46003</v>
      </c>
      <c r="V65">
        <f t="shared" si="12"/>
        <v>-4000.0000000000923</v>
      </c>
      <c r="W65">
        <f t="shared" si="13"/>
        <v>-2222.9999999999527</v>
      </c>
      <c r="X65">
        <f t="shared" si="14"/>
        <v>13770.000000000115</v>
      </c>
      <c r="Y65">
        <f t="shared" si="15"/>
        <v>-10334.999999999933</v>
      </c>
      <c r="Z65">
        <f t="shared" si="16"/>
        <v>21740.000000000018</v>
      </c>
      <c r="AA65">
        <f t="shared" si="17"/>
        <v>-4000.0000000000036</v>
      </c>
      <c r="AB65">
        <f t="shared" si="18"/>
        <v>0</v>
      </c>
      <c r="AC65">
        <f t="shared" si="19"/>
        <v>6669.0000000000555</v>
      </c>
      <c r="AD65">
        <f t="shared" si="20"/>
        <v>301631.99999999802</v>
      </c>
      <c r="AE65">
        <f t="shared" si="21"/>
        <v>-4.0000000000000036</v>
      </c>
      <c r="AF65">
        <f t="shared" si="22"/>
        <v>-251615.00000000358</v>
      </c>
      <c r="AG65">
        <f t="shared" si="23"/>
        <v>-177261.00000000073</v>
      </c>
      <c r="AH65">
        <f t="shared" si="24"/>
        <v>-5.9999999999999609</v>
      </c>
      <c r="AI65">
        <f t="shared" si="25"/>
        <v>-0.41758343047595092</v>
      </c>
      <c r="AJ65">
        <f t="shared" si="26"/>
        <v>-4550.8771746101911</v>
      </c>
      <c r="AK65">
        <f t="shared" si="27"/>
        <v>-77028.340164428068</v>
      </c>
      <c r="AL65">
        <f t="shared" si="28"/>
        <v>7421.7011083901361</v>
      </c>
      <c r="AM65" s="1">
        <f t="shared" si="29"/>
        <v>0</v>
      </c>
      <c r="AN65" s="1">
        <f t="shared" si="6"/>
        <v>-179790.93381408465</v>
      </c>
      <c r="AO65">
        <f t="shared" si="7"/>
        <v>-2.4557528827411765</v>
      </c>
      <c r="AP65">
        <f t="shared" si="8"/>
        <v>5.1093513805493691</v>
      </c>
    </row>
    <row r="66" spans="1:42" x14ac:dyDescent="0.25">
      <c r="A66" s="4">
        <v>46002</v>
      </c>
      <c r="B66">
        <f t="shared" ref="B66:N66" si="92">(B616-B615)*100</f>
        <v>2.0000000000000018</v>
      </c>
      <c r="C66">
        <f t="shared" si="92"/>
        <v>-0.99999999999997868</v>
      </c>
      <c r="D66">
        <f t="shared" si="92"/>
        <v>2.9999999999999805</v>
      </c>
      <c r="E66">
        <f t="shared" si="92"/>
        <v>2.0000000000000018</v>
      </c>
      <c r="F66">
        <f t="shared" si="92"/>
        <v>4.0000000000000036</v>
      </c>
      <c r="G66">
        <f t="shared" si="92"/>
        <v>2.0000000000000018</v>
      </c>
      <c r="H66">
        <f t="shared" si="92"/>
        <v>2.0000000000000018</v>
      </c>
      <c r="I66">
        <f t="shared" si="92"/>
        <v>1.0000000000000231</v>
      </c>
      <c r="J66">
        <f t="shared" si="92"/>
        <v>0</v>
      </c>
      <c r="K66">
        <f t="shared" si="92"/>
        <v>0.99999999999997868</v>
      </c>
      <c r="L66">
        <f t="shared" si="92"/>
        <v>-0.99999999999997868</v>
      </c>
      <c r="M66">
        <f t="shared" si="92"/>
        <v>-0.99999999999997868</v>
      </c>
      <c r="N66">
        <f t="shared" si="92"/>
        <v>-0.99999999999997868</v>
      </c>
      <c r="O66" s="5">
        <f t="shared" si="91"/>
        <v>-7.6960898565505134E-3</v>
      </c>
      <c r="P66" s="5">
        <f t="shared" si="91"/>
        <v>-1.0131109310703343E-2</v>
      </c>
      <c r="Q66" s="5">
        <f t="shared" si="91"/>
        <v>-3.1336471009513079E-3</v>
      </c>
      <c r="R66" s="5">
        <f t="shared" si="91"/>
        <v>-8.9007571519311723E-4</v>
      </c>
      <c r="S66" s="5">
        <f t="shared" si="91"/>
        <v>-8.1176000319255048E-3</v>
      </c>
      <c r="U66" s="4">
        <v>46002</v>
      </c>
      <c r="V66">
        <f t="shared" si="12"/>
        <v>-8000.0000000000073</v>
      </c>
      <c r="W66">
        <f t="shared" si="13"/>
        <v>2222.9999999999527</v>
      </c>
      <c r="X66">
        <f t="shared" si="14"/>
        <v>13769.999999999911</v>
      </c>
      <c r="Y66">
        <f t="shared" si="15"/>
        <v>-6890.0000000000064</v>
      </c>
      <c r="Z66">
        <f t="shared" si="16"/>
        <v>21740.000000000018</v>
      </c>
      <c r="AA66">
        <f t="shared" si="17"/>
        <v>-4000.0000000000036</v>
      </c>
      <c r="AB66">
        <f t="shared" si="18"/>
        <v>9128.0000000000073</v>
      </c>
      <c r="AC66">
        <f t="shared" si="19"/>
        <v>-2223.0000000000514</v>
      </c>
      <c r="AD66">
        <f t="shared" si="20"/>
        <v>0</v>
      </c>
      <c r="AE66">
        <f t="shared" si="21"/>
        <v>0.99999999999997868</v>
      </c>
      <c r="AF66">
        <f t="shared" si="22"/>
        <v>-50322.99999999893</v>
      </c>
      <c r="AG66">
        <f t="shared" si="23"/>
        <v>-25322.999999999462</v>
      </c>
      <c r="AH66">
        <f t="shared" si="24"/>
        <v>-0.99999999999997868</v>
      </c>
      <c r="AI66">
        <f t="shared" si="25"/>
        <v>-0.76960898565505131</v>
      </c>
      <c r="AJ66">
        <f t="shared" si="26"/>
        <v>101311.09310703342</v>
      </c>
      <c r="AK66">
        <f t="shared" si="27"/>
        <v>-31336.471009513079</v>
      </c>
      <c r="AL66">
        <f t="shared" si="28"/>
        <v>22251.89287982793</v>
      </c>
      <c r="AM66" s="1">
        <f t="shared" si="29"/>
        <v>81176.00031925505</v>
      </c>
      <c r="AN66" s="1">
        <f t="shared" si="6"/>
        <v>123503.74568761908</v>
      </c>
      <c r="AO66">
        <f t="shared" si="7"/>
        <v>-1.7021509118314435</v>
      </c>
      <c r="AP66">
        <f t="shared" si="8"/>
        <v>5.0895601564233814</v>
      </c>
    </row>
    <row r="67" spans="1:42" x14ac:dyDescent="0.25">
      <c r="A67" s="4">
        <v>46001</v>
      </c>
      <c r="B67">
        <f t="shared" ref="B67:N67" si="93">(B617-B616)*100</f>
        <v>2.0000000000000018</v>
      </c>
      <c r="C67">
        <f t="shared" si="93"/>
        <v>2.9999999999999805</v>
      </c>
      <c r="D67">
        <f t="shared" si="93"/>
        <v>4.0000000000000036</v>
      </c>
      <c r="E67">
        <f t="shared" si="93"/>
        <v>4.0000000000000036</v>
      </c>
      <c r="F67">
        <f t="shared" si="93"/>
        <v>4.0000000000000036</v>
      </c>
      <c r="G67">
        <f t="shared" si="93"/>
        <v>4.9999999999999822</v>
      </c>
      <c r="H67">
        <f t="shared" si="93"/>
        <v>6.999999999999984</v>
      </c>
      <c r="I67">
        <f t="shared" si="93"/>
        <v>6.0000000000000053</v>
      </c>
      <c r="J67">
        <f t="shared" si="93"/>
        <v>5.9999999999999609</v>
      </c>
      <c r="K67">
        <f t="shared" si="93"/>
        <v>4.0000000000000036</v>
      </c>
      <c r="L67">
        <f t="shared" si="93"/>
        <v>4.9999999999999822</v>
      </c>
      <c r="M67">
        <f t="shared" si="93"/>
        <v>2.9999999999999361</v>
      </c>
      <c r="N67">
        <f t="shared" si="93"/>
        <v>1.9999999999999574</v>
      </c>
      <c r="O67" s="5">
        <f t="shared" si="91"/>
        <v>1.574803475066391E-3</v>
      </c>
      <c r="P67" s="5">
        <f t="shared" si="91"/>
        <v>-6.671623723561765E-3</v>
      </c>
      <c r="Q67" s="5">
        <f t="shared" si="91"/>
        <v>7.4394872360198589E-3</v>
      </c>
      <c r="R67" s="5">
        <f t="shared" si="91"/>
        <v>2.672607381476478E-3</v>
      </c>
      <c r="S67" s="5">
        <f t="shared" si="91"/>
        <v>-5.2234683367113964E-4</v>
      </c>
      <c r="U67" s="4">
        <v>46001</v>
      </c>
      <c r="V67">
        <f t="shared" si="12"/>
        <v>-8000.0000000000073</v>
      </c>
      <c r="W67">
        <f t="shared" si="13"/>
        <v>-6668.9999999999563</v>
      </c>
      <c r="X67">
        <f t="shared" si="14"/>
        <v>18360.000000000015</v>
      </c>
      <c r="Y67">
        <f t="shared" si="15"/>
        <v>-13780.000000000013</v>
      </c>
      <c r="Z67">
        <f t="shared" si="16"/>
        <v>21740.000000000018</v>
      </c>
      <c r="AA67">
        <f t="shared" si="17"/>
        <v>-9999.9999999999636</v>
      </c>
      <c r="AB67">
        <f t="shared" si="18"/>
        <v>31947.999999999927</v>
      </c>
      <c r="AC67">
        <f t="shared" si="19"/>
        <v>-13338.000000000013</v>
      </c>
      <c r="AD67">
        <f t="shared" si="20"/>
        <v>-603263.99999999604</v>
      </c>
      <c r="AE67">
        <f t="shared" si="21"/>
        <v>4.0000000000000036</v>
      </c>
      <c r="AF67">
        <f t="shared" si="22"/>
        <v>251614.9999999991</v>
      </c>
      <c r="AG67">
        <f t="shared" si="23"/>
        <v>75968.999999998385</v>
      </c>
      <c r="AH67">
        <f t="shared" si="24"/>
        <v>1.9999999999999574</v>
      </c>
      <c r="AI67">
        <f t="shared" si="25"/>
        <v>0.15748034750663911</v>
      </c>
      <c r="AJ67">
        <f t="shared" si="26"/>
        <v>66716.237235617649</v>
      </c>
      <c r="AK67">
        <f t="shared" si="27"/>
        <v>74394.872360198584</v>
      </c>
      <c r="AL67">
        <f t="shared" si="28"/>
        <v>-66815.184536911955</v>
      </c>
      <c r="AM67" s="1">
        <f t="shared" si="29"/>
        <v>5223.4683367113967</v>
      </c>
      <c r="AN67" s="1">
        <f t="shared" si="6"/>
        <v>-175893.44912403543</v>
      </c>
      <c r="AO67">
        <f t="shared" si="7"/>
        <v>-1.6994233686537834</v>
      </c>
      <c r="AP67">
        <f t="shared" si="8"/>
        <v>5.1336653575417799</v>
      </c>
    </row>
    <row r="68" spans="1:42" x14ac:dyDescent="0.25">
      <c r="A68" s="4">
        <v>46000</v>
      </c>
      <c r="B68">
        <f t="shared" ref="B68:N68" si="94">(B618-B617)*100</f>
        <v>0.99999999999997868</v>
      </c>
      <c r="C68">
        <f t="shared" si="94"/>
        <v>0</v>
      </c>
      <c r="D68">
        <f t="shared" si="94"/>
        <v>0</v>
      </c>
      <c r="E68">
        <f t="shared" si="94"/>
        <v>0</v>
      </c>
      <c r="F68">
        <f t="shared" si="94"/>
        <v>-1.0000000000000231</v>
      </c>
      <c r="G68">
        <f t="shared" si="94"/>
        <v>-2.0000000000000018</v>
      </c>
      <c r="H68">
        <f t="shared" si="94"/>
        <v>-4.0000000000000036</v>
      </c>
      <c r="I68">
        <f t="shared" si="94"/>
        <v>-3.0000000000000249</v>
      </c>
      <c r="J68">
        <f t="shared" si="94"/>
        <v>-2.9999999999999805</v>
      </c>
      <c r="K68">
        <f t="shared" si="94"/>
        <v>-2.0000000000000018</v>
      </c>
      <c r="L68">
        <f t="shared" si="94"/>
        <v>-0.99999999999997868</v>
      </c>
      <c r="M68">
        <f t="shared" si="94"/>
        <v>1.0000000000000675</v>
      </c>
      <c r="N68">
        <f t="shared" si="94"/>
        <v>0.99999999999997868</v>
      </c>
      <c r="O68" s="5">
        <f t="shared" si="91"/>
        <v>5.9000474425286364E-3</v>
      </c>
      <c r="P68" s="5">
        <f t="shared" si="91"/>
        <v>6.3591155827857201E-3</v>
      </c>
      <c r="Q68" s="5">
        <f t="shared" si="91"/>
        <v>2.0346329720407901E-3</v>
      </c>
      <c r="R68" s="5">
        <f t="shared" si="91"/>
        <v>0</v>
      </c>
      <c r="S68" s="5">
        <f t="shared" si="91"/>
        <v>-3.5118753821860053E-3</v>
      </c>
      <c r="U68" s="4">
        <v>46000</v>
      </c>
      <c r="V68">
        <f t="shared" si="12"/>
        <v>-3999.9999999999145</v>
      </c>
      <c r="W68">
        <f t="shared" si="13"/>
        <v>0</v>
      </c>
      <c r="X68">
        <f t="shared" si="14"/>
        <v>0</v>
      </c>
      <c r="Y68">
        <f t="shared" si="15"/>
        <v>0</v>
      </c>
      <c r="Z68">
        <f t="shared" si="16"/>
        <v>-5435.0000000001255</v>
      </c>
      <c r="AA68">
        <f t="shared" si="17"/>
        <v>4000.0000000000036</v>
      </c>
      <c r="AB68">
        <f t="shared" si="18"/>
        <v>-18256.000000000015</v>
      </c>
      <c r="AC68">
        <f t="shared" si="19"/>
        <v>6669.0000000000555</v>
      </c>
      <c r="AD68">
        <f t="shared" si="20"/>
        <v>301631.99999999802</v>
      </c>
      <c r="AE68">
        <f t="shared" si="21"/>
        <v>-2.0000000000000018</v>
      </c>
      <c r="AF68">
        <f t="shared" si="22"/>
        <v>-50322.99999999893</v>
      </c>
      <c r="AG68">
        <f t="shared" si="23"/>
        <v>25323.00000000171</v>
      </c>
      <c r="AH68">
        <f t="shared" si="24"/>
        <v>0.99999999999997868</v>
      </c>
      <c r="AI68">
        <f t="shared" si="25"/>
        <v>0.59000474425286364</v>
      </c>
      <c r="AJ68">
        <f t="shared" si="26"/>
        <v>-63591.155827857205</v>
      </c>
      <c r="AK68">
        <f t="shared" si="27"/>
        <v>20346.329720407899</v>
      </c>
      <c r="AL68">
        <f t="shared" si="28"/>
        <v>0</v>
      </c>
      <c r="AM68" s="1">
        <f t="shared" si="29"/>
        <v>35118.753821860053</v>
      </c>
      <c r="AN68" s="1">
        <f t="shared" si="6"/>
        <v>251483.51771915582</v>
      </c>
      <c r="AO68">
        <f t="shared" si="7"/>
        <v>13.46026768034606</v>
      </c>
      <c r="AP68">
        <f t="shared" si="8"/>
        <v>5.129148701288246</v>
      </c>
    </row>
    <row r="69" spans="1:42" x14ac:dyDescent="0.25">
      <c r="A69" s="4">
        <v>45999</v>
      </c>
      <c r="B69">
        <f t="shared" ref="B69:N69" si="95">(B619-B618)*100</f>
        <v>0</v>
      </c>
      <c r="C69">
        <f t="shared" si="95"/>
        <v>-0.99999999999997868</v>
      </c>
      <c r="D69">
        <f t="shared" si="95"/>
        <v>-2.0000000000000018</v>
      </c>
      <c r="E69">
        <f t="shared" si="95"/>
        <v>0</v>
      </c>
      <c r="F69">
        <f t="shared" si="95"/>
        <v>-0.99999999999997868</v>
      </c>
      <c r="G69">
        <f t="shared" si="95"/>
        <v>0</v>
      </c>
      <c r="H69">
        <f t="shared" si="95"/>
        <v>-0.99999999999997868</v>
      </c>
      <c r="I69">
        <f t="shared" si="95"/>
        <v>0</v>
      </c>
      <c r="J69">
        <f t="shared" si="95"/>
        <v>-2.9999999999999805</v>
      </c>
      <c r="K69">
        <f t="shared" si="95"/>
        <v>-4.0000000000000036</v>
      </c>
      <c r="L69">
        <f t="shared" si="95"/>
        <v>-3.0000000000000249</v>
      </c>
      <c r="M69">
        <f t="shared" si="95"/>
        <v>-3.0000000000000249</v>
      </c>
      <c r="N69">
        <f t="shared" si="95"/>
        <v>-1.9999999999999574</v>
      </c>
      <c r="O69" s="5">
        <f t="shared" si="91"/>
        <v>1.5681058534967617E-2</v>
      </c>
      <c r="P69" s="5">
        <f t="shared" si="91"/>
        <v>0</v>
      </c>
      <c r="Q69" s="5">
        <f t="shared" si="91"/>
        <v>0</v>
      </c>
      <c r="R69" s="5">
        <f t="shared" si="91"/>
        <v>0</v>
      </c>
      <c r="S69" s="5">
        <f t="shared" si="91"/>
        <v>4.0342222158570827E-3</v>
      </c>
      <c r="U69" s="4">
        <v>45999</v>
      </c>
      <c r="V69">
        <f t="shared" si="12"/>
        <v>0</v>
      </c>
      <c r="W69">
        <f t="shared" si="13"/>
        <v>2222.9999999999527</v>
      </c>
      <c r="X69">
        <f t="shared" si="14"/>
        <v>-9180.0000000000073</v>
      </c>
      <c r="Y69">
        <f t="shared" si="15"/>
        <v>0</v>
      </c>
      <c r="Z69">
        <f t="shared" si="16"/>
        <v>-5434.9999999998845</v>
      </c>
      <c r="AA69">
        <f t="shared" si="17"/>
        <v>0</v>
      </c>
      <c r="AB69">
        <f t="shared" si="18"/>
        <v>-4563.9999999999027</v>
      </c>
      <c r="AC69">
        <f t="shared" si="19"/>
        <v>0</v>
      </c>
      <c r="AD69">
        <f t="shared" si="20"/>
        <v>301631.99999999802</v>
      </c>
      <c r="AE69">
        <f t="shared" si="21"/>
        <v>-4.0000000000000036</v>
      </c>
      <c r="AF69">
        <f t="shared" si="22"/>
        <v>-150969.00000000125</v>
      </c>
      <c r="AG69">
        <f t="shared" si="23"/>
        <v>-75969.000000000626</v>
      </c>
      <c r="AH69">
        <f t="shared" si="24"/>
        <v>-1.9999999999999574</v>
      </c>
      <c r="AI69">
        <f t="shared" si="25"/>
        <v>1.5681058534967616</v>
      </c>
      <c r="AJ69">
        <f t="shared" si="26"/>
        <v>0</v>
      </c>
      <c r="AK69">
        <f t="shared" si="27"/>
        <v>0</v>
      </c>
      <c r="AL69">
        <f t="shared" si="28"/>
        <v>0</v>
      </c>
      <c r="AM69" s="1">
        <f t="shared" si="29"/>
        <v>-40342.222158570825</v>
      </c>
      <c r="AN69" s="1">
        <f t="shared" si="6"/>
        <v>17391.345947278991</v>
      </c>
      <c r="AO69">
        <f t="shared" si="7"/>
        <v>-0.72145143978751758</v>
      </c>
      <c r="AP69">
        <f t="shared" si="8"/>
        <v>4.0463722767666468</v>
      </c>
    </row>
    <row r="70" spans="1:42" x14ac:dyDescent="0.25">
      <c r="A70" s="4">
        <v>45996</v>
      </c>
      <c r="B70">
        <f t="shared" ref="B70:N70" si="96">(B620-B619)*100</f>
        <v>1.0000000000000231</v>
      </c>
      <c r="C70">
        <f t="shared" si="96"/>
        <v>0.99999999999997868</v>
      </c>
      <c r="D70">
        <f t="shared" si="96"/>
        <v>0</v>
      </c>
      <c r="E70">
        <f t="shared" si="96"/>
        <v>0</v>
      </c>
      <c r="F70">
        <f t="shared" si="96"/>
        <v>0.99999999999997868</v>
      </c>
      <c r="G70">
        <f t="shared" si="96"/>
        <v>-0.99999999999997868</v>
      </c>
      <c r="H70">
        <f t="shared" si="96"/>
        <v>-4.0000000000000036</v>
      </c>
      <c r="I70">
        <f t="shared" si="96"/>
        <v>-4.0000000000000036</v>
      </c>
      <c r="J70">
        <f t="shared" si="96"/>
        <v>-4.0000000000000036</v>
      </c>
      <c r="K70">
        <f t="shared" si="96"/>
        <v>-2.9999999999999805</v>
      </c>
      <c r="L70">
        <f t="shared" si="96"/>
        <v>-2.9999999999999361</v>
      </c>
      <c r="M70">
        <f t="shared" si="96"/>
        <v>-3.0000000000000249</v>
      </c>
      <c r="N70">
        <f t="shared" si="96"/>
        <v>-3.0000000000000249</v>
      </c>
      <c r="O70" s="5">
        <f t="shared" si="91"/>
        <v>8.519012320504598E-3</v>
      </c>
      <c r="P70" s="5">
        <f t="shared" si="91"/>
        <v>1.0654132688297045E-2</v>
      </c>
      <c r="Q70" s="5">
        <f t="shared" si="91"/>
        <v>-1.4257652297438056E-3</v>
      </c>
      <c r="R70" s="5">
        <f t="shared" si="91"/>
        <v>5.9488401516380831E-4</v>
      </c>
      <c r="S70" s="5">
        <f t="shared" si="91"/>
        <v>-3.1025825724231011E-3</v>
      </c>
      <c r="U70" s="4">
        <v>45996</v>
      </c>
      <c r="V70">
        <f t="shared" si="12"/>
        <v>-4000.0000000000923</v>
      </c>
      <c r="W70">
        <f t="shared" si="13"/>
        <v>-2222.9999999999527</v>
      </c>
      <c r="X70">
        <f t="shared" si="14"/>
        <v>0</v>
      </c>
      <c r="Y70">
        <f t="shared" si="15"/>
        <v>0</v>
      </c>
      <c r="Z70">
        <f t="shared" si="16"/>
        <v>5434.9999999998845</v>
      </c>
      <c r="AA70">
        <f t="shared" si="17"/>
        <v>1999.9999999999573</v>
      </c>
      <c r="AB70">
        <f t="shared" si="18"/>
        <v>-18256.000000000015</v>
      </c>
      <c r="AC70">
        <f t="shared" si="19"/>
        <v>8892.0000000000073</v>
      </c>
      <c r="AD70">
        <f t="shared" si="20"/>
        <v>402176.00000000035</v>
      </c>
      <c r="AE70">
        <f t="shared" si="21"/>
        <v>-2.9999999999999805</v>
      </c>
      <c r="AF70">
        <f t="shared" si="22"/>
        <v>-150968.99999999677</v>
      </c>
      <c r="AG70">
        <f t="shared" si="23"/>
        <v>-75969.000000000626</v>
      </c>
      <c r="AH70">
        <f t="shared" si="24"/>
        <v>-3.0000000000000249</v>
      </c>
      <c r="AI70">
        <f t="shared" si="25"/>
        <v>0.85190123205045976</v>
      </c>
      <c r="AJ70">
        <f t="shared" si="26"/>
        <v>-106541.32688297045</v>
      </c>
      <c r="AK70">
        <f t="shared" si="27"/>
        <v>-14257.652297438057</v>
      </c>
      <c r="AL70">
        <f t="shared" si="28"/>
        <v>-14872.100379095207</v>
      </c>
      <c r="AM70" s="1">
        <f t="shared" si="29"/>
        <v>31025.82572423101</v>
      </c>
      <c r="AN70" s="1">
        <f t="shared" ref="AN70:AN133" si="97">SUM(V70:AM70)</f>
        <v>62435.598065962098</v>
      </c>
      <c r="AO70">
        <f t="shared" ref="AO70:AO133" si="98">AN70/AN71-1</f>
        <v>-0.47316394577064491</v>
      </c>
      <c r="AP70">
        <f t="shared" ref="AP70:AP133" si="99">STDEV(AO70:AO90)</f>
        <v>4.0565465002696071</v>
      </c>
    </row>
    <row r="71" spans="1:42" x14ac:dyDescent="0.25">
      <c r="A71" s="4">
        <v>45995</v>
      </c>
      <c r="B71">
        <f t="shared" ref="B71:N71" si="100">(B621-B620)*100</f>
        <v>0</v>
      </c>
      <c r="C71">
        <f t="shared" si="100"/>
        <v>0</v>
      </c>
      <c r="D71">
        <f t="shared" si="100"/>
        <v>1.0000000000000231</v>
      </c>
      <c r="E71">
        <f t="shared" si="100"/>
        <v>0</v>
      </c>
      <c r="F71">
        <f t="shared" si="100"/>
        <v>-0.99999999999997868</v>
      </c>
      <c r="G71">
        <f t="shared" si="100"/>
        <v>-3.0000000000000249</v>
      </c>
      <c r="H71">
        <f t="shared" si="100"/>
        <v>-2.9999999999999805</v>
      </c>
      <c r="I71">
        <f t="shared" si="100"/>
        <v>-4.9999999999999822</v>
      </c>
      <c r="J71">
        <f t="shared" si="100"/>
        <v>-6.0000000000000053</v>
      </c>
      <c r="K71">
        <f t="shared" si="100"/>
        <v>-5.0000000000000266</v>
      </c>
      <c r="L71">
        <f t="shared" si="100"/>
        <v>-5.0000000000000711</v>
      </c>
      <c r="M71">
        <f t="shared" si="100"/>
        <v>-4.0000000000000036</v>
      </c>
      <c r="N71">
        <f t="shared" si="100"/>
        <v>-2.9999999999999361</v>
      </c>
      <c r="O71" s="5">
        <f t="shared" si="91"/>
        <v>-3.0548769750266889E-3</v>
      </c>
      <c r="P71" s="5">
        <f t="shared" si="91"/>
        <v>1.0236965960350545E-2</v>
      </c>
      <c r="Q71" s="5">
        <f t="shared" si="91"/>
        <v>-6.4071163388198316E-3</v>
      </c>
      <c r="R71" s="5">
        <f t="shared" si="91"/>
        <v>-2.9748624345523331E-4</v>
      </c>
      <c r="S71" s="5">
        <f t="shared" si="91"/>
        <v>-2.4587460740848241E-3</v>
      </c>
      <c r="U71" s="4">
        <v>45995</v>
      </c>
      <c r="V71">
        <f t="shared" si="12"/>
        <v>0</v>
      </c>
      <c r="W71">
        <f t="shared" si="13"/>
        <v>0</v>
      </c>
      <c r="X71">
        <f t="shared" si="14"/>
        <v>4590.0000000001064</v>
      </c>
      <c r="Y71">
        <f t="shared" si="15"/>
        <v>0</v>
      </c>
      <c r="Z71">
        <f t="shared" si="16"/>
        <v>-5434.9999999998845</v>
      </c>
      <c r="AA71">
        <f t="shared" si="17"/>
        <v>6000.00000000005</v>
      </c>
      <c r="AB71">
        <f t="shared" si="18"/>
        <v>-13691.999999999911</v>
      </c>
      <c r="AC71">
        <f t="shared" si="19"/>
        <v>11114.99999999996</v>
      </c>
      <c r="AD71">
        <f t="shared" si="20"/>
        <v>603264.00000000058</v>
      </c>
      <c r="AE71">
        <f t="shared" si="21"/>
        <v>-5.0000000000000266</v>
      </c>
      <c r="AF71">
        <f t="shared" si="22"/>
        <v>-251615.00000000358</v>
      </c>
      <c r="AG71">
        <f t="shared" si="23"/>
        <v>-101292.00000000009</v>
      </c>
      <c r="AH71">
        <f t="shared" si="24"/>
        <v>-2.9999999999999361</v>
      </c>
      <c r="AI71">
        <f t="shared" si="25"/>
        <v>-0.30548769750266891</v>
      </c>
      <c r="AJ71">
        <f t="shared" si="26"/>
        <v>-102369.65960350544</v>
      </c>
      <c r="AK71">
        <f t="shared" si="27"/>
        <v>-64071.163388198314</v>
      </c>
      <c r="AL71">
        <f t="shared" si="28"/>
        <v>7437.1560863808327</v>
      </c>
      <c r="AM71" s="1">
        <f t="shared" si="29"/>
        <v>24587.460740848241</v>
      </c>
      <c r="AN71" s="1">
        <f t="shared" si="97"/>
        <v>118510.48834782503</v>
      </c>
      <c r="AO71">
        <f t="shared" si="98"/>
        <v>-2.4438784583008863</v>
      </c>
      <c r="AP71">
        <f t="shared" si="99"/>
        <v>4.1674244184670126</v>
      </c>
    </row>
    <row r="72" spans="1:42" x14ac:dyDescent="0.25">
      <c r="A72" s="4">
        <v>45994</v>
      </c>
      <c r="B72">
        <f t="shared" ref="B72:N72" si="101">(B622-B621)*100</f>
        <v>6.999999999999984</v>
      </c>
      <c r="C72">
        <f t="shared" si="101"/>
        <v>5.0000000000000266</v>
      </c>
      <c r="D72">
        <f t="shared" si="101"/>
        <v>4.9999999999999822</v>
      </c>
      <c r="E72">
        <f t="shared" si="101"/>
        <v>4.9999999999999822</v>
      </c>
      <c r="F72">
        <f t="shared" si="101"/>
        <v>4.0000000000000036</v>
      </c>
      <c r="G72">
        <f t="shared" si="101"/>
        <v>2.0000000000000018</v>
      </c>
      <c r="H72">
        <f t="shared" si="101"/>
        <v>1.9999999999999574</v>
      </c>
      <c r="I72">
        <f t="shared" si="101"/>
        <v>4.0000000000000036</v>
      </c>
      <c r="J72">
        <f t="shared" si="101"/>
        <v>4.0000000000000036</v>
      </c>
      <c r="K72">
        <f t="shared" si="101"/>
        <v>3.0000000000000249</v>
      </c>
      <c r="L72">
        <f t="shared" si="101"/>
        <v>3.0000000000000249</v>
      </c>
      <c r="M72">
        <f t="shared" si="101"/>
        <v>2.0000000000000462</v>
      </c>
      <c r="N72">
        <f t="shared" si="101"/>
        <v>0.99999999999997868</v>
      </c>
      <c r="O72" s="5">
        <f t="shared" si="91"/>
        <v>-6.5870580566765695E-3</v>
      </c>
      <c r="P72" s="5">
        <f t="shared" si="91"/>
        <v>-1.252394302275372E-2</v>
      </c>
      <c r="Q72" s="5">
        <f t="shared" si="91"/>
        <v>-2.7841944905614402E-3</v>
      </c>
      <c r="R72" s="5">
        <f t="shared" si="91"/>
        <v>-1.486105192513497E-3</v>
      </c>
      <c r="S72" s="5">
        <f t="shared" si="91"/>
        <v>6.5634024702008724E-5</v>
      </c>
      <c r="U72" s="4">
        <v>45994</v>
      </c>
      <c r="V72">
        <f t="shared" si="12"/>
        <v>-27999.999999999935</v>
      </c>
      <c r="W72">
        <f t="shared" si="13"/>
        <v>-11115.00000000006</v>
      </c>
      <c r="X72">
        <f t="shared" si="14"/>
        <v>22949.99999999992</v>
      </c>
      <c r="Y72">
        <f t="shared" si="15"/>
        <v>-17224.999999999938</v>
      </c>
      <c r="Z72">
        <f t="shared" si="16"/>
        <v>21740.000000000018</v>
      </c>
      <c r="AA72">
        <f t="shared" si="17"/>
        <v>-4000.0000000000036</v>
      </c>
      <c r="AB72">
        <f t="shared" si="18"/>
        <v>9127.9999999998054</v>
      </c>
      <c r="AC72">
        <f t="shared" si="19"/>
        <v>-8892.0000000000073</v>
      </c>
      <c r="AD72">
        <f t="shared" si="20"/>
        <v>-402176.00000000035</v>
      </c>
      <c r="AE72">
        <f t="shared" si="21"/>
        <v>3.0000000000000249</v>
      </c>
      <c r="AF72">
        <f t="shared" si="22"/>
        <v>150969.00000000125</v>
      </c>
      <c r="AG72">
        <f t="shared" si="23"/>
        <v>50646.000000001171</v>
      </c>
      <c r="AH72">
        <f t="shared" si="24"/>
        <v>0.99999999999997868</v>
      </c>
      <c r="AI72">
        <f t="shared" si="25"/>
        <v>-0.65870580566765691</v>
      </c>
      <c r="AJ72">
        <f t="shared" si="26"/>
        <v>125239.4302275372</v>
      </c>
      <c r="AK72">
        <f t="shared" si="27"/>
        <v>-27841.944905614404</v>
      </c>
      <c r="AL72">
        <f t="shared" si="28"/>
        <v>37152.629812837426</v>
      </c>
      <c r="AM72" s="1">
        <f t="shared" si="29"/>
        <v>-656.34024702008719</v>
      </c>
      <c r="AN72" s="1">
        <f t="shared" si="97"/>
        <v>-82077.883818063667</v>
      </c>
      <c r="AO72">
        <f t="shared" si="98"/>
        <v>1.118187037850094</v>
      </c>
      <c r="AP72">
        <f t="shared" si="99"/>
        <v>4.2669501829678804</v>
      </c>
    </row>
    <row r="73" spans="1:42" x14ac:dyDescent="0.25">
      <c r="A73" s="4">
        <v>45993</v>
      </c>
      <c r="B73">
        <f t="shared" ref="B73:N73" si="102">(B623-B622)*100</f>
        <v>8.0000000000000071</v>
      </c>
      <c r="C73">
        <f t="shared" si="102"/>
        <v>8.9999999999999858</v>
      </c>
      <c r="D73">
        <f t="shared" si="102"/>
        <v>4.0000000000000036</v>
      </c>
      <c r="E73">
        <f t="shared" si="102"/>
        <v>4.0000000000000036</v>
      </c>
      <c r="F73">
        <f t="shared" si="102"/>
        <v>2.9999999999999805</v>
      </c>
      <c r="G73">
        <f t="shared" si="102"/>
        <v>3.0000000000000249</v>
      </c>
      <c r="H73">
        <f t="shared" si="102"/>
        <v>3.0000000000000249</v>
      </c>
      <c r="I73">
        <f t="shared" si="102"/>
        <v>0.99999999999997868</v>
      </c>
      <c r="J73">
        <f t="shared" si="102"/>
        <v>0.99999999999997868</v>
      </c>
      <c r="K73">
        <f t="shared" si="102"/>
        <v>0.99999999999997868</v>
      </c>
      <c r="L73">
        <f t="shared" si="102"/>
        <v>0</v>
      </c>
      <c r="M73">
        <f t="shared" si="102"/>
        <v>0.99999999999997868</v>
      </c>
      <c r="N73">
        <f t="shared" si="102"/>
        <v>0</v>
      </c>
      <c r="O73" s="5">
        <f t="shared" si="91"/>
        <v>-7.481669912218012E-5</v>
      </c>
      <c r="P73" s="5">
        <f t="shared" si="91"/>
        <v>-1.2149633528635295E-3</v>
      </c>
      <c r="Q73" s="5">
        <f t="shared" si="91"/>
        <v>-2.2627969344050737E-4</v>
      </c>
      <c r="R73" s="5">
        <f t="shared" si="91"/>
        <v>-1.4838999606715572E-3</v>
      </c>
      <c r="S73" s="5">
        <f t="shared" si="91"/>
        <v>-1.5139551820622481E-3</v>
      </c>
      <c r="U73" s="4">
        <v>45993</v>
      </c>
      <c r="V73">
        <f t="shared" ref="V73:V136" si="103">B73*B$3</f>
        <v>-32000.000000000029</v>
      </c>
      <c r="W73">
        <f t="shared" ref="W73:W136" si="104">C73*C$3</f>
        <v>-20006.999999999967</v>
      </c>
      <c r="X73">
        <f t="shared" ref="X73:X136" si="105">D73*D$3</f>
        <v>18360.000000000015</v>
      </c>
      <c r="Y73">
        <f t="shared" ref="Y73:Y136" si="106">E73*E$3</f>
        <v>-13780.000000000013</v>
      </c>
      <c r="Z73">
        <f t="shared" ref="Z73:Z136" si="107">F73*F$3</f>
        <v>16304.999999999894</v>
      </c>
      <c r="AA73">
        <f t="shared" ref="AA73:AA136" si="108">G73*G$3</f>
        <v>-6000.00000000005</v>
      </c>
      <c r="AB73">
        <f t="shared" ref="AB73:AB136" si="109">H73*H$3</f>
        <v>13692.000000000113</v>
      </c>
      <c r="AC73">
        <f t="shared" ref="AC73:AC136" si="110">I73*I$3</f>
        <v>-2222.9999999999527</v>
      </c>
      <c r="AD73">
        <f t="shared" ref="AD73:AD136" si="111">J73*J$3</f>
        <v>-100543.99999999786</v>
      </c>
      <c r="AE73">
        <f t="shared" ref="AE73:AE136" si="112">K73*K$3</f>
        <v>0.99999999999997868</v>
      </c>
      <c r="AF73">
        <f t="shared" ref="AF73:AF136" si="113">L73*L$3</f>
        <v>0</v>
      </c>
      <c r="AG73">
        <f t="shared" ref="AG73:AG136" si="114">M73*M$3</f>
        <v>25322.999999999462</v>
      </c>
      <c r="AH73">
        <f t="shared" ref="AH73:AH136" si="115">N73*N$3</f>
        <v>0</v>
      </c>
      <c r="AI73">
        <f t="shared" ref="AI73:AI136" si="116">O73*O$3</f>
        <v>-7.4816699122180119E-3</v>
      </c>
      <c r="AJ73">
        <f t="shared" ref="AJ73:AJ136" si="117">P73*P$3</f>
        <v>12149.633528635295</v>
      </c>
      <c r="AK73">
        <f t="shared" ref="AK73:AK136" si="118">Q73*Q$3</f>
        <v>-2262.7969344050739</v>
      </c>
      <c r="AL73">
        <f t="shared" ref="AL73:AL136" si="119">R73*R$3</f>
        <v>37097.499016788926</v>
      </c>
      <c r="AM73" s="1">
        <f t="shared" ref="AM73:AM136" si="120">S73*S$3</f>
        <v>15139.551820622481</v>
      </c>
      <c r="AN73" s="1">
        <f t="shared" si="97"/>
        <v>-38749.120050026664</v>
      </c>
      <c r="AO73">
        <f t="shared" si="98"/>
        <v>-0.29339591758771599</v>
      </c>
      <c r="AP73">
        <f t="shared" si="99"/>
        <v>4.2421556195030243</v>
      </c>
    </row>
    <row r="74" spans="1:42" x14ac:dyDescent="0.25">
      <c r="A74" s="4">
        <v>45992</v>
      </c>
      <c r="B74">
        <f t="shared" ref="B74:N74" si="121">(B624-B623)*100</f>
        <v>6.999999999999984</v>
      </c>
      <c r="C74">
        <f t="shared" si="121"/>
        <v>7.0000000000000284</v>
      </c>
      <c r="D74">
        <f t="shared" si="121"/>
        <v>6.999999999999984</v>
      </c>
      <c r="E74">
        <f t="shared" si="121"/>
        <v>4.0000000000000036</v>
      </c>
      <c r="F74">
        <f t="shared" si="121"/>
        <v>-0.99999999999997868</v>
      </c>
      <c r="G74">
        <f t="shared" si="121"/>
        <v>-1.0000000000000231</v>
      </c>
      <c r="H74">
        <f t="shared" si="121"/>
        <v>-6.999999999999984</v>
      </c>
      <c r="I74">
        <f t="shared" si="121"/>
        <v>-5.9999999999999609</v>
      </c>
      <c r="J74">
        <f t="shared" si="121"/>
        <v>-8.0000000000000071</v>
      </c>
      <c r="K74">
        <f t="shared" si="121"/>
        <v>-8.0000000000000071</v>
      </c>
      <c r="L74">
        <f t="shared" si="121"/>
        <v>-7.0000000000000284</v>
      </c>
      <c r="M74">
        <f t="shared" si="121"/>
        <v>-8.9999999999999858</v>
      </c>
      <c r="N74">
        <f t="shared" si="121"/>
        <v>-7.0000000000000284</v>
      </c>
      <c r="O74" s="5">
        <f t="shared" si="91"/>
        <v>2.4531617811915387E-3</v>
      </c>
      <c r="P74" s="5">
        <f t="shared" si="91"/>
        <v>1.5362088967471182E-2</v>
      </c>
      <c r="Q74" s="5">
        <f t="shared" si="91"/>
        <v>-1.0552954191008254E-3</v>
      </c>
      <c r="R74" s="5">
        <f t="shared" si="91"/>
        <v>2.3752980289074833E-3</v>
      </c>
      <c r="S74" s="5">
        <f t="shared" si="91"/>
        <v>8.1954678188982848E-4</v>
      </c>
      <c r="U74" s="4">
        <v>45992</v>
      </c>
      <c r="V74">
        <f t="shared" si="103"/>
        <v>-27999.999999999935</v>
      </c>
      <c r="W74">
        <f t="shared" si="104"/>
        <v>-15561.000000000064</v>
      </c>
      <c r="X74">
        <f t="shared" si="105"/>
        <v>32129.999999999927</v>
      </c>
      <c r="Y74">
        <f t="shared" si="106"/>
        <v>-13780.000000000013</v>
      </c>
      <c r="Z74">
        <f t="shared" si="107"/>
        <v>-5434.9999999998845</v>
      </c>
      <c r="AA74">
        <f t="shared" si="108"/>
        <v>2000.0000000000462</v>
      </c>
      <c r="AB74">
        <f t="shared" si="109"/>
        <v>-31947.999999999927</v>
      </c>
      <c r="AC74">
        <f t="shared" si="110"/>
        <v>13337.999999999913</v>
      </c>
      <c r="AD74">
        <f t="shared" si="111"/>
        <v>804352.0000000007</v>
      </c>
      <c r="AE74">
        <f t="shared" si="112"/>
        <v>-8.0000000000000071</v>
      </c>
      <c r="AF74">
        <f t="shared" si="113"/>
        <v>-352261.00000000146</v>
      </c>
      <c r="AG74">
        <f t="shared" si="114"/>
        <v>-227906.99999999965</v>
      </c>
      <c r="AH74">
        <f t="shared" si="115"/>
        <v>-7.0000000000000284</v>
      </c>
      <c r="AI74">
        <f t="shared" si="116"/>
        <v>0.24531617811915388</v>
      </c>
      <c r="AJ74">
        <f t="shared" si="117"/>
        <v>-153620.88967471183</v>
      </c>
      <c r="AK74">
        <f t="shared" si="118"/>
        <v>-10552.954191008253</v>
      </c>
      <c r="AL74">
        <f t="shared" si="119"/>
        <v>-59382.450722687085</v>
      </c>
      <c r="AM74" s="1">
        <f t="shared" si="120"/>
        <v>-8195.4678188982853</v>
      </c>
      <c r="AN74" s="1">
        <f t="shared" si="97"/>
        <v>-54838.517091127731</v>
      </c>
      <c r="AO74">
        <f t="shared" si="98"/>
        <v>-1.7906703133344155</v>
      </c>
      <c r="AP74">
        <f t="shared" si="99"/>
        <v>4.2374007573840382</v>
      </c>
    </row>
    <row r="75" spans="1:42" x14ac:dyDescent="0.25">
      <c r="A75" s="4">
        <v>45989</v>
      </c>
      <c r="B75">
        <f t="shared" ref="B75:N75" si="122">(B625-B624)*100</f>
        <v>0.99999999999997868</v>
      </c>
      <c r="C75">
        <f t="shared" si="122"/>
        <v>0.99999999999997868</v>
      </c>
      <c r="D75">
        <f t="shared" si="122"/>
        <v>4.0000000000000036</v>
      </c>
      <c r="E75">
        <f t="shared" si="122"/>
        <v>0</v>
      </c>
      <c r="F75">
        <f t="shared" si="122"/>
        <v>1.9999999999999574</v>
      </c>
      <c r="G75">
        <f t="shared" si="122"/>
        <v>0</v>
      </c>
      <c r="H75">
        <f t="shared" si="122"/>
        <v>-2.0000000000000018</v>
      </c>
      <c r="I75">
        <f t="shared" si="122"/>
        <v>-2.0000000000000018</v>
      </c>
      <c r="J75">
        <f t="shared" si="122"/>
        <v>-2.9999999999999805</v>
      </c>
      <c r="K75">
        <f t="shared" si="122"/>
        <v>-2.9999999999999805</v>
      </c>
      <c r="L75">
        <f t="shared" si="122"/>
        <v>-1.9999999999999574</v>
      </c>
      <c r="M75">
        <f t="shared" si="122"/>
        <v>-2.0000000000000462</v>
      </c>
      <c r="N75">
        <f t="shared" si="122"/>
        <v>-3.0000000000000249</v>
      </c>
      <c r="O75" s="5">
        <f t="shared" ref="O75:S84" si="123">LN(O624/O625)</f>
        <v>-6.6526136259348941E-3</v>
      </c>
      <c r="P75" s="5">
        <f t="shared" si="123"/>
        <v>6.9481840194142519E-3</v>
      </c>
      <c r="Q75" s="5">
        <f t="shared" si="123"/>
        <v>-8.5839276681389572E-3</v>
      </c>
      <c r="R75" s="5">
        <f t="shared" si="123"/>
        <v>-1.1883542693786767E-3</v>
      </c>
      <c r="S75" s="5">
        <f t="shared" si="123"/>
        <v>-2.6310920557416676E-3</v>
      </c>
      <c r="U75" s="4">
        <v>45989</v>
      </c>
      <c r="V75">
        <f t="shared" si="103"/>
        <v>-3999.9999999999145</v>
      </c>
      <c r="W75">
        <f t="shared" si="104"/>
        <v>-2222.9999999999527</v>
      </c>
      <c r="X75">
        <f t="shared" si="105"/>
        <v>18360.000000000015</v>
      </c>
      <c r="Y75">
        <f t="shared" si="106"/>
        <v>0</v>
      </c>
      <c r="Z75">
        <f t="shared" si="107"/>
        <v>10869.999999999769</v>
      </c>
      <c r="AA75">
        <f t="shared" si="108"/>
        <v>0</v>
      </c>
      <c r="AB75">
        <f t="shared" si="109"/>
        <v>-9128.0000000000073</v>
      </c>
      <c r="AC75">
        <f t="shared" si="110"/>
        <v>4446.0000000000036</v>
      </c>
      <c r="AD75">
        <f t="shared" si="111"/>
        <v>301631.99999999802</v>
      </c>
      <c r="AE75">
        <f t="shared" si="112"/>
        <v>-2.9999999999999805</v>
      </c>
      <c r="AF75">
        <f t="shared" si="113"/>
        <v>-100645.99999999786</v>
      </c>
      <c r="AG75">
        <f t="shared" si="114"/>
        <v>-50646.000000001171</v>
      </c>
      <c r="AH75">
        <f t="shared" si="115"/>
        <v>-3.0000000000000249</v>
      </c>
      <c r="AI75">
        <f t="shared" si="116"/>
        <v>-0.66526136259348945</v>
      </c>
      <c r="AJ75">
        <f t="shared" si="117"/>
        <v>-69481.840194142525</v>
      </c>
      <c r="AK75">
        <f t="shared" si="118"/>
        <v>-85839.276681389572</v>
      </c>
      <c r="AL75">
        <f t="shared" si="119"/>
        <v>29708.856734466917</v>
      </c>
      <c r="AM75" s="1">
        <f t="shared" si="120"/>
        <v>26310.920557416677</v>
      </c>
      <c r="AN75" s="1">
        <f t="shared" si="97"/>
        <v>69356.995154987788</v>
      </c>
      <c r="AO75">
        <f t="shared" si="98"/>
        <v>-0.84005374414868172</v>
      </c>
      <c r="AP75">
        <f t="shared" si="99"/>
        <v>4.2507540537888948</v>
      </c>
    </row>
    <row r="76" spans="1:42" x14ac:dyDescent="0.25">
      <c r="A76" s="4">
        <v>45987</v>
      </c>
      <c r="B76">
        <f t="shared" ref="B76:N76" si="124">(B626-B625)*100</f>
        <v>-1.9999999999999574</v>
      </c>
      <c r="C76">
        <f t="shared" si="124"/>
        <v>-2.9999999999999805</v>
      </c>
      <c r="D76">
        <f t="shared" si="124"/>
        <v>-2.0000000000000018</v>
      </c>
      <c r="E76">
        <f t="shared" si="124"/>
        <v>-4.0000000000000036</v>
      </c>
      <c r="F76">
        <f t="shared" si="124"/>
        <v>-0.99999999999997868</v>
      </c>
      <c r="G76">
        <f t="shared" si="124"/>
        <v>-0.99999999999997868</v>
      </c>
      <c r="H76">
        <f t="shared" si="124"/>
        <v>-2.0000000000000018</v>
      </c>
      <c r="I76">
        <f t="shared" si="124"/>
        <v>-1.0000000000000231</v>
      </c>
      <c r="J76">
        <f t="shared" si="124"/>
        <v>-1.0000000000000231</v>
      </c>
      <c r="K76">
        <f t="shared" si="124"/>
        <v>2.0000000000000018</v>
      </c>
      <c r="L76">
        <f t="shared" si="124"/>
        <v>0.99999999999997868</v>
      </c>
      <c r="M76">
        <f t="shared" si="124"/>
        <v>2.0000000000000462</v>
      </c>
      <c r="N76">
        <f t="shared" si="124"/>
        <v>3.0000000000000249</v>
      </c>
      <c r="O76" s="5">
        <f t="shared" si="123"/>
        <v>-2.7341478405945646E-3</v>
      </c>
      <c r="P76" s="5">
        <f t="shared" si="123"/>
        <v>-2.1992898016188461E-2</v>
      </c>
      <c r="Q76" s="5">
        <f t="shared" si="123"/>
        <v>-2.5789689898347021E-3</v>
      </c>
      <c r="R76" s="5">
        <f t="shared" si="123"/>
        <v>-2.9686804433560544E-4</v>
      </c>
      <c r="S76" s="5">
        <f t="shared" si="123"/>
        <v>-2.1619157431923405E-3</v>
      </c>
      <c r="U76" s="4">
        <v>45987</v>
      </c>
      <c r="V76">
        <f t="shared" si="103"/>
        <v>7999.999999999829</v>
      </c>
      <c r="W76">
        <f t="shared" si="104"/>
        <v>6668.9999999999563</v>
      </c>
      <c r="X76">
        <f t="shared" si="105"/>
        <v>-9180.0000000000073</v>
      </c>
      <c r="Y76">
        <f t="shared" si="106"/>
        <v>13780.000000000013</v>
      </c>
      <c r="Z76">
        <f t="shared" si="107"/>
        <v>-5434.9999999998845</v>
      </c>
      <c r="AA76">
        <f t="shared" si="108"/>
        <v>1999.9999999999573</v>
      </c>
      <c r="AB76">
        <f t="shared" si="109"/>
        <v>-9128.0000000000073</v>
      </c>
      <c r="AC76">
        <f t="shared" si="110"/>
        <v>2223.0000000000514</v>
      </c>
      <c r="AD76">
        <f t="shared" si="111"/>
        <v>100544.00000000233</v>
      </c>
      <c r="AE76">
        <f t="shared" si="112"/>
        <v>2.0000000000000018</v>
      </c>
      <c r="AF76">
        <f t="shared" si="113"/>
        <v>50322.99999999893</v>
      </c>
      <c r="AG76">
        <f t="shared" si="114"/>
        <v>50646.000000001171</v>
      </c>
      <c r="AH76">
        <f t="shared" si="115"/>
        <v>3.0000000000000249</v>
      </c>
      <c r="AI76">
        <f t="shared" si="116"/>
        <v>-0.27341478405945646</v>
      </c>
      <c r="AJ76">
        <f t="shared" si="117"/>
        <v>219928.9801618846</v>
      </c>
      <c r="AK76">
        <f t="shared" si="118"/>
        <v>-25789.68989834702</v>
      </c>
      <c r="AL76">
        <f t="shared" si="119"/>
        <v>7421.7011083901361</v>
      </c>
      <c r="AM76" s="1">
        <f t="shared" si="120"/>
        <v>21619.157431923406</v>
      </c>
      <c r="AN76" s="1">
        <f t="shared" si="97"/>
        <v>433626.87538906944</v>
      </c>
      <c r="AO76">
        <f t="shared" si="98"/>
        <v>-2.9467176747267181</v>
      </c>
      <c r="AP76">
        <f t="shared" si="99"/>
        <v>4.2680198254560988</v>
      </c>
    </row>
    <row r="77" spans="1:42" x14ac:dyDescent="0.25">
      <c r="A77" s="4">
        <v>45986</v>
      </c>
      <c r="B77">
        <f t="shared" ref="B77:N77" si="125">(B627-B626)*100</f>
        <v>-0.99999999999997868</v>
      </c>
      <c r="C77">
        <f t="shared" si="125"/>
        <v>2.0000000000000018</v>
      </c>
      <c r="D77">
        <f t="shared" si="125"/>
        <v>1.0000000000000231</v>
      </c>
      <c r="E77">
        <f t="shared" si="125"/>
        <v>1.0000000000000231</v>
      </c>
      <c r="F77">
        <f t="shared" si="125"/>
        <v>0.99999999999997868</v>
      </c>
      <c r="G77">
        <f t="shared" si="125"/>
        <v>0.99999999999997868</v>
      </c>
      <c r="H77">
        <f t="shared" si="125"/>
        <v>2.9999999999999805</v>
      </c>
      <c r="I77">
        <f t="shared" si="125"/>
        <v>3.0000000000000249</v>
      </c>
      <c r="J77">
        <f t="shared" si="125"/>
        <v>6.0000000000000053</v>
      </c>
      <c r="K77">
        <f t="shared" si="125"/>
        <v>2.9999999999999805</v>
      </c>
      <c r="L77">
        <f t="shared" si="125"/>
        <v>3.0000000000000249</v>
      </c>
      <c r="M77">
        <f t="shared" si="125"/>
        <v>1.9999999999999574</v>
      </c>
      <c r="N77">
        <f t="shared" si="125"/>
        <v>0.99999999999997868</v>
      </c>
      <c r="O77" s="5">
        <f t="shared" si="123"/>
        <v>-1.9854714593277329E-3</v>
      </c>
      <c r="P77" s="5">
        <f t="shared" si="123"/>
        <v>3.0003621889141611E-3</v>
      </c>
      <c r="Q77" s="5">
        <f t="shared" si="123"/>
        <v>2.3549104349284821E-3</v>
      </c>
      <c r="R77" s="5">
        <f t="shared" si="123"/>
        <v>-4.1469253741555434E-3</v>
      </c>
      <c r="S77" s="5">
        <f t="shared" si="123"/>
        <v>-7.0521886461923245E-3</v>
      </c>
      <c r="U77" s="4">
        <v>45986</v>
      </c>
      <c r="V77">
        <f t="shared" si="103"/>
        <v>3999.9999999999145</v>
      </c>
      <c r="W77">
        <f t="shared" si="104"/>
        <v>-4446.0000000000036</v>
      </c>
      <c r="X77">
        <f t="shared" si="105"/>
        <v>4590.0000000001064</v>
      </c>
      <c r="Y77">
        <f t="shared" si="106"/>
        <v>-3445.0000000000796</v>
      </c>
      <c r="Z77">
        <f t="shared" si="107"/>
        <v>5434.9999999998845</v>
      </c>
      <c r="AA77">
        <f t="shared" si="108"/>
        <v>-1999.9999999999573</v>
      </c>
      <c r="AB77">
        <f t="shared" si="109"/>
        <v>13691.999999999911</v>
      </c>
      <c r="AC77">
        <f t="shared" si="110"/>
        <v>-6669.0000000000555</v>
      </c>
      <c r="AD77">
        <f t="shared" si="111"/>
        <v>-603264.00000000058</v>
      </c>
      <c r="AE77">
        <f t="shared" si="112"/>
        <v>2.9999999999999805</v>
      </c>
      <c r="AF77">
        <f t="shared" si="113"/>
        <v>150969.00000000125</v>
      </c>
      <c r="AG77">
        <f t="shared" si="114"/>
        <v>50645.999999998923</v>
      </c>
      <c r="AH77">
        <f t="shared" si="115"/>
        <v>0.99999999999997868</v>
      </c>
      <c r="AI77">
        <f t="shared" si="116"/>
        <v>-0.19854714593277328</v>
      </c>
      <c r="AJ77">
        <f t="shared" si="117"/>
        <v>-30003.62188914161</v>
      </c>
      <c r="AK77">
        <f t="shared" si="118"/>
        <v>23549.104349284822</v>
      </c>
      <c r="AL77">
        <f t="shared" si="119"/>
        <v>103673.13435388858</v>
      </c>
      <c r="AM77" s="1">
        <f t="shared" si="120"/>
        <v>70521.886461923248</v>
      </c>
      <c r="AN77" s="1">
        <f t="shared" si="97"/>
        <v>-222747.69527119148</v>
      </c>
      <c r="AO77">
        <f t="shared" si="98"/>
        <v>-2.1399459688541014</v>
      </c>
      <c r="AP77">
        <f t="shared" si="99"/>
        <v>4.3325243356285714</v>
      </c>
    </row>
    <row r="78" spans="1:42" x14ac:dyDescent="0.25">
      <c r="A78" s="4">
        <v>45985</v>
      </c>
      <c r="B78">
        <f t="shared" ref="B78:N78" si="126">(B628-B627)*100</f>
        <v>0</v>
      </c>
      <c r="C78">
        <f t="shared" si="126"/>
        <v>0.99999999999997868</v>
      </c>
      <c r="D78">
        <f t="shared" si="126"/>
        <v>-1.0000000000000231</v>
      </c>
      <c r="E78">
        <f t="shared" si="126"/>
        <v>0.99999999999997868</v>
      </c>
      <c r="F78">
        <f t="shared" si="126"/>
        <v>-0.99999999999997868</v>
      </c>
      <c r="G78">
        <f t="shared" si="126"/>
        <v>1.0000000000000231</v>
      </c>
      <c r="H78">
        <f t="shared" si="126"/>
        <v>4.9999999999999822</v>
      </c>
      <c r="I78">
        <f t="shared" si="126"/>
        <v>0.99999999999997868</v>
      </c>
      <c r="J78">
        <f t="shared" si="126"/>
        <v>1.0000000000000231</v>
      </c>
      <c r="K78">
        <f t="shared" si="126"/>
        <v>2.0000000000000018</v>
      </c>
      <c r="L78">
        <f t="shared" si="126"/>
        <v>1.9999999999999574</v>
      </c>
      <c r="M78">
        <f t="shared" si="126"/>
        <v>3.0000000000000249</v>
      </c>
      <c r="N78">
        <f t="shared" si="126"/>
        <v>3.0000000000000249</v>
      </c>
      <c r="O78" s="5">
        <f t="shared" si="123"/>
        <v>8.5308413615447641E-4</v>
      </c>
      <c r="P78" s="5">
        <f t="shared" si="123"/>
        <v>-1.2753342906757529E-3</v>
      </c>
      <c r="Q78" s="5">
        <f t="shared" si="123"/>
        <v>8.9586745460615257E-3</v>
      </c>
      <c r="R78" s="5">
        <f t="shared" si="123"/>
        <v>-1.1816840370631801E-3</v>
      </c>
      <c r="S78" s="5">
        <f t="shared" si="123"/>
        <v>1.5460298230532551E-3</v>
      </c>
      <c r="U78" s="4">
        <v>45985</v>
      </c>
      <c r="V78">
        <f t="shared" si="103"/>
        <v>0</v>
      </c>
      <c r="W78">
        <f t="shared" si="104"/>
        <v>-2222.9999999999527</v>
      </c>
      <c r="X78">
        <f t="shared" si="105"/>
        <v>-4590.0000000001064</v>
      </c>
      <c r="Y78">
        <f t="shared" si="106"/>
        <v>-3444.9999999999268</v>
      </c>
      <c r="Z78">
        <f t="shared" si="107"/>
        <v>-5434.9999999998845</v>
      </c>
      <c r="AA78">
        <f t="shared" si="108"/>
        <v>-2000.0000000000462</v>
      </c>
      <c r="AB78">
        <f t="shared" si="109"/>
        <v>22819.99999999992</v>
      </c>
      <c r="AC78">
        <f t="shared" si="110"/>
        <v>-2222.9999999999527</v>
      </c>
      <c r="AD78">
        <f t="shared" si="111"/>
        <v>-100544.00000000233</v>
      </c>
      <c r="AE78">
        <f t="shared" si="112"/>
        <v>2.0000000000000018</v>
      </c>
      <c r="AF78">
        <f t="shared" si="113"/>
        <v>100645.99999999786</v>
      </c>
      <c r="AG78">
        <f t="shared" si="114"/>
        <v>75969.000000000626</v>
      </c>
      <c r="AH78">
        <f t="shared" si="115"/>
        <v>3.0000000000000249</v>
      </c>
      <c r="AI78">
        <f t="shared" si="116"/>
        <v>8.5308413615447637E-2</v>
      </c>
      <c r="AJ78">
        <f t="shared" si="117"/>
        <v>12753.342906757529</v>
      </c>
      <c r="AK78">
        <f t="shared" si="118"/>
        <v>89586.745460615261</v>
      </c>
      <c r="AL78">
        <f t="shared" si="119"/>
        <v>29542.100926579504</v>
      </c>
      <c r="AM78" s="1">
        <f t="shared" si="120"/>
        <v>-15460.298230532551</v>
      </c>
      <c r="AN78" s="1">
        <f t="shared" si="97"/>
        <v>195401.97637182957</v>
      </c>
      <c r="AO78">
        <f t="shared" si="98"/>
        <v>-1.3256736410169794</v>
      </c>
      <c r="AP78">
        <f t="shared" si="99"/>
        <v>4.3307865715244533</v>
      </c>
    </row>
    <row r="79" spans="1:42" x14ac:dyDescent="0.25">
      <c r="A79" s="4">
        <v>45982</v>
      </c>
      <c r="B79">
        <f t="shared" ref="B79:N79" si="127">(B629-B628)*100</f>
        <v>0.99999999999997868</v>
      </c>
      <c r="C79">
        <f t="shared" si="127"/>
        <v>1.9999999999999574</v>
      </c>
      <c r="D79">
        <f t="shared" si="127"/>
        <v>4.0000000000000036</v>
      </c>
      <c r="E79">
        <f t="shared" si="127"/>
        <v>2.0000000000000018</v>
      </c>
      <c r="F79">
        <f t="shared" si="127"/>
        <v>4.0000000000000036</v>
      </c>
      <c r="G79">
        <f t="shared" si="127"/>
        <v>2.9999999999999805</v>
      </c>
      <c r="H79">
        <f t="shared" si="127"/>
        <v>4.0000000000000036</v>
      </c>
      <c r="I79">
        <f t="shared" si="127"/>
        <v>6.0000000000000053</v>
      </c>
      <c r="J79">
        <f t="shared" si="127"/>
        <v>6.0000000000000053</v>
      </c>
      <c r="K79">
        <f t="shared" si="127"/>
        <v>5.0000000000000266</v>
      </c>
      <c r="L79">
        <f t="shared" si="127"/>
        <v>4.0000000000000036</v>
      </c>
      <c r="M79">
        <f t="shared" si="127"/>
        <v>0.99999999999997868</v>
      </c>
      <c r="N79">
        <f t="shared" si="127"/>
        <v>2.0000000000000462</v>
      </c>
      <c r="O79" s="5">
        <f t="shared" si="123"/>
        <v>1.0369164725228468E-2</v>
      </c>
      <c r="P79" s="5">
        <f t="shared" si="123"/>
        <v>1.1074538555885137E-2</v>
      </c>
      <c r="Q79" s="5">
        <f t="shared" si="123"/>
        <v>-2.5371447095868288E-3</v>
      </c>
      <c r="R79" s="5">
        <f t="shared" si="123"/>
        <v>2.3647661034817196E-3</v>
      </c>
      <c r="S79" s="5">
        <f t="shared" si="123"/>
        <v>5.179827114942262E-3</v>
      </c>
      <c r="U79" s="4">
        <v>45982</v>
      </c>
      <c r="V79">
        <f t="shared" si="103"/>
        <v>-3999.9999999999145</v>
      </c>
      <c r="W79">
        <f t="shared" si="104"/>
        <v>-4445.9999999999054</v>
      </c>
      <c r="X79">
        <f t="shared" si="105"/>
        <v>18360.000000000015</v>
      </c>
      <c r="Y79">
        <f t="shared" si="106"/>
        <v>-6890.0000000000064</v>
      </c>
      <c r="Z79">
        <f t="shared" si="107"/>
        <v>21740.000000000018</v>
      </c>
      <c r="AA79">
        <f t="shared" si="108"/>
        <v>-5999.9999999999609</v>
      </c>
      <c r="AB79">
        <f t="shared" si="109"/>
        <v>18256.000000000015</v>
      </c>
      <c r="AC79">
        <f t="shared" si="110"/>
        <v>-13338.000000000013</v>
      </c>
      <c r="AD79">
        <f t="shared" si="111"/>
        <v>-603264.00000000058</v>
      </c>
      <c r="AE79">
        <f t="shared" si="112"/>
        <v>5.0000000000000266</v>
      </c>
      <c r="AF79">
        <f t="shared" si="113"/>
        <v>201292.00000000017</v>
      </c>
      <c r="AG79">
        <f t="shared" si="114"/>
        <v>25322.999999999462</v>
      </c>
      <c r="AH79">
        <f t="shared" si="115"/>
        <v>2.0000000000000462</v>
      </c>
      <c r="AI79">
        <f t="shared" si="116"/>
        <v>1.0369164725228468</v>
      </c>
      <c r="AJ79">
        <f t="shared" si="117"/>
        <v>-110745.38555885137</v>
      </c>
      <c r="AK79">
        <f t="shared" si="118"/>
        <v>-25371.447095868287</v>
      </c>
      <c r="AL79">
        <f t="shared" si="119"/>
        <v>-59119.15258704299</v>
      </c>
      <c r="AM79" s="1">
        <f t="shared" si="120"/>
        <v>-51798.271149422617</v>
      </c>
      <c r="AN79" s="1">
        <f t="shared" si="97"/>
        <v>-599993.21947471343</v>
      </c>
      <c r="AO79">
        <f t="shared" si="98"/>
        <v>2.3854236456990261</v>
      </c>
      <c r="AP79">
        <f t="shared" si="99"/>
        <v>4.3897398961614993</v>
      </c>
    </row>
    <row r="80" spans="1:42" x14ac:dyDescent="0.25">
      <c r="A80" s="4">
        <v>45981</v>
      </c>
      <c r="B80">
        <f t="shared" ref="B80:N80" si="128">(B630-B629)*100</f>
        <v>-3.0000000000000249</v>
      </c>
      <c r="C80">
        <f t="shared" si="128"/>
        <v>-1.9999999999999574</v>
      </c>
      <c r="D80">
        <f t="shared" si="128"/>
        <v>1.0000000000000231</v>
      </c>
      <c r="E80">
        <f t="shared" si="128"/>
        <v>0</v>
      </c>
      <c r="F80">
        <f t="shared" si="128"/>
        <v>0.99999999999997868</v>
      </c>
      <c r="G80">
        <f t="shared" si="128"/>
        <v>3.0000000000000249</v>
      </c>
      <c r="H80">
        <f t="shared" si="128"/>
        <v>3.0000000000000249</v>
      </c>
      <c r="I80">
        <f t="shared" si="128"/>
        <v>2.9999999999999805</v>
      </c>
      <c r="J80">
        <f t="shared" si="128"/>
        <v>2.9999999999999805</v>
      </c>
      <c r="K80">
        <f t="shared" si="128"/>
        <v>2.9999999999999805</v>
      </c>
      <c r="L80">
        <f t="shared" si="128"/>
        <v>3.0000000000000249</v>
      </c>
      <c r="M80">
        <f t="shared" si="128"/>
        <v>3.0000000000000249</v>
      </c>
      <c r="N80">
        <f t="shared" si="128"/>
        <v>1.9999999999999574</v>
      </c>
      <c r="O80" s="5">
        <f t="shared" si="123"/>
        <v>0</v>
      </c>
      <c r="P80" s="5">
        <f t="shared" si="123"/>
        <v>1.3627928629930848E-2</v>
      </c>
      <c r="Q80" s="5">
        <f t="shared" si="123"/>
        <v>2.2573130372734512E-3</v>
      </c>
      <c r="R80" s="5">
        <f t="shared" si="123"/>
        <v>0</v>
      </c>
      <c r="S80" s="5">
        <f t="shared" si="123"/>
        <v>1.632724508521124E-3</v>
      </c>
      <c r="U80" s="4">
        <v>45981</v>
      </c>
      <c r="V80">
        <f t="shared" si="103"/>
        <v>12000.0000000001</v>
      </c>
      <c r="W80">
        <f t="shared" si="104"/>
        <v>4445.9999999999054</v>
      </c>
      <c r="X80">
        <f t="shared" si="105"/>
        <v>4590.0000000001064</v>
      </c>
      <c r="Y80">
        <f t="shared" si="106"/>
        <v>0</v>
      </c>
      <c r="Z80">
        <f t="shared" si="107"/>
        <v>5434.9999999998845</v>
      </c>
      <c r="AA80">
        <f t="shared" si="108"/>
        <v>-6000.00000000005</v>
      </c>
      <c r="AB80">
        <f t="shared" si="109"/>
        <v>13692.000000000113</v>
      </c>
      <c r="AC80">
        <f t="shared" si="110"/>
        <v>-6668.9999999999563</v>
      </c>
      <c r="AD80">
        <f t="shared" si="111"/>
        <v>-301631.99999999802</v>
      </c>
      <c r="AE80">
        <f t="shared" si="112"/>
        <v>2.9999999999999805</v>
      </c>
      <c r="AF80">
        <f t="shared" si="113"/>
        <v>150969.00000000125</v>
      </c>
      <c r="AG80">
        <f t="shared" si="114"/>
        <v>75969.000000000626</v>
      </c>
      <c r="AH80">
        <f t="shared" si="115"/>
        <v>1.9999999999999574</v>
      </c>
      <c r="AI80">
        <f t="shared" si="116"/>
        <v>0</v>
      </c>
      <c r="AJ80">
        <f t="shared" si="117"/>
        <v>-136279.28629930847</v>
      </c>
      <c r="AK80">
        <f t="shared" si="118"/>
        <v>22573.130372734511</v>
      </c>
      <c r="AL80">
        <f t="shared" si="119"/>
        <v>0</v>
      </c>
      <c r="AM80" s="1">
        <f t="shared" si="120"/>
        <v>-16327.24508521124</v>
      </c>
      <c r="AN80" s="1">
        <f t="shared" si="97"/>
        <v>-177228.40101178124</v>
      </c>
      <c r="AO80">
        <f t="shared" si="98"/>
        <v>-2.3010709234568334</v>
      </c>
      <c r="AP80">
        <f t="shared" si="99"/>
        <v>4.3023462586272903</v>
      </c>
    </row>
    <row r="81" spans="1:42" x14ac:dyDescent="0.25">
      <c r="A81" s="4">
        <v>45980</v>
      </c>
      <c r="B81">
        <f t="shared" ref="B81:N81" si="129">(B631-B630)*100</f>
        <v>0.99999999999997868</v>
      </c>
      <c r="C81">
        <f t="shared" si="129"/>
        <v>-0.99999999999997868</v>
      </c>
      <c r="D81">
        <f t="shared" si="129"/>
        <v>-1.0000000000000231</v>
      </c>
      <c r="E81">
        <f t="shared" si="129"/>
        <v>-0.99999999999997868</v>
      </c>
      <c r="F81">
        <f t="shared" si="129"/>
        <v>-0.99999999999997868</v>
      </c>
      <c r="G81">
        <f t="shared" si="129"/>
        <v>-1.0000000000000231</v>
      </c>
      <c r="H81">
        <f t="shared" si="129"/>
        <v>0</v>
      </c>
      <c r="I81">
        <f t="shared" si="129"/>
        <v>-0.99999999999997868</v>
      </c>
      <c r="J81">
        <f t="shared" si="129"/>
        <v>-0.99999999999997868</v>
      </c>
      <c r="K81">
        <f t="shared" si="129"/>
        <v>-0.99999999999997868</v>
      </c>
      <c r="L81">
        <f t="shared" si="129"/>
        <v>-0.99999999999997868</v>
      </c>
      <c r="M81">
        <f t="shared" si="129"/>
        <v>0.99999999999997868</v>
      </c>
      <c r="N81">
        <f t="shared" si="129"/>
        <v>-0.99999999999997868</v>
      </c>
      <c r="O81" s="5">
        <f t="shared" si="123"/>
        <v>-2.8115950363749988E-4</v>
      </c>
      <c r="P81" s="5">
        <f t="shared" si="123"/>
        <v>-2.5556540912410114E-3</v>
      </c>
      <c r="Q81" s="5">
        <f t="shared" si="123"/>
        <v>1.0210571759362415E-2</v>
      </c>
      <c r="R81" s="5">
        <f t="shared" si="123"/>
        <v>2.0737675925438918E-3</v>
      </c>
      <c r="S81" s="5">
        <f t="shared" si="123"/>
        <v>1.1008715435668933E-3</v>
      </c>
      <c r="U81" s="4">
        <v>45980</v>
      </c>
      <c r="V81">
        <f t="shared" si="103"/>
        <v>-3999.9999999999145</v>
      </c>
      <c r="W81">
        <f t="shared" si="104"/>
        <v>2222.9999999999527</v>
      </c>
      <c r="X81">
        <f t="shared" si="105"/>
        <v>-4590.0000000001064</v>
      </c>
      <c r="Y81">
        <f t="shared" si="106"/>
        <v>3444.9999999999268</v>
      </c>
      <c r="Z81">
        <f t="shared" si="107"/>
        <v>-5434.9999999998845</v>
      </c>
      <c r="AA81">
        <f t="shared" si="108"/>
        <v>2000.0000000000462</v>
      </c>
      <c r="AB81">
        <f t="shared" si="109"/>
        <v>0</v>
      </c>
      <c r="AC81">
        <f t="shared" si="110"/>
        <v>2222.9999999999527</v>
      </c>
      <c r="AD81">
        <f t="shared" si="111"/>
        <v>100543.99999999786</v>
      </c>
      <c r="AE81">
        <f t="shared" si="112"/>
        <v>-0.99999999999997868</v>
      </c>
      <c r="AF81">
        <f t="shared" si="113"/>
        <v>-50322.99999999893</v>
      </c>
      <c r="AG81">
        <f t="shared" si="114"/>
        <v>25322.999999999462</v>
      </c>
      <c r="AH81">
        <f t="shared" si="115"/>
        <v>-0.99999999999997868</v>
      </c>
      <c r="AI81">
        <f t="shared" si="116"/>
        <v>-2.8115950363749989E-2</v>
      </c>
      <c r="AJ81">
        <f t="shared" si="117"/>
        <v>25556.540912410113</v>
      </c>
      <c r="AK81">
        <f t="shared" si="118"/>
        <v>102105.71759362415</v>
      </c>
      <c r="AL81">
        <f t="shared" si="119"/>
        <v>-51844.189813597295</v>
      </c>
      <c r="AM81" s="1">
        <f t="shared" si="120"/>
        <v>-11008.715435668933</v>
      </c>
      <c r="AN81" s="1">
        <f t="shared" si="97"/>
        <v>136217.32514081604</v>
      </c>
      <c r="AO81">
        <f t="shared" si="98"/>
        <v>-1.4392892732172631</v>
      </c>
      <c r="AP81">
        <f t="shared" si="99"/>
        <v>14.752454889791101</v>
      </c>
    </row>
    <row r="82" spans="1:42" x14ac:dyDescent="0.25">
      <c r="A82" s="4">
        <v>45979</v>
      </c>
      <c r="B82">
        <f t="shared" ref="B82:N82" si="130">(B632-B631)*100</f>
        <v>2.0000000000000462</v>
      </c>
      <c r="C82">
        <f t="shared" si="130"/>
        <v>1.9999999999999574</v>
      </c>
      <c r="D82">
        <f t="shared" si="130"/>
        <v>3.0000000000000249</v>
      </c>
      <c r="E82">
        <f t="shared" si="130"/>
        <v>2.0000000000000018</v>
      </c>
      <c r="F82">
        <f t="shared" si="130"/>
        <v>2.0000000000000018</v>
      </c>
      <c r="G82">
        <f t="shared" si="130"/>
        <v>2.0000000000000018</v>
      </c>
      <c r="H82">
        <f t="shared" si="130"/>
        <v>2.0000000000000018</v>
      </c>
      <c r="I82">
        <f t="shared" si="130"/>
        <v>2.0000000000000018</v>
      </c>
      <c r="J82">
        <f t="shared" si="130"/>
        <v>2.0000000000000018</v>
      </c>
      <c r="K82">
        <f t="shared" si="130"/>
        <v>0.99999999999997868</v>
      </c>
      <c r="L82">
        <f t="shared" si="130"/>
        <v>0.99999999999997868</v>
      </c>
      <c r="M82">
        <f t="shared" si="130"/>
        <v>-0.99999999999997868</v>
      </c>
      <c r="N82">
        <f t="shared" si="130"/>
        <v>-0.99999999999997868</v>
      </c>
      <c r="O82" s="5">
        <f t="shared" si="123"/>
        <v>4.7528338720550433E-3</v>
      </c>
      <c r="P82" s="5">
        <f t="shared" si="123"/>
        <v>-9.5725215572261997E-3</v>
      </c>
      <c r="Q82" s="5">
        <f t="shared" si="123"/>
        <v>-1.3830553262151463E-2</v>
      </c>
      <c r="R82" s="5">
        <f t="shared" si="123"/>
        <v>3.2674913966402458E-3</v>
      </c>
      <c r="S82" s="5">
        <f t="shared" si="123"/>
        <v>1.571658095034182E-3</v>
      </c>
      <c r="U82" s="4">
        <v>45979</v>
      </c>
      <c r="V82">
        <f t="shared" si="103"/>
        <v>-8000.0000000001846</v>
      </c>
      <c r="W82">
        <f t="shared" si="104"/>
        <v>-4445.9999999999054</v>
      </c>
      <c r="X82">
        <f t="shared" si="105"/>
        <v>13770.000000000115</v>
      </c>
      <c r="Y82">
        <f t="shared" si="106"/>
        <v>-6890.0000000000064</v>
      </c>
      <c r="Z82">
        <f t="shared" si="107"/>
        <v>10870.000000000009</v>
      </c>
      <c r="AA82">
        <f t="shared" si="108"/>
        <v>-4000.0000000000036</v>
      </c>
      <c r="AB82">
        <f t="shared" si="109"/>
        <v>9128.0000000000073</v>
      </c>
      <c r="AC82">
        <f t="shared" si="110"/>
        <v>-4446.0000000000036</v>
      </c>
      <c r="AD82">
        <f t="shared" si="111"/>
        <v>-201088.00000000017</v>
      </c>
      <c r="AE82">
        <f t="shared" si="112"/>
        <v>0.99999999999997868</v>
      </c>
      <c r="AF82">
        <f t="shared" si="113"/>
        <v>50322.99999999893</v>
      </c>
      <c r="AG82">
        <f t="shared" si="114"/>
        <v>-25322.999999999462</v>
      </c>
      <c r="AH82">
        <f t="shared" si="115"/>
        <v>-0.99999999999997868</v>
      </c>
      <c r="AI82">
        <f t="shared" si="116"/>
        <v>0.47528338720550434</v>
      </c>
      <c r="AJ82">
        <f t="shared" si="117"/>
        <v>95725.215572261994</v>
      </c>
      <c r="AK82">
        <f t="shared" si="118"/>
        <v>-138305.53262151463</v>
      </c>
      <c r="AL82">
        <f t="shared" si="119"/>
        <v>-81687.284916006145</v>
      </c>
      <c r="AM82" s="1">
        <f t="shared" si="120"/>
        <v>-15716.58095034182</v>
      </c>
      <c r="AN82" s="1">
        <f t="shared" si="97"/>
        <v>-310085.70763221412</v>
      </c>
      <c r="AO82">
        <f t="shared" si="98"/>
        <v>12.447518858277396</v>
      </c>
      <c r="AP82">
        <f t="shared" si="99"/>
        <v>14.748721088664551</v>
      </c>
    </row>
    <row r="83" spans="1:42" x14ac:dyDescent="0.25">
      <c r="A83" s="4">
        <v>45978</v>
      </c>
      <c r="B83">
        <f t="shared" ref="B83:N83" si="131">(B633-B632)*100</f>
        <v>0</v>
      </c>
      <c r="C83">
        <f t="shared" si="131"/>
        <v>0</v>
      </c>
      <c r="D83">
        <f t="shared" si="131"/>
        <v>-2.0000000000000018</v>
      </c>
      <c r="E83">
        <f t="shared" si="131"/>
        <v>0.99999999999997868</v>
      </c>
      <c r="F83">
        <f t="shared" si="131"/>
        <v>-1.0000000000000231</v>
      </c>
      <c r="G83">
        <f t="shared" si="131"/>
        <v>1.0000000000000231</v>
      </c>
      <c r="H83">
        <f t="shared" si="131"/>
        <v>2.0000000000000018</v>
      </c>
      <c r="I83">
        <f t="shared" si="131"/>
        <v>0.99999999999997868</v>
      </c>
      <c r="J83">
        <f t="shared" si="131"/>
        <v>2.0000000000000018</v>
      </c>
      <c r="K83">
        <f t="shared" si="131"/>
        <v>2.0000000000000018</v>
      </c>
      <c r="L83">
        <f t="shared" si="131"/>
        <v>0.99999999999997868</v>
      </c>
      <c r="M83">
        <f t="shared" si="131"/>
        <v>2.0000000000000462</v>
      </c>
      <c r="N83">
        <f t="shared" si="131"/>
        <v>0.99999999999997868</v>
      </c>
      <c r="O83" s="5">
        <f t="shared" si="123"/>
        <v>2.9418996456907621E-3</v>
      </c>
      <c r="P83" s="5">
        <f t="shared" si="123"/>
        <v>0</v>
      </c>
      <c r="Q83" s="5">
        <f t="shared" si="123"/>
        <v>7.5339652258966461E-3</v>
      </c>
      <c r="R83" s="5">
        <f t="shared" si="123"/>
        <v>-5.9488401516392822E-4</v>
      </c>
      <c r="S83" s="5">
        <f t="shared" si="123"/>
        <v>0</v>
      </c>
      <c r="U83" s="4">
        <v>45978</v>
      </c>
      <c r="V83">
        <f t="shared" si="103"/>
        <v>0</v>
      </c>
      <c r="W83">
        <f t="shared" si="104"/>
        <v>0</v>
      </c>
      <c r="X83">
        <f t="shared" si="105"/>
        <v>-9180.0000000000073</v>
      </c>
      <c r="Y83">
        <f t="shared" si="106"/>
        <v>-3444.9999999999268</v>
      </c>
      <c r="Z83">
        <f t="shared" si="107"/>
        <v>-5435.0000000001255</v>
      </c>
      <c r="AA83">
        <f t="shared" si="108"/>
        <v>-2000.0000000000462</v>
      </c>
      <c r="AB83">
        <f t="shared" si="109"/>
        <v>9128.0000000000073</v>
      </c>
      <c r="AC83">
        <f t="shared" si="110"/>
        <v>-2222.9999999999527</v>
      </c>
      <c r="AD83">
        <f t="shared" si="111"/>
        <v>-201088.00000000017</v>
      </c>
      <c r="AE83">
        <f t="shared" si="112"/>
        <v>2.0000000000000018</v>
      </c>
      <c r="AF83">
        <f t="shared" si="113"/>
        <v>50322.99999999893</v>
      </c>
      <c r="AG83">
        <f t="shared" si="114"/>
        <v>50646.000000001171</v>
      </c>
      <c r="AH83">
        <f t="shared" si="115"/>
        <v>0.99999999999997868</v>
      </c>
      <c r="AI83">
        <f t="shared" si="116"/>
        <v>0.2941899645690762</v>
      </c>
      <c r="AJ83">
        <f t="shared" si="117"/>
        <v>0</v>
      </c>
      <c r="AK83">
        <f t="shared" si="118"/>
        <v>75339.652258966467</v>
      </c>
      <c r="AL83">
        <f t="shared" si="119"/>
        <v>14872.100379098205</v>
      </c>
      <c r="AM83" s="1">
        <f t="shared" si="120"/>
        <v>0</v>
      </c>
      <c r="AN83" s="1">
        <f t="shared" si="97"/>
        <v>-23058.953171970905</v>
      </c>
      <c r="AO83">
        <f t="shared" si="98"/>
        <v>-2.4413323412877279</v>
      </c>
      <c r="AP83">
        <f t="shared" si="99"/>
        <v>14.558045523341201</v>
      </c>
    </row>
    <row r="84" spans="1:42" x14ac:dyDescent="0.25">
      <c r="A84" s="4">
        <v>45975</v>
      </c>
      <c r="B84">
        <f t="shared" ref="B84:N84" si="132">(B634-B633)*100</f>
        <v>0.99999999999997868</v>
      </c>
      <c r="C84">
        <f t="shared" si="132"/>
        <v>-0.99999999999997868</v>
      </c>
      <c r="D84">
        <f t="shared" si="132"/>
        <v>0.99999999999997868</v>
      </c>
      <c r="E84">
        <f t="shared" si="132"/>
        <v>0</v>
      </c>
      <c r="F84">
        <f t="shared" si="132"/>
        <v>0</v>
      </c>
      <c r="G84">
        <f t="shared" si="132"/>
        <v>-2.0000000000000018</v>
      </c>
      <c r="H84">
        <f t="shared" si="132"/>
        <v>-4.0000000000000036</v>
      </c>
      <c r="I84">
        <f t="shared" si="132"/>
        <v>-4.0000000000000036</v>
      </c>
      <c r="J84">
        <f t="shared" si="132"/>
        <v>-3.0000000000000249</v>
      </c>
      <c r="K84">
        <f t="shared" si="132"/>
        <v>-2.9999999999999805</v>
      </c>
      <c r="L84">
        <f t="shared" si="132"/>
        <v>-2.9999999999999361</v>
      </c>
      <c r="M84">
        <f t="shared" si="132"/>
        <v>-4.0000000000000036</v>
      </c>
      <c r="N84">
        <f t="shared" si="132"/>
        <v>-4.0000000000000036</v>
      </c>
      <c r="O84" s="5">
        <f t="shared" si="123"/>
        <v>2.4960775397468108E-3</v>
      </c>
      <c r="P84" s="5">
        <f t="shared" si="123"/>
        <v>3.8661044541915737E-3</v>
      </c>
      <c r="Q84" s="5">
        <f t="shared" si="123"/>
        <v>-7.2551448487552352E-3</v>
      </c>
      <c r="R84" s="5">
        <f t="shared" si="123"/>
        <v>-2.9691233213806792E-3</v>
      </c>
      <c r="S84" s="5">
        <f t="shared" si="123"/>
        <v>-6.1695200377974229E-4</v>
      </c>
      <c r="U84" s="4">
        <v>45975</v>
      </c>
      <c r="V84">
        <f t="shared" si="103"/>
        <v>-3999.9999999999145</v>
      </c>
      <c r="W84">
        <f t="shared" si="104"/>
        <v>2222.9999999999527</v>
      </c>
      <c r="X84">
        <f t="shared" si="105"/>
        <v>4589.9999999999018</v>
      </c>
      <c r="Y84">
        <f t="shared" si="106"/>
        <v>0</v>
      </c>
      <c r="Z84">
        <f t="shared" si="107"/>
        <v>0</v>
      </c>
      <c r="AA84">
        <f t="shared" si="108"/>
        <v>4000.0000000000036</v>
      </c>
      <c r="AB84">
        <f t="shared" si="109"/>
        <v>-18256.000000000015</v>
      </c>
      <c r="AC84">
        <f t="shared" si="110"/>
        <v>8892.0000000000073</v>
      </c>
      <c r="AD84">
        <f t="shared" si="111"/>
        <v>301632.0000000025</v>
      </c>
      <c r="AE84">
        <f t="shared" si="112"/>
        <v>-2.9999999999999805</v>
      </c>
      <c r="AF84">
        <f t="shared" si="113"/>
        <v>-150968.99999999677</v>
      </c>
      <c r="AG84">
        <f t="shared" si="114"/>
        <v>-101292.00000000009</v>
      </c>
      <c r="AH84">
        <f t="shared" si="115"/>
        <v>-4.0000000000000036</v>
      </c>
      <c r="AI84">
        <f t="shared" si="116"/>
        <v>0.24960775397468107</v>
      </c>
      <c r="AJ84">
        <f t="shared" si="117"/>
        <v>-38661.044541915733</v>
      </c>
      <c r="AK84">
        <f t="shared" si="118"/>
        <v>-72551.448487552349</v>
      </c>
      <c r="AL84">
        <f t="shared" si="119"/>
        <v>74228.083034516982</v>
      </c>
      <c r="AM84" s="1">
        <f t="shared" si="120"/>
        <v>6169.5200377974234</v>
      </c>
      <c r="AN84" s="1">
        <f t="shared" si="97"/>
        <v>15998.359650605888</v>
      </c>
      <c r="AO84">
        <f t="shared" si="98"/>
        <v>-1.1105345945014731</v>
      </c>
      <c r="AP84">
        <f t="shared" si="99"/>
        <v>14.547598884575441</v>
      </c>
    </row>
    <row r="85" spans="1:42" x14ac:dyDescent="0.25">
      <c r="A85" s="4">
        <v>45974</v>
      </c>
      <c r="B85">
        <f t="shared" ref="B85:N85" si="133">(B635-B634)*100</f>
        <v>-1.9999999999999574</v>
      </c>
      <c r="C85">
        <f t="shared" si="133"/>
        <v>-2.0000000000000018</v>
      </c>
      <c r="D85">
        <f t="shared" si="133"/>
        <v>-0.99999999999997868</v>
      </c>
      <c r="E85">
        <f t="shared" si="133"/>
        <v>-2.0000000000000018</v>
      </c>
      <c r="F85">
        <f t="shared" si="133"/>
        <v>-2.0000000000000018</v>
      </c>
      <c r="G85">
        <f t="shared" si="133"/>
        <v>-3.0000000000000249</v>
      </c>
      <c r="H85">
        <f t="shared" si="133"/>
        <v>-2.0000000000000018</v>
      </c>
      <c r="I85">
        <f t="shared" si="133"/>
        <v>-2.0000000000000018</v>
      </c>
      <c r="J85">
        <f t="shared" si="133"/>
        <v>-2.9999999999999805</v>
      </c>
      <c r="K85">
        <f t="shared" si="133"/>
        <v>-3.0000000000000249</v>
      </c>
      <c r="L85">
        <f t="shared" si="133"/>
        <v>-3.0000000000000249</v>
      </c>
      <c r="M85">
        <f t="shared" si="133"/>
        <v>-4.0000000000000036</v>
      </c>
      <c r="N85">
        <f t="shared" si="133"/>
        <v>-3.0000000000000249</v>
      </c>
      <c r="O85" s="5">
        <f t="shared" ref="O85:S94" si="134">LN(O634/O635)</f>
        <v>-1.2299077227531396E-3</v>
      </c>
      <c r="P85" s="5">
        <f t="shared" si="134"/>
        <v>1.0014447459925468E-2</v>
      </c>
      <c r="Q85" s="5">
        <f t="shared" si="134"/>
        <v>-4.8361477906756515E-3</v>
      </c>
      <c r="R85" s="5">
        <f t="shared" si="134"/>
        <v>1.780415900575806E-3</v>
      </c>
      <c r="S85" s="5">
        <f t="shared" si="134"/>
        <v>6.2787493702435638E-4</v>
      </c>
      <c r="U85" s="4">
        <v>45974</v>
      </c>
      <c r="V85">
        <f t="shared" si="103"/>
        <v>7999.999999999829</v>
      </c>
      <c r="W85">
        <f t="shared" si="104"/>
        <v>4446.0000000000036</v>
      </c>
      <c r="X85">
        <f t="shared" si="105"/>
        <v>-4589.9999999999018</v>
      </c>
      <c r="Y85">
        <f t="shared" si="106"/>
        <v>6890.0000000000064</v>
      </c>
      <c r="Z85">
        <f t="shared" si="107"/>
        <v>-10870.000000000009</v>
      </c>
      <c r="AA85">
        <f t="shared" si="108"/>
        <v>6000.00000000005</v>
      </c>
      <c r="AB85">
        <f t="shared" si="109"/>
        <v>-9128.0000000000073</v>
      </c>
      <c r="AC85">
        <f t="shared" si="110"/>
        <v>4446.0000000000036</v>
      </c>
      <c r="AD85">
        <f t="shared" si="111"/>
        <v>301631.99999999802</v>
      </c>
      <c r="AE85">
        <f t="shared" si="112"/>
        <v>-3.0000000000000249</v>
      </c>
      <c r="AF85">
        <f t="shared" si="113"/>
        <v>-150969.00000000125</v>
      </c>
      <c r="AG85">
        <f t="shared" si="114"/>
        <v>-101292.00000000009</v>
      </c>
      <c r="AH85">
        <f t="shared" si="115"/>
        <v>-3.0000000000000249</v>
      </c>
      <c r="AI85">
        <f t="shared" si="116"/>
        <v>-0.12299077227531396</v>
      </c>
      <c r="AJ85">
        <f t="shared" si="117"/>
        <v>-100144.47459925468</v>
      </c>
      <c r="AK85">
        <f t="shared" si="118"/>
        <v>-48361.477906756518</v>
      </c>
      <c r="AL85">
        <f t="shared" si="119"/>
        <v>-44510.397514395154</v>
      </c>
      <c r="AM85" s="1">
        <f t="shared" si="120"/>
        <v>-6278.749370243564</v>
      </c>
      <c r="AN85" s="1">
        <f t="shared" si="97"/>
        <v>-144736.22238142553</v>
      </c>
      <c r="AO85">
        <f t="shared" si="98"/>
        <v>-11.405113011862364</v>
      </c>
      <c r="AP85">
        <f t="shared" si="99"/>
        <v>14.569848593503911</v>
      </c>
    </row>
    <row r="86" spans="1:42" x14ac:dyDescent="0.25">
      <c r="A86" s="4">
        <v>45973</v>
      </c>
      <c r="B86">
        <f t="shared" ref="B86:N86" si="135">(B636-B635)*100</f>
        <v>0.99999999999997868</v>
      </c>
      <c r="C86">
        <f t="shared" si="135"/>
        <v>2.0000000000000018</v>
      </c>
      <c r="D86">
        <f t="shared" si="135"/>
        <v>0</v>
      </c>
      <c r="E86">
        <f t="shared" si="135"/>
        <v>-0.99999999999997868</v>
      </c>
      <c r="F86">
        <f t="shared" si="135"/>
        <v>1.0000000000000231</v>
      </c>
      <c r="G86">
        <f t="shared" si="135"/>
        <v>1.0000000000000231</v>
      </c>
      <c r="H86">
        <f t="shared" si="135"/>
        <v>2.0000000000000018</v>
      </c>
      <c r="I86">
        <f t="shared" si="135"/>
        <v>1.0000000000000231</v>
      </c>
      <c r="J86">
        <f t="shared" si="135"/>
        <v>4.0000000000000036</v>
      </c>
      <c r="K86">
        <f t="shared" si="135"/>
        <v>4.0000000000000036</v>
      </c>
      <c r="L86">
        <f t="shared" si="135"/>
        <v>4.9999999999999822</v>
      </c>
      <c r="M86">
        <f t="shared" si="135"/>
        <v>4.0000000000000036</v>
      </c>
      <c r="N86">
        <f t="shared" si="135"/>
        <v>4.0000000000000036</v>
      </c>
      <c r="O86" s="5">
        <f t="shared" si="134"/>
        <v>-5.581760673497224E-3</v>
      </c>
      <c r="P86" s="5">
        <f t="shared" si="134"/>
        <v>-1.260239228971575E-2</v>
      </c>
      <c r="Q86" s="5">
        <f t="shared" si="134"/>
        <v>-9.9303572616372647E-3</v>
      </c>
      <c r="R86" s="5">
        <f t="shared" si="134"/>
        <v>2.9704441032304686E-4</v>
      </c>
      <c r="S86" s="5">
        <f t="shared" si="134"/>
        <v>-3.8538423907753675E-3</v>
      </c>
      <c r="U86" s="4">
        <v>45973</v>
      </c>
      <c r="V86">
        <f t="shared" si="103"/>
        <v>-3999.9999999999145</v>
      </c>
      <c r="W86">
        <f t="shared" si="104"/>
        <v>-4446.0000000000036</v>
      </c>
      <c r="X86">
        <f t="shared" si="105"/>
        <v>0</v>
      </c>
      <c r="Y86">
        <f t="shared" si="106"/>
        <v>3444.9999999999268</v>
      </c>
      <c r="Z86">
        <f t="shared" si="107"/>
        <v>5435.0000000001255</v>
      </c>
      <c r="AA86">
        <f t="shared" si="108"/>
        <v>-2000.0000000000462</v>
      </c>
      <c r="AB86">
        <f t="shared" si="109"/>
        <v>9128.0000000000073</v>
      </c>
      <c r="AC86">
        <f t="shared" si="110"/>
        <v>-2223.0000000000514</v>
      </c>
      <c r="AD86">
        <f t="shared" si="111"/>
        <v>-402176.00000000035</v>
      </c>
      <c r="AE86">
        <f t="shared" si="112"/>
        <v>4.0000000000000036</v>
      </c>
      <c r="AF86">
        <f t="shared" si="113"/>
        <v>251614.9999999991</v>
      </c>
      <c r="AG86">
        <f t="shared" si="114"/>
        <v>101292.00000000009</v>
      </c>
      <c r="AH86">
        <f t="shared" si="115"/>
        <v>4.0000000000000036</v>
      </c>
      <c r="AI86">
        <f t="shared" si="116"/>
        <v>-0.55817606734972236</v>
      </c>
      <c r="AJ86">
        <f t="shared" si="117"/>
        <v>126023.92289715751</v>
      </c>
      <c r="AK86">
        <f t="shared" si="118"/>
        <v>-99303.57261637265</v>
      </c>
      <c r="AL86">
        <f t="shared" si="119"/>
        <v>-7426.1102580761717</v>
      </c>
      <c r="AM86" s="1">
        <f t="shared" si="120"/>
        <v>38538.423907753677</v>
      </c>
      <c r="AN86" s="1">
        <f t="shared" si="97"/>
        <v>13910.105754393902</v>
      </c>
      <c r="AO86">
        <f t="shared" si="98"/>
        <v>-0.97701892422969017</v>
      </c>
      <c r="AP86">
        <f t="shared" si="99"/>
        <v>14.313393181382782</v>
      </c>
    </row>
    <row r="87" spans="1:42" x14ac:dyDescent="0.25">
      <c r="A87" s="4">
        <v>45971</v>
      </c>
      <c r="B87">
        <f t="shared" ref="B87:N87" si="136">(B637-B636)*100</f>
        <v>-3.0000000000000249</v>
      </c>
      <c r="C87">
        <f t="shared" si="136"/>
        <v>-2.0000000000000018</v>
      </c>
      <c r="D87">
        <f t="shared" si="136"/>
        <v>-3.0000000000000249</v>
      </c>
      <c r="E87">
        <f t="shared" si="136"/>
        <v>-2.0000000000000018</v>
      </c>
      <c r="F87">
        <f t="shared" si="136"/>
        <v>-3.0000000000000249</v>
      </c>
      <c r="G87">
        <f t="shared" si="136"/>
        <v>-3.0000000000000249</v>
      </c>
      <c r="H87">
        <f t="shared" si="136"/>
        <v>-3.0000000000000249</v>
      </c>
      <c r="I87">
        <f t="shared" si="136"/>
        <v>0.99999999999997868</v>
      </c>
      <c r="J87">
        <f t="shared" si="136"/>
        <v>-5.0000000000000266</v>
      </c>
      <c r="K87">
        <f t="shared" si="136"/>
        <v>-2.9999999999999805</v>
      </c>
      <c r="L87">
        <f t="shared" si="136"/>
        <v>-1.9999999999999574</v>
      </c>
      <c r="M87">
        <f t="shared" si="136"/>
        <v>-1.0000000000000675</v>
      </c>
      <c r="N87">
        <f t="shared" si="136"/>
        <v>-0.99999999999997868</v>
      </c>
      <c r="O87" s="5">
        <f t="shared" si="134"/>
        <v>-7.2324236490038081E-3</v>
      </c>
      <c r="P87" s="5">
        <f t="shared" si="134"/>
        <v>-7.9618254980083902E-3</v>
      </c>
      <c r="Q87" s="5">
        <f t="shared" si="134"/>
        <v>5.7231434167695997E-3</v>
      </c>
      <c r="R87" s="5">
        <f t="shared" si="134"/>
        <v>-2.6702285558788097E-3</v>
      </c>
      <c r="S87" s="5">
        <f t="shared" si="134"/>
        <v>-4.1587551116388666E-3</v>
      </c>
      <c r="U87" s="4">
        <v>45971</v>
      </c>
      <c r="V87">
        <f t="shared" si="103"/>
        <v>12000.0000000001</v>
      </c>
      <c r="W87">
        <f t="shared" si="104"/>
        <v>4446.0000000000036</v>
      </c>
      <c r="X87">
        <f t="shared" si="105"/>
        <v>-13770.000000000115</v>
      </c>
      <c r="Y87">
        <f t="shared" si="106"/>
        <v>6890.0000000000064</v>
      </c>
      <c r="Z87">
        <f t="shared" si="107"/>
        <v>-16305.000000000135</v>
      </c>
      <c r="AA87">
        <f t="shared" si="108"/>
        <v>6000.00000000005</v>
      </c>
      <c r="AB87">
        <f t="shared" si="109"/>
        <v>-13692.000000000113</v>
      </c>
      <c r="AC87">
        <f t="shared" si="110"/>
        <v>-2222.9999999999527</v>
      </c>
      <c r="AD87">
        <f t="shared" si="111"/>
        <v>502720.00000000268</v>
      </c>
      <c r="AE87">
        <f t="shared" si="112"/>
        <v>-2.9999999999999805</v>
      </c>
      <c r="AF87">
        <f t="shared" si="113"/>
        <v>-100645.99999999786</v>
      </c>
      <c r="AG87">
        <f t="shared" si="114"/>
        <v>-25323.00000000171</v>
      </c>
      <c r="AH87">
        <f t="shared" si="115"/>
        <v>-0.99999999999997868</v>
      </c>
      <c r="AI87">
        <f t="shared" si="116"/>
        <v>-0.72324236490038085</v>
      </c>
      <c r="AJ87">
        <f t="shared" si="117"/>
        <v>79618.254980083904</v>
      </c>
      <c r="AK87">
        <f t="shared" si="118"/>
        <v>57231.434167695996</v>
      </c>
      <c r="AL87">
        <f t="shared" si="119"/>
        <v>66755.71389697025</v>
      </c>
      <c r="AM87" s="1">
        <f t="shared" si="120"/>
        <v>41587.551116388669</v>
      </c>
      <c r="AN87" s="1">
        <f t="shared" si="97"/>
        <v>605285.23091877683</v>
      </c>
      <c r="AO87">
        <f t="shared" si="98"/>
        <v>-3.6507906641663843</v>
      </c>
      <c r="AP87">
        <f t="shared" si="99"/>
        <v>14.357147896141786</v>
      </c>
    </row>
    <row r="88" spans="1:42" x14ac:dyDescent="0.25">
      <c r="A88" s="4">
        <v>45968</v>
      </c>
      <c r="B88">
        <f t="shared" ref="B88:N88" si="137">(B638-B637)*100</f>
        <v>0.99999999999997868</v>
      </c>
      <c r="C88">
        <f t="shared" si="137"/>
        <v>0</v>
      </c>
      <c r="D88">
        <f t="shared" si="137"/>
        <v>1.0000000000000231</v>
      </c>
      <c r="E88">
        <f t="shared" si="137"/>
        <v>0.99999999999997868</v>
      </c>
      <c r="F88">
        <f t="shared" si="137"/>
        <v>0</v>
      </c>
      <c r="G88">
        <f t="shared" si="137"/>
        <v>2.0000000000000018</v>
      </c>
      <c r="H88">
        <f t="shared" si="137"/>
        <v>2.0000000000000018</v>
      </c>
      <c r="I88">
        <f t="shared" si="137"/>
        <v>1.0000000000000231</v>
      </c>
      <c r="J88">
        <f t="shared" si="137"/>
        <v>2.0000000000000018</v>
      </c>
      <c r="K88">
        <f t="shared" si="137"/>
        <v>0</v>
      </c>
      <c r="L88">
        <f t="shared" si="137"/>
        <v>0</v>
      </c>
      <c r="M88">
        <f t="shared" si="137"/>
        <v>-0.99999999999997868</v>
      </c>
      <c r="N88">
        <f t="shared" si="137"/>
        <v>-0.99999999999997868</v>
      </c>
      <c r="O88" s="5">
        <f t="shared" si="134"/>
        <v>2.1679820101433971E-3</v>
      </c>
      <c r="P88" s="5">
        <f t="shared" si="134"/>
        <v>-5.2854123851987539E-4</v>
      </c>
      <c r="Q88" s="5">
        <f t="shared" si="134"/>
        <v>-5.0465534044908935E-3</v>
      </c>
      <c r="R88" s="5">
        <f t="shared" si="134"/>
        <v>5.9276824497991713E-4</v>
      </c>
      <c r="S88" s="5">
        <f t="shared" si="134"/>
        <v>-5.8019718698386642E-3</v>
      </c>
      <c r="U88" s="4">
        <v>45968</v>
      </c>
      <c r="V88">
        <f t="shared" si="103"/>
        <v>-3999.9999999999145</v>
      </c>
      <c r="W88">
        <f t="shared" si="104"/>
        <v>0</v>
      </c>
      <c r="X88">
        <f t="shared" si="105"/>
        <v>4590.0000000001064</v>
      </c>
      <c r="Y88">
        <f t="shared" si="106"/>
        <v>-3444.9999999999268</v>
      </c>
      <c r="Z88">
        <f t="shared" si="107"/>
        <v>0</v>
      </c>
      <c r="AA88">
        <f t="shared" si="108"/>
        <v>-4000.0000000000036</v>
      </c>
      <c r="AB88">
        <f t="shared" si="109"/>
        <v>9128.0000000000073</v>
      </c>
      <c r="AC88">
        <f t="shared" si="110"/>
        <v>-2223.0000000000514</v>
      </c>
      <c r="AD88">
        <f t="shared" si="111"/>
        <v>-201088.00000000017</v>
      </c>
      <c r="AE88">
        <f t="shared" si="112"/>
        <v>0</v>
      </c>
      <c r="AF88">
        <f t="shared" si="113"/>
        <v>0</v>
      </c>
      <c r="AG88">
        <f t="shared" si="114"/>
        <v>-25322.999999999462</v>
      </c>
      <c r="AH88">
        <f t="shared" si="115"/>
        <v>-0.99999999999997868</v>
      </c>
      <c r="AI88">
        <f t="shared" si="116"/>
        <v>0.21679820101433972</v>
      </c>
      <c r="AJ88">
        <f t="shared" si="117"/>
        <v>5285.4123851987542</v>
      </c>
      <c r="AK88">
        <f t="shared" si="118"/>
        <v>-50465.534044908934</v>
      </c>
      <c r="AL88">
        <f t="shared" si="119"/>
        <v>-14819.206124497929</v>
      </c>
      <c r="AM88" s="1">
        <f t="shared" si="120"/>
        <v>58019.718698386641</v>
      </c>
      <c r="AN88" s="1">
        <f t="shared" si="97"/>
        <v>-228341.39228761988</v>
      </c>
      <c r="AO88">
        <f t="shared" si="98"/>
        <v>0.58430984363431748</v>
      </c>
      <c r="AP88">
        <f t="shared" si="99"/>
        <v>14.320902174017842</v>
      </c>
    </row>
    <row r="89" spans="1:42" x14ac:dyDescent="0.25">
      <c r="A89" s="4">
        <v>45967</v>
      </c>
      <c r="B89">
        <f t="shared" ref="B89:N89" si="138">(B639-B638)*100</f>
        <v>-1.9999999999999574</v>
      </c>
      <c r="C89">
        <f t="shared" si="138"/>
        <v>2.0000000000000018</v>
      </c>
      <c r="D89">
        <f t="shared" si="138"/>
        <v>2.9999999999999805</v>
      </c>
      <c r="E89">
        <f t="shared" si="138"/>
        <v>3.0000000000000249</v>
      </c>
      <c r="F89">
        <f t="shared" si="138"/>
        <v>3.0000000000000249</v>
      </c>
      <c r="G89">
        <f t="shared" si="138"/>
        <v>6.0000000000000053</v>
      </c>
      <c r="H89">
        <f t="shared" si="138"/>
        <v>6.0000000000000053</v>
      </c>
      <c r="I89">
        <f t="shared" si="138"/>
        <v>6.999999999999984</v>
      </c>
      <c r="J89">
        <f t="shared" si="138"/>
        <v>6.999999999999984</v>
      </c>
      <c r="K89">
        <f t="shared" si="138"/>
        <v>8.0000000000000071</v>
      </c>
      <c r="L89">
        <f t="shared" si="138"/>
        <v>5.9999999999999609</v>
      </c>
      <c r="M89">
        <f t="shared" si="138"/>
        <v>4.9999999999999822</v>
      </c>
      <c r="N89">
        <f t="shared" si="138"/>
        <v>4.9999999999999822</v>
      </c>
      <c r="O89" s="5">
        <f t="shared" si="134"/>
        <v>-6.4713074226962772E-3</v>
      </c>
      <c r="P89" s="5">
        <f t="shared" si="134"/>
        <v>-1.2627988393837974E-2</v>
      </c>
      <c r="Q89" s="5">
        <f t="shared" si="134"/>
        <v>4.971624818783315E-4</v>
      </c>
      <c r="R89" s="5">
        <f t="shared" si="134"/>
        <v>1.4834596994329307E-3</v>
      </c>
      <c r="S89" s="5">
        <f t="shared" si="134"/>
        <v>-1.3833903877882164E-3</v>
      </c>
      <c r="U89" s="4">
        <v>45967</v>
      </c>
      <c r="V89">
        <f t="shared" si="103"/>
        <v>7999.999999999829</v>
      </c>
      <c r="W89">
        <f t="shared" si="104"/>
        <v>-4446.0000000000036</v>
      </c>
      <c r="X89">
        <f t="shared" si="105"/>
        <v>13769.999999999911</v>
      </c>
      <c r="Y89">
        <f t="shared" si="106"/>
        <v>-10335.000000000085</v>
      </c>
      <c r="Z89">
        <f t="shared" si="107"/>
        <v>16305.000000000135</v>
      </c>
      <c r="AA89">
        <f t="shared" si="108"/>
        <v>-12000.000000000011</v>
      </c>
      <c r="AB89">
        <f t="shared" si="109"/>
        <v>27384.000000000025</v>
      </c>
      <c r="AC89">
        <f t="shared" si="110"/>
        <v>-15560.999999999964</v>
      </c>
      <c r="AD89">
        <f t="shared" si="111"/>
        <v>-703807.99999999837</v>
      </c>
      <c r="AE89">
        <f t="shared" si="112"/>
        <v>8.0000000000000071</v>
      </c>
      <c r="AF89">
        <f t="shared" si="113"/>
        <v>301937.99999999802</v>
      </c>
      <c r="AG89">
        <f t="shared" si="114"/>
        <v>126614.99999999955</v>
      </c>
      <c r="AH89">
        <f t="shared" si="115"/>
        <v>4.9999999999999822</v>
      </c>
      <c r="AI89">
        <f t="shared" si="116"/>
        <v>-0.64713074226962775</v>
      </c>
      <c r="AJ89">
        <f t="shared" si="117"/>
        <v>126279.88393837975</v>
      </c>
      <c r="AK89">
        <f t="shared" si="118"/>
        <v>4971.6248187833153</v>
      </c>
      <c r="AL89">
        <f t="shared" si="119"/>
        <v>-37086.49248582327</v>
      </c>
      <c r="AM89" s="1">
        <f t="shared" si="120"/>
        <v>13833.903877882165</v>
      </c>
      <c r="AN89" s="1">
        <f t="shared" si="97"/>
        <v>-144126.72698152123</v>
      </c>
      <c r="AO89">
        <f t="shared" si="98"/>
        <v>-1.3394883266884063</v>
      </c>
      <c r="AP89">
        <f t="shared" si="99"/>
        <v>14.343251025640997</v>
      </c>
    </row>
    <row r="90" spans="1:42" x14ac:dyDescent="0.25">
      <c r="A90" s="4">
        <v>45966</v>
      </c>
      <c r="B90">
        <f t="shared" ref="B90:N90" si="139">(B640-B639)*100</f>
        <v>1.9999999999999574</v>
      </c>
      <c r="C90">
        <f t="shared" si="139"/>
        <v>0.99999999999997868</v>
      </c>
      <c r="D90">
        <f t="shared" si="139"/>
        <v>0</v>
      </c>
      <c r="E90">
        <f t="shared" si="139"/>
        <v>0</v>
      </c>
      <c r="F90">
        <f t="shared" si="139"/>
        <v>-1.0000000000000231</v>
      </c>
      <c r="G90">
        <f t="shared" si="139"/>
        <v>-4.0000000000000036</v>
      </c>
      <c r="H90">
        <f t="shared" si="139"/>
        <v>-4.9999999999999822</v>
      </c>
      <c r="I90">
        <f t="shared" si="139"/>
        <v>-6.0000000000000053</v>
      </c>
      <c r="J90">
        <f t="shared" si="139"/>
        <v>-6.999999999999984</v>
      </c>
      <c r="K90">
        <f t="shared" si="139"/>
        <v>-7.0000000000000284</v>
      </c>
      <c r="L90">
        <f t="shared" si="139"/>
        <v>-7.0000000000000284</v>
      </c>
      <c r="M90">
        <f t="shared" si="139"/>
        <v>-6.9999999999999396</v>
      </c>
      <c r="N90">
        <f t="shared" si="139"/>
        <v>-7.0000000000000284</v>
      </c>
      <c r="O90" s="5">
        <f t="shared" si="134"/>
        <v>-8.9187839205085654E-4</v>
      </c>
      <c r="P90" s="5">
        <f t="shared" si="134"/>
        <v>-6.4750392002871889E-3</v>
      </c>
      <c r="Q90" s="5">
        <f t="shared" si="134"/>
        <v>4.8789380109637353E-3</v>
      </c>
      <c r="R90" s="5">
        <f t="shared" si="134"/>
        <v>-4.7393453638965586E-3</v>
      </c>
      <c r="S90" s="5">
        <f t="shared" si="134"/>
        <v>-3.5385722098256601E-3</v>
      </c>
      <c r="U90" s="4">
        <v>45966</v>
      </c>
      <c r="V90">
        <f t="shared" si="103"/>
        <v>-7999.999999999829</v>
      </c>
      <c r="W90">
        <f t="shared" si="104"/>
        <v>-2222.9999999999527</v>
      </c>
      <c r="X90">
        <f t="shared" si="105"/>
        <v>0</v>
      </c>
      <c r="Y90">
        <f t="shared" si="106"/>
        <v>0</v>
      </c>
      <c r="Z90">
        <f t="shared" si="107"/>
        <v>-5435.0000000001255</v>
      </c>
      <c r="AA90">
        <f t="shared" si="108"/>
        <v>8000.0000000000073</v>
      </c>
      <c r="AB90">
        <f t="shared" si="109"/>
        <v>-22819.99999999992</v>
      </c>
      <c r="AC90">
        <f t="shared" si="110"/>
        <v>13338.000000000013</v>
      </c>
      <c r="AD90">
        <f t="shared" si="111"/>
        <v>703807.99999999837</v>
      </c>
      <c r="AE90">
        <f t="shared" si="112"/>
        <v>-7.0000000000000284</v>
      </c>
      <c r="AF90">
        <f t="shared" si="113"/>
        <v>-352261.00000000146</v>
      </c>
      <c r="AG90">
        <f t="shared" si="114"/>
        <v>-177260.99999999846</v>
      </c>
      <c r="AH90">
        <f t="shared" si="115"/>
        <v>-7.0000000000000284</v>
      </c>
      <c r="AI90">
        <f t="shared" si="116"/>
        <v>-8.9187839205085648E-2</v>
      </c>
      <c r="AJ90">
        <f t="shared" si="117"/>
        <v>64750.392002871886</v>
      </c>
      <c r="AK90">
        <f t="shared" si="118"/>
        <v>48789.38010963735</v>
      </c>
      <c r="AL90">
        <f t="shared" si="119"/>
        <v>118483.63409741396</v>
      </c>
      <c r="AM90" s="1">
        <f t="shared" si="120"/>
        <v>35385.7220982566</v>
      </c>
      <c r="AN90" s="1">
        <f t="shared" si="97"/>
        <v>424541.03912033926</v>
      </c>
      <c r="AO90">
        <f t="shared" si="98"/>
        <v>-2.368162156223415</v>
      </c>
      <c r="AP90">
        <f t="shared" si="99"/>
        <v>14.368968398674632</v>
      </c>
    </row>
    <row r="91" spans="1:42" x14ac:dyDescent="0.25">
      <c r="A91" s="4">
        <v>45965</v>
      </c>
      <c r="B91">
        <f t="shared" ref="B91:N91" si="140">(B641-B640)*100</f>
        <v>4.0000000000000036</v>
      </c>
      <c r="C91">
        <f t="shared" si="140"/>
        <v>4.0000000000000036</v>
      </c>
      <c r="D91">
        <f t="shared" si="140"/>
        <v>2.0000000000000018</v>
      </c>
      <c r="E91">
        <f t="shared" si="140"/>
        <v>0.99999999999997868</v>
      </c>
      <c r="F91">
        <f t="shared" si="140"/>
        <v>2.0000000000000018</v>
      </c>
      <c r="G91">
        <f t="shared" si="140"/>
        <v>3.0000000000000249</v>
      </c>
      <c r="H91">
        <f t="shared" si="140"/>
        <v>2.0000000000000018</v>
      </c>
      <c r="I91">
        <f t="shared" si="140"/>
        <v>2.0000000000000018</v>
      </c>
      <c r="J91">
        <f t="shared" si="140"/>
        <v>3.0000000000000249</v>
      </c>
      <c r="K91">
        <f t="shared" si="140"/>
        <v>2.0000000000000018</v>
      </c>
      <c r="L91">
        <f t="shared" si="140"/>
        <v>3.0000000000000249</v>
      </c>
      <c r="M91">
        <f t="shared" si="140"/>
        <v>1.9999999999999574</v>
      </c>
      <c r="N91">
        <f t="shared" si="140"/>
        <v>2.0000000000000462</v>
      </c>
      <c r="O91" s="5">
        <f t="shared" si="134"/>
        <v>6.3533680571259575E-3</v>
      </c>
      <c r="P91" s="5">
        <f t="shared" si="134"/>
        <v>1.556420547658158E-3</v>
      </c>
      <c r="Q91" s="5">
        <f t="shared" si="134"/>
        <v>-3.3541762242526667E-3</v>
      </c>
      <c r="R91" s="5">
        <f t="shared" si="134"/>
        <v>2.3668650102662441E-3</v>
      </c>
      <c r="S91" s="5">
        <f t="shared" si="134"/>
        <v>9.2405277745574478E-3</v>
      </c>
      <c r="U91" s="4">
        <v>45965</v>
      </c>
      <c r="V91">
        <f t="shared" si="103"/>
        <v>-16000.000000000015</v>
      </c>
      <c r="W91">
        <f t="shared" si="104"/>
        <v>-8892.0000000000073</v>
      </c>
      <c r="X91">
        <f t="shared" si="105"/>
        <v>9180.0000000000073</v>
      </c>
      <c r="Y91">
        <f t="shared" si="106"/>
        <v>-3444.9999999999268</v>
      </c>
      <c r="Z91">
        <f t="shared" si="107"/>
        <v>10870.000000000009</v>
      </c>
      <c r="AA91">
        <f t="shared" si="108"/>
        <v>-6000.00000000005</v>
      </c>
      <c r="AB91">
        <f t="shared" si="109"/>
        <v>9128.0000000000073</v>
      </c>
      <c r="AC91">
        <f t="shared" si="110"/>
        <v>-4446.0000000000036</v>
      </c>
      <c r="AD91">
        <f t="shared" si="111"/>
        <v>-301632.0000000025</v>
      </c>
      <c r="AE91">
        <f t="shared" si="112"/>
        <v>2.0000000000000018</v>
      </c>
      <c r="AF91">
        <f t="shared" si="113"/>
        <v>150969.00000000125</v>
      </c>
      <c r="AG91">
        <f t="shared" si="114"/>
        <v>50645.999999998923</v>
      </c>
      <c r="AH91">
        <f t="shared" si="115"/>
        <v>2.0000000000000462</v>
      </c>
      <c r="AI91">
        <f t="shared" si="116"/>
        <v>0.63533680571259576</v>
      </c>
      <c r="AJ91">
        <f t="shared" si="117"/>
        <v>-15564.205476581579</v>
      </c>
      <c r="AK91">
        <f t="shared" si="118"/>
        <v>-33541.762242526667</v>
      </c>
      <c r="AL91">
        <f t="shared" si="119"/>
        <v>-59171.625256656102</v>
      </c>
      <c r="AM91" s="1">
        <f t="shared" si="120"/>
        <v>-92405.27774557448</v>
      </c>
      <c r="AN91" s="1">
        <f t="shared" si="97"/>
        <v>-310300.23538453545</v>
      </c>
      <c r="AO91">
        <f t="shared" si="98"/>
        <v>3.3087292772442103</v>
      </c>
      <c r="AP91">
        <f t="shared" si="99"/>
        <v>14.356139209738616</v>
      </c>
    </row>
    <row r="92" spans="1:42" x14ac:dyDescent="0.25">
      <c r="A92" s="4">
        <v>45964</v>
      </c>
      <c r="B92">
        <f t="shared" ref="B92:N92" si="141">(B642-B641)*100</f>
        <v>0</v>
      </c>
      <c r="C92">
        <f t="shared" si="141"/>
        <v>-0.99999999999997868</v>
      </c>
      <c r="D92">
        <f t="shared" si="141"/>
        <v>-8.9999999999999858</v>
      </c>
      <c r="E92">
        <f t="shared" si="141"/>
        <v>-0.99999999999997868</v>
      </c>
      <c r="F92">
        <f t="shared" si="141"/>
        <v>-0.99999999999997868</v>
      </c>
      <c r="G92">
        <f t="shared" si="141"/>
        <v>0</v>
      </c>
      <c r="H92">
        <f t="shared" si="141"/>
        <v>0</v>
      </c>
      <c r="I92">
        <f t="shared" si="141"/>
        <v>-0.99999999999997868</v>
      </c>
      <c r="J92">
        <f t="shared" si="141"/>
        <v>-1.0000000000000231</v>
      </c>
      <c r="K92">
        <f t="shared" si="141"/>
        <v>-0.99999999999997868</v>
      </c>
      <c r="L92">
        <f t="shared" si="141"/>
        <v>-1.9999999999999574</v>
      </c>
      <c r="M92">
        <f t="shared" si="141"/>
        <v>-1.9999999999999574</v>
      </c>
      <c r="N92">
        <f t="shared" si="141"/>
        <v>-2.0000000000000462</v>
      </c>
      <c r="O92" s="5">
        <f t="shared" si="134"/>
        <v>-6.2976489556750654E-3</v>
      </c>
      <c r="P92" s="5">
        <f t="shared" si="134"/>
        <v>0</v>
      </c>
      <c r="Q92" s="5">
        <f t="shared" si="134"/>
        <v>3.3116479163411892E-3</v>
      </c>
      <c r="R92" s="5">
        <f t="shared" si="134"/>
        <v>2.6694365547732086E-3</v>
      </c>
      <c r="S92" s="5">
        <f t="shared" si="134"/>
        <v>-5.120841746925937E-3</v>
      </c>
      <c r="U92" s="4">
        <v>45964</v>
      </c>
      <c r="V92">
        <f t="shared" si="103"/>
        <v>0</v>
      </c>
      <c r="W92">
        <f t="shared" si="104"/>
        <v>2222.9999999999527</v>
      </c>
      <c r="X92">
        <f t="shared" si="105"/>
        <v>-41309.999999999935</v>
      </c>
      <c r="Y92">
        <f t="shared" si="106"/>
        <v>3444.9999999999268</v>
      </c>
      <c r="Z92">
        <f t="shared" si="107"/>
        <v>-5434.9999999998845</v>
      </c>
      <c r="AA92">
        <f t="shared" si="108"/>
        <v>0</v>
      </c>
      <c r="AB92">
        <f t="shared" si="109"/>
        <v>0</v>
      </c>
      <c r="AC92">
        <f t="shared" si="110"/>
        <v>2222.9999999999527</v>
      </c>
      <c r="AD92">
        <f t="shared" si="111"/>
        <v>100544.00000000233</v>
      </c>
      <c r="AE92">
        <f t="shared" si="112"/>
        <v>-0.99999999999997868</v>
      </c>
      <c r="AF92">
        <f t="shared" si="113"/>
        <v>-100645.99999999786</v>
      </c>
      <c r="AG92">
        <f t="shared" si="114"/>
        <v>-50645.999999998923</v>
      </c>
      <c r="AH92">
        <f t="shared" si="115"/>
        <v>-2.0000000000000462</v>
      </c>
      <c r="AI92">
        <f t="shared" si="116"/>
        <v>-0.62976489556750659</v>
      </c>
      <c r="AJ92">
        <f t="shared" si="117"/>
        <v>0</v>
      </c>
      <c r="AK92">
        <f t="shared" si="118"/>
        <v>33116.479163411888</v>
      </c>
      <c r="AL92">
        <f t="shared" si="119"/>
        <v>-66735.913869330208</v>
      </c>
      <c r="AM92" s="1">
        <f t="shared" si="120"/>
        <v>51208.417469259373</v>
      </c>
      <c r="AN92" s="1">
        <f t="shared" si="97"/>
        <v>-72016.647001548961</v>
      </c>
      <c r="AO92">
        <f t="shared" si="98"/>
        <v>-5.3256873658695358</v>
      </c>
      <c r="AP92">
        <f t="shared" si="99"/>
        <v>14.807009855715497</v>
      </c>
    </row>
    <row r="93" spans="1:42" x14ac:dyDescent="0.25">
      <c r="A93" s="4">
        <v>45961</v>
      </c>
      <c r="B93">
        <f t="shared" ref="B93:N93" si="142">(B643-B642)*100</f>
        <v>-0.99999999999997868</v>
      </c>
      <c r="C93">
        <f t="shared" si="142"/>
        <v>0</v>
      </c>
      <c r="D93">
        <f t="shared" si="142"/>
        <v>2.9999999999999805</v>
      </c>
      <c r="E93">
        <f t="shared" si="142"/>
        <v>0</v>
      </c>
      <c r="F93">
        <f t="shared" si="142"/>
        <v>0</v>
      </c>
      <c r="G93">
        <f t="shared" si="142"/>
        <v>0</v>
      </c>
      <c r="H93">
        <f t="shared" si="142"/>
        <v>0.99999999999997868</v>
      </c>
      <c r="I93">
        <f t="shared" si="142"/>
        <v>0.99999999999997868</v>
      </c>
      <c r="J93">
        <f t="shared" si="142"/>
        <v>1.0000000000000231</v>
      </c>
      <c r="K93">
        <f t="shared" si="142"/>
        <v>0.99999999999997868</v>
      </c>
      <c r="L93">
        <f t="shared" si="142"/>
        <v>0</v>
      </c>
      <c r="M93">
        <f t="shared" si="142"/>
        <v>-1.0000000000000675</v>
      </c>
      <c r="N93">
        <f t="shared" si="142"/>
        <v>-1.9999999999999574</v>
      </c>
      <c r="O93" s="5">
        <f t="shared" si="134"/>
        <v>-1.3000640764163724E-4</v>
      </c>
      <c r="P93" s="5">
        <f t="shared" si="134"/>
        <v>-2.8515897482650817E-3</v>
      </c>
      <c r="Q93" s="5">
        <f t="shared" si="134"/>
        <v>0</v>
      </c>
      <c r="R93" s="5">
        <f t="shared" si="134"/>
        <v>-4.4451102974511448E-3</v>
      </c>
      <c r="S93" s="5">
        <f t="shared" si="134"/>
        <v>1.7238039994397461E-3</v>
      </c>
      <c r="U93" s="4">
        <v>45961</v>
      </c>
      <c r="V93">
        <f t="shared" si="103"/>
        <v>3999.9999999999145</v>
      </c>
      <c r="W93">
        <f t="shared" si="104"/>
        <v>0</v>
      </c>
      <c r="X93">
        <f t="shared" si="105"/>
        <v>13769.999999999911</v>
      </c>
      <c r="Y93">
        <f t="shared" si="106"/>
        <v>0</v>
      </c>
      <c r="Z93">
        <f t="shared" si="107"/>
        <v>0</v>
      </c>
      <c r="AA93">
        <f t="shared" si="108"/>
        <v>0</v>
      </c>
      <c r="AB93">
        <f t="shared" si="109"/>
        <v>4563.9999999999027</v>
      </c>
      <c r="AC93">
        <f t="shared" si="110"/>
        <v>-2222.9999999999527</v>
      </c>
      <c r="AD93">
        <f t="shared" si="111"/>
        <v>-100544.00000000233</v>
      </c>
      <c r="AE93">
        <f t="shared" si="112"/>
        <v>0.99999999999997868</v>
      </c>
      <c r="AF93">
        <f t="shared" si="113"/>
        <v>0</v>
      </c>
      <c r="AG93">
        <f t="shared" si="114"/>
        <v>-25323.00000000171</v>
      </c>
      <c r="AH93">
        <f t="shared" si="115"/>
        <v>-1.9999999999999574</v>
      </c>
      <c r="AI93">
        <f t="shared" si="116"/>
        <v>-1.3000640764163724E-2</v>
      </c>
      <c r="AJ93">
        <f t="shared" si="117"/>
        <v>28515.897482650817</v>
      </c>
      <c r="AK93">
        <f t="shared" si="118"/>
        <v>0</v>
      </c>
      <c r="AL93">
        <f t="shared" si="119"/>
        <v>111127.75743627863</v>
      </c>
      <c r="AM93" s="1">
        <f t="shared" si="120"/>
        <v>-17238.039994397463</v>
      </c>
      <c r="AN93" s="1">
        <f t="shared" si="97"/>
        <v>16648.601923886934</v>
      </c>
      <c r="AO93">
        <f t="shared" si="98"/>
        <v>-1.9893193061241121</v>
      </c>
      <c r="AP93">
        <f t="shared" si="99"/>
        <v>14.735101065275964</v>
      </c>
    </row>
    <row r="94" spans="1:42" x14ac:dyDescent="0.25">
      <c r="A94" s="4">
        <v>45960</v>
      </c>
      <c r="B94">
        <f t="shared" ref="B94:N94" si="143">(B644-B643)*100</f>
        <v>-1.9999999999999574</v>
      </c>
      <c r="C94">
        <f t="shared" si="143"/>
        <v>-4.9999999999999822</v>
      </c>
      <c r="D94">
        <f t="shared" si="143"/>
        <v>1.0000000000000231</v>
      </c>
      <c r="E94">
        <f t="shared" si="143"/>
        <v>-1.0000000000000231</v>
      </c>
      <c r="F94">
        <f t="shared" si="143"/>
        <v>0</v>
      </c>
      <c r="G94">
        <f t="shared" si="143"/>
        <v>0</v>
      </c>
      <c r="H94">
        <f t="shared" si="143"/>
        <v>-2.0000000000000018</v>
      </c>
      <c r="I94">
        <f t="shared" si="143"/>
        <v>-0.99999999999997868</v>
      </c>
      <c r="J94">
        <f t="shared" si="143"/>
        <v>-2.0000000000000018</v>
      </c>
      <c r="K94">
        <f t="shared" si="143"/>
        <v>-2.9999999999999805</v>
      </c>
      <c r="L94">
        <f t="shared" si="143"/>
        <v>-3.0000000000000249</v>
      </c>
      <c r="M94">
        <f t="shared" si="143"/>
        <v>-4.9999999999999822</v>
      </c>
      <c r="N94">
        <f t="shared" si="143"/>
        <v>-4.0000000000000036</v>
      </c>
      <c r="O94" s="5">
        <f t="shared" si="134"/>
        <v>8.0925297131750878E-3</v>
      </c>
      <c r="P94" s="5">
        <f t="shared" si="134"/>
        <v>-2.585316848470842E-3</v>
      </c>
      <c r="Q94" s="5">
        <f t="shared" si="134"/>
        <v>-1.1263416343253983E-3</v>
      </c>
      <c r="R94" s="5">
        <f t="shared" si="134"/>
        <v>-2.6576126671129237E-3</v>
      </c>
      <c r="S94" s="5">
        <f t="shared" si="134"/>
        <v>4.1601218347049503E-3</v>
      </c>
      <c r="U94" s="4">
        <v>45960</v>
      </c>
      <c r="V94">
        <f t="shared" si="103"/>
        <v>7999.999999999829</v>
      </c>
      <c r="W94">
        <f t="shared" si="104"/>
        <v>11114.99999999996</v>
      </c>
      <c r="X94">
        <f t="shared" si="105"/>
        <v>4590.0000000001064</v>
      </c>
      <c r="Y94">
        <f t="shared" si="106"/>
        <v>3445.0000000000796</v>
      </c>
      <c r="Z94">
        <f t="shared" si="107"/>
        <v>0</v>
      </c>
      <c r="AA94">
        <f t="shared" si="108"/>
        <v>0</v>
      </c>
      <c r="AB94">
        <f t="shared" si="109"/>
        <v>-9128.0000000000073</v>
      </c>
      <c r="AC94">
        <f t="shared" si="110"/>
        <v>2222.9999999999527</v>
      </c>
      <c r="AD94">
        <f t="shared" si="111"/>
        <v>201088.00000000017</v>
      </c>
      <c r="AE94">
        <f t="shared" si="112"/>
        <v>-2.9999999999999805</v>
      </c>
      <c r="AF94">
        <f t="shared" si="113"/>
        <v>-150969.00000000125</v>
      </c>
      <c r="AG94">
        <f t="shared" si="114"/>
        <v>-126614.99999999955</v>
      </c>
      <c r="AH94">
        <f t="shared" si="115"/>
        <v>-4.0000000000000036</v>
      </c>
      <c r="AI94">
        <f t="shared" si="116"/>
        <v>0.80925297131750873</v>
      </c>
      <c r="AJ94">
        <f t="shared" si="117"/>
        <v>25853.168484708422</v>
      </c>
      <c r="AK94">
        <f t="shared" si="118"/>
        <v>-11263.416343253983</v>
      </c>
      <c r="AL94">
        <f t="shared" si="119"/>
        <v>66440.316677823095</v>
      </c>
      <c r="AM94" s="1">
        <f t="shared" si="120"/>
        <v>-41601.2183470495</v>
      </c>
      <c r="AN94" s="1">
        <f t="shared" si="97"/>
        <v>-16828.340274801361</v>
      </c>
      <c r="AO94">
        <f t="shared" si="98"/>
        <v>-1.0418978138847292</v>
      </c>
      <c r="AP94">
        <f t="shared" si="99"/>
        <v>14.831357796657612</v>
      </c>
    </row>
    <row r="95" spans="1:42" x14ac:dyDescent="0.25">
      <c r="A95" s="4">
        <v>45959</v>
      </c>
      <c r="B95">
        <f t="shared" ref="B95:N95" si="144">(B645-B644)*100</f>
        <v>4.0000000000000036</v>
      </c>
      <c r="C95">
        <f t="shared" si="144"/>
        <v>-2.0000000000000018</v>
      </c>
      <c r="D95">
        <f t="shared" si="144"/>
        <v>-4.0000000000000036</v>
      </c>
      <c r="E95">
        <f t="shared" si="144"/>
        <v>0</v>
      </c>
      <c r="F95">
        <f t="shared" si="144"/>
        <v>-6.999999999999984</v>
      </c>
      <c r="G95">
        <f t="shared" si="144"/>
        <v>-11.000000000000032</v>
      </c>
      <c r="H95">
        <f t="shared" si="144"/>
        <v>-11.999999999999966</v>
      </c>
      <c r="I95">
        <f t="shared" si="144"/>
        <v>-10.000000000000009</v>
      </c>
      <c r="J95">
        <f t="shared" si="144"/>
        <v>-10.000000000000009</v>
      </c>
      <c r="K95">
        <f t="shared" si="144"/>
        <v>-10.000000000000009</v>
      </c>
      <c r="L95">
        <f t="shared" si="144"/>
        <v>-8.9999999999999858</v>
      </c>
      <c r="M95">
        <f t="shared" si="144"/>
        <v>-5.9999999999999609</v>
      </c>
      <c r="N95">
        <f t="shared" si="144"/>
        <v>-6.0000000000000497</v>
      </c>
      <c r="O95" s="5">
        <f t="shared" ref="O95:S104" si="145">LN(O644/O645)</f>
        <v>-5.1167245153362385E-3</v>
      </c>
      <c r="P95" s="5">
        <f t="shared" si="145"/>
        <v>-6.4162424643662503E-3</v>
      </c>
      <c r="Q95" s="5">
        <f t="shared" si="145"/>
        <v>3.6599289718398488E-3</v>
      </c>
      <c r="R95" s="5">
        <f t="shared" si="145"/>
        <v>0</v>
      </c>
      <c r="S95" s="5">
        <f t="shared" si="145"/>
        <v>2.1191213850765469E-3</v>
      </c>
      <c r="U95" s="4">
        <v>45959</v>
      </c>
      <c r="V95">
        <f t="shared" si="103"/>
        <v>-16000.000000000015</v>
      </c>
      <c r="W95">
        <f t="shared" si="104"/>
        <v>4446.0000000000036</v>
      </c>
      <c r="X95">
        <f t="shared" si="105"/>
        <v>-18360.000000000015</v>
      </c>
      <c r="Y95">
        <f t="shared" si="106"/>
        <v>0</v>
      </c>
      <c r="Z95">
        <f t="shared" si="107"/>
        <v>-38044.999999999913</v>
      </c>
      <c r="AA95">
        <f t="shared" si="108"/>
        <v>22000.000000000065</v>
      </c>
      <c r="AB95">
        <f t="shared" si="109"/>
        <v>-54767.999999999847</v>
      </c>
      <c r="AC95">
        <f t="shared" si="110"/>
        <v>22230.000000000018</v>
      </c>
      <c r="AD95">
        <f t="shared" si="111"/>
        <v>1005440.0000000009</v>
      </c>
      <c r="AE95">
        <f t="shared" si="112"/>
        <v>-10.000000000000009</v>
      </c>
      <c r="AF95">
        <f t="shared" si="113"/>
        <v>-452906.9999999993</v>
      </c>
      <c r="AG95">
        <f t="shared" si="114"/>
        <v>-151937.99999999901</v>
      </c>
      <c r="AH95">
        <f t="shared" si="115"/>
        <v>-6.0000000000000497</v>
      </c>
      <c r="AI95">
        <f t="shared" si="116"/>
        <v>-0.51167245153362384</v>
      </c>
      <c r="AJ95">
        <f t="shared" si="117"/>
        <v>64162.424643662504</v>
      </c>
      <c r="AK95">
        <f t="shared" si="118"/>
        <v>36599.28971839849</v>
      </c>
      <c r="AL95">
        <f t="shared" si="119"/>
        <v>0</v>
      </c>
      <c r="AM95" s="1">
        <f t="shared" si="120"/>
        <v>-21191.213850765467</v>
      </c>
      <c r="AN95" s="1">
        <f t="shared" si="97"/>
        <v>401651.98883884685</v>
      </c>
      <c r="AO95">
        <f t="shared" si="98"/>
        <v>-2.8493188414530888</v>
      </c>
      <c r="AP95">
        <f t="shared" si="99"/>
        <v>14.836609273740956</v>
      </c>
    </row>
    <row r="96" spans="1:42" x14ac:dyDescent="0.25">
      <c r="A96" s="4">
        <v>45958</v>
      </c>
      <c r="B96">
        <f t="shared" ref="B96:N96" si="146">(B646-B645)*100</f>
        <v>1.9999999999999574</v>
      </c>
      <c r="C96">
        <f t="shared" si="146"/>
        <v>2.9999999999999805</v>
      </c>
      <c r="D96">
        <f t="shared" si="146"/>
        <v>0</v>
      </c>
      <c r="E96">
        <f t="shared" si="146"/>
        <v>1.0000000000000231</v>
      </c>
      <c r="F96">
        <f t="shared" si="146"/>
        <v>0.99999999999997868</v>
      </c>
      <c r="G96">
        <f t="shared" si="146"/>
        <v>0</v>
      </c>
      <c r="H96">
        <f t="shared" si="146"/>
        <v>0.99999999999997868</v>
      </c>
      <c r="I96">
        <f t="shared" si="146"/>
        <v>0</v>
      </c>
      <c r="J96">
        <f t="shared" si="146"/>
        <v>0.99999999999997868</v>
      </c>
      <c r="K96">
        <f t="shared" si="146"/>
        <v>2.0000000000000018</v>
      </c>
      <c r="L96">
        <f t="shared" si="146"/>
        <v>1.9999999999999574</v>
      </c>
      <c r="M96">
        <f t="shared" si="146"/>
        <v>1.9999999999999574</v>
      </c>
      <c r="N96">
        <f t="shared" si="146"/>
        <v>2.0000000000000462</v>
      </c>
      <c r="O96" s="5">
        <f t="shared" si="145"/>
        <v>-1.0053245810786146E-3</v>
      </c>
      <c r="P96" s="5">
        <f t="shared" si="145"/>
        <v>1.3281999080129104E-2</v>
      </c>
      <c r="Q96" s="5">
        <f t="shared" si="145"/>
        <v>-5.6120806713119585E-3</v>
      </c>
      <c r="R96" s="5">
        <f t="shared" si="145"/>
        <v>2.0664213995247598E-3</v>
      </c>
      <c r="S96" s="5">
        <f t="shared" si="145"/>
        <v>1.922471782190269E-3</v>
      </c>
      <c r="U96" s="4">
        <v>45958</v>
      </c>
      <c r="V96">
        <f t="shared" si="103"/>
        <v>-7999.999999999829</v>
      </c>
      <c r="W96">
        <f t="shared" si="104"/>
        <v>-6668.9999999999563</v>
      </c>
      <c r="X96">
        <f t="shared" si="105"/>
        <v>0</v>
      </c>
      <c r="Y96">
        <f t="shared" si="106"/>
        <v>-3445.0000000000796</v>
      </c>
      <c r="Z96">
        <f t="shared" si="107"/>
        <v>5434.9999999998845</v>
      </c>
      <c r="AA96">
        <f t="shared" si="108"/>
        <v>0</v>
      </c>
      <c r="AB96">
        <f t="shared" si="109"/>
        <v>4563.9999999999027</v>
      </c>
      <c r="AC96">
        <f t="shared" si="110"/>
        <v>0</v>
      </c>
      <c r="AD96">
        <f t="shared" si="111"/>
        <v>-100543.99999999786</v>
      </c>
      <c r="AE96">
        <f t="shared" si="112"/>
        <v>2.0000000000000018</v>
      </c>
      <c r="AF96">
        <f t="shared" si="113"/>
        <v>100645.99999999786</v>
      </c>
      <c r="AG96">
        <f t="shared" si="114"/>
        <v>50645.999999998923</v>
      </c>
      <c r="AH96">
        <f t="shared" si="115"/>
        <v>2.0000000000000462</v>
      </c>
      <c r="AI96">
        <f t="shared" si="116"/>
        <v>-0.10053245810786146</v>
      </c>
      <c r="AJ96">
        <f t="shared" si="117"/>
        <v>-132819.99080129105</v>
      </c>
      <c r="AK96">
        <f t="shared" si="118"/>
        <v>-56120.806713119586</v>
      </c>
      <c r="AL96">
        <f t="shared" si="119"/>
        <v>-51660.534988118998</v>
      </c>
      <c r="AM96" s="1">
        <f t="shared" si="120"/>
        <v>-19224.71782190269</v>
      </c>
      <c r="AN96" s="1">
        <f t="shared" si="97"/>
        <v>-217189.15085689159</v>
      </c>
      <c r="AO96">
        <f t="shared" si="98"/>
        <v>-3.1120001135975994</v>
      </c>
      <c r="AP96">
        <f t="shared" si="99"/>
        <v>15.019191353177201</v>
      </c>
    </row>
    <row r="97" spans="1:42" x14ac:dyDescent="0.25">
      <c r="A97" s="4">
        <v>45957</v>
      </c>
      <c r="B97">
        <f t="shared" ref="B97:N97" si="147">(B647-B646)*100</f>
        <v>2.0000000000000462</v>
      </c>
      <c r="C97">
        <f t="shared" si="147"/>
        <v>1.9999999999999574</v>
      </c>
      <c r="D97">
        <f t="shared" si="147"/>
        <v>4.0000000000000036</v>
      </c>
      <c r="E97">
        <f t="shared" si="147"/>
        <v>2.0000000000000018</v>
      </c>
      <c r="F97">
        <f t="shared" si="147"/>
        <v>2.9999999999999805</v>
      </c>
      <c r="G97">
        <f t="shared" si="147"/>
        <v>-0.99999999999997868</v>
      </c>
      <c r="H97">
        <f t="shared" si="147"/>
        <v>0</v>
      </c>
      <c r="I97">
        <f t="shared" si="147"/>
        <v>-0.99999999999997868</v>
      </c>
      <c r="J97">
        <f t="shared" si="147"/>
        <v>0</v>
      </c>
      <c r="K97">
        <f t="shared" si="147"/>
        <v>0</v>
      </c>
      <c r="L97">
        <f t="shared" si="147"/>
        <v>0.99999999999997868</v>
      </c>
      <c r="M97">
        <f t="shared" si="147"/>
        <v>0.99999999999997868</v>
      </c>
      <c r="N97">
        <f t="shared" si="147"/>
        <v>1.9999999999999574</v>
      </c>
      <c r="O97" s="5">
        <f t="shared" si="145"/>
        <v>-9.8572565753428311E-4</v>
      </c>
      <c r="P97" s="5">
        <f t="shared" si="145"/>
        <v>-1.0393660803154512E-3</v>
      </c>
      <c r="Q97" s="5">
        <f t="shared" si="145"/>
        <v>-1.9800833445189538E-3</v>
      </c>
      <c r="R97" s="5">
        <f t="shared" si="145"/>
        <v>2.9555194540533861E-4</v>
      </c>
      <c r="S97" s="5">
        <f t="shared" si="145"/>
        <v>-2.4431836504563488E-3</v>
      </c>
      <c r="U97" s="4">
        <v>45957</v>
      </c>
      <c r="V97">
        <f t="shared" si="103"/>
        <v>-8000.0000000001846</v>
      </c>
      <c r="W97">
        <f t="shared" si="104"/>
        <v>-4445.9999999999054</v>
      </c>
      <c r="X97">
        <f t="shared" si="105"/>
        <v>18360.000000000015</v>
      </c>
      <c r="Y97">
        <f t="shared" si="106"/>
        <v>-6890.0000000000064</v>
      </c>
      <c r="Z97">
        <f t="shared" si="107"/>
        <v>16304.999999999894</v>
      </c>
      <c r="AA97">
        <f t="shared" si="108"/>
        <v>1999.9999999999573</v>
      </c>
      <c r="AB97">
        <f t="shared" si="109"/>
        <v>0</v>
      </c>
      <c r="AC97">
        <f t="shared" si="110"/>
        <v>2222.9999999999527</v>
      </c>
      <c r="AD97">
        <f t="shared" si="111"/>
        <v>0</v>
      </c>
      <c r="AE97">
        <f t="shared" si="112"/>
        <v>0</v>
      </c>
      <c r="AF97">
        <f t="shared" si="113"/>
        <v>50322.99999999893</v>
      </c>
      <c r="AG97">
        <f t="shared" si="114"/>
        <v>25322.999999999462</v>
      </c>
      <c r="AH97">
        <f t="shared" si="115"/>
        <v>1.9999999999999574</v>
      </c>
      <c r="AI97">
        <f t="shared" si="116"/>
        <v>-9.8572565753428307E-2</v>
      </c>
      <c r="AJ97">
        <f t="shared" si="117"/>
        <v>10393.660803154513</v>
      </c>
      <c r="AK97">
        <f t="shared" si="118"/>
        <v>-19800.833445189539</v>
      </c>
      <c r="AL97">
        <f t="shared" si="119"/>
        <v>-7388.7986351334657</v>
      </c>
      <c r="AM97" s="1">
        <f t="shared" si="120"/>
        <v>24431.836504563489</v>
      </c>
      <c r="AN97" s="1">
        <f t="shared" si="97"/>
        <v>102835.76665482736</v>
      </c>
      <c r="AO97">
        <f t="shared" si="98"/>
        <v>-5.0922793633399701</v>
      </c>
      <c r="AP97">
        <f t="shared" si="99"/>
        <v>14.995972679265192</v>
      </c>
    </row>
    <row r="98" spans="1:42" x14ac:dyDescent="0.25">
      <c r="A98" s="4">
        <v>45954</v>
      </c>
      <c r="B98">
        <f t="shared" ref="B98:N98" si="148">(B648-B647)*100</f>
        <v>0.99999999999997868</v>
      </c>
      <c r="C98">
        <f t="shared" si="148"/>
        <v>3.0000000000000249</v>
      </c>
      <c r="D98">
        <f t="shared" si="148"/>
        <v>2.0000000000000018</v>
      </c>
      <c r="E98">
        <f t="shared" si="148"/>
        <v>0.99999999999997868</v>
      </c>
      <c r="F98">
        <f t="shared" si="148"/>
        <v>2.0000000000000018</v>
      </c>
      <c r="G98">
        <f t="shared" si="148"/>
        <v>0.99999999999997868</v>
      </c>
      <c r="H98">
        <f t="shared" si="148"/>
        <v>0</v>
      </c>
      <c r="I98">
        <f t="shared" si="148"/>
        <v>0</v>
      </c>
      <c r="J98">
        <f t="shared" si="148"/>
        <v>0</v>
      </c>
      <c r="K98">
        <f t="shared" si="148"/>
        <v>0</v>
      </c>
      <c r="L98">
        <f t="shared" si="148"/>
        <v>-0.99999999999997868</v>
      </c>
      <c r="M98">
        <f t="shared" si="148"/>
        <v>-0.99999999999997868</v>
      </c>
      <c r="N98">
        <f t="shared" si="148"/>
        <v>-0.99999999999997868</v>
      </c>
      <c r="O98" s="5">
        <f t="shared" si="145"/>
        <v>-7.9902634534193614E-4</v>
      </c>
      <c r="P98" s="5">
        <f t="shared" si="145"/>
        <v>-8.1217145002901465E-3</v>
      </c>
      <c r="Q98" s="5">
        <f t="shared" si="145"/>
        <v>-5.4014267835947516E-3</v>
      </c>
      <c r="R98" s="5">
        <f t="shared" si="145"/>
        <v>-1.7720028263427474E-3</v>
      </c>
      <c r="S98" s="5">
        <f t="shared" si="145"/>
        <v>2.4921082603604279E-3</v>
      </c>
      <c r="U98" s="4">
        <v>45954</v>
      </c>
      <c r="V98">
        <f t="shared" si="103"/>
        <v>-3999.9999999999145</v>
      </c>
      <c r="W98">
        <f t="shared" si="104"/>
        <v>-6669.0000000000555</v>
      </c>
      <c r="X98">
        <f t="shared" si="105"/>
        <v>9180.0000000000073</v>
      </c>
      <c r="Y98">
        <f t="shared" si="106"/>
        <v>-3444.9999999999268</v>
      </c>
      <c r="Z98">
        <f t="shared" si="107"/>
        <v>10870.000000000009</v>
      </c>
      <c r="AA98">
        <f t="shared" si="108"/>
        <v>-1999.9999999999573</v>
      </c>
      <c r="AB98">
        <f t="shared" si="109"/>
        <v>0</v>
      </c>
      <c r="AC98">
        <f t="shared" si="110"/>
        <v>0</v>
      </c>
      <c r="AD98">
        <f t="shared" si="111"/>
        <v>0</v>
      </c>
      <c r="AE98">
        <f t="shared" si="112"/>
        <v>0</v>
      </c>
      <c r="AF98">
        <f t="shared" si="113"/>
        <v>-50322.99999999893</v>
      </c>
      <c r="AG98">
        <f t="shared" si="114"/>
        <v>-25322.999999999462</v>
      </c>
      <c r="AH98">
        <f t="shared" si="115"/>
        <v>-0.99999999999997868</v>
      </c>
      <c r="AI98">
        <f t="shared" si="116"/>
        <v>-7.990263453419362E-2</v>
      </c>
      <c r="AJ98">
        <f t="shared" si="117"/>
        <v>81217.145002901467</v>
      </c>
      <c r="AK98">
        <f t="shared" si="118"/>
        <v>-54014.267835947518</v>
      </c>
      <c r="AL98">
        <f t="shared" si="119"/>
        <v>44300.070658568686</v>
      </c>
      <c r="AM98" s="1">
        <f t="shared" si="120"/>
        <v>-24921.082603604278</v>
      </c>
      <c r="AN98" s="1">
        <f t="shared" si="97"/>
        <v>-25129.214680714402</v>
      </c>
      <c r="AO98">
        <f t="shared" si="98"/>
        <v>-1.0560272566998339</v>
      </c>
      <c r="AP98">
        <f t="shared" si="99"/>
        <v>15.013838878559485</v>
      </c>
    </row>
    <row r="99" spans="1:42" x14ac:dyDescent="0.25">
      <c r="A99" s="4">
        <v>45953</v>
      </c>
      <c r="B99">
        <f t="shared" ref="B99:N99" si="149">(B649-B648)*100</f>
        <v>-0.99999999999997868</v>
      </c>
      <c r="C99">
        <f t="shared" si="149"/>
        <v>-0.99999999999997868</v>
      </c>
      <c r="D99">
        <f t="shared" si="149"/>
        <v>0.99999999999997868</v>
      </c>
      <c r="E99">
        <f t="shared" si="149"/>
        <v>0</v>
      </c>
      <c r="F99">
        <f t="shared" si="149"/>
        <v>0</v>
      </c>
      <c r="G99">
        <f t="shared" si="149"/>
        <v>-4.0000000000000036</v>
      </c>
      <c r="H99">
        <f t="shared" si="149"/>
        <v>-2.9999999999999805</v>
      </c>
      <c r="I99">
        <f t="shared" si="149"/>
        <v>-5.0000000000000266</v>
      </c>
      <c r="J99">
        <f t="shared" si="149"/>
        <v>-4.9999999999999822</v>
      </c>
      <c r="K99">
        <f t="shared" si="149"/>
        <v>-4.9999999999999822</v>
      </c>
      <c r="L99">
        <f t="shared" si="149"/>
        <v>-3.9999999999999591</v>
      </c>
      <c r="M99">
        <f t="shared" si="149"/>
        <v>-3.0000000000000249</v>
      </c>
      <c r="N99">
        <f t="shared" si="149"/>
        <v>-4.0000000000000036</v>
      </c>
      <c r="O99" s="5">
        <f t="shared" si="145"/>
        <v>-1.0767461033616024E-3</v>
      </c>
      <c r="P99" s="5">
        <f t="shared" si="145"/>
        <v>-6.7010096830783924E-3</v>
      </c>
      <c r="Q99" s="5">
        <f t="shared" si="145"/>
        <v>-1.3878377196045396E-3</v>
      </c>
      <c r="R99" s="5">
        <f t="shared" si="145"/>
        <v>-5.0036896155824032E-3</v>
      </c>
      <c r="S99" s="5">
        <f t="shared" si="145"/>
        <v>-2.8607818528688703E-3</v>
      </c>
      <c r="U99" s="4">
        <v>45953</v>
      </c>
      <c r="V99">
        <f t="shared" si="103"/>
        <v>3999.9999999999145</v>
      </c>
      <c r="W99">
        <f t="shared" si="104"/>
        <v>2222.9999999999527</v>
      </c>
      <c r="X99">
        <f t="shared" si="105"/>
        <v>4589.9999999999018</v>
      </c>
      <c r="Y99">
        <f t="shared" si="106"/>
        <v>0</v>
      </c>
      <c r="Z99">
        <f t="shared" si="107"/>
        <v>0</v>
      </c>
      <c r="AA99">
        <f t="shared" si="108"/>
        <v>8000.0000000000073</v>
      </c>
      <c r="AB99">
        <f t="shared" si="109"/>
        <v>-13691.999999999911</v>
      </c>
      <c r="AC99">
        <f t="shared" si="110"/>
        <v>11115.00000000006</v>
      </c>
      <c r="AD99">
        <f t="shared" si="111"/>
        <v>502719.9999999982</v>
      </c>
      <c r="AE99">
        <f t="shared" si="112"/>
        <v>-4.9999999999999822</v>
      </c>
      <c r="AF99">
        <f t="shared" si="113"/>
        <v>-201291.99999999793</v>
      </c>
      <c r="AG99">
        <f t="shared" si="114"/>
        <v>-75969.000000000626</v>
      </c>
      <c r="AH99">
        <f t="shared" si="115"/>
        <v>-4.0000000000000036</v>
      </c>
      <c r="AI99">
        <f t="shared" si="116"/>
        <v>-0.10767461033616024</v>
      </c>
      <c r="AJ99">
        <f t="shared" si="117"/>
        <v>67010.096830783921</v>
      </c>
      <c r="AK99">
        <f t="shared" si="118"/>
        <v>-13878.377196045396</v>
      </c>
      <c r="AL99">
        <f t="shared" si="119"/>
        <v>125092.24038956007</v>
      </c>
      <c r="AM99" s="1">
        <f t="shared" si="120"/>
        <v>28607.818528688702</v>
      </c>
      <c r="AN99" s="1">
        <f t="shared" si="97"/>
        <v>448517.67087837652</v>
      </c>
      <c r="AO99">
        <f t="shared" si="98"/>
        <v>-4.7263645265876146</v>
      </c>
      <c r="AP99">
        <f t="shared" si="99"/>
        <v>15.005145173621067</v>
      </c>
    </row>
    <row r="100" spans="1:42" x14ac:dyDescent="0.25">
      <c r="A100" s="4">
        <v>45952</v>
      </c>
      <c r="B100">
        <f t="shared" ref="B100:N100" si="150">(B650-B649)*100</f>
        <v>0.99999999999997868</v>
      </c>
      <c r="C100">
        <f t="shared" si="150"/>
        <v>0.99999999999997868</v>
      </c>
      <c r="D100">
        <f t="shared" si="150"/>
        <v>0</v>
      </c>
      <c r="E100">
        <f t="shared" si="150"/>
        <v>0</v>
      </c>
      <c r="F100">
        <f t="shared" si="150"/>
        <v>0</v>
      </c>
      <c r="G100">
        <f t="shared" si="150"/>
        <v>1.0000000000000231</v>
      </c>
      <c r="H100">
        <f t="shared" si="150"/>
        <v>0</v>
      </c>
      <c r="I100">
        <f t="shared" si="150"/>
        <v>2.0000000000000018</v>
      </c>
      <c r="J100">
        <f t="shared" si="150"/>
        <v>0</v>
      </c>
      <c r="K100">
        <f t="shared" si="150"/>
        <v>0</v>
      </c>
      <c r="L100">
        <f t="shared" si="150"/>
        <v>0.99999999999997868</v>
      </c>
      <c r="M100">
        <f t="shared" si="150"/>
        <v>1.0000000000000675</v>
      </c>
      <c r="N100">
        <f t="shared" si="150"/>
        <v>0.99999999999997868</v>
      </c>
      <c r="O100" s="5">
        <f t="shared" si="145"/>
        <v>9.281604527474845E-4</v>
      </c>
      <c r="P100" s="5">
        <f t="shared" si="145"/>
        <v>4.6165765501814055E-3</v>
      </c>
      <c r="Q100" s="5">
        <f t="shared" si="145"/>
        <v>-1.5013204988974615E-3</v>
      </c>
      <c r="R100" s="5">
        <f t="shared" si="145"/>
        <v>4.7086608481377561E-3</v>
      </c>
      <c r="S100" s="5">
        <f t="shared" si="145"/>
        <v>4.4459385457831964E-4</v>
      </c>
      <c r="U100" s="4">
        <v>45952</v>
      </c>
      <c r="V100">
        <f t="shared" si="103"/>
        <v>-3999.9999999999145</v>
      </c>
      <c r="W100">
        <f t="shared" si="104"/>
        <v>-2222.9999999999527</v>
      </c>
      <c r="X100">
        <f t="shared" si="105"/>
        <v>0</v>
      </c>
      <c r="Y100">
        <f t="shared" si="106"/>
        <v>0</v>
      </c>
      <c r="Z100">
        <f t="shared" si="107"/>
        <v>0</v>
      </c>
      <c r="AA100">
        <f t="shared" si="108"/>
        <v>-2000.0000000000462</v>
      </c>
      <c r="AB100">
        <f t="shared" si="109"/>
        <v>0</v>
      </c>
      <c r="AC100">
        <f t="shared" si="110"/>
        <v>-4446.0000000000036</v>
      </c>
      <c r="AD100">
        <f t="shared" si="111"/>
        <v>0</v>
      </c>
      <c r="AE100">
        <f t="shared" si="112"/>
        <v>0</v>
      </c>
      <c r="AF100">
        <f t="shared" si="113"/>
        <v>50322.99999999893</v>
      </c>
      <c r="AG100">
        <f t="shared" si="114"/>
        <v>25323.00000000171</v>
      </c>
      <c r="AH100">
        <f t="shared" si="115"/>
        <v>0.99999999999997868</v>
      </c>
      <c r="AI100">
        <f t="shared" si="116"/>
        <v>9.2816045274748446E-2</v>
      </c>
      <c r="AJ100">
        <f t="shared" si="117"/>
        <v>-46165.765501814058</v>
      </c>
      <c r="AK100">
        <f t="shared" si="118"/>
        <v>-15013.204988974616</v>
      </c>
      <c r="AL100">
        <f t="shared" si="119"/>
        <v>-117716.5212034439</v>
      </c>
      <c r="AM100" s="1">
        <f t="shared" si="120"/>
        <v>-4445.9385457831968</v>
      </c>
      <c r="AN100" s="1">
        <f t="shared" si="97"/>
        <v>-120363.33742396977</v>
      </c>
      <c r="AO100">
        <f t="shared" si="98"/>
        <v>-0.56241455860355061</v>
      </c>
      <c r="AP100">
        <f t="shared" si="99"/>
        <v>14.953684002108552</v>
      </c>
    </row>
    <row r="101" spans="1:42" x14ac:dyDescent="0.25">
      <c r="A101" s="4">
        <v>45951</v>
      </c>
      <c r="B101">
        <f t="shared" ref="B101:N101" si="151">(B651-B650)*100</f>
        <v>3.0000000000000249</v>
      </c>
      <c r="C101">
        <f t="shared" si="151"/>
        <v>0</v>
      </c>
      <c r="D101">
        <f t="shared" si="151"/>
        <v>1.0000000000000231</v>
      </c>
      <c r="E101">
        <f t="shared" si="151"/>
        <v>2.0000000000000018</v>
      </c>
      <c r="F101">
        <f t="shared" si="151"/>
        <v>0</v>
      </c>
      <c r="G101">
        <f t="shared" si="151"/>
        <v>-1.0000000000000231</v>
      </c>
      <c r="H101">
        <f t="shared" si="151"/>
        <v>0.99999999999997868</v>
      </c>
      <c r="I101">
        <f t="shared" si="151"/>
        <v>1.0000000000000231</v>
      </c>
      <c r="J101">
        <f t="shared" si="151"/>
        <v>2.0000000000000018</v>
      </c>
      <c r="K101">
        <f t="shared" si="151"/>
        <v>2.9999999999999805</v>
      </c>
      <c r="L101">
        <f t="shared" si="151"/>
        <v>2.0000000000000018</v>
      </c>
      <c r="M101">
        <f t="shared" si="151"/>
        <v>2.9999999999999361</v>
      </c>
      <c r="N101">
        <f t="shared" si="151"/>
        <v>3.0000000000000249</v>
      </c>
      <c r="O101" s="5">
        <f t="shared" si="145"/>
        <v>1.4310541131795195E-3</v>
      </c>
      <c r="P101" s="5">
        <f t="shared" si="145"/>
        <v>1.7496016401551287E-3</v>
      </c>
      <c r="Q101" s="5">
        <f t="shared" si="145"/>
        <v>-7.4521522790226948E-3</v>
      </c>
      <c r="R101" s="5">
        <f t="shared" si="145"/>
        <v>5.323881252750017E-3</v>
      </c>
      <c r="S101" s="5">
        <f t="shared" si="145"/>
        <v>1.5522054198151105E-3</v>
      </c>
      <c r="U101" s="4">
        <v>45951</v>
      </c>
      <c r="V101">
        <f t="shared" si="103"/>
        <v>-12000.0000000001</v>
      </c>
      <c r="W101">
        <f t="shared" si="104"/>
        <v>0</v>
      </c>
      <c r="X101">
        <f t="shared" si="105"/>
        <v>4590.0000000001064</v>
      </c>
      <c r="Y101">
        <f t="shared" si="106"/>
        <v>-6890.0000000000064</v>
      </c>
      <c r="Z101">
        <f t="shared" si="107"/>
        <v>0</v>
      </c>
      <c r="AA101">
        <f t="shared" si="108"/>
        <v>2000.0000000000462</v>
      </c>
      <c r="AB101">
        <f t="shared" si="109"/>
        <v>4563.9999999999027</v>
      </c>
      <c r="AC101">
        <f t="shared" si="110"/>
        <v>-2223.0000000000514</v>
      </c>
      <c r="AD101">
        <f t="shared" si="111"/>
        <v>-201088.00000000017</v>
      </c>
      <c r="AE101">
        <f t="shared" si="112"/>
        <v>2.9999999999999805</v>
      </c>
      <c r="AF101">
        <f t="shared" si="113"/>
        <v>100646.00000000009</v>
      </c>
      <c r="AG101">
        <f t="shared" si="114"/>
        <v>75968.999999998385</v>
      </c>
      <c r="AH101">
        <f t="shared" si="115"/>
        <v>3.0000000000000249</v>
      </c>
      <c r="AI101">
        <f t="shared" si="116"/>
        <v>0.14310541131795196</v>
      </c>
      <c r="AJ101">
        <f t="shared" si="117"/>
        <v>-17496.016401551286</v>
      </c>
      <c r="AK101">
        <f t="shared" si="118"/>
        <v>-74521.522790226954</v>
      </c>
      <c r="AL101">
        <f t="shared" si="119"/>
        <v>-133097.03131875044</v>
      </c>
      <c r="AM101" s="1">
        <f t="shared" si="120"/>
        <v>-15522.054198151105</v>
      </c>
      <c r="AN101" s="1">
        <f t="shared" si="97"/>
        <v>-275062.48160327028</v>
      </c>
      <c r="AO101">
        <f t="shared" si="98"/>
        <v>62.960845243319028</v>
      </c>
      <c r="AP101">
        <f t="shared" si="99"/>
        <v>14.973227512184861</v>
      </c>
    </row>
    <row r="102" spans="1:42" x14ac:dyDescent="0.25">
      <c r="A102" s="4">
        <v>45950</v>
      </c>
      <c r="B102">
        <f t="shared" ref="B102:N102" si="152">(B652-B651)*100</f>
        <v>2.9999999999999361</v>
      </c>
      <c r="C102">
        <f t="shared" si="152"/>
        <v>3.0000000000000249</v>
      </c>
      <c r="D102">
        <f t="shared" si="152"/>
        <v>2.9999999999999805</v>
      </c>
      <c r="E102">
        <f t="shared" si="152"/>
        <v>3.0000000000000249</v>
      </c>
      <c r="F102">
        <f t="shared" si="152"/>
        <v>1.0000000000000231</v>
      </c>
      <c r="G102">
        <f t="shared" si="152"/>
        <v>1.0000000000000231</v>
      </c>
      <c r="H102">
        <f t="shared" si="152"/>
        <v>0</v>
      </c>
      <c r="I102">
        <f t="shared" si="152"/>
        <v>0</v>
      </c>
      <c r="J102">
        <f t="shared" si="152"/>
        <v>0.99999999999997868</v>
      </c>
      <c r="K102">
        <f t="shared" si="152"/>
        <v>0.99999999999997868</v>
      </c>
      <c r="L102">
        <f t="shared" si="152"/>
        <v>1.9999999999999574</v>
      </c>
      <c r="M102">
        <f t="shared" si="152"/>
        <v>2.0000000000000462</v>
      </c>
      <c r="N102">
        <f t="shared" si="152"/>
        <v>1.9999999999999574</v>
      </c>
      <c r="O102" s="5">
        <f t="shared" si="145"/>
        <v>-1.1446660047975989E-2</v>
      </c>
      <c r="P102" s="5">
        <f t="shared" si="145"/>
        <v>1.2750911366747136E-2</v>
      </c>
      <c r="Q102" s="5">
        <f t="shared" si="145"/>
        <v>4.3935013562252795E-3</v>
      </c>
      <c r="R102" s="5">
        <f t="shared" si="145"/>
        <v>-2.0737675925439447E-3</v>
      </c>
      <c r="S102" s="5">
        <f t="shared" si="145"/>
        <v>1.1521427322697883E-3</v>
      </c>
      <c r="U102" s="4">
        <v>45950</v>
      </c>
      <c r="V102">
        <f t="shared" si="103"/>
        <v>-11999.999999999744</v>
      </c>
      <c r="W102">
        <f t="shared" si="104"/>
        <v>-6669.0000000000555</v>
      </c>
      <c r="X102">
        <f t="shared" si="105"/>
        <v>13769.999999999911</v>
      </c>
      <c r="Y102">
        <f t="shared" si="106"/>
        <v>-10335.000000000085</v>
      </c>
      <c r="Z102">
        <f t="shared" si="107"/>
        <v>5435.0000000001255</v>
      </c>
      <c r="AA102">
        <f t="shared" si="108"/>
        <v>-2000.0000000000462</v>
      </c>
      <c r="AB102">
        <f t="shared" si="109"/>
        <v>0</v>
      </c>
      <c r="AC102">
        <f t="shared" si="110"/>
        <v>0</v>
      </c>
      <c r="AD102">
        <f t="shared" si="111"/>
        <v>-100543.99999999786</v>
      </c>
      <c r="AE102">
        <f t="shared" si="112"/>
        <v>0.99999999999997868</v>
      </c>
      <c r="AF102">
        <f t="shared" si="113"/>
        <v>100645.99999999786</v>
      </c>
      <c r="AG102">
        <f t="shared" si="114"/>
        <v>50646.000000001171</v>
      </c>
      <c r="AH102">
        <f t="shared" si="115"/>
        <v>1.9999999999999574</v>
      </c>
      <c r="AI102">
        <f t="shared" si="116"/>
        <v>-1.1446660047975989</v>
      </c>
      <c r="AJ102">
        <f t="shared" si="117"/>
        <v>-127509.11366747136</v>
      </c>
      <c r="AK102">
        <f t="shared" si="118"/>
        <v>43935.013562252796</v>
      </c>
      <c r="AL102">
        <f t="shared" si="119"/>
        <v>51844.189813598619</v>
      </c>
      <c r="AM102" s="1">
        <f t="shared" si="120"/>
        <v>-11521.427322697884</v>
      </c>
      <c r="AN102" s="1">
        <f t="shared" si="97"/>
        <v>-4300.482280321361</v>
      </c>
      <c r="AO102">
        <f t="shared" si="98"/>
        <v>-1.0173284713030355</v>
      </c>
      <c r="AP102">
        <f t="shared" si="99"/>
        <v>5.0588584451871679</v>
      </c>
    </row>
    <row r="103" spans="1:42" x14ac:dyDescent="0.25">
      <c r="A103" s="4">
        <v>45947</v>
      </c>
      <c r="B103">
        <f t="shared" ref="B103:N103" si="153">(B653-B652)*100</f>
        <v>2.0000000000000462</v>
      </c>
      <c r="C103">
        <f t="shared" si="153"/>
        <v>1.9999999999999574</v>
      </c>
      <c r="D103">
        <f t="shared" si="153"/>
        <v>1.9999999999999574</v>
      </c>
      <c r="E103">
        <f t="shared" si="153"/>
        <v>0.99999999999997868</v>
      </c>
      <c r="F103">
        <f t="shared" si="153"/>
        <v>0</v>
      </c>
      <c r="G103">
        <f t="shared" si="153"/>
        <v>-2.0000000000000018</v>
      </c>
      <c r="H103">
        <f t="shared" si="153"/>
        <v>-4.9999999999999822</v>
      </c>
      <c r="I103">
        <f t="shared" si="153"/>
        <v>-5.0000000000000266</v>
      </c>
      <c r="J103">
        <f t="shared" si="153"/>
        <v>-4.0000000000000036</v>
      </c>
      <c r="K103">
        <f t="shared" si="153"/>
        <v>-3.9999999999999591</v>
      </c>
      <c r="L103">
        <f t="shared" si="153"/>
        <v>-2.9999999999999361</v>
      </c>
      <c r="M103">
        <f t="shared" si="153"/>
        <v>-2.0000000000000462</v>
      </c>
      <c r="N103">
        <f t="shared" si="153"/>
        <v>-1.9999999999999574</v>
      </c>
      <c r="O103" s="5">
        <f t="shared" si="145"/>
        <v>6.6214205365726017E-4</v>
      </c>
      <c r="P103" s="5">
        <f t="shared" si="145"/>
        <v>-2.8649583341545846E-3</v>
      </c>
      <c r="Q103" s="5">
        <f t="shared" si="145"/>
        <v>-3.372508404064526E-3</v>
      </c>
      <c r="R103" s="5">
        <f t="shared" si="145"/>
        <v>-1.7740986320854122E-3</v>
      </c>
      <c r="S103" s="5">
        <f t="shared" si="145"/>
        <v>-2.2758328966228547E-3</v>
      </c>
      <c r="U103" s="4">
        <v>45947</v>
      </c>
      <c r="V103">
        <f t="shared" si="103"/>
        <v>-8000.0000000001846</v>
      </c>
      <c r="W103">
        <f t="shared" si="104"/>
        <v>-4445.9999999999054</v>
      </c>
      <c r="X103">
        <f t="shared" si="105"/>
        <v>9179.9999999998035</v>
      </c>
      <c r="Y103">
        <f t="shared" si="106"/>
        <v>-3444.9999999999268</v>
      </c>
      <c r="Z103">
        <f t="shared" si="107"/>
        <v>0</v>
      </c>
      <c r="AA103">
        <f t="shared" si="108"/>
        <v>4000.0000000000036</v>
      </c>
      <c r="AB103">
        <f t="shared" si="109"/>
        <v>-22819.99999999992</v>
      </c>
      <c r="AC103">
        <f t="shared" si="110"/>
        <v>11115.00000000006</v>
      </c>
      <c r="AD103">
        <f t="shared" si="111"/>
        <v>402176.00000000035</v>
      </c>
      <c r="AE103">
        <f t="shared" si="112"/>
        <v>-3.9999999999999591</v>
      </c>
      <c r="AF103">
        <f t="shared" si="113"/>
        <v>-150968.99999999677</v>
      </c>
      <c r="AG103">
        <f t="shared" si="114"/>
        <v>-50646.000000001171</v>
      </c>
      <c r="AH103">
        <f t="shared" si="115"/>
        <v>-1.9999999999999574</v>
      </c>
      <c r="AI103">
        <f t="shared" si="116"/>
        <v>6.6214205365726017E-2</v>
      </c>
      <c r="AJ103">
        <f t="shared" si="117"/>
        <v>28649.583341545847</v>
      </c>
      <c r="AK103">
        <f t="shared" si="118"/>
        <v>-33725.084040645263</v>
      </c>
      <c r="AL103">
        <f t="shared" si="119"/>
        <v>44352.465802135303</v>
      </c>
      <c r="AM103" s="1">
        <f t="shared" si="120"/>
        <v>22758.328966228546</v>
      </c>
      <c r="AN103" s="1">
        <f t="shared" si="97"/>
        <v>248174.36028347214</v>
      </c>
      <c r="AO103">
        <f t="shared" si="98"/>
        <v>-3.3316167056468577</v>
      </c>
      <c r="AP103">
        <f t="shared" si="99"/>
        <v>5.0648324649308458</v>
      </c>
    </row>
    <row r="104" spans="1:42" x14ac:dyDescent="0.25">
      <c r="A104" s="4">
        <v>45946</v>
      </c>
      <c r="B104">
        <f t="shared" ref="B104:N104" si="154">(B654-B653)*100</f>
        <v>0</v>
      </c>
      <c r="C104">
        <f t="shared" si="154"/>
        <v>-0.99999999999997868</v>
      </c>
      <c r="D104">
        <f t="shared" si="154"/>
        <v>1.0000000000000675</v>
      </c>
      <c r="E104">
        <f t="shared" si="154"/>
        <v>2.0000000000000018</v>
      </c>
      <c r="F104">
        <f t="shared" si="154"/>
        <v>2.9999999999999805</v>
      </c>
      <c r="G104">
        <f t="shared" si="154"/>
        <v>6.999999999999984</v>
      </c>
      <c r="H104">
        <f t="shared" si="154"/>
        <v>8.9999999999999858</v>
      </c>
      <c r="I104">
        <f t="shared" si="154"/>
        <v>8.9999999999999858</v>
      </c>
      <c r="J104">
        <f t="shared" si="154"/>
        <v>8.0000000000000071</v>
      </c>
      <c r="K104">
        <f t="shared" si="154"/>
        <v>7.9999999999999627</v>
      </c>
      <c r="L104">
        <f t="shared" si="154"/>
        <v>5.9999999999999609</v>
      </c>
      <c r="M104">
        <f t="shared" si="154"/>
        <v>5.0000000000000711</v>
      </c>
      <c r="N104">
        <f t="shared" si="154"/>
        <v>5.9999999999999609</v>
      </c>
      <c r="O104" s="5">
        <f t="shared" si="145"/>
        <v>-2.0218365156730307E-3</v>
      </c>
      <c r="P104" s="5">
        <f t="shared" si="145"/>
        <v>-1.2920076365104283E-2</v>
      </c>
      <c r="Q104" s="5">
        <f t="shared" si="145"/>
        <v>-4.503270655986975E-3</v>
      </c>
      <c r="R104" s="5">
        <f t="shared" si="145"/>
        <v>-5.5973043468894746E-3</v>
      </c>
      <c r="S104" s="5">
        <f t="shared" si="145"/>
        <v>-2.1948789570287275E-3</v>
      </c>
      <c r="U104" s="4">
        <v>45946</v>
      </c>
      <c r="V104">
        <f t="shared" si="103"/>
        <v>0</v>
      </c>
      <c r="W104">
        <f t="shared" si="104"/>
        <v>2222.9999999999527</v>
      </c>
      <c r="X104">
        <f t="shared" si="105"/>
        <v>4590.0000000003101</v>
      </c>
      <c r="Y104">
        <f t="shared" si="106"/>
        <v>-6890.0000000000064</v>
      </c>
      <c r="Z104">
        <f t="shared" si="107"/>
        <v>16304.999999999894</v>
      </c>
      <c r="AA104">
        <f t="shared" si="108"/>
        <v>-13999.999999999967</v>
      </c>
      <c r="AB104">
        <f t="shared" si="109"/>
        <v>41075.999999999935</v>
      </c>
      <c r="AC104">
        <f t="shared" si="110"/>
        <v>-20006.999999999967</v>
      </c>
      <c r="AD104">
        <f t="shared" si="111"/>
        <v>-804352.0000000007</v>
      </c>
      <c r="AE104">
        <f t="shared" si="112"/>
        <v>7.9999999999999627</v>
      </c>
      <c r="AF104">
        <f t="shared" si="113"/>
        <v>301937.99999999802</v>
      </c>
      <c r="AG104">
        <f t="shared" si="114"/>
        <v>126615.0000000018</v>
      </c>
      <c r="AH104">
        <f t="shared" si="115"/>
        <v>5.9999999999999609</v>
      </c>
      <c r="AI104">
        <f t="shared" si="116"/>
        <v>-0.20218365156730306</v>
      </c>
      <c r="AJ104">
        <f t="shared" si="117"/>
        <v>129200.76365104283</v>
      </c>
      <c r="AK104">
        <f t="shared" si="118"/>
        <v>-45032.706559869752</v>
      </c>
      <c r="AL104">
        <f t="shared" si="119"/>
        <v>139932.60867223688</v>
      </c>
      <c r="AM104" s="1">
        <f t="shared" si="120"/>
        <v>21948.789570287274</v>
      </c>
      <c r="AN104" s="1">
        <f t="shared" si="97"/>
        <v>-106438.74684995509</v>
      </c>
      <c r="AO104">
        <f t="shared" si="98"/>
        <v>-1.2270010812501417</v>
      </c>
      <c r="AP104">
        <f t="shared" si="99"/>
        <v>5.0549022770440502</v>
      </c>
    </row>
    <row r="105" spans="1:42" x14ac:dyDescent="0.25">
      <c r="A105" s="4">
        <v>45945</v>
      </c>
      <c r="B105">
        <f t="shared" ref="B105:N105" si="155">(B655-B654)*100</f>
        <v>-0.99999999999997868</v>
      </c>
      <c r="C105">
        <f t="shared" si="155"/>
        <v>-0.99999999999997868</v>
      </c>
      <c r="D105">
        <f t="shared" si="155"/>
        <v>-1.0000000000000675</v>
      </c>
      <c r="E105">
        <f t="shared" si="155"/>
        <v>-2.9999999999999805</v>
      </c>
      <c r="F105">
        <f t="shared" si="155"/>
        <v>-2.0000000000000018</v>
      </c>
      <c r="G105">
        <f t="shared" si="155"/>
        <v>-2.9999999999999805</v>
      </c>
      <c r="H105">
        <f t="shared" si="155"/>
        <v>-2.0000000000000018</v>
      </c>
      <c r="I105">
        <f t="shared" si="155"/>
        <v>-3.9999999999999591</v>
      </c>
      <c r="J105">
        <f t="shared" si="155"/>
        <v>-2.9999999999999805</v>
      </c>
      <c r="K105">
        <f t="shared" si="155"/>
        <v>-2.9999999999999805</v>
      </c>
      <c r="L105">
        <f t="shared" si="155"/>
        <v>-1.9999999999999574</v>
      </c>
      <c r="M105">
        <f t="shared" si="155"/>
        <v>-2.0000000000000462</v>
      </c>
      <c r="N105">
        <f t="shared" si="155"/>
        <v>-1.9999999999999574</v>
      </c>
      <c r="O105" s="5">
        <f t="shared" ref="O105:S114" si="156">LN(O654/O655)</f>
        <v>-9.4664449618743138E-3</v>
      </c>
      <c r="P105" s="5">
        <f t="shared" si="156"/>
        <v>-7.6726719116601665E-3</v>
      </c>
      <c r="Q105" s="5">
        <f t="shared" si="156"/>
        <v>6.2768572076432258E-3</v>
      </c>
      <c r="R105" s="5">
        <f t="shared" si="156"/>
        <v>-6.1502610030609115E-3</v>
      </c>
      <c r="S105" s="5">
        <f t="shared" si="156"/>
        <v>-1.8443054875277992E-3</v>
      </c>
      <c r="U105" s="4">
        <v>45945</v>
      </c>
      <c r="V105">
        <f t="shared" si="103"/>
        <v>3999.9999999999145</v>
      </c>
      <c r="W105">
        <f t="shared" si="104"/>
        <v>2222.9999999999527</v>
      </c>
      <c r="X105">
        <f t="shared" si="105"/>
        <v>-4590.0000000003101</v>
      </c>
      <c r="Y105">
        <f t="shared" si="106"/>
        <v>10334.999999999933</v>
      </c>
      <c r="Z105">
        <f t="shared" si="107"/>
        <v>-10870.000000000009</v>
      </c>
      <c r="AA105">
        <f t="shared" si="108"/>
        <v>5999.9999999999609</v>
      </c>
      <c r="AB105">
        <f t="shared" si="109"/>
        <v>-9128.0000000000073</v>
      </c>
      <c r="AC105">
        <f t="shared" si="110"/>
        <v>8891.9999999999091</v>
      </c>
      <c r="AD105">
        <f t="shared" si="111"/>
        <v>301631.99999999802</v>
      </c>
      <c r="AE105">
        <f t="shared" si="112"/>
        <v>-2.9999999999999805</v>
      </c>
      <c r="AF105">
        <f t="shared" si="113"/>
        <v>-100645.99999999786</v>
      </c>
      <c r="AG105">
        <f t="shared" si="114"/>
        <v>-50646.000000001171</v>
      </c>
      <c r="AH105">
        <f t="shared" si="115"/>
        <v>-1.9999999999999574</v>
      </c>
      <c r="AI105">
        <f t="shared" si="116"/>
        <v>-0.94664449618743141</v>
      </c>
      <c r="AJ105">
        <f t="shared" si="117"/>
        <v>76726.719116601671</v>
      </c>
      <c r="AK105">
        <f t="shared" si="118"/>
        <v>62768.572076432261</v>
      </c>
      <c r="AL105">
        <f t="shared" si="119"/>
        <v>153756.52507652278</v>
      </c>
      <c r="AM105" s="1">
        <f t="shared" si="120"/>
        <v>18443.054875277994</v>
      </c>
      <c r="AN105" s="1">
        <f t="shared" si="97"/>
        <v>468890.92450033687</v>
      </c>
      <c r="AO105">
        <f t="shared" si="98"/>
        <v>-3.3598213511509236</v>
      </c>
      <c r="AP105">
        <f t="shared" si="99"/>
        <v>5.0663073980782682</v>
      </c>
    </row>
    <row r="106" spans="1:42" x14ac:dyDescent="0.25">
      <c r="A106" s="4">
        <v>45944</v>
      </c>
      <c r="B106">
        <f t="shared" ref="B106:N106" si="157">(B656-B655)*100</f>
        <v>0</v>
      </c>
      <c r="C106">
        <f t="shared" si="157"/>
        <v>1.9999999999999574</v>
      </c>
      <c r="D106">
        <f t="shared" si="157"/>
        <v>0</v>
      </c>
      <c r="E106">
        <f t="shared" si="157"/>
        <v>0.99999999999997868</v>
      </c>
      <c r="F106">
        <f t="shared" si="157"/>
        <v>1.0000000000000231</v>
      </c>
      <c r="G106">
        <f t="shared" si="157"/>
        <v>2.0000000000000018</v>
      </c>
      <c r="H106">
        <f t="shared" si="157"/>
        <v>4.0000000000000036</v>
      </c>
      <c r="I106">
        <f t="shared" si="157"/>
        <v>4.9999999999999822</v>
      </c>
      <c r="J106">
        <f t="shared" si="157"/>
        <v>4.9999999999999822</v>
      </c>
      <c r="K106">
        <f t="shared" si="157"/>
        <v>4.0000000000000036</v>
      </c>
      <c r="L106">
        <f t="shared" si="157"/>
        <v>1.9999999999999574</v>
      </c>
      <c r="M106">
        <f t="shared" si="157"/>
        <v>0.99999999999997868</v>
      </c>
      <c r="N106">
        <f t="shared" si="157"/>
        <v>0.99999999999997868</v>
      </c>
      <c r="O106" s="5">
        <f t="shared" si="156"/>
        <v>9.7970113352657869E-3</v>
      </c>
      <c r="P106" s="5">
        <f t="shared" si="156"/>
        <v>9.4271959385179175E-5</v>
      </c>
      <c r="Q106" s="5">
        <f t="shared" si="156"/>
        <v>9.3264000659638285E-3</v>
      </c>
      <c r="R106" s="5">
        <f t="shared" si="156"/>
        <v>-2.6242907610952437E-3</v>
      </c>
      <c r="S106" s="5">
        <f t="shared" si="156"/>
        <v>-1.9433833932660785E-3</v>
      </c>
      <c r="U106" s="4">
        <v>45944</v>
      </c>
      <c r="V106">
        <f t="shared" si="103"/>
        <v>0</v>
      </c>
      <c r="W106">
        <f t="shared" si="104"/>
        <v>-4445.9999999999054</v>
      </c>
      <c r="X106">
        <f t="shared" si="105"/>
        <v>0</v>
      </c>
      <c r="Y106">
        <f t="shared" si="106"/>
        <v>-3444.9999999999268</v>
      </c>
      <c r="Z106">
        <f t="shared" si="107"/>
        <v>5435.0000000001255</v>
      </c>
      <c r="AA106">
        <f t="shared" si="108"/>
        <v>-4000.0000000000036</v>
      </c>
      <c r="AB106">
        <f t="shared" si="109"/>
        <v>18256.000000000015</v>
      </c>
      <c r="AC106">
        <f t="shared" si="110"/>
        <v>-11114.99999999996</v>
      </c>
      <c r="AD106">
        <f t="shared" si="111"/>
        <v>-502719.9999999982</v>
      </c>
      <c r="AE106">
        <f t="shared" si="112"/>
        <v>4.0000000000000036</v>
      </c>
      <c r="AF106">
        <f t="shared" si="113"/>
        <v>100645.99999999786</v>
      </c>
      <c r="AG106">
        <f t="shared" si="114"/>
        <v>25322.999999999462</v>
      </c>
      <c r="AH106">
        <f t="shared" si="115"/>
        <v>0.99999999999997868</v>
      </c>
      <c r="AI106">
        <f t="shared" si="116"/>
        <v>0.97970113352657873</v>
      </c>
      <c r="AJ106">
        <f t="shared" si="117"/>
        <v>-942.71959385179173</v>
      </c>
      <c r="AK106">
        <f t="shared" si="118"/>
        <v>93264.000659638288</v>
      </c>
      <c r="AL106">
        <f t="shared" si="119"/>
        <v>65607.269027381088</v>
      </c>
      <c r="AM106" s="1">
        <f t="shared" si="120"/>
        <v>19433.833932660786</v>
      </c>
      <c r="AN106" s="1">
        <f t="shared" si="97"/>
        <v>-198697.63627303866</v>
      </c>
      <c r="AO106">
        <f t="shared" si="98"/>
        <v>-0.57463971696275684</v>
      </c>
      <c r="AP106">
        <f t="shared" si="99"/>
        <v>5.0556104400247746</v>
      </c>
    </row>
    <row r="107" spans="1:42" x14ac:dyDescent="0.25">
      <c r="A107" s="4">
        <v>45940</v>
      </c>
      <c r="B107">
        <f t="shared" ref="B107:N107" si="158">(B657-B656)*100</f>
        <v>0.99999999999997868</v>
      </c>
      <c r="C107">
        <f t="shared" si="158"/>
        <v>1.0000000000000675</v>
      </c>
      <c r="D107">
        <f t="shared" si="158"/>
        <v>1.0000000000000675</v>
      </c>
      <c r="E107">
        <f t="shared" si="158"/>
        <v>-0.99999999999997868</v>
      </c>
      <c r="F107">
        <f t="shared" si="158"/>
        <v>2.0000000000000018</v>
      </c>
      <c r="G107">
        <f t="shared" si="158"/>
        <v>6.0000000000000053</v>
      </c>
      <c r="H107">
        <f t="shared" si="158"/>
        <v>8.0000000000000071</v>
      </c>
      <c r="I107">
        <f t="shared" si="158"/>
        <v>6.999999999999984</v>
      </c>
      <c r="J107">
        <f t="shared" si="158"/>
        <v>9.0000000000000302</v>
      </c>
      <c r="K107">
        <f t="shared" si="158"/>
        <v>8.9999999999999858</v>
      </c>
      <c r="L107">
        <f t="shared" si="158"/>
        <v>8.9999999999999858</v>
      </c>
      <c r="M107">
        <f t="shared" si="158"/>
        <v>10.000000000000053</v>
      </c>
      <c r="N107">
        <f t="shared" si="158"/>
        <v>8.9999999999999858</v>
      </c>
      <c r="O107" s="5">
        <f t="shared" si="156"/>
        <v>1.6818637194031764E-2</v>
      </c>
      <c r="P107" s="5">
        <f t="shared" si="156"/>
        <v>9.6627272650754645E-3</v>
      </c>
      <c r="Q107" s="5">
        <f t="shared" si="156"/>
        <v>-2.8207278914576034E-3</v>
      </c>
      <c r="R107" s="5">
        <f t="shared" si="156"/>
        <v>3.2084029272354811E-3</v>
      </c>
      <c r="S107" s="5">
        <f t="shared" si="156"/>
        <v>8.4976911307970294E-3</v>
      </c>
      <c r="U107" s="4">
        <v>45940</v>
      </c>
      <c r="V107">
        <f t="shared" si="103"/>
        <v>-3999.9999999999145</v>
      </c>
      <c r="W107">
        <f t="shared" si="104"/>
        <v>-2223.0000000001501</v>
      </c>
      <c r="X107">
        <f t="shared" si="105"/>
        <v>4590.0000000003101</v>
      </c>
      <c r="Y107">
        <f t="shared" si="106"/>
        <v>3444.9999999999268</v>
      </c>
      <c r="Z107">
        <f t="shared" si="107"/>
        <v>10870.000000000009</v>
      </c>
      <c r="AA107">
        <f t="shared" si="108"/>
        <v>-12000.000000000011</v>
      </c>
      <c r="AB107">
        <f t="shared" si="109"/>
        <v>36512.000000000029</v>
      </c>
      <c r="AC107">
        <f t="shared" si="110"/>
        <v>-15560.999999999964</v>
      </c>
      <c r="AD107">
        <f t="shared" si="111"/>
        <v>-904896.00000000303</v>
      </c>
      <c r="AE107">
        <f t="shared" si="112"/>
        <v>8.9999999999999858</v>
      </c>
      <c r="AF107">
        <f t="shared" si="113"/>
        <v>452906.9999999993</v>
      </c>
      <c r="AG107">
        <f t="shared" si="114"/>
        <v>253230.00000000134</v>
      </c>
      <c r="AH107">
        <f t="shared" si="115"/>
        <v>8.9999999999999858</v>
      </c>
      <c r="AI107">
        <f t="shared" si="116"/>
        <v>1.6818637194031765</v>
      </c>
      <c r="AJ107">
        <f t="shared" si="117"/>
        <v>-96627.272650754647</v>
      </c>
      <c r="AK107">
        <f t="shared" si="118"/>
        <v>-28207.278914576033</v>
      </c>
      <c r="AL107">
        <f t="shared" si="119"/>
        <v>-80210.073180887033</v>
      </c>
      <c r="AM107" s="1">
        <f t="shared" si="120"/>
        <v>-84976.911307970295</v>
      </c>
      <c r="AN107" s="1">
        <f t="shared" si="97"/>
        <v>-467127.85419047077</v>
      </c>
      <c r="AO107">
        <f t="shared" si="98"/>
        <v>-4.3682496388644285</v>
      </c>
      <c r="AP107">
        <f t="shared" si="99"/>
        <v>5.0541393197090096</v>
      </c>
    </row>
    <row r="108" spans="1:42" x14ac:dyDescent="0.25">
      <c r="A108" s="4">
        <v>45939</v>
      </c>
      <c r="B108">
        <f t="shared" ref="B108:N108" si="159">(B658-B657)*100</f>
        <v>0</v>
      </c>
      <c r="C108">
        <f t="shared" si="159"/>
        <v>-2.0000000000000462</v>
      </c>
      <c r="D108">
        <f t="shared" si="159"/>
        <v>-2.0000000000000462</v>
      </c>
      <c r="E108">
        <f t="shared" si="159"/>
        <v>-1.0000000000000231</v>
      </c>
      <c r="F108">
        <f t="shared" si="159"/>
        <v>-1.0000000000000231</v>
      </c>
      <c r="G108">
        <f t="shared" si="159"/>
        <v>0</v>
      </c>
      <c r="H108">
        <f t="shared" si="159"/>
        <v>-2.0000000000000018</v>
      </c>
      <c r="I108">
        <f t="shared" si="159"/>
        <v>-0.99999999999997868</v>
      </c>
      <c r="J108">
        <f t="shared" si="159"/>
        <v>-2.0000000000000018</v>
      </c>
      <c r="K108">
        <f t="shared" si="159"/>
        <v>-0.99999999999997868</v>
      </c>
      <c r="L108">
        <f t="shared" si="159"/>
        <v>-0.99999999999997868</v>
      </c>
      <c r="M108">
        <f t="shared" si="159"/>
        <v>-0.99999999999997868</v>
      </c>
      <c r="N108">
        <f t="shared" si="159"/>
        <v>0</v>
      </c>
      <c r="O108" s="5">
        <f t="shared" si="156"/>
        <v>2.075562408934738E-3</v>
      </c>
      <c r="P108" s="5">
        <f t="shared" si="156"/>
        <v>-2.084327312800365E-3</v>
      </c>
      <c r="Q108" s="5">
        <f t="shared" si="156"/>
        <v>-1.0621826313297158E-2</v>
      </c>
      <c r="R108" s="5">
        <f t="shared" si="156"/>
        <v>-5.8258248083384555E-3</v>
      </c>
      <c r="S108" s="5">
        <f t="shared" si="156"/>
        <v>3.3397198548041941E-3</v>
      </c>
      <c r="U108" s="4">
        <v>45939</v>
      </c>
      <c r="V108">
        <f t="shared" si="103"/>
        <v>0</v>
      </c>
      <c r="W108">
        <f t="shared" si="104"/>
        <v>4446.0000000001028</v>
      </c>
      <c r="X108">
        <f t="shared" si="105"/>
        <v>-9180.0000000002128</v>
      </c>
      <c r="Y108">
        <f t="shared" si="106"/>
        <v>3445.0000000000796</v>
      </c>
      <c r="Z108">
        <f t="shared" si="107"/>
        <v>-5435.0000000001255</v>
      </c>
      <c r="AA108">
        <f t="shared" si="108"/>
        <v>0</v>
      </c>
      <c r="AB108">
        <f t="shared" si="109"/>
        <v>-9128.0000000000073</v>
      </c>
      <c r="AC108">
        <f t="shared" si="110"/>
        <v>2222.9999999999527</v>
      </c>
      <c r="AD108">
        <f t="shared" si="111"/>
        <v>201088.00000000017</v>
      </c>
      <c r="AE108">
        <f t="shared" si="112"/>
        <v>-0.99999999999997868</v>
      </c>
      <c r="AF108">
        <f t="shared" si="113"/>
        <v>-50322.99999999893</v>
      </c>
      <c r="AG108">
        <f t="shared" si="114"/>
        <v>-25322.999999999462</v>
      </c>
      <c r="AH108">
        <f t="shared" si="115"/>
        <v>0</v>
      </c>
      <c r="AI108">
        <f t="shared" si="116"/>
        <v>0.2075562408934738</v>
      </c>
      <c r="AJ108">
        <f t="shared" si="117"/>
        <v>20843.27312800365</v>
      </c>
      <c r="AK108">
        <f t="shared" si="118"/>
        <v>-106218.26313297158</v>
      </c>
      <c r="AL108">
        <f t="shared" si="119"/>
        <v>145645.62020846139</v>
      </c>
      <c r="AM108" s="1">
        <f t="shared" si="120"/>
        <v>-33397.198548041939</v>
      </c>
      <c r="AN108" s="1">
        <f t="shared" si="97"/>
        <v>138685.63921169401</v>
      </c>
      <c r="AO108">
        <f t="shared" si="98"/>
        <v>-3.5000822421428546E-2</v>
      </c>
      <c r="AP108">
        <f t="shared" si="99"/>
        <v>5.100753897797401</v>
      </c>
    </row>
    <row r="109" spans="1:42" x14ac:dyDescent="0.25">
      <c r="A109" s="4">
        <v>45938</v>
      </c>
      <c r="B109">
        <f t="shared" ref="B109:N109" si="160">(B659-B658)*100</f>
        <v>0</v>
      </c>
      <c r="C109">
        <f t="shared" si="160"/>
        <v>0.99999999999997868</v>
      </c>
      <c r="D109">
        <f t="shared" si="160"/>
        <v>0</v>
      </c>
      <c r="E109">
        <f t="shared" si="160"/>
        <v>1.0000000000000231</v>
      </c>
      <c r="F109">
        <f t="shared" si="160"/>
        <v>-0.99999999999997868</v>
      </c>
      <c r="G109">
        <f t="shared" si="160"/>
        <v>-1.0000000000000231</v>
      </c>
      <c r="H109">
        <f t="shared" si="160"/>
        <v>-1.0000000000000231</v>
      </c>
      <c r="I109">
        <f t="shared" si="160"/>
        <v>-2.0000000000000018</v>
      </c>
      <c r="J109">
        <f t="shared" si="160"/>
        <v>-1.0000000000000231</v>
      </c>
      <c r="K109">
        <f t="shared" si="160"/>
        <v>-1.0000000000000231</v>
      </c>
      <c r="L109">
        <f t="shared" si="160"/>
        <v>0.99999999999997868</v>
      </c>
      <c r="M109">
        <f t="shared" si="160"/>
        <v>0.99999999999997868</v>
      </c>
      <c r="N109">
        <f t="shared" si="160"/>
        <v>1.0000000000000675</v>
      </c>
      <c r="O109" s="5">
        <f t="shared" si="156"/>
        <v>1.198681593930239E-3</v>
      </c>
      <c r="P109" s="5">
        <f t="shared" si="156"/>
        <v>4.6165448702548441E-3</v>
      </c>
      <c r="Q109" s="5">
        <f t="shared" si="156"/>
        <v>-1.5379023138162276E-3</v>
      </c>
      <c r="R109" s="5">
        <f t="shared" si="156"/>
        <v>0</v>
      </c>
      <c r="S109" s="5">
        <f t="shared" si="156"/>
        <v>-3.8291162756650498E-3</v>
      </c>
      <c r="U109" s="4">
        <v>45938</v>
      </c>
      <c r="V109">
        <f t="shared" si="103"/>
        <v>0</v>
      </c>
      <c r="W109">
        <f t="shared" si="104"/>
        <v>-2222.9999999999527</v>
      </c>
      <c r="X109">
        <f t="shared" si="105"/>
        <v>0</v>
      </c>
      <c r="Y109">
        <f t="shared" si="106"/>
        <v>-3445.0000000000796</v>
      </c>
      <c r="Z109">
        <f t="shared" si="107"/>
        <v>-5434.9999999998845</v>
      </c>
      <c r="AA109">
        <f t="shared" si="108"/>
        <v>2000.0000000000462</v>
      </c>
      <c r="AB109">
        <f t="shared" si="109"/>
        <v>-4564.0000000001055</v>
      </c>
      <c r="AC109">
        <f t="shared" si="110"/>
        <v>4446.0000000000036</v>
      </c>
      <c r="AD109">
        <f t="shared" si="111"/>
        <v>100544.00000000233</v>
      </c>
      <c r="AE109">
        <f t="shared" si="112"/>
        <v>-1.0000000000000231</v>
      </c>
      <c r="AF109">
        <f t="shared" si="113"/>
        <v>50322.99999999893</v>
      </c>
      <c r="AG109">
        <f t="shared" si="114"/>
        <v>25322.999999999462</v>
      </c>
      <c r="AH109">
        <f t="shared" si="115"/>
        <v>1.0000000000000675</v>
      </c>
      <c r="AI109">
        <f t="shared" si="116"/>
        <v>0.11986815939302391</v>
      </c>
      <c r="AJ109">
        <f t="shared" si="117"/>
        <v>-46165.448702548441</v>
      </c>
      <c r="AK109">
        <f t="shared" si="118"/>
        <v>-15379.023138162276</v>
      </c>
      <c r="AL109">
        <f t="shared" si="119"/>
        <v>0</v>
      </c>
      <c r="AM109" s="1">
        <f t="shared" si="120"/>
        <v>38291.162756650498</v>
      </c>
      <c r="AN109" s="1">
        <f t="shared" si="97"/>
        <v>143715.81078409991</v>
      </c>
      <c r="AO109">
        <f t="shared" si="98"/>
        <v>-2.5657170499344359</v>
      </c>
      <c r="AP109">
        <f t="shared" si="99"/>
        <v>5.0960029559775188</v>
      </c>
    </row>
    <row r="110" spans="1:42" x14ac:dyDescent="0.25">
      <c r="A110" s="4">
        <v>45937</v>
      </c>
      <c r="B110">
        <f t="shared" ref="B110:N110" si="161">(B660-B659)*100</f>
        <v>1.9999999999999574</v>
      </c>
      <c r="C110">
        <f t="shared" si="161"/>
        <v>1.0000000000000675</v>
      </c>
      <c r="D110">
        <f t="shared" si="161"/>
        <v>0.99999999999997868</v>
      </c>
      <c r="E110">
        <f t="shared" si="161"/>
        <v>0</v>
      </c>
      <c r="F110">
        <f t="shared" si="161"/>
        <v>0</v>
      </c>
      <c r="G110">
        <f t="shared" si="161"/>
        <v>1.0000000000000231</v>
      </c>
      <c r="H110">
        <f t="shared" si="161"/>
        <v>3.0000000000000249</v>
      </c>
      <c r="I110">
        <f t="shared" si="161"/>
        <v>6.999999999999984</v>
      </c>
      <c r="J110">
        <f t="shared" si="161"/>
        <v>4.0000000000000036</v>
      </c>
      <c r="K110">
        <f t="shared" si="161"/>
        <v>5.0000000000000266</v>
      </c>
      <c r="L110">
        <f t="shared" si="161"/>
        <v>4.0000000000000036</v>
      </c>
      <c r="M110">
        <f t="shared" si="161"/>
        <v>3.0000000000000249</v>
      </c>
      <c r="N110">
        <f t="shared" si="161"/>
        <v>2.9999999999999361</v>
      </c>
      <c r="O110" s="5">
        <f t="shared" si="156"/>
        <v>2.5707678607470555E-3</v>
      </c>
      <c r="P110" s="5">
        <f t="shared" si="156"/>
        <v>4.6820087054542424E-3</v>
      </c>
      <c r="Q110" s="5">
        <f t="shared" si="156"/>
        <v>-8.3062514972940673E-5</v>
      </c>
      <c r="R110" s="5">
        <f t="shared" si="156"/>
        <v>-4.636345598644954E-3</v>
      </c>
      <c r="S110" s="5">
        <f t="shared" si="156"/>
        <v>2.5638317996585559E-3</v>
      </c>
      <c r="U110" s="4">
        <v>45937</v>
      </c>
      <c r="V110">
        <f t="shared" si="103"/>
        <v>-7999.999999999829</v>
      </c>
      <c r="W110">
        <f t="shared" si="104"/>
        <v>-2223.0000000001501</v>
      </c>
      <c r="X110">
        <f t="shared" si="105"/>
        <v>4589.9999999999018</v>
      </c>
      <c r="Y110">
        <f t="shared" si="106"/>
        <v>0</v>
      </c>
      <c r="Z110">
        <f t="shared" si="107"/>
        <v>0</v>
      </c>
      <c r="AA110">
        <f t="shared" si="108"/>
        <v>-2000.0000000000462</v>
      </c>
      <c r="AB110">
        <f t="shared" si="109"/>
        <v>13692.000000000113</v>
      </c>
      <c r="AC110">
        <f t="shared" si="110"/>
        <v>-15560.999999999964</v>
      </c>
      <c r="AD110">
        <f t="shared" si="111"/>
        <v>-402176.00000000035</v>
      </c>
      <c r="AE110">
        <f t="shared" si="112"/>
        <v>5.0000000000000266</v>
      </c>
      <c r="AF110">
        <f t="shared" si="113"/>
        <v>201292.00000000017</v>
      </c>
      <c r="AG110">
        <f t="shared" si="114"/>
        <v>75969.000000000626</v>
      </c>
      <c r="AH110">
        <f t="shared" si="115"/>
        <v>2.9999999999999361</v>
      </c>
      <c r="AI110">
        <f t="shared" si="116"/>
        <v>0.25707678607470558</v>
      </c>
      <c r="AJ110">
        <f t="shared" si="117"/>
        <v>-46820.087054542426</v>
      </c>
      <c r="AK110">
        <f t="shared" si="118"/>
        <v>-830.62514972940676</v>
      </c>
      <c r="AL110">
        <f t="shared" si="119"/>
        <v>115908.63996612385</v>
      </c>
      <c r="AM110" s="1">
        <f t="shared" si="120"/>
        <v>-25638.31799658556</v>
      </c>
      <c r="AN110" s="1">
        <f t="shared" si="97"/>
        <v>-91789.133157947013</v>
      </c>
      <c r="AO110">
        <f t="shared" si="98"/>
        <v>-3.5401406012642971</v>
      </c>
      <c r="AP110">
        <f t="shared" si="99"/>
        <v>5.0899242449734894</v>
      </c>
    </row>
    <row r="111" spans="1:42" x14ac:dyDescent="0.25">
      <c r="A111" s="4">
        <v>45936</v>
      </c>
      <c r="B111">
        <f t="shared" ref="B111:N111" si="162">(B661-B660)*100</f>
        <v>2.0000000000000462</v>
      </c>
      <c r="C111">
        <f t="shared" si="162"/>
        <v>0</v>
      </c>
      <c r="D111">
        <f t="shared" si="162"/>
        <v>1.0000000000000675</v>
      </c>
      <c r="E111">
        <f t="shared" si="162"/>
        <v>0.99999999999997868</v>
      </c>
      <c r="F111">
        <f t="shared" si="162"/>
        <v>0.99999999999997868</v>
      </c>
      <c r="G111">
        <f t="shared" si="162"/>
        <v>-2.0000000000000018</v>
      </c>
      <c r="H111">
        <f t="shared" si="162"/>
        <v>-2.0000000000000018</v>
      </c>
      <c r="I111">
        <f t="shared" si="162"/>
        <v>-4.0000000000000036</v>
      </c>
      <c r="J111">
        <f t="shared" si="162"/>
        <v>-2.9999999999999805</v>
      </c>
      <c r="K111">
        <f t="shared" si="162"/>
        <v>-5.0000000000000266</v>
      </c>
      <c r="L111">
        <f t="shared" si="162"/>
        <v>-4.9999999999999822</v>
      </c>
      <c r="M111">
        <f t="shared" si="162"/>
        <v>-4.0000000000000036</v>
      </c>
      <c r="N111">
        <f t="shared" si="162"/>
        <v>-4.9999999999999822</v>
      </c>
      <c r="O111" s="5">
        <f t="shared" si="156"/>
        <v>-5.0975578439485499E-3</v>
      </c>
      <c r="P111" s="5">
        <f t="shared" si="156"/>
        <v>-2.8593812946878954E-3</v>
      </c>
      <c r="Q111" s="5">
        <f t="shared" si="156"/>
        <v>1.6937620625265973E-3</v>
      </c>
      <c r="R111" s="5">
        <f t="shared" si="156"/>
        <v>-5.780346981754987E-4</v>
      </c>
      <c r="S111" s="5">
        <f t="shared" si="156"/>
        <v>-2.5094662456602319E-3</v>
      </c>
      <c r="U111" s="4">
        <v>45936</v>
      </c>
      <c r="V111">
        <f t="shared" si="103"/>
        <v>-8000.0000000001846</v>
      </c>
      <c r="W111">
        <f t="shared" si="104"/>
        <v>0</v>
      </c>
      <c r="X111">
        <f t="shared" si="105"/>
        <v>4590.0000000003101</v>
      </c>
      <c r="Y111">
        <f t="shared" si="106"/>
        <v>-3444.9999999999268</v>
      </c>
      <c r="Z111">
        <f t="shared" si="107"/>
        <v>5434.9999999998845</v>
      </c>
      <c r="AA111">
        <f t="shared" si="108"/>
        <v>4000.0000000000036</v>
      </c>
      <c r="AB111">
        <f t="shared" si="109"/>
        <v>-9128.0000000000073</v>
      </c>
      <c r="AC111">
        <f t="shared" si="110"/>
        <v>8892.0000000000073</v>
      </c>
      <c r="AD111">
        <f t="shared" si="111"/>
        <v>301631.99999999802</v>
      </c>
      <c r="AE111">
        <f t="shared" si="112"/>
        <v>-5.0000000000000266</v>
      </c>
      <c r="AF111">
        <f t="shared" si="113"/>
        <v>-251614.9999999991</v>
      </c>
      <c r="AG111">
        <f t="shared" si="114"/>
        <v>-101292.00000000009</v>
      </c>
      <c r="AH111">
        <f t="shared" si="115"/>
        <v>-4.9999999999999822</v>
      </c>
      <c r="AI111">
        <f t="shared" si="116"/>
        <v>-0.50975578439485503</v>
      </c>
      <c r="AJ111">
        <f t="shared" si="117"/>
        <v>28593.812946878956</v>
      </c>
      <c r="AK111">
        <f t="shared" si="118"/>
        <v>16937.620625265972</v>
      </c>
      <c r="AL111">
        <f t="shared" si="119"/>
        <v>14450.867454387468</v>
      </c>
      <c r="AM111" s="1">
        <f t="shared" si="120"/>
        <v>25094.66245660232</v>
      </c>
      <c r="AN111" s="1">
        <f t="shared" si="97"/>
        <v>36135.45372734921</v>
      </c>
      <c r="AO111">
        <f t="shared" si="98"/>
        <v>-0.91764546451297579</v>
      </c>
      <c r="AP111">
        <f t="shared" si="99"/>
        <v>5.6744264367380781</v>
      </c>
    </row>
    <row r="112" spans="1:42" x14ac:dyDescent="0.25">
      <c r="A112" s="4">
        <v>45933</v>
      </c>
      <c r="B112">
        <f t="shared" ref="B112:N112" si="163">(B662-B661)*100</f>
        <v>-0.99999999999997868</v>
      </c>
      <c r="C112">
        <f t="shared" si="163"/>
        <v>0</v>
      </c>
      <c r="D112">
        <f t="shared" si="163"/>
        <v>-1.0000000000000675</v>
      </c>
      <c r="E112">
        <f t="shared" si="163"/>
        <v>0</v>
      </c>
      <c r="F112">
        <f t="shared" si="163"/>
        <v>-0.99999999999997868</v>
      </c>
      <c r="G112">
        <f t="shared" si="163"/>
        <v>-2.0000000000000018</v>
      </c>
      <c r="H112">
        <f t="shared" si="163"/>
        <v>-3.0000000000000249</v>
      </c>
      <c r="I112">
        <f t="shared" si="163"/>
        <v>-2.9999999999999805</v>
      </c>
      <c r="J112">
        <f t="shared" si="163"/>
        <v>-5.0000000000000266</v>
      </c>
      <c r="K112">
        <f t="shared" si="163"/>
        <v>-4.0000000000000036</v>
      </c>
      <c r="L112">
        <f t="shared" si="163"/>
        <v>-3.0000000000000249</v>
      </c>
      <c r="M112">
        <f t="shared" si="163"/>
        <v>-3.0000000000000249</v>
      </c>
      <c r="N112">
        <f t="shared" si="163"/>
        <v>-1.9999999999999574</v>
      </c>
      <c r="O112" s="5">
        <f t="shared" si="156"/>
        <v>9.1639321549438736E-4</v>
      </c>
      <c r="P112" s="5">
        <f t="shared" si="156"/>
        <v>-4.3831448283956614E-3</v>
      </c>
      <c r="Q112" s="5">
        <f t="shared" si="156"/>
        <v>2.4469875230776674E-3</v>
      </c>
      <c r="R112" s="5">
        <f t="shared" si="156"/>
        <v>-3.461209108729775E-3</v>
      </c>
      <c r="S112" s="5">
        <f t="shared" si="156"/>
        <v>-1.7219514992572475E-3</v>
      </c>
      <c r="U112" s="4">
        <v>45933</v>
      </c>
      <c r="V112">
        <f t="shared" si="103"/>
        <v>3999.9999999999145</v>
      </c>
      <c r="W112">
        <f t="shared" si="104"/>
        <v>0</v>
      </c>
      <c r="X112">
        <f t="shared" si="105"/>
        <v>-4590.0000000003101</v>
      </c>
      <c r="Y112">
        <f t="shared" si="106"/>
        <v>0</v>
      </c>
      <c r="Z112">
        <f t="shared" si="107"/>
        <v>-5434.9999999998845</v>
      </c>
      <c r="AA112">
        <f t="shared" si="108"/>
        <v>4000.0000000000036</v>
      </c>
      <c r="AB112">
        <f t="shared" si="109"/>
        <v>-13692.000000000113</v>
      </c>
      <c r="AC112">
        <f t="shared" si="110"/>
        <v>6668.9999999999563</v>
      </c>
      <c r="AD112">
        <f t="shared" si="111"/>
        <v>502720.00000000268</v>
      </c>
      <c r="AE112">
        <f t="shared" si="112"/>
        <v>-4.0000000000000036</v>
      </c>
      <c r="AF112">
        <f t="shared" si="113"/>
        <v>-150969.00000000125</v>
      </c>
      <c r="AG112">
        <f t="shared" si="114"/>
        <v>-75969.000000000626</v>
      </c>
      <c r="AH112">
        <f t="shared" si="115"/>
        <v>-1.9999999999999574</v>
      </c>
      <c r="AI112">
        <f t="shared" si="116"/>
        <v>9.163932154943874E-2</v>
      </c>
      <c r="AJ112">
        <f t="shared" si="117"/>
        <v>43831.448283956612</v>
      </c>
      <c r="AK112">
        <f t="shared" si="118"/>
        <v>24469.875230776674</v>
      </c>
      <c r="AL112">
        <f t="shared" si="119"/>
        <v>86530.22771824438</v>
      </c>
      <c r="AM112" s="1">
        <f t="shared" si="120"/>
        <v>17219.514992572476</v>
      </c>
      <c r="AN112" s="1">
        <f t="shared" si="97"/>
        <v>438779.15786487208</v>
      </c>
      <c r="AO112">
        <f t="shared" si="98"/>
        <v>17.616738062559111</v>
      </c>
      <c r="AP112">
        <f t="shared" si="99"/>
        <v>5.6779798070439664</v>
      </c>
    </row>
    <row r="113" spans="1:42" x14ac:dyDescent="0.25">
      <c r="A113" s="4">
        <v>45932</v>
      </c>
      <c r="B113">
        <f t="shared" ref="B113:N113" si="164">(B663-B662)*100</f>
        <v>-6.0000000000000497</v>
      </c>
      <c r="C113">
        <f t="shared" si="164"/>
        <v>0.99999999999997868</v>
      </c>
      <c r="D113">
        <f t="shared" si="164"/>
        <v>-0.99999999999997868</v>
      </c>
      <c r="E113">
        <f t="shared" si="164"/>
        <v>-0.99999999999997868</v>
      </c>
      <c r="F113">
        <f t="shared" si="164"/>
        <v>-1.0000000000000231</v>
      </c>
      <c r="G113">
        <f t="shared" si="164"/>
        <v>0</v>
      </c>
      <c r="H113">
        <f t="shared" si="164"/>
        <v>0</v>
      </c>
      <c r="I113">
        <f t="shared" si="164"/>
        <v>0</v>
      </c>
      <c r="J113">
        <f t="shared" si="164"/>
        <v>1.0000000000000231</v>
      </c>
      <c r="K113">
        <f t="shared" si="164"/>
        <v>2.0000000000000018</v>
      </c>
      <c r="L113">
        <f t="shared" si="164"/>
        <v>2.0000000000000462</v>
      </c>
      <c r="M113">
        <f t="shared" si="164"/>
        <v>3.0000000000000249</v>
      </c>
      <c r="N113">
        <f t="shared" si="164"/>
        <v>2.9999999999999361</v>
      </c>
      <c r="O113" s="5">
        <f t="shared" si="156"/>
        <v>4.5194214813806506E-3</v>
      </c>
      <c r="P113" s="5">
        <f t="shared" si="156"/>
        <v>1.8024982349040316E-3</v>
      </c>
      <c r="Q113" s="5">
        <f t="shared" si="156"/>
        <v>-3.3305956120456026E-3</v>
      </c>
      <c r="R113" s="5">
        <f t="shared" si="156"/>
        <v>-5.7570525481860321E-4</v>
      </c>
      <c r="S113" s="5">
        <f t="shared" si="156"/>
        <v>3.0766077244357226E-3</v>
      </c>
      <c r="U113" s="4">
        <v>45932</v>
      </c>
      <c r="V113">
        <f t="shared" si="103"/>
        <v>24000.0000000002</v>
      </c>
      <c r="W113">
        <f t="shared" si="104"/>
        <v>-2222.9999999999527</v>
      </c>
      <c r="X113">
        <f t="shared" si="105"/>
        <v>-4589.9999999999018</v>
      </c>
      <c r="Y113">
        <f t="shared" si="106"/>
        <v>3444.9999999999268</v>
      </c>
      <c r="Z113">
        <f t="shared" si="107"/>
        <v>-5435.0000000001255</v>
      </c>
      <c r="AA113">
        <f t="shared" si="108"/>
        <v>0</v>
      </c>
      <c r="AB113">
        <f t="shared" si="109"/>
        <v>0</v>
      </c>
      <c r="AC113">
        <f t="shared" si="110"/>
        <v>0</v>
      </c>
      <c r="AD113">
        <f t="shared" si="111"/>
        <v>-100544.00000000233</v>
      </c>
      <c r="AE113">
        <f t="shared" si="112"/>
        <v>2.0000000000000018</v>
      </c>
      <c r="AF113">
        <f t="shared" si="113"/>
        <v>100646.00000000233</v>
      </c>
      <c r="AG113">
        <f t="shared" si="114"/>
        <v>75969.000000000626</v>
      </c>
      <c r="AH113">
        <f t="shared" si="115"/>
        <v>2.9999999999999361</v>
      </c>
      <c r="AI113">
        <f t="shared" si="116"/>
        <v>0.45194214813806505</v>
      </c>
      <c r="AJ113">
        <f t="shared" si="117"/>
        <v>-18024.982349040314</v>
      </c>
      <c r="AK113">
        <f t="shared" si="118"/>
        <v>-33305.956120456023</v>
      </c>
      <c r="AL113">
        <f t="shared" si="119"/>
        <v>14392.63137046508</v>
      </c>
      <c r="AM113" s="1">
        <f t="shared" si="120"/>
        <v>-30766.077244357228</v>
      </c>
      <c r="AN113" s="1">
        <f t="shared" si="97"/>
        <v>23569.067598760434</v>
      </c>
      <c r="AO113">
        <f t="shared" si="98"/>
        <v>-0.95116444393340061</v>
      </c>
      <c r="AP113">
        <f t="shared" si="99"/>
        <v>3.9154366607281337</v>
      </c>
    </row>
    <row r="114" spans="1:42" x14ac:dyDescent="0.25">
      <c r="A114" s="4">
        <v>45931</v>
      </c>
      <c r="B114">
        <f t="shared" ref="B114:N114" si="165">(B664-B663)*100</f>
        <v>3.0000000000000249</v>
      </c>
      <c r="C114">
        <f t="shared" si="165"/>
        <v>3.0000000000000249</v>
      </c>
      <c r="D114">
        <f t="shared" si="165"/>
        <v>0.99999999999997868</v>
      </c>
      <c r="E114">
        <f t="shared" si="165"/>
        <v>2.9999999999999805</v>
      </c>
      <c r="F114">
        <f t="shared" si="165"/>
        <v>3.0000000000000249</v>
      </c>
      <c r="G114">
        <f t="shared" si="165"/>
        <v>6.0000000000000053</v>
      </c>
      <c r="H114">
        <f t="shared" si="165"/>
        <v>5.0000000000000266</v>
      </c>
      <c r="I114">
        <f t="shared" si="165"/>
        <v>4.9999999999999822</v>
      </c>
      <c r="J114">
        <f t="shared" si="165"/>
        <v>6.0000000000000053</v>
      </c>
      <c r="K114">
        <f t="shared" si="165"/>
        <v>5.0000000000000266</v>
      </c>
      <c r="L114">
        <f t="shared" si="165"/>
        <v>4.0000000000000036</v>
      </c>
      <c r="M114">
        <f t="shared" si="165"/>
        <v>1.9999999999999574</v>
      </c>
      <c r="N114">
        <f t="shared" si="165"/>
        <v>1.0000000000000675</v>
      </c>
      <c r="O114" s="5">
        <f t="shared" si="156"/>
        <v>-1.9653359949793E-2</v>
      </c>
      <c r="P114" s="5">
        <f t="shared" si="156"/>
        <v>-3.4431308237108764E-2</v>
      </c>
      <c r="Q114" s="5">
        <f t="shared" si="156"/>
        <v>-5.2749789391025306E-3</v>
      </c>
      <c r="R114" s="5">
        <f t="shared" si="156"/>
        <v>-1.5703391928449828E-2</v>
      </c>
      <c r="S114" s="5">
        <f t="shared" si="156"/>
        <v>-1.5819892931641898E-2</v>
      </c>
      <c r="U114" s="4">
        <v>45931</v>
      </c>
      <c r="V114">
        <f t="shared" si="103"/>
        <v>-12000.0000000001</v>
      </c>
      <c r="W114">
        <f t="shared" si="104"/>
        <v>-6669.0000000000555</v>
      </c>
      <c r="X114">
        <f t="shared" si="105"/>
        <v>4589.9999999999018</v>
      </c>
      <c r="Y114">
        <f t="shared" si="106"/>
        <v>-10334.999999999933</v>
      </c>
      <c r="Z114">
        <f t="shared" si="107"/>
        <v>16305.000000000135</v>
      </c>
      <c r="AA114">
        <f t="shared" si="108"/>
        <v>-12000.000000000011</v>
      </c>
      <c r="AB114">
        <f t="shared" si="109"/>
        <v>22820.00000000012</v>
      </c>
      <c r="AC114">
        <f t="shared" si="110"/>
        <v>-11114.99999999996</v>
      </c>
      <c r="AD114">
        <f t="shared" si="111"/>
        <v>-603264.00000000058</v>
      </c>
      <c r="AE114">
        <f t="shared" si="112"/>
        <v>5.0000000000000266</v>
      </c>
      <c r="AF114">
        <f t="shared" si="113"/>
        <v>201292.00000000017</v>
      </c>
      <c r="AG114">
        <f t="shared" si="114"/>
        <v>50645.999999998923</v>
      </c>
      <c r="AH114">
        <f t="shared" si="115"/>
        <v>1.0000000000000675</v>
      </c>
      <c r="AI114">
        <f t="shared" si="116"/>
        <v>-1.9653359949792999</v>
      </c>
      <c r="AJ114">
        <f t="shared" si="117"/>
        <v>344313.08237108763</v>
      </c>
      <c r="AK114">
        <f t="shared" si="118"/>
        <v>-52749.789391025304</v>
      </c>
      <c r="AL114">
        <f t="shared" si="119"/>
        <v>392584.79821124568</v>
      </c>
      <c r="AM114" s="1">
        <f t="shared" si="120"/>
        <v>158198.92931641897</v>
      </c>
      <c r="AN114" s="1">
        <f t="shared" si="97"/>
        <v>482621.05517173058</v>
      </c>
      <c r="AO114">
        <f t="shared" si="98"/>
        <v>-6.6926957757433314</v>
      </c>
      <c r="AP114">
        <f t="shared" si="99"/>
        <v>3.9149884503269541</v>
      </c>
    </row>
    <row r="115" spans="1:42" x14ac:dyDescent="0.25">
      <c r="A115" s="4">
        <v>45930</v>
      </c>
      <c r="B115">
        <f t="shared" ref="B115:N115" si="166">(B665-B664)*100</f>
        <v>1.9999999999999574</v>
      </c>
      <c r="C115">
        <f t="shared" si="166"/>
        <v>0.99999999999997868</v>
      </c>
      <c r="D115">
        <f t="shared" si="166"/>
        <v>2.0000000000000462</v>
      </c>
      <c r="E115">
        <f t="shared" si="166"/>
        <v>1.0000000000000231</v>
      </c>
      <c r="F115">
        <f t="shared" si="166"/>
        <v>0.99999999999997868</v>
      </c>
      <c r="G115">
        <f t="shared" si="166"/>
        <v>-3.0000000000000249</v>
      </c>
      <c r="H115">
        <f t="shared" si="166"/>
        <v>2.9999999999999805</v>
      </c>
      <c r="I115">
        <f t="shared" si="166"/>
        <v>2.0000000000000018</v>
      </c>
      <c r="J115">
        <f t="shared" si="166"/>
        <v>0</v>
      </c>
      <c r="K115">
        <f t="shared" si="166"/>
        <v>-1.0000000000000231</v>
      </c>
      <c r="L115">
        <f t="shared" si="166"/>
        <v>-0.99999999999997868</v>
      </c>
      <c r="M115">
        <f t="shared" si="166"/>
        <v>-1.9999999999999574</v>
      </c>
      <c r="N115">
        <f t="shared" si="166"/>
        <v>-2.0000000000000462</v>
      </c>
      <c r="O115" s="5">
        <f t="shared" ref="O115:S124" si="167">LN(O664/O665)</f>
        <v>0</v>
      </c>
      <c r="P115" s="5">
        <f t="shared" si="167"/>
        <v>0</v>
      </c>
      <c r="Q115" s="5">
        <f t="shared" si="167"/>
        <v>0</v>
      </c>
      <c r="R115" s="5">
        <f t="shared" si="167"/>
        <v>0</v>
      </c>
      <c r="S115" s="5">
        <f t="shared" si="167"/>
        <v>0</v>
      </c>
      <c r="U115" s="4">
        <v>45930</v>
      </c>
      <c r="V115">
        <f t="shared" si="103"/>
        <v>-7999.999999999829</v>
      </c>
      <c r="W115">
        <f t="shared" si="104"/>
        <v>-2222.9999999999527</v>
      </c>
      <c r="X115">
        <f t="shared" si="105"/>
        <v>9180.0000000002128</v>
      </c>
      <c r="Y115">
        <f t="shared" si="106"/>
        <v>-3445.0000000000796</v>
      </c>
      <c r="Z115">
        <f t="shared" si="107"/>
        <v>5434.9999999998845</v>
      </c>
      <c r="AA115">
        <f t="shared" si="108"/>
        <v>6000.00000000005</v>
      </c>
      <c r="AB115">
        <f t="shared" si="109"/>
        <v>13691.999999999911</v>
      </c>
      <c r="AC115">
        <f t="shared" si="110"/>
        <v>-4446.0000000000036</v>
      </c>
      <c r="AD115">
        <f t="shared" si="111"/>
        <v>0</v>
      </c>
      <c r="AE115">
        <f t="shared" si="112"/>
        <v>-1.0000000000000231</v>
      </c>
      <c r="AF115">
        <f t="shared" si="113"/>
        <v>-50322.99999999893</v>
      </c>
      <c r="AG115">
        <f t="shared" si="114"/>
        <v>-50645.999999998923</v>
      </c>
      <c r="AH115">
        <f t="shared" si="115"/>
        <v>-2.0000000000000462</v>
      </c>
      <c r="AI115">
        <f t="shared" si="116"/>
        <v>0</v>
      </c>
      <c r="AJ115">
        <f t="shared" si="117"/>
        <v>0</v>
      </c>
      <c r="AK115">
        <f t="shared" si="118"/>
        <v>0</v>
      </c>
      <c r="AL115">
        <f t="shared" si="119"/>
        <v>0</v>
      </c>
      <c r="AM115" s="1">
        <f t="shared" si="120"/>
        <v>0</v>
      </c>
      <c r="AN115" s="1">
        <f t="shared" si="97"/>
        <v>-84778.999999997657</v>
      </c>
      <c r="AO115">
        <f t="shared" si="98"/>
        <v>-1.579883720930205</v>
      </c>
      <c r="AP115">
        <f t="shared" si="99"/>
        <v>3.7240986525040016</v>
      </c>
    </row>
    <row r="116" spans="1:42" x14ac:dyDescent="0.25">
      <c r="A116" s="4">
        <v>45929</v>
      </c>
      <c r="B116">
        <f t="shared" ref="B116:N116" si="168">(B666-B665)*100</f>
        <v>0</v>
      </c>
      <c r="C116">
        <f t="shared" si="168"/>
        <v>0.99999999999997868</v>
      </c>
      <c r="D116">
        <f t="shared" si="168"/>
        <v>-2.0000000000000462</v>
      </c>
      <c r="E116">
        <f t="shared" si="168"/>
        <v>0.99999999999997868</v>
      </c>
      <c r="F116">
        <f t="shared" si="168"/>
        <v>-0.99999999999997868</v>
      </c>
      <c r="G116">
        <f t="shared" si="168"/>
        <v>2.0000000000000018</v>
      </c>
      <c r="H116">
        <f t="shared" si="168"/>
        <v>0</v>
      </c>
      <c r="I116">
        <f t="shared" si="168"/>
        <v>3.0000000000000249</v>
      </c>
      <c r="J116">
        <f t="shared" si="168"/>
        <v>1.9999999999999574</v>
      </c>
      <c r="K116">
        <f t="shared" si="168"/>
        <v>4.0000000000000036</v>
      </c>
      <c r="L116">
        <f t="shared" si="168"/>
        <v>4.9999999999999822</v>
      </c>
      <c r="M116">
        <f t="shared" si="168"/>
        <v>4.9999999999999822</v>
      </c>
      <c r="N116">
        <f t="shared" si="168"/>
        <v>5.9999999999999609</v>
      </c>
      <c r="O116" s="5">
        <f t="shared" si="167"/>
        <v>0</v>
      </c>
      <c r="P116" s="5">
        <f t="shared" si="167"/>
        <v>0</v>
      </c>
      <c r="Q116" s="5">
        <f t="shared" si="167"/>
        <v>0</v>
      </c>
      <c r="R116" s="5">
        <f t="shared" si="167"/>
        <v>0</v>
      </c>
      <c r="S116" s="5">
        <f t="shared" si="167"/>
        <v>0</v>
      </c>
      <c r="U116" s="4">
        <v>45929</v>
      </c>
      <c r="V116">
        <f t="shared" si="103"/>
        <v>0</v>
      </c>
      <c r="W116">
        <f t="shared" si="104"/>
        <v>-2222.9999999999527</v>
      </c>
      <c r="X116">
        <f t="shared" si="105"/>
        <v>-9180.0000000002128</v>
      </c>
      <c r="Y116">
        <f t="shared" si="106"/>
        <v>-3444.9999999999268</v>
      </c>
      <c r="Z116">
        <f t="shared" si="107"/>
        <v>-5434.9999999998845</v>
      </c>
      <c r="AA116">
        <f t="shared" si="108"/>
        <v>-4000.0000000000036</v>
      </c>
      <c r="AB116">
        <f t="shared" si="109"/>
        <v>0</v>
      </c>
      <c r="AC116">
        <f t="shared" si="110"/>
        <v>-6669.0000000000555</v>
      </c>
      <c r="AD116">
        <f t="shared" si="111"/>
        <v>-201087.99999999572</v>
      </c>
      <c r="AE116">
        <f t="shared" si="112"/>
        <v>4.0000000000000036</v>
      </c>
      <c r="AF116">
        <f t="shared" si="113"/>
        <v>251614.9999999991</v>
      </c>
      <c r="AG116">
        <f t="shared" si="114"/>
        <v>126614.99999999955</v>
      </c>
      <c r="AH116">
        <f t="shared" si="115"/>
        <v>5.9999999999999609</v>
      </c>
      <c r="AI116">
        <f t="shared" si="116"/>
        <v>0</v>
      </c>
      <c r="AJ116">
        <f t="shared" si="117"/>
        <v>0</v>
      </c>
      <c r="AK116">
        <f t="shared" si="118"/>
        <v>0</v>
      </c>
      <c r="AL116">
        <f t="shared" si="119"/>
        <v>0</v>
      </c>
      <c r="AM116" s="1">
        <f t="shared" si="120"/>
        <v>0</v>
      </c>
      <c r="AN116" s="1">
        <f t="shared" si="97"/>
        <v>146200.00000000291</v>
      </c>
      <c r="AO116">
        <f t="shared" si="98"/>
        <v>-9.8697445853285206</v>
      </c>
      <c r="AP116">
        <f t="shared" si="99"/>
        <v>3.7229863666368854</v>
      </c>
    </row>
    <row r="117" spans="1:42" x14ac:dyDescent="0.25">
      <c r="A117" s="4">
        <v>45926</v>
      </c>
      <c r="B117">
        <f t="shared" ref="B117:N117" si="169">(B667-B666)*100</f>
        <v>2.0000000000000462</v>
      </c>
      <c r="C117">
        <f t="shared" si="169"/>
        <v>0.99999999999997868</v>
      </c>
      <c r="D117">
        <f t="shared" si="169"/>
        <v>2.0000000000000462</v>
      </c>
      <c r="E117">
        <f t="shared" si="169"/>
        <v>0.99999999999997868</v>
      </c>
      <c r="F117">
        <f t="shared" si="169"/>
        <v>2.0000000000000018</v>
      </c>
      <c r="G117">
        <f t="shared" si="169"/>
        <v>1.0000000000000231</v>
      </c>
      <c r="H117">
        <f t="shared" si="169"/>
        <v>1.0000000000000231</v>
      </c>
      <c r="I117">
        <f t="shared" si="169"/>
        <v>0</v>
      </c>
      <c r="J117">
        <f t="shared" si="169"/>
        <v>-0.99999999999997868</v>
      </c>
      <c r="K117">
        <f t="shared" si="169"/>
        <v>-2.0000000000000018</v>
      </c>
      <c r="L117">
        <f t="shared" si="169"/>
        <v>-2.0000000000000462</v>
      </c>
      <c r="M117">
        <f t="shared" si="169"/>
        <v>-0.99999999999997868</v>
      </c>
      <c r="N117">
        <f t="shared" si="169"/>
        <v>-1.9999999999999574</v>
      </c>
      <c r="O117" s="5">
        <f t="shared" si="167"/>
        <v>0</v>
      </c>
      <c r="P117" s="5">
        <f t="shared" si="167"/>
        <v>0</v>
      </c>
      <c r="Q117" s="5">
        <f t="shared" si="167"/>
        <v>0</v>
      </c>
      <c r="R117" s="5">
        <f t="shared" si="167"/>
        <v>0</v>
      </c>
      <c r="S117" s="5">
        <f t="shared" si="167"/>
        <v>0</v>
      </c>
      <c r="U117" s="4">
        <v>45926</v>
      </c>
      <c r="V117">
        <f t="shared" si="103"/>
        <v>-8000.0000000001846</v>
      </c>
      <c r="W117">
        <f t="shared" si="104"/>
        <v>-2222.9999999999527</v>
      </c>
      <c r="X117">
        <f t="shared" si="105"/>
        <v>9180.0000000002128</v>
      </c>
      <c r="Y117">
        <f t="shared" si="106"/>
        <v>-3444.9999999999268</v>
      </c>
      <c r="Z117">
        <f t="shared" si="107"/>
        <v>10870.000000000009</v>
      </c>
      <c r="AA117">
        <f t="shared" si="108"/>
        <v>-2000.0000000000462</v>
      </c>
      <c r="AB117">
        <f t="shared" si="109"/>
        <v>4564.0000000001055</v>
      </c>
      <c r="AC117">
        <f t="shared" si="110"/>
        <v>0</v>
      </c>
      <c r="AD117">
        <f t="shared" si="111"/>
        <v>100543.99999999786</v>
      </c>
      <c r="AE117">
        <f t="shared" si="112"/>
        <v>-2.0000000000000018</v>
      </c>
      <c r="AF117">
        <f t="shared" si="113"/>
        <v>-100646.00000000233</v>
      </c>
      <c r="AG117">
        <f t="shared" si="114"/>
        <v>-25322.999999999462</v>
      </c>
      <c r="AH117">
        <f t="shared" si="115"/>
        <v>-1.9999999999999574</v>
      </c>
      <c r="AI117">
        <f t="shared" si="116"/>
        <v>0</v>
      </c>
      <c r="AJ117">
        <f t="shared" si="117"/>
        <v>0</v>
      </c>
      <c r="AK117">
        <f t="shared" si="118"/>
        <v>0</v>
      </c>
      <c r="AL117">
        <f t="shared" si="119"/>
        <v>0</v>
      </c>
      <c r="AM117" s="1">
        <f t="shared" si="120"/>
        <v>0</v>
      </c>
      <c r="AN117" s="1">
        <f t="shared" si="97"/>
        <v>-16483.000000003711</v>
      </c>
      <c r="AO117">
        <f t="shared" si="98"/>
        <v>-1.0398691909333539</v>
      </c>
      <c r="AP117">
        <f t="shared" si="99"/>
        <v>3.1330069221368624</v>
      </c>
    </row>
    <row r="118" spans="1:42" x14ac:dyDescent="0.25">
      <c r="A118" s="4">
        <v>45925</v>
      </c>
      <c r="B118">
        <f t="shared" ref="B118:N118" si="170">(B668-B667)*100</f>
        <v>-6.0000000000000497</v>
      </c>
      <c r="C118">
        <f t="shared" si="170"/>
        <v>-4.9999999999999822</v>
      </c>
      <c r="D118">
        <f t="shared" si="170"/>
        <v>-2.0000000000000462</v>
      </c>
      <c r="E118">
        <f t="shared" si="170"/>
        <v>-2.9999999999999805</v>
      </c>
      <c r="F118">
        <f t="shared" si="170"/>
        <v>-3.0000000000000249</v>
      </c>
      <c r="G118">
        <f t="shared" si="170"/>
        <v>-5.0000000000000266</v>
      </c>
      <c r="H118">
        <f t="shared" si="170"/>
        <v>-7.0000000000000284</v>
      </c>
      <c r="I118">
        <f t="shared" si="170"/>
        <v>-6.0000000000000053</v>
      </c>
      <c r="J118">
        <f t="shared" si="170"/>
        <v>-4.9999999999999822</v>
      </c>
      <c r="K118">
        <f t="shared" si="170"/>
        <v>-2.9999999999999805</v>
      </c>
      <c r="L118">
        <f t="shared" si="170"/>
        <v>-1.9999999999999574</v>
      </c>
      <c r="M118">
        <f t="shared" si="170"/>
        <v>0</v>
      </c>
      <c r="N118">
        <f t="shared" si="170"/>
        <v>0.99999999999997868</v>
      </c>
      <c r="O118" s="5">
        <f t="shared" si="167"/>
        <v>0</v>
      </c>
      <c r="P118" s="5">
        <f t="shared" si="167"/>
        <v>0</v>
      </c>
      <c r="Q118" s="5">
        <f t="shared" si="167"/>
        <v>0</v>
      </c>
      <c r="R118" s="5">
        <f t="shared" si="167"/>
        <v>0</v>
      </c>
      <c r="S118" s="5">
        <f t="shared" si="167"/>
        <v>0</v>
      </c>
      <c r="U118" s="4">
        <v>45925</v>
      </c>
      <c r="V118">
        <f t="shared" si="103"/>
        <v>24000.0000000002</v>
      </c>
      <c r="W118">
        <f t="shared" si="104"/>
        <v>11114.99999999996</v>
      </c>
      <c r="X118">
        <f t="shared" si="105"/>
        <v>-9180.0000000002128</v>
      </c>
      <c r="Y118">
        <f t="shared" si="106"/>
        <v>10334.999999999933</v>
      </c>
      <c r="Z118">
        <f t="shared" si="107"/>
        <v>-16305.000000000135</v>
      </c>
      <c r="AA118">
        <f t="shared" si="108"/>
        <v>10000.000000000053</v>
      </c>
      <c r="AB118">
        <f t="shared" si="109"/>
        <v>-31948.000000000131</v>
      </c>
      <c r="AC118">
        <f t="shared" si="110"/>
        <v>13338.000000000013</v>
      </c>
      <c r="AD118">
        <f t="shared" si="111"/>
        <v>502719.9999999982</v>
      </c>
      <c r="AE118">
        <f t="shared" si="112"/>
        <v>-2.9999999999999805</v>
      </c>
      <c r="AF118">
        <f t="shared" si="113"/>
        <v>-100645.99999999786</v>
      </c>
      <c r="AG118">
        <f t="shared" si="114"/>
        <v>0</v>
      </c>
      <c r="AH118">
        <f t="shared" si="115"/>
        <v>0.99999999999997868</v>
      </c>
      <c r="AI118">
        <f t="shared" si="116"/>
        <v>0</v>
      </c>
      <c r="AJ118">
        <f t="shared" si="117"/>
        <v>0</v>
      </c>
      <c r="AK118">
        <f t="shared" si="118"/>
        <v>0</v>
      </c>
      <c r="AL118">
        <f t="shared" si="119"/>
        <v>0</v>
      </c>
      <c r="AM118" s="1">
        <f t="shared" si="120"/>
        <v>0</v>
      </c>
      <c r="AN118" s="1">
        <f t="shared" si="97"/>
        <v>413427.00000000006</v>
      </c>
      <c r="AO118">
        <f t="shared" si="98"/>
        <v>-5.8802677243430521</v>
      </c>
      <c r="AP118">
        <f t="shared" si="99"/>
        <v>3.1330799024205547</v>
      </c>
    </row>
    <row r="119" spans="1:42" x14ac:dyDescent="0.25">
      <c r="A119" s="4">
        <v>45924</v>
      </c>
      <c r="B119">
        <f t="shared" ref="B119:N119" si="171">(B669-B668)*100</f>
        <v>-1.9999999999999574</v>
      </c>
      <c r="C119">
        <f t="shared" si="171"/>
        <v>-0.99999999999997868</v>
      </c>
      <c r="D119">
        <f t="shared" si="171"/>
        <v>-1.9999999999999574</v>
      </c>
      <c r="E119">
        <f t="shared" si="171"/>
        <v>-0.99999999999997868</v>
      </c>
      <c r="F119">
        <f t="shared" si="171"/>
        <v>-0.99999999999997868</v>
      </c>
      <c r="G119">
        <f t="shared" si="171"/>
        <v>-2.0000000000000018</v>
      </c>
      <c r="H119">
        <f t="shared" si="171"/>
        <v>-4.0000000000000036</v>
      </c>
      <c r="I119">
        <f t="shared" si="171"/>
        <v>-3.0000000000000249</v>
      </c>
      <c r="J119">
        <f t="shared" si="171"/>
        <v>-2.0000000000000018</v>
      </c>
      <c r="K119">
        <f t="shared" si="171"/>
        <v>-4.0000000000000036</v>
      </c>
      <c r="L119">
        <f t="shared" si="171"/>
        <v>-4.0000000000000036</v>
      </c>
      <c r="M119">
        <f t="shared" si="171"/>
        <v>-3.0000000000000249</v>
      </c>
      <c r="N119">
        <f t="shared" si="171"/>
        <v>-2.9999999999999361</v>
      </c>
      <c r="O119" s="5">
        <f t="shared" si="167"/>
        <v>0</v>
      </c>
      <c r="P119" s="5">
        <f t="shared" si="167"/>
        <v>0</v>
      </c>
      <c r="Q119" s="5">
        <f t="shared" si="167"/>
        <v>0</v>
      </c>
      <c r="R119" s="5">
        <f t="shared" si="167"/>
        <v>0</v>
      </c>
      <c r="S119" s="5">
        <f t="shared" si="167"/>
        <v>0</v>
      </c>
      <c r="U119" s="4">
        <v>45924</v>
      </c>
      <c r="V119">
        <f t="shared" si="103"/>
        <v>7999.999999999829</v>
      </c>
      <c r="W119">
        <f t="shared" si="104"/>
        <v>2222.9999999999527</v>
      </c>
      <c r="X119">
        <f t="shared" si="105"/>
        <v>-9179.9999999998035</v>
      </c>
      <c r="Y119">
        <f t="shared" si="106"/>
        <v>3444.9999999999268</v>
      </c>
      <c r="Z119">
        <f t="shared" si="107"/>
        <v>-5434.9999999998845</v>
      </c>
      <c r="AA119">
        <f t="shared" si="108"/>
        <v>4000.0000000000036</v>
      </c>
      <c r="AB119">
        <f t="shared" si="109"/>
        <v>-18256.000000000015</v>
      </c>
      <c r="AC119">
        <f t="shared" si="110"/>
        <v>6669.0000000000555</v>
      </c>
      <c r="AD119">
        <f t="shared" si="111"/>
        <v>201088.00000000017</v>
      </c>
      <c r="AE119">
        <f t="shared" si="112"/>
        <v>-4.0000000000000036</v>
      </c>
      <c r="AF119">
        <f t="shared" si="113"/>
        <v>-201292.00000000017</v>
      </c>
      <c r="AG119">
        <f t="shared" si="114"/>
        <v>-75969.000000000626</v>
      </c>
      <c r="AH119">
        <f t="shared" si="115"/>
        <v>-2.9999999999999361</v>
      </c>
      <c r="AI119">
        <f t="shared" si="116"/>
        <v>0</v>
      </c>
      <c r="AJ119">
        <f t="shared" si="117"/>
        <v>0</v>
      </c>
      <c r="AK119">
        <f t="shared" si="118"/>
        <v>0</v>
      </c>
      <c r="AL119">
        <f t="shared" si="119"/>
        <v>0</v>
      </c>
      <c r="AM119" s="1">
        <f t="shared" si="120"/>
        <v>0</v>
      </c>
      <c r="AN119" s="1">
        <f t="shared" si="97"/>
        <v>-84714.000000000568</v>
      </c>
      <c r="AO119">
        <f t="shared" si="98"/>
        <v>0.6201113044810036</v>
      </c>
      <c r="AP119">
        <f t="shared" si="99"/>
        <v>5.743087058939274</v>
      </c>
    </row>
    <row r="120" spans="1:42" x14ac:dyDescent="0.25">
      <c r="A120" s="4">
        <v>45923</v>
      </c>
      <c r="B120">
        <f t="shared" ref="B120:N120" si="172">(B670-B669)*100</f>
        <v>0.99999999999997868</v>
      </c>
      <c r="C120">
        <f t="shared" si="172"/>
        <v>0.99999999999997868</v>
      </c>
      <c r="D120">
        <f t="shared" si="172"/>
        <v>0</v>
      </c>
      <c r="E120">
        <f t="shared" si="172"/>
        <v>0.99999999999997868</v>
      </c>
      <c r="F120">
        <f t="shared" si="172"/>
        <v>0</v>
      </c>
      <c r="G120">
        <f t="shared" si="172"/>
        <v>0</v>
      </c>
      <c r="H120">
        <f t="shared" si="172"/>
        <v>8.0000000000000071</v>
      </c>
      <c r="I120">
        <f t="shared" si="172"/>
        <v>2.0000000000000018</v>
      </c>
      <c r="J120">
        <f t="shared" si="172"/>
        <v>2.9999999999999805</v>
      </c>
      <c r="K120">
        <f t="shared" si="172"/>
        <v>2.9999999999999805</v>
      </c>
      <c r="L120">
        <f t="shared" si="172"/>
        <v>3.0000000000000249</v>
      </c>
      <c r="M120">
        <f t="shared" si="172"/>
        <v>3.0000000000000249</v>
      </c>
      <c r="N120">
        <f t="shared" si="172"/>
        <v>3.9999999999999147</v>
      </c>
      <c r="O120" s="5">
        <f t="shared" si="167"/>
        <v>0</v>
      </c>
      <c r="P120" s="5">
        <f t="shared" si="167"/>
        <v>0</v>
      </c>
      <c r="Q120" s="5">
        <f t="shared" si="167"/>
        <v>0</v>
      </c>
      <c r="R120" s="5">
        <f t="shared" si="167"/>
        <v>0</v>
      </c>
      <c r="S120" s="5">
        <f t="shared" si="167"/>
        <v>0</v>
      </c>
      <c r="U120" s="4">
        <v>45923</v>
      </c>
      <c r="V120">
        <f t="shared" si="103"/>
        <v>-3999.9999999999145</v>
      </c>
      <c r="W120">
        <f t="shared" si="104"/>
        <v>-2222.9999999999527</v>
      </c>
      <c r="X120">
        <f t="shared" si="105"/>
        <v>0</v>
      </c>
      <c r="Y120">
        <f t="shared" si="106"/>
        <v>-3444.9999999999268</v>
      </c>
      <c r="Z120">
        <f t="shared" si="107"/>
        <v>0</v>
      </c>
      <c r="AA120">
        <f t="shared" si="108"/>
        <v>0</v>
      </c>
      <c r="AB120">
        <f t="shared" si="109"/>
        <v>36512.000000000029</v>
      </c>
      <c r="AC120">
        <f t="shared" si="110"/>
        <v>-4446.0000000000036</v>
      </c>
      <c r="AD120">
        <f t="shared" si="111"/>
        <v>-301631.99999999802</v>
      </c>
      <c r="AE120">
        <f t="shared" si="112"/>
        <v>2.9999999999999805</v>
      </c>
      <c r="AF120">
        <f t="shared" si="113"/>
        <v>150969.00000000125</v>
      </c>
      <c r="AG120">
        <f t="shared" si="114"/>
        <v>75969.000000000626</v>
      </c>
      <c r="AH120">
        <f t="shared" si="115"/>
        <v>3.9999999999999147</v>
      </c>
      <c r="AI120">
        <f t="shared" si="116"/>
        <v>0</v>
      </c>
      <c r="AJ120">
        <f t="shared" si="117"/>
        <v>0</v>
      </c>
      <c r="AK120">
        <f t="shared" si="118"/>
        <v>0</v>
      </c>
      <c r="AL120">
        <f t="shared" si="119"/>
        <v>0</v>
      </c>
      <c r="AM120" s="1">
        <f t="shared" si="120"/>
        <v>0</v>
      </c>
      <c r="AN120" s="1">
        <f t="shared" si="97"/>
        <v>-52288.999999995911</v>
      </c>
      <c r="AO120">
        <f t="shared" si="98"/>
        <v>-1.2686736649556194</v>
      </c>
      <c r="AP120">
        <f t="shared" si="99"/>
        <v>5.7538689617272212</v>
      </c>
    </row>
    <row r="121" spans="1:42" x14ac:dyDescent="0.25">
      <c r="A121" s="4">
        <v>45922</v>
      </c>
      <c r="B121">
        <f t="shared" ref="B121:N121" si="173">(B671-B670)*100</f>
        <v>2.0000000000000462</v>
      </c>
      <c r="C121">
        <f t="shared" si="173"/>
        <v>0.99999999999997868</v>
      </c>
      <c r="D121">
        <f t="shared" si="173"/>
        <v>3.0000000000000249</v>
      </c>
      <c r="E121">
        <f t="shared" si="173"/>
        <v>0</v>
      </c>
      <c r="F121">
        <f t="shared" si="173"/>
        <v>0</v>
      </c>
      <c r="G121">
        <f t="shared" si="173"/>
        <v>-0.99999999999997868</v>
      </c>
      <c r="H121">
        <f t="shared" si="173"/>
        <v>-4.0000000000000036</v>
      </c>
      <c r="I121">
        <f t="shared" si="173"/>
        <v>-2.9999999999999805</v>
      </c>
      <c r="J121">
        <f t="shared" si="173"/>
        <v>-2.9999999999999805</v>
      </c>
      <c r="K121">
        <f t="shared" si="173"/>
        <v>-2.0000000000000018</v>
      </c>
      <c r="L121">
        <f t="shared" si="173"/>
        <v>-1.0000000000000675</v>
      </c>
      <c r="M121">
        <f t="shared" si="173"/>
        <v>-2.0000000000000462</v>
      </c>
      <c r="N121">
        <f t="shared" si="173"/>
        <v>-1.9999999999999574</v>
      </c>
      <c r="O121" s="5">
        <f t="shared" si="167"/>
        <v>0</v>
      </c>
      <c r="P121" s="5">
        <f t="shared" si="167"/>
        <v>0</v>
      </c>
      <c r="Q121" s="5">
        <f t="shared" si="167"/>
        <v>0</v>
      </c>
      <c r="R121" s="5">
        <f t="shared" si="167"/>
        <v>0</v>
      </c>
      <c r="S121" s="5">
        <f t="shared" si="167"/>
        <v>0</v>
      </c>
      <c r="U121" s="4">
        <v>45922</v>
      </c>
      <c r="V121">
        <f t="shared" si="103"/>
        <v>-8000.0000000001846</v>
      </c>
      <c r="W121">
        <f t="shared" si="104"/>
        <v>-2222.9999999999527</v>
      </c>
      <c r="X121">
        <f t="shared" si="105"/>
        <v>13770.000000000115</v>
      </c>
      <c r="Y121">
        <f t="shared" si="106"/>
        <v>0</v>
      </c>
      <c r="Z121">
        <f t="shared" si="107"/>
        <v>0</v>
      </c>
      <c r="AA121">
        <f t="shared" si="108"/>
        <v>1999.9999999999573</v>
      </c>
      <c r="AB121">
        <f t="shared" si="109"/>
        <v>-18256.000000000015</v>
      </c>
      <c r="AC121">
        <f t="shared" si="110"/>
        <v>6668.9999999999563</v>
      </c>
      <c r="AD121">
        <f t="shared" si="111"/>
        <v>301631.99999999802</v>
      </c>
      <c r="AE121">
        <f t="shared" si="112"/>
        <v>-2.0000000000000018</v>
      </c>
      <c r="AF121">
        <f t="shared" si="113"/>
        <v>-50323.000000003398</v>
      </c>
      <c r="AG121">
        <f t="shared" si="114"/>
        <v>-50646.000000001171</v>
      </c>
      <c r="AH121">
        <f t="shared" si="115"/>
        <v>-1.9999999999999574</v>
      </c>
      <c r="AI121">
        <f t="shared" si="116"/>
        <v>0</v>
      </c>
      <c r="AJ121">
        <f t="shared" si="117"/>
        <v>0</v>
      </c>
      <c r="AK121">
        <f t="shared" si="118"/>
        <v>0</v>
      </c>
      <c r="AL121">
        <f t="shared" si="119"/>
        <v>0</v>
      </c>
      <c r="AM121" s="1">
        <f t="shared" si="120"/>
        <v>0</v>
      </c>
      <c r="AN121" s="1">
        <f t="shared" si="97"/>
        <v>194618.99999999334</v>
      </c>
      <c r="AO121">
        <f t="shared" si="98"/>
        <v>-2.4950451696165263</v>
      </c>
      <c r="AP121">
        <f t="shared" si="99"/>
        <v>5.7894901696148811</v>
      </c>
    </row>
    <row r="122" spans="1:42" x14ac:dyDescent="0.25">
      <c r="A122" s="4">
        <v>45919</v>
      </c>
      <c r="B122">
        <f t="shared" ref="B122:N122" si="174">(B672-B671)*100</f>
        <v>0.99999999999997868</v>
      </c>
      <c r="C122">
        <f t="shared" si="174"/>
        <v>0</v>
      </c>
      <c r="D122">
        <f t="shared" si="174"/>
        <v>0</v>
      </c>
      <c r="E122">
        <f t="shared" si="174"/>
        <v>0</v>
      </c>
      <c r="F122">
        <f t="shared" si="174"/>
        <v>0</v>
      </c>
      <c r="G122">
        <f t="shared" si="174"/>
        <v>0.99999999999997868</v>
      </c>
      <c r="H122">
        <f t="shared" si="174"/>
        <v>0</v>
      </c>
      <c r="I122">
        <f t="shared" si="174"/>
        <v>-1.0000000000000231</v>
      </c>
      <c r="J122">
        <f t="shared" si="174"/>
        <v>-1.0000000000000231</v>
      </c>
      <c r="K122">
        <f t="shared" si="174"/>
        <v>-2.0000000000000018</v>
      </c>
      <c r="L122">
        <f t="shared" si="174"/>
        <v>-2.9999999999999361</v>
      </c>
      <c r="M122">
        <f t="shared" si="174"/>
        <v>-3.0000000000000249</v>
      </c>
      <c r="N122">
        <f t="shared" si="174"/>
        <v>-3.0000000000000249</v>
      </c>
      <c r="O122" s="5">
        <f t="shared" si="167"/>
        <v>0</v>
      </c>
      <c r="P122" s="5">
        <f t="shared" si="167"/>
        <v>0</v>
      </c>
      <c r="Q122" s="5">
        <f t="shared" si="167"/>
        <v>0</v>
      </c>
      <c r="R122" s="5">
        <f t="shared" si="167"/>
        <v>0</v>
      </c>
      <c r="S122" s="5">
        <f t="shared" si="167"/>
        <v>0</v>
      </c>
      <c r="U122" s="4">
        <v>45919</v>
      </c>
      <c r="V122">
        <f t="shared" si="103"/>
        <v>-3999.9999999999145</v>
      </c>
      <c r="W122">
        <f t="shared" si="104"/>
        <v>0</v>
      </c>
      <c r="X122">
        <f t="shared" si="105"/>
        <v>0</v>
      </c>
      <c r="Y122">
        <f t="shared" si="106"/>
        <v>0</v>
      </c>
      <c r="Z122">
        <f t="shared" si="107"/>
        <v>0</v>
      </c>
      <c r="AA122">
        <f t="shared" si="108"/>
        <v>-1999.9999999999573</v>
      </c>
      <c r="AB122">
        <f t="shared" si="109"/>
        <v>0</v>
      </c>
      <c r="AC122">
        <f t="shared" si="110"/>
        <v>2223.0000000000514</v>
      </c>
      <c r="AD122">
        <f t="shared" si="111"/>
        <v>100544.00000000233</v>
      </c>
      <c r="AE122">
        <f t="shared" si="112"/>
        <v>-2.0000000000000018</v>
      </c>
      <c r="AF122">
        <f t="shared" si="113"/>
        <v>-150968.99999999677</v>
      </c>
      <c r="AG122">
        <f t="shared" si="114"/>
        <v>-75969.000000000626</v>
      </c>
      <c r="AH122">
        <f t="shared" si="115"/>
        <v>-3.0000000000000249</v>
      </c>
      <c r="AI122">
        <f t="shared" si="116"/>
        <v>0</v>
      </c>
      <c r="AJ122">
        <f t="shared" si="117"/>
        <v>0</v>
      </c>
      <c r="AK122">
        <f t="shared" si="118"/>
        <v>0</v>
      </c>
      <c r="AL122">
        <f t="shared" si="119"/>
        <v>0</v>
      </c>
      <c r="AM122" s="1">
        <f t="shared" si="120"/>
        <v>0</v>
      </c>
      <c r="AN122" s="1">
        <f t="shared" si="97"/>
        <v>-130175.99999999489</v>
      </c>
      <c r="AO122">
        <f t="shared" si="98"/>
        <v>-2.3107121640806847</v>
      </c>
      <c r="AP122">
        <f t="shared" si="99"/>
        <v>5.7493621923621134</v>
      </c>
    </row>
    <row r="123" spans="1:42" x14ac:dyDescent="0.25">
      <c r="A123" s="4">
        <v>45918</v>
      </c>
      <c r="B123">
        <f t="shared" ref="B123:N123" si="175">(B673-B672)*100</f>
        <v>-3.0000000000000249</v>
      </c>
      <c r="C123">
        <f t="shared" si="175"/>
        <v>-2.9999999999999361</v>
      </c>
      <c r="D123">
        <f t="shared" si="175"/>
        <v>-1.0000000000000675</v>
      </c>
      <c r="E123">
        <f t="shared" si="175"/>
        <v>-0.99999999999997868</v>
      </c>
      <c r="F123">
        <f t="shared" si="175"/>
        <v>-1.0000000000000231</v>
      </c>
      <c r="G123">
        <f t="shared" si="175"/>
        <v>-0.99999999999997868</v>
      </c>
      <c r="H123">
        <f t="shared" si="175"/>
        <v>-4.9999999999999822</v>
      </c>
      <c r="I123">
        <f t="shared" si="175"/>
        <v>-4.0000000000000036</v>
      </c>
      <c r="J123">
        <f t="shared" si="175"/>
        <v>-4.9999999999999822</v>
      </c>
      <c r="K123">
        <f t="shared" si="175"/>
        <v>-4.9999999999999822</v>
      </c>
      <c r="L123">
        <f t="shared" si="175"/>
        <v>-5.0000000000000711</v>
      </c>
      <c r="M123">
        <f t="shared" si="175"/>
        <v>-5.9999999999999609</v>
      </c>
      <c r="N123">
        <f t="shared" si="175"/>
        <v>-5.9999999999999609</v>
      </c>
      <c r="O123" s="5">
        <f t="shared" si="167"/>
        <v>0</v>
      </c>
      <c r="P123" s="5">
        <f t="shared" si="167"/>
        <v>0</v>
      </c>
      <c r="Q123" s="5">
        <f t="shared" si="167"/>
        <v>0</v>
      </c>
      <c r="R123" s="5">
        <f t="shared" si="167"/>
        <v>0</v>
      </c>
      <c r="S123" s="5">
        <f t="shared" si="167"/>
        <v>0</v>
      </c>
      <c r="U123" s="4">
        <v>45918</v>
      </c>
      <c r="V123">
        <f t="shared" si="103"/>
        <v>12000.0000000001</v>
      </c>
      <c r="W123">
        <f t="shared" si="104"/>
        <v>6668.9999999998581</v>
      </c>
      <c r="X123">
        <f t="shared" si="105"/>
        <v>-4590.0000000003101</v>
      </c>
      <c r="Y123">
        <f t="shared" si="106"/>
        <v>3444.9999999999268</v>
      </c>
      <c r="Z123">
        <f t="shared" si="107"/>
        <v>-5435.0000000001255</v>
      </c>
      <c r="AA123">
        <f t="shared" si="108"/>
        <v>1999.9999999999573</v>
      </c>
      <c r="AB123">
        <f t="shared" si="109"/>
        <v>-22819.99999999992</v>
      </c>
      <c r="AC123">
        <f t="shared" si="110"/>
        <v>8892.0000000000073</v>
      </c>
      <c r="AD123">
        <f t="shared" si="111"/>
        <v>502719.9999999982</v>
      </c>
      <c r="AE123">
        <f t="shared" si="112"/>
        <v>-4.9999999999999822</v>
      </c>
      <c r="AF123">
        <f t="shared" si="113"/>
        <v>-251615.00000000358</v>
      </c>
      <c r="AG123">
        <f t="shared" si="114"/>
        <v>-151937.99999999901</v>
      </c>
      <c r="AH123">
        <f t="shared" si="115"/>
        <v>-5.9999999999999609</v>
      </c>
      <c r="AI123">
        <f t="shared" si="116"/>
        <v>0</v>
      </c>
      <c r="AJ123">
        <f t="shared" si="117"/>
        <v>0</v>
      </c>
      <c r="AK123">
        <f t="shared" si="118"/>
        <v>0</v>
      </c>
      <c r="AL123">
        <f t="shared" si="119"/>
        <v>0</v>
      </c>
      <c r="AM123" s="1">
        <f t="shared" si="120"/>
        <v>0</v>
      </c>
      <c r="AN123" s="1">
        <f t="shared" si="97"/>
        <v>99316.999999995081</v>
      </c>
      <c r="AO123">
        <f t="shared" si="98"/>
        <v>-0.37683450980397315</v>
      </c>
      <c r="AP123">
        <f t="shared" si="99"/>
        <v>5.8338826116425935</v>
      </c>
    </row>
    <row r="124" spans="1:42" x14ac:dyDescent="0.25">
      <c r="A124" s="4">
        <v>45917</v>
      </c>
      <c r="B124">
        <f t="shared" ref="B124:N124" si="176">(B674-B673)*100</f>
        <v>3.0000000000000249</v>
      </c>
      <c r="C124">
        <f t="shared" si="176"/>
        <v>4.0000000000000036</v>
      </c>
      <c r="D124">
        <f t="shared" si="176"/>
        <v>2.0000000000000462</v>
      </c>
      <c r="E124">
        <f t="shared" si="176"/>
        <v>2.9999999999999805</v>
      </c>
      <c r="F124">
        <f t="shared" si="176"/>
        <v>1.0000000000000231</v>
      </c>
      <c r="G124">
        <f t="shared" si="176"/>
        <v>2.0000000000000018</v>
      </c>
      <c r="H124">
        <f t="shared" si="176"/>
        <v>-1.0000000000000231</v>
      </c>
      <c r="I124">
        <f t="shared" si="176"/>
        <v>-3.9999999999999591</v>
      </c>
      <c r="J124">
        <f t="shared" si="176"/>
        <v>-3.0000000000000249</v>
      </c>
      <c r="K124">
        <f t="shared" si="176"/>
        <v>-3.0000000000000249</v>
      </c>
      <c r="L124">
        <f t="shared" si="176"/>
        <v>-1.9999999999999574</v>
      </c>
      <c r="M124">
        <f t="shared" si="176"/>
        <v>-0.99999999999997868</v>
      </c>
      <c r="N124">
        <f t="shared" si="176"/>
        <v>-0.99999999999997868</v>
      </c>
      <c r="O124" s="5">
        <f t="shared" si="167"/>
        <v>0</v>
      </c>
      <c r="P124" s="5">
        <f t="shared" si="167"/>
        <v>0</v>
      </c>
      <c r="Q124" s="5">
        <f t="shared" si="167"/>
        <v>0</v>
      </c>
      <c r="R124" s="5">
        <f t="shared" si="167"/>
        <v>0</v>
      </c>
      <c r="S124" s="5">
        <f t="shared" si="167"/>
        <v>0</v>
      </c>
      <c r="U124" s="4">
        <v>45917</v>
      </c>
      <c r="V124">
        <f t="shared" si="103"/>
        <v>-12000.0000000001</v>
      </c>
      <c r="W124">
        <f t="shared" si="104"/>
        <v>-8892.0000000000073</v>
      </c>
      <c r="X124">
        <f t="shared" si="105"/>
        <v>9180.0000000002128</v>
      </c>
      <c r="Y124">
        <f t="shared" si="106"/>
        <v>-10334.999999999933</v>
      </c>
      <c r="Z124">
        <f t="shared" si="107"/>
        <v>5435.0000000001255</v>
      </c>
      <c r="AA124">
        <f t="shared" si="108"/>
        <v>-4000.0000000000036</v>
      </c>
      <c r="AB124">
        <f t="shared" si="109"/>
        <v>-4564.0000000001055</v>
      </c>
      <c r="AC124">
        <f t="shared" si="110"/>
        <v>8891.9999999999091</v>
      </c>
      <c r="AD124">
        <f t="shared" si="111"/>
        <v>301632.0000000025</v>
      </c>
      <c r="AE124">
        <f t="shared" si="112"/>
        <v>-3.0000000000000249</v>
      </c>
      <c r="AF124">
        <f t="shared" si="113"/>
        <v>-100645.99999999786</v>
      </c>
      <c r="AG124">
        <f t="shared" si="114"/>
        <v>-25322.999999999462</v>
      </c>
      <c r="AH124">
        <f t="shared" si="115"/>
        <v>-0.99999999999997868</v>
      </c>
      <c r="AI124">
        <f t="shared" si="116"/>
        <v>0</v>
      </c>
      <c r="AJ124">
        <f t="shared" si="117"/>
        <v>0</v>
      </c>
      <c r="AK124">
        <f t="shared" si="118"/>
        <v>0</v>
      </c>
      <c r="AL124">
        <f t="shared" si="119"/>
        <v>0</v>
      </c>
      <c r="AM124" s="1">
        <f t="shared" si="120"/>
        <v>0</v>
      </c>
      <c r="AN124" s="1">
        <f t="shared" si="97"/>
        <v>159375.0000000053</v>
      </c>
      <c r="AO124">
        <f t="shared" si="98"/>
        <v>-2.5880330809087484</v>
      </c>
      <c r="AP124">
        <f t="shared" si="99"/>
        <v>5.8430381126382791</v>
      </c>
    </row>
    <row r="125" spans="1:42" x14ac:dyDescent="0.25">
      <c r="A125" s="4">
        <v>45916</v>
      </c>
      <c r="B125">
        <f t="shared" ref="B125:N125" si="177">(B675-B674)*100</f>
        <v>1.9999999999999574</v>
      </c>
      <c r="C125">
        <f t="shared" si="177"/>
        <v>1.9999999999999574</v>
      </c>
      <c r="D125">
        <f t="shared" si="177"/>
        <v>1.9999999999999574</v>
      </c>
      <c r="E125">
        <f t="shared" si="177"/>
        <v>0</v>
      </c>
      <c r="F125">
        <f t="shared" si="177"/>
        <v>0</v>
      </c>
      <c r="G125">
        <f t="shared" si="177"/>
        <v>2.0000000000000018</v>
      </c>
      <c r="H125">
        <f t="shared" si="177"/>
        <v>3.0000000000000249</v>
      </c>
      <c r="I125">
        <f t="shared" si="177"/>
        <v>2.9999999999999805</v>
      </c>
      <c r="J125">
        <f t="shared" si="177"/>
        <v>2.0000000000000018</v>
      </c>
      <c r="K125">
        <f t="shared" si="177"/>
        <v>1.0000000000000231</v>
      </c>
      <c r="L125">
        <f t="shared" si="177"/>
        <v>0.99999999999997868</v>
      </c>
      <c r="M125">
        <f t="shared" si="177"/>
        <v>1.9999999999999574</v>
      </c>
      <c r="N125">
        <f t="shared" si="177"/>
        <v>0.99999999999997868</v>
      </c>
      <c r="O125" s="5">
        <f t="shared" ref="O125:S134" si="178">LN(O674/O675)</f>
        <v>0</v>
      </c>
      <c r="P125" s="5">
        <f t="shared" si="178"/>
        <v>0</v>
      </c>
      <c r="Q125" s="5">
        <f t="shared" si="178"/>
        <v>0</v>
      </c>
      <c r="R125" s="5">
        <f t="shared" si="178"/>
        <v>0</v>
      </c>
      <c r="S125" s="5">
        <f t="shared" si="178"/>
        <v>0</v>
      </c>
      <c r="U125" s="4">
        <v>45916</v>
      </c>
      <c r="V125">
        <f t="shared" si="103"/>
        <v>-7999.999999999829</v>
      </c>
      <c r="W125">
        <f t="shared" si="104"/>
        <v>-4445.9999999999054</v>
      </c>
      <c r="X125">
        <f t="shared" si="105"/>
        <v>9179.9999999998035</v>
      </c>
      <c r="Y125">
        <f t="shared" si="106"/>
        <v>0</v>
      </c>
      <c r="Z125">
        <f t="shared" si="107"/>
        <v>0</v>
      </c>
      <c r="AA125">
        <f t="shared" si="108"/>
        <v>-4000.0000000000036</v>
      </c>
      <c r="AB125">
        <f t="shared" si="109"/>
        <v>13692.000000000113</v>
      </c>
      <c r="AC125">
        <f t="shared" si="110"/>
        <v>-6668.9999999999563</v>
      </c>
      <c r="AD125">
        <f t="shared" si="111"/>
        <v>-201088.00000000017</v>
      </c>
      <c r="AE125">
        <f t="shared" si="112"/>
        <v>1.0000000000000231</v>
      </c>
      <c r="AF125">
        <f t="shared" si="113"/>
        <v>50322.99999999893</v>
      </c>
      <c r="AG125">
        <f t="shared" si="114"/>
        <v>50645.999999998923</v>
      </c>
      <c r="AH125">
        <f t="shared" si="115"/>
        <v>0.99999999999997868</v>
      </c>
      <c r="AI125">
        <f t="shared" si="116"/>
        <v>0</v>
      </c>
      <c r="AJ125">
        <f t="shared" si="117"/>
        <v>0</v>
      </c>
      <c r="AK125">
        <f t="shared" si="118"/>
        <v>0</v>
      </c>
      <c r="AL125">
        <f t="shared" si="119"/>
        <v>0</v>
      </c>
      <c r="AM125" s="1">
        <f t="shared" si="120"/>
        <v>0</v>
      </c>
      <c r="AN125" s="1">
        <f t="shared" si="97"/>
        <v>-100360.0000000021</v>
      </c>
      <c r="AO125">
        <f t="shared" si="98"/>
        <v>-5.7656872263069925E-3</v>
      </c>
      <c r="AP125">
        <f t="shared" si="99"/>
        <v>5.7996277666574496</v>
      </c>
    </row>
    <row r="126" spans="1:42" x14ac:dyDescent="0.25">
      <c r="A126" s="4">
        <v>45915</v>
      </c>
      <c r="B126">
        <f t="shared" ref="B126:N126" si="179">(B676-B675)*100</f>
        <v>2.0000000000000462</v>
      </c>
      <c r="C126">
        <f t="shared" si="179"/>
        <v>3.0000000000000249</v>
      </c>
      <c r="D126">
        <f t="shared" si="179"/>
        <v>2.0000000000000462</v>
      </c>
      <c r="E126">
        <f t="shared" si="179"/>
        <v>1.9999999999999574</v>
      </c>
      <c r="F126">
        <f t="shared" si="179"/>
        <v>2.0000000000000018</v>
      </c>
      <c r="G126">
        <f t="shared" si="179"/>
        <v>2.0000000000000018</v>
      </c>
      <c r="H126">
        <f t="shared" si="179"/>
        <v>2.0000000000000018</v>
      </c>
      <c r="I126">
        <f t="shared" si="179"/>
        <v>2.0000000000000018</v>
      </c>
      <c r="J126">
        <f t="shared" si="179"/>
        <v>2.0000000000000018</v>
      </c>
      <c r="K126">
        <f t="shared" si="179"/>
        <v>2.0000000000000018</v>
      </c>
      <c r="L126">
        <f t="shared" si="179"/>
        <v>0.99999999999997868</v>
      </c>
      <c r="M126">
        <f t="shared" si="179"/>
        <v>2.0000000000000462</v>
      </c>
      <c r="N126">
        <f t="shared" si="179"/>
        <v>1.9999999999999574</v>
      </c>
      <c r="O126" s="5">
        <f t="shared" si="178"/>
        <v>0</v>
      </c>
      <c r="P126" s="5">
        <f t="shared" si="178"/>
        <v>0</v>
      </c>
      <c r="Q126" s="5">
        <f t="shared" si="178"/>
        <v>0</v>
      </c>
      <c r="R126" s="5">
        <f t="shared" si="178"/>
        <v>0</v>
      </c>
      <c r="S126" s="5">
        <f t="shared" si="178"/>
        <v>0</v>
      </c>
      <c r="U126" s="4">
        <v>45915</v>
      </c>
      <c r="V126">
        <f t="shared" si="103"/>
        <v>-8000.0000000001846</v>
      </c>
      <c r="W126">
        <f t="shared" si="104"/>
        <v>-6669.0000000000555</v>
      </c>
      <c r="X126">
        <f t="shared" si="105"/>
        <v>9180.0000000002128</v>
      </c>
      <c r="Y126">
        <f t="shared" si="106"/>
        <v>-6889.9999999998536</v>
      </c>
      <c r="Z126">
        <f t="shared" si="107"/>
        <v>10870.000000000009</v>
      </c>
      <c r="AA126">
        <f t="shared" si="108"/>
        <v>-4000.0000000000036</v>
      </c>
      <c r="AB126">
        <f t="shared" si="109"/>
        <v>9128.0000000000073</v>
      </c>
      <c r="AC126">
        <f t="shared" si="110"/>
        <v>-4446.0000000000036</v>
      </c>
      <c r="AD126">
        <f t="shared" si="111"/>
        <v>-201088.00000000017</v>
      </c>
      <c r="AE126">
        <f t="shared" si="112"/>
        <v>2.0000000000000018</v>
      </c>
      <c r="AF126">
        <f t="shared" si="113"/>
        <v>50322.99999999893</v>
      </c>
      <c r="AG126">
        <f t="shared" si="114"/>
        <v>50646.000000001171</v>
      </c>
      <c r="AH126">
        <f t="shared" si="115"/>
        <v>1.9999999999999574</v>
      </c>
      <c r="AI126">
        <f t="shared" si="116"/>
        <v>0</v>
      </c>
      <c r="AJ126">
        <f t="shared" si="117"/>
        <v>0</v>
      </c>
      <c r="AK126">
        <f t="shared" si="118"/>
        <v>0</v>
      </c>
      <c r="AL126">
        <f t="shared" si="119"/>
        <v>0</v>
      </c>
      <c r="AM126" s="1">
        <f t="shared" si="120"/>
        <v>0</v>
      </c>
      <c r="AN126" s="1">
        <f t="shared" si="97"/>
        <v>-100941.99999999997</v>
      </c>
      <c r="AO126">
        <f t="shared" si="98"/>
        <v>-2.6275455087792534</v>
      </c>
      <c r="AP126">
        <f t="shared" si="99"/>
        <v>5.8181343462887698</v>
      </c>
    </row>
    <row r="127" spans="1:42" x14ac:dyDescent="0.25">
      <c r="A127" s="4">
        <v>45912</v>
      </c>
      <c r="B127">
        <f t="shared" ref="B127:N127" si="180">(B677-B676)*100</f>
        <v>-2.0000000000000462</v>
      </c>
      <c r="C127">
        <f t="shared" si="180"/>
        <v>-2.0000000000000462</v>
      </c>
      <c r="D127">
        <f t="shared" si="180"/>
        <v>0</v>
      </c>
      <c r="E127">
        <f t="shared" si="180"/>
        <v>-1.9999999999999574</v>
      </c>
      <c r="F127">
        <f t="shared" si="180"/>
        <v>-1.0000000000000231</v>
      </c>
      <c r="G127">
        <f t="shared" si="180"/>
        <v>-3.0000000000000249</v>
      </c>
      <c r="H127">
        <f t="shared" si="180"/>
        <v>-4.0000000000000036</v>
      </c>
      <c r="I127">
        <f t="shared" si="180"/>
        <v>-4.9999999999999822</v>
      </c>
      <c r="J127">
        <f t="shared" si="180"/>
        <v>-4.0000000000000036</v>
      </c>
      <c r="K127">
        <f t="shared" si="180"/>
        <v>-5.0000000000000266</v>
      </c>
      <c r="L127">
        <f t="shared" si="180"/>
        <v>-4.9999999999999822</v>
      </c>
      <c r="M127">
        <f t="shared" si="180"/>
        <v>-4.0000000000000036</v>
      </c>
      <c r="N127">
        <f t="shared" si="180"/>
        <v>-2.9999999999999361</v>
      </c>
      <c r="O127" s="5">
        <f t="shared" si="178"/>
        <v>0</v>
      </c>
      <c r="P127" s="5">
        <f t="shared" si="178"/>
        <v>0</v>
      </c>
      <c r="Q127" s="5">
        <f t="shared" si="178"/>
        <v>0</v>
      </c>
      <c r="R127" s="5">
        <f t="shared" si="178"/>
        <v>0</v>
      </c>
      <c r="S127" s="5">
        <f t="shared" si="178"/>
        <v>0</v>
      </c>
      <c r="U127" s="4">
        <v>45912</v>
      </c>
      <c r="V127">
        <f t="shared" si="103"/>
        <v>8000.0000000001846</v>
      </c>
      <c r="W127">
        <f t="shared" si="104"/>
        <v>4446.0000000001028</v>
      </c>
      <c r="X127">
        <f t="shared" si="105"/>
        <v>0</v>
      </c>
      <c r="Y127">
        <f t="shared" si="106"/>
        <v>6889.9999999998536</v>
      </c>
      <c r="Z127">
        <f t="shared" si="107"/>
        <v>-5435.0000000001255</v>
      </c>
      <c r="AA127">
        <f t="shared" si="108"/>
        <v>6000.00000000005</v>
      </c>
      <c r="AB127">
        <f t="shared" si="109"/>
        <v>-18256.000000000015</v>
      </c>
      <c r="AC127">
        <f t="shared" si="110"/>
        <v>11114.99999999996</v>
      </c>
      <c r="AD127">
        <f t="shared" si="111"/>
        <v>402176.00000000035</v>
      </c>
      <c r="AE127">
        <f t="shared" si="112"/>
        <v>-5.0000000000000266</v>
      </c>
      <c r="AF127">
        <f t="shared" si="113"/>
        <v>-251614.9999999991</v>
      </c>
      <c r="AG127">
        <f t="shared" si="114"/>
        <v>-101292.00000000009</v>
      </c>
      <c r="AH127">
        <f t="shared" si="115"/>
        <v>-2.9999999999999361</v>
      </c>
      <c r="AI127">
        <f t="shared" si="116"/>
        <v>0</v>
      </c>
      <c r="AJ127">
        <f t="shared" si="117"/>
        <v>0</v>
      </c>
      <c r="AK127">
        <f t="shared" si="118"/>
        <v>0</v>
      </c>
      <c r="AL127">
        <f t="shared" si="119"/>
        <v>0</v>
      </c>
      <c r="AM127" s="1">
        <f t="shared" si="120"/>
        <v>0</v>
      </c>
      <c r="AN127" s="1">
        <f t="shared" si="97"/>
        <v>62021.000000001164</v>
      </c>
      <c r="AO127">
        <f t="shared" si="98"/>
        <v>-0.75199932822571258</v>
      </c>
      <c r="AP127">
        <f t="shared" si="99"/>
        <v>5.7740396485611845</v>
      </c>
    </row>
    <row r="128" spans="1:42" x14ac:dyDescent="0.25">
      <c r="A128" s="4">
        <v>45911</v>
      </c>
      <c r="B128">
        <f t="shared" ref="B128:N128" si="181">(B678-B677)*100</f>
        <v>1.0000000000000675</v>
      </c>
      <c r="C128">
        <f t="shared" si="181"/>
        <v>2.0000000000000462</v>
      </c>
      <c r="D128">
        <f t="shared" si="181"/>
        <v>0.99999999999997868</v>
      </c>
      <c r="E128">
        <f t="shared" si="181"/>
        <v>1.9999999999999574</v>
      </c>
      <c r="F128">
        <f t="shared" si="181"/>
        <v>1.0000000000000231</v>
      </c>
      <c r="G128">
        <f t="shared" si="181"/>
        <v>3.0000000000000249</v>
      </c>
      <c r="H128">
        <f t="shared" si="181"/>
        <v>2.0000000000000018</v>
      </c>
      <c r="I128">
        <f t="shared" si="181"/>
        <v>0</v>
      </c>
      <c r="J128">
        <f t="shared" si="181"/>
        <v>0</v>
      </c>
      <c r="K128">
        <f t="shared" si="181"/>
        <v>2.0000000000000018</v>
      </c>
      <c r="L128">
        <f t="shared" si="181"/>
        <v>3.0000000000000249</v>
      </c>
      <c r="M128">
        <f t="shared" si="181"/>
        <v>4.0000000000000036</v>
      </c>
      <c r="N128">
        <f t="shared" si="181"/>
        <v>4.0000000000000036</v>
      </c>
      <c r="O128" s="5">
        <f t="shared" si="178"/>
        <v>0</v>
      </c>
      <c r="P128" s="5">
        <f t="shared" si="178"/>
        <v>0</v>
      </c>
      <c r="Q128" s="5">
        <f t="shared" si="178"/>
        <v>0</v>
      </c>
      <c r="R128" s="5">
        <f t="shared" si="178"/>
        <v>0</v>
      </c>
      <c r="S128" s="5">
        <f t="shared" si="178"/>
        <v>0</v>
      </c>
      <c r="U128" s="4">
        <v>45911</v>
      </c>
      <c r="V128">
        <f t="shared" si="103"/>
        <v>-4000.0000000002701</v>
      </c>
      <c r="W128">
        <f t="shared" si="104"/>
        <v>-4446.0000000001028</v>
      </c>
      <c r="X128">
        <f t="shared" si="105"/>
        <v>4589.9999999999018</v>
      </c>
      <c r="Y128">
        <f t="shared" si="106"/>
        <v>-6889.9999999998536</v>
      </c>
      <c r="Z128">
        <f t="shared" si="107"/>
        <v>5435.0000000001255</v>
      </c>
      <c r="AA128">
        <f t="shared" si="108"/>
        <v>-6000.00000000005</v>
      </c>
      <c r="AB128">
        <f t="shared" si="109"/>
        <v>9128.0000000000073</v>
      </c>
      <c r="AC128">
        <f t="shared" si="110"/>
        <v>0</v>
      </c>
      <c r="AD128">
        <f t="shared" si="111"/>
        <v>0</v>
      </c>
      <c r="AE128">
        <f t="shared" si="112"/>
        <v>2.0000000000000018</v>
      </c>
      <c r="AF128">
        <f t="shared" si="113"/>
        <v>150969.00000000125</v>
      </c>
      <c r="AG128">
        <f t="shared" si="114"/>
        <v>101292.00000000009</v>
      </c>
      <c r="AH128">
        <f t="shared" si="115"/>
        <v>4.0000000000000036</v>
      </c>
      <c r="AI128">
        <f t="shared" si="116"/>
        <v>0</v>
      </c>
      <c r="AJ128">
        <f t="shared" si="117"/>
        <v>0</v>
      </c>
      <c r="AK128">
        <f t="shared" si="118"/>
        <v>0</v>
      </c>
      <c r="AL128">
        <f t="shared" si="119"/>
        <v>0</v>
      </c>
      <c r="AM128" s="1">
        <f t="shared" si="120"/>
        <v>0</v>
      </c>
      <c r="AN128" s="1">
        <f t="shared" si="97"/>
        <v>250084.00000000111</v>
      </c>
      <c r="AO128">
        <f t="shared" si="98"/>
        <v>2.992719725393262</v>
      </c>
      <c r="AP128">
        <f t="shared" si="99"/>
        <v>6.3997273712639799</v>
      </c>
    </row>
    <row r="129" spans="1:42" x14ac:dyDescent="0.25">
      <c r="A129" s="4">
        <v>45910</v>
      </c>
      <c r="B129">
        <f t="shared" ref="B129:N129" si="182">(B679-B678)*100</f>
        <v>1.9999999999999574</v>
      </c>
      <c r="C129">
        <f t="shared" si="182"/>
        <v>1.9999999999999574</v>
      </c>
      <c r="D129">
        <f t="shared" si="182"/>
        <v>0.99999999999997868</v>
      </c>
      <c r="E129">
        <f t="shared" si="182"/>
        <v>3.0000000000000249</v>
      </c>
      <c r="F129">
        <f t="shared" si="182"/>
        <v>2.0000000000000018</v>
      </c>
      <c r="G129">
        <f t="shared" si="182"/>
        <v>2.0000000000000018</v>
      </c>
      <c r="H129">
        <f t="shared" si="182"/>
        <v>0</v>
      </c>
      <c r="I129">
        <f t="shared" si="182"/>
        <v>0.99999999999997868</v>
      </c>
      <c r="J129">
        <f t="shared" si="182"/>
        <v>2.0000000000000018</v>
      </c>
      <c r="K129">
        <f t="shared" si="182"/>
        <v>3.0000000000000249</v>
      </c>
      <c r="L129">
        <f t="shared" si="182"/>
        <v>4.0000000000000036</v>
      </c>
      <c r="M129">
        <f t="shared" si="182"/>
        <v>2.9999999999999361</v>
      </c>
      <c r="N129">
        <f t="shared" si="182"/>
        <v>2.9999999999999361</v>
      </c>
      <c r="O129" s="5">
        <f t="shared" si="178"/>
        <v>0</v>
      </c>
      <c r="P129" s="5">
        <f t="shared" si="178"/>
        <v>0</v>
      </c>
      <c r="Q129" s="5">
        <f t="shared" si="178"/>
        <v>0</v>
      </c>
      <c r="R129" s="5">
        <f t="shared" si="178"/>
        <v>0</v>
      </c>
      <c r="S129" s="5">
        <f t="shared" si="178"/>
        <v>0</v>
      </c>
      <c r="U129" s="4">
        <v>45910</v>
      </c>
      <c r="V129">
        <f t="shared" si="103"/>
        <v>-7999.999999999829</v>
      </c>
      <c r="W129">
        <f t="shared" si="104"/>
        <v>-4445.9999999999054</v>
      </c>
      <c r="X129">
        <f t="shared" si="105"/>
        <v>4589.9999999999018</v>
      </c>
      <c r="Y129">
        <f t="shared" si="106"/>
        <v>-10335.000000000085</v>
      </c>
      <c r="Z129">
        <f t="shared" si="107"/>
        <v>10870.000000000009</v>
      </c>
      <c r="AA129">
        <f t="shared" si="108"/>
        <v>-4000.0000000000036</v>
      </c>
      <c r="AB129">
        <f t="shared" si="109"/>
        <v>0</v>
      </c>
      <c r="AC129">
        <f t="shared" si="110"/>
        <v>-2222.9999999999527</v>
      </c>
      <c r="AD129">
        <f t="shared" si="111"/>
        <v>-201088.00000000017</v>
      </c>
      <c r="AE129">
        <f t="shared" si="112"/>
        <v>3.0000000000000249</v>
      </c>
      <c r="AF129">
        <f t="shared" si="113"/>
        <v>201292.00000000017</v>
      </c>
      <c r="AG129">
        <f t="shared" si="114"/>
        <v>75968.999999998385</v>
      </c>
      <c r="AH129">
        <f t="shared" si="115"/>
        <v>2.9999999999999361</v>
      </c>
      <c r="AI129">
        <f t="shared" si="116"/>
        <v>0</v>
      </c>
      <c r="AJ129">
        <f t="shared" si="117"/>
        <v>0</v>
      </c>
      <c r="AK129">
        <f t="shared" si="118"/>
        <v>0</v>
      </c>
      <c r="AL129">
        <f t="shared" si="119"/>
        <v>0</v>
      </c>
      <c r="AM129" s="1">
        <f t="shared" si="120"/>
        <v>0</v>
      </c>
      <c r="AN129" s="1">
        <f t="shared" si="97"/>
        <v>62634.99999999853</v>
      </c>
      <c r="AO129">
        <f t="shared" si="98"/>
        <v>-0.60573939207010707</v>
      </c>
      <c r="AP129">
        <f t="shared" si="99"/>
        <v>6.4081257108495482</v>
      </c>
    </row>
    <row r="130" spans="1:42" x14ac:dyDescent="0.25">
      <c r="A130" s="4">
        <v>45909</v>
      </c>
      <c r="B130">
        <f t="shared" ref="B130:N130" si="183">(B680-B679)*100</f>
        <v>0.99999999999997868</v>
      </c>
      <c r="C130">
        <f t="shared" si="183"/>
        <v>-0.99999999999997868</v>
      </c>
      <c r="D130">
        <f t="shared" si="183"/>
        <v>0</v>
      </c>
      <c r="E130">
        <f t="shared" si="183"/>
        <v>-0.99999999999997868</v>
      </c>
      <c r="F130">
        <f t="shared" si="183"/>
        <v>-1.0000000000000231</v>
      </c>
      <c r="G130">
        <f t="shared" si="183"/>
        <v>-4.0000000000000036</v>
      </c>
      <c r="H130">
        <f t="shared" si="183"/>
        <v>-4.9999999999999822</v>
      </c>
      <c r="I130">
        <f t="shared" si="183"/>
        <v>-0.99999999999997868</v>
      </c>
      <c r="J130">
        <f t="shared" si="183"/>
        <v>-4.0000000000000036</v>
      </c>
      <c r="K130">
        <f t="shared" si="183"/>
        <v>-4.0000000000000036</v>
      </c>
      <c r="L130">
        <f t="shared" si="183"/>
        <v>-3.0000000000000249</v>
      </c>
      <c r="M130">
        <f t="shared" si="183"/>
        <v>-2.9999999999999361</v>
      </c>
      <c r="N130">
        <f t="shared" si="183"/>
        <v>-2.9999999999999361</v>
      </c>
      <c r="O130" s="5">
        <f t="shared" si="178"/>
        <v>0</v>
      </c>
      <c r="P130" s="5">
        <f t="shared" si="178"/>
        <v>0</v>
      </c>
      <c r="Q130" s="5">
        <f t="shared" si="178"/>
        <v>0</v>
      </c>
      <c r="R130" s="5">
        <f t="shared" si="178"/>
        <v>0</v>
      </c>
      <c r="S130" s="5">
        <f t="shared" si="178"/>
        <v>0</v>
      </c>
      <c r="U130" s="4">
        <v>45909</v>
      </c>
      <c r="V130">
        <f t="shared" si="103"/>
        <v>-3999.9999999999145</v>
      </c>
      <c r="W130">
        <f t="shared" si="104"/>
        <v>2222.9999999999527</v>
      </c>
      <c r="X130">
        <f t="shared" si="105"/>
        <v>0</v>
      </c>
      <c r="Y130">
        <f t="shared" si="106"/>
        <v>3444.9999999999268</v>
      </c>
      <c r="Z130">
        <f t="shared" si="107"/>
        <v>-5435.0000000001255</v>
      </c>
      <c r="AA130">
        <f t="shared" si="108"/>
        <v>8000.0000000000073</v>
      </c>
      <c r="AB130">
        <f t="shared" si="109"/>
        <v>-22819.99999999992</v>
      </c>
      <c r="AC130">
        <f t="shared" si="110"/>
        <v>2222.9999999999527</v>
      </c>
      <c r="AD130">
        <f t="shared" si="111"/>
        <v>402176.00000000035</v>
      </c>
      <c r="AE130">
        <f t="shared" si="112"/>
        <v>-4.0000000000000036</v>
      </c>
      <c r="AF130">
        <f t="shared" si="113"/>
        <v>-150969.00000000125</v>
      </c>
      <c r="AG130">
        <f t="shared" si="114"/>
        <v>-75968.999999998385</v>
      </c>
      <c r="AH130">
        <f t="shared" si="115"/>
        <v>-2.9999999999999361</v>
      </c>
      <c r="AI130">
        <f t="shared" si="116"/>
        <v>0</v>
      </c>
      <c r="AJ130">
        <f t="shared" si="117"/>
        <v>0</v>
      </c>
      <c r="AK130">
        <f t="shared" si="118"/>
        <v>0</v>
      </c>
      <c r="AL130">
        <f t="shared" si="119"/>
        <v>0</v>
      </c>
      <c r="AM130" s="1">
        <f t="shared" si="120"/>
        <v>0</v>
      </c>
      <c r="AN130" s="1">
        <f t="shared" si="97"/>
        <v>158867.00000000058</v>
      </c>
      <c r="AO130">
        <f t="shared" si="98"/>
        <v>-0.21452515623762725</v>
      </c>
      <c r="AP130">
        <f t="shared" si="99"/>
        <v>6.4308519252670768</v>
      </c>
    </row>
    <row r="131" spans="1:42" x14ac:dyDescent="0.25">
      <c r="A131" s="4">
        <v>45908</v>
      </c>
      <c r="B131">
        <f t="shared" ref="B131:N131" si="184">(B681-B680)*100</f>
        <v>3.0000000000000249</v>
      </c>
      <c r="C131">
        <f t="shared" si="184"/>
        <v>3.0000000000000249</v>
      </c>
      <c r="D131">
        <f t="shared" si="184"/>
        <v>-2.9999999999999361</v>
      </c>
      <c r="E131">
        <f t="shared" si="184"/>
        <v>0.99999999999997868</v>
      </c>
      <c r="F131">
        <f t="shared" si="184"/>
        <v>1.0000000000000231</v>
      </c>
      <c r="G131">
        <f t="shared" si="184"/>
        <v>0.99999999999997868</v>
      </c>
      <c r="H131">
        <f t="shared" si="184"/>
        <v>1.9999999999999574</v>
      </c>
      <c r="I131">
        <f t="shared" si="184"/>
        <v>0.99999999999997868</v>
      </c>
      <c r="J131">
        <f t="shared" si="184"/>
        <v>2.0000000000000018</v>
      </c>
      <c r="K131">
        <f t="shared" si="184"/>
        <v>2.9999999999999805</v>
      </c>
      <c r="L131">
        <f t="shared" si="184"/>
        <v>4.9999999999999822</v>
      </c>
      <c r="M131">
        <f t="shared" si="184"/>
        <v>6.9999999999999396</v>
      </c>
      <c r="N131">
        <f t="shared" si="184"/>
        <v>8.9999999999999858</v>
      </c>
      <c r="O131" s="5">
        <f t="shared" si="178"/>
        <v>0</v>
      </c>
      <c r="P131" s="5">
        <f t="shared" si="178"/>
        <v>0</v>
      </c>
      <c r="Q131" s="5">
        <f t="shared" si="178"/>
        <v>0</v>
      </c>
      <c r="R131" s="5">
        <f t="shared" si="178"/>
        <v>0</v>
      </c>
      <c r="S131" s="5">
        <f t="shared" si="178"/>
        <v>0</v>
      </c>
      <c r="U131" s="4">
        <v>45908</v>
      </c>
      <c r="V131">
        <f t="shared" si="103"/>
        <v>-12000.0000000001</v>
      </c>
      <c r="W131">
        <f t="shared" si="104"/>
        <v>-6669.0000000000555</v>
      </c>
      <c r="X131">
        <f t="shared" si="105"/>
        <v>-13769.999999999707</v>
      </c>
      <c r="Y131">
        <f t="shared" si="106"/>
        <v>-3444.9999999999268</v>
      </c>
      <c r="Z131">
        <f t="shared" si="107"/>
        <v>5435.0000000001255</v>
      </c>
      <c r="AA131">
        <f t="shared" si="108"/>
        <v>-1999.9999999999573</v>
      </c>
      <c r="AB131">
        <f t="shared" si="109"/>
        <v>9127.9999999998054</v>
      </c>
      <c r="AC131">
        <f t="shared" si="110"/>
        <v>-2222.9999999999527</v>
      </c>
      <c r="AD131">
        <f t="shared" si="111"/>
        <v>-201088.00000000017</v>
      </c>
      <c r="AE131">
        <f t="shared" si="112"/>
        <v>2.9999999999999805</v>
      </c>
      <c r="AF131">
        <f t="shared" si="113"/>
        <v>251614.9999999991</v>
      </c>
      <c r="AG131">
        <f t="shared" si="114"/>
        <v>177260.99999999846</v>
      </c>
      <c r="AH131">
        <f t="shared" si="115"/>
        <v>8.9999999999999858</v>
      </c>
      <c r="AI131">
        <f t="shared" si="116"/>
        <v>0</v>
      </c>
      <c r="AJ131">
        <f t="shared" si="117"/>
        <v>0</v>
      </c>
      <c r="AK131">
        <f t="shared" si="118"/>
        <v>0</v>
      </c>
      <c r="AL131">
        <f t="shared" si="119"/>
        <v>0</v>
      </c>
      <c r="AM131" s="1">
        <f t="shared" si="120"/>
        <v>0</v>
      </c>
      <c r="AN131" s="1">
        <f t="shared" si="97"/>
        <v>202255.99999999761</v>
      </c>
      <c r="AO131">
        <f t="shared" si="98"/>
        <v>10.836142322096956</v>
      </c>
      <c r="AP131">
        <f t="shared" si="99"/>
        <v>6.4300654149845675</v>
      </c>
    </row>
    <row r="132" spans="1:42" x14ac:dyDescent="0.25">
      <c r="A132" s="4">
        <v>45905</v>
      </c>
      <c r="B132">
        <f t="shared" ref="B132:N132" si="185">(B682-B681)*100</f>
        <v>4.0000000000000036</v>
      </c>
      <c r="C132">
        <f t="shared" si="185"/>
        <v>4.0000000000000036</v>
      </c>
      <c r="D132">
        <f t="shared" si="185"/>
        <v>8.9999999999999858</v>
      </c>
      <c r="E132">
        <f t="shared" si="185"/>
        <v>7.0000000000000284</v>
      </c>
      <c r="F132">
        <f t="shared" si="185"/>
        <v>8.9999999999999858</v>
      </c>
      <c r="G132">
        <f t="shared" si="185"/>
        <v>10.999999999999988</v>
      </c>
      <c r="H132">
        <f t="shared" si="185"/>
        <v>8.0000000000000071</v>
      </c>
      <c r="I132">
        <f t="shared" si="185"/>
        <v>6.999999999999984</v>
      </c>
      <c r="J132">
        <f t="shared" si="185"/>
        <v>6.0000000000000053</v>
      </c>
      <c r="K132">
        <f t="shared" si="185"/>
        <v>7.0000000000000284</v>
      </c>
      <c r="L132">
        <f t="shared" si="185"/>
        <v>7.0000000000000284</v>
      </c>
      <c r="M132">
        <f t="shared" si="185"/>
        <v>8.9999999999999858</v>
      </c>
      <c r="N132">
        <f t="shared" si="185"/>
        <v>8.0000000000000071</v>
      </c>
      <c r="O132" s="5">
        <f t="shared" si="178"/>
        <v>0</v>
      </c>
      <c r="P132" s="5">
        <f t="shared" si="178"/>
        <v>0</v>
      </c>
      <c r="Q132" s="5">
        <f t="shared" si="178"/>
        <v>0</v>
      </c>
      <c r="R132" s="5">
        <f t="shared" si="178"/>
        <v>0</v>
      </c>
      <c r="S132" s="5">
        <f t="shared" si="178"/>
        <v>0</v>
      </c>
      <c r="U132" s="4">
        <v>45905</v>
      </c>
      <c r="V132">
        <f t="shared" si="103"/>
        <v>-16000.000000000015</v>
      </c>
      <c r="W132">
        <f t="shared" si="104"/>
        <v>-8892.0000000000073</v>
      </c>
      <c r="X132">
        <f t="shared" si="105"/>
        <v>41309.999999999935</v>
      </c>
      <c r="Y132">
        <f t="shared" si="106"/>
        <v>-24115.000000000098</v>
      </c>
      <c r="Z132">
        <f t="shared" si="107"/>
        <v>48914.99999999992</v>
      </c>
      <c r="AA132">
        <f t="shared" si="108"/>
        <v>-21999.999999999975</v>
      </c>
      <c r="AB132">
        <f t="shared" si="109"/>
        <v>36512.000000000029</v>
      </c>
      <c r="AC132">
        <f t="shared" si="110"/>
        <v>-15560.999999999964</v>
      </c>
      <c r="AD132">
        <f t="shared" si="111"/>
        <v>-603264.00000000058</v>
      </c>
      <c r="AE132">
        <f t="shared" si="112"/>
        <v>7.0000000000000284</v>
      </c>
      <c r="AF132">
        <f t="shared" si="113"/>
        <v>352261.00000000146</v>
      </c>
      <c r="AG132">
        <f t="shared" si="114"/>
        <v>227906.99999999965</v>
      </c>
      <c r="AH132">
        <f t="shared" si="115"/>
        <v>8.0000000000000071</v>
      </c>
      <c r="AI132">
        <f t="shared" si="116"/>
        <v>0</v>
      </c>
      <c r="AJ132">
        <f t="shared" si="117"/>
        <v>0</v>
      </c>
      <c r="AK132">
        <f t="shared" si="118"/>
        <v>0</v>
      </c>
      <c r="AL132">
        <f t="shared" si="119"/>
        <v>0</v>
      </c>
      <c r="AM132" s="1">
        <f t="shared" si="120"/>
        <v>0</v>
      </c>
      <c r="AN132" s="1">
        <f t="shared" si="97"/>
        <v>17088.000000000407</v>
      </c>
      <c r="AO132">
        <f t="shared" si="98"/>
        <v>-1.4359739762724826</v>
      </c>
      <c r="AP132">
        <f t="shared" si="99"/>
        <v>6.0416968498936479</v>
      </c>
    </row>
    <row r="133" spans="1:42" x14ac:dyDescent="0.25">
      <c r="A133" s="4">
        <v>45904</v>
      </c>
      <c r="B133">
        <f t="shared" ref="B133:N133" si="186">(B683-B682)*100</f>
        <v>1.9999999999999574</v>
      </c>
      <c r="C133">
        <f t="shared" si="186"/>
        <v>-2.0000000000000462</v>
      </c>
      <c r="D133">
        <f t="shared" si="186"/>
        <v>1.9999999999999574</v>
      </c>
      <c r="E133">
        <f t="shared" si="186"/>
        <v>1.9999999999999574</v>
      </c>
      <c r="F133">
        <f t="shared" si="186"/>
        <v>2.0000000000000018</v>
      </c>
      <c r="G133">
        <f t="shared" si="186"/>
        <v>1.0000000000000231</v>
      </c>
      <c r="H133">
        <f t="shared" si="186"/>
        <v>2.0000000000000018</v>
      </c>
      <c r="I133">
        <f t="shared" si="186"/>
        <v>3.0000000000000249</v>
      </c>
      <c r="J133">
        <f t="shared" si="186"/>
        <v>4.0000000000000036</v>
      </c>
      <c r="K133">
        <f t="shared" si="186"/>
        <v>4.9999999999999822</v>
      </c>
      <c r="L133">
        <f t="shared" si="186"/>
        <v>4.9999999999999822</v>
      </c>
      <c r="M133">
        <f t="shared" si="186"/>
        <v>4.0000000000000036</v>
      </c>
      <c r="N133">
        <f t="shared" si="186"/>
        <v>4.0000000000000036</v>
      </c>
      <c r="O133" s="5">
        <f t="shared" si="178"/>
        <v>0</v>
      </c>
      <c r="P133" s="5">
        <f t="shared" si="178"/>
        <v>0</v>
      </c>
      <c r="Q133" s="5">
        <f t="shared" si="178"/>
        <v>0</v>
      </c>
      <c r="R133" s="5">
        <f t="shared" si="178"/>
        <v>0</v>
      </c>
      <c r="S133" s="5">
        <f t="shared" si="178"/>
        <v>0</v>
      </c>
      <c r="U133" s="4">
        <v>45904</v>
      </c>
      <c r="V133">
        <f t="shared" si="103"/>
        <v>-7999.999999999829</v>
      </c>
      <c r="W133">
        <f t="shared" si="104"/>
        <v>4446.0000000001028</v>
      </c>
      <c r="X133">
        <f t="shared" si="105"/>
        <v>9179.9999999998035</v>
      </c>
      <c r="Y133">
        <f t="shared" si="106"/>
        <v>-6889.9999999998536</v>
      </c>
      <c r="Z133">
        <f t="shared" si="107"/>
        <v>10870.000000000009</v>
      </c>
      <c r="AA133">
        <f t="shared" si="108"/>
        <v>-2000.0000000000462</v>
      </c>
      <c r="AB133">
        <f t="shared" si="109"/>
        <v>9128.0000000000073</v>
      </c>
      <c r="AC133">
        <f t="shared" si="110"/>
        <v>-6669.0000000000555</v>
      </c>
      <c r="AD133">
        <f t="shared" si="111"/>
        <v>-402176.00000000035</v>
      </c>
      <c r="AE133">
        <f t="shared" si="112"/>
        <v>4.9999999999999822</v>
      </c>
      <c r="AF133">
        <f t="shared" si="113"/>
        <v>251614.9999999991</v>
      </c>
      <c r="AG133">
        <f t="shared" si="114"/>
        <v>101292.00000000009</v>
      </c>
      <c r="AH133">
        <f t="shared" si="115"/>
        <v>4.0000000000000036</v>
      </c>
      <c r="AI133">
        <f t="shared" si="116"/>
        <v>0</v>
      </c>
      <c r="AJ133">
        <f t="shared" si="117"/>
        <v>0</v>
      </c>
      <c r="AK133">
        <f t="shared" si="118"/>
        <v>0</v>
      </c>
      <c r="AL133">
        <f t="shared" si="119"/>
        <v>0</v>
      </c>
      <c r="AM133" s="1">
        <f t="shared" si="120"/>
        <v>0</v>
      </c>
      <c r="AN133" s="1">
        <f t="shared" si="97"/>
        <v>-39195.000000001048</v>
      </c>
      <c r="AO133">
        <f t="shared" si="98"/>
        <v>0.48286168280878727</v>
      </c>
      <c r="AP133">
        <f t="shared" si="99"/>
        <v>6.0298269497354298</v>
      </c>
    </row>
    <row r="134" spans="1:42" x14ac:dyDescent="0.25">
      <c r="A134" s="4">
        <v>45903</v>
      </c>
      <c r="B134">
        <f t="shared" ref="B134:N134" si="187">(B684-B683)*100</f>
        <v>5.0000000000000711</v>
      </c>
      <c r="C134">
        <f t="shared" si="187"/>
        <v>3.0000000000000249</v>
      </c>
      <c r="D134">
        <f t="shared" si="187"/>
        <v>2.0000000000000462</v>
      </c>
      <c r="E134">
        <f t="shared" si="187"/>
        <v>1.0000000000000675</v>
      </c>
      <c r="F134">
        <f t="shared" si="187"/>
        <v>3.0000000000000249</v>
      </c>
      <c r="G134">
        <f t="shared" si="187"/>
        <v>4.9999999999999822</v>
      </c>
      <c r="H134">
        <f t="shared" si="187"/>
        <v>5.0000000000000266</v>
      </c>
      <c r="I134">
        <f t="shared" si="187"/>
        <v>4.9999999999999822</v>
      </c>
      <c r="J134">
        <f t="shared" si="187"/>
        <v>5.0000000000000266</v>
      </c>
      <c r="K134">
        <f t="shared" si="187"/>
        <v>6.0000000000000053</v>
      </c>
      <c r="L134">
        <f t="shared" si="187"/>
        <v>6.0000000000000497</v>
      </c>
      <c r="M134">
        <f t="shared" si="187"/>
        <v>7.0000000000000284</v>
      </c>
      <c r="N134">
        <f t="shared" si="187"/>
        <v>6.9999999999999396</v>
      </c>
      <c r="O134" s="5">
        <f t="shared" si="178"/>
        <v>0</v>
      </c>
      <c r="P134" s="5">
        <f t="shared" si="178"/>
        <v>0</v>
      </c>
      <c r="Q134" s="5">
        <f t="shared" si="178"/>
        <v>0</v>
      </c>
      <c r="R134" s="5">
        <f t="shared" si="178"/>
        <v>0</v>
      </c>
      <c r="S134" s="5">
        <f t="shared" si="178"/>
        <v>0</v>
      </c>
      <c r="U134" s="4">
        <v>45903</v>
      </c>
      <c r="V134">
        <f t="shared" si="103"/>
        <v>-20000.000000000284</v>
      </c>
      <c r="W134">
        <f t="shared" si="104"/>
        <v>-6669.0000000000555</v>
      </c>
      <c r="X134">
        <f t="shared" si="105"/>
        <v>9180.0000000002128</v>
      </c>
      <c r="Y134">
        <f t="shared" si="106"/>
        <v>-3445.0000000002324</v>
      </c>
      <c r="Z134">
        <f t="shared" si="107"/>
        <v>16305.000000000135</v>
      </c>
      <c r="AA134">
        <f t="shared" si="108"/>
        <v>-9999.9999999999636</v>
      </c>
      <c r="AB134">
        <f t="shared" si="109"/>
        <v>22820.00000000012</v>
      </c>
      <c r="AC134">
        <f t="shared" si="110"/>
        <v>-11114.99999999996</v>
      </c>
      <c r="AD134">
        <f t="shared" si="111"/>
        <v>-502720.00000000268</v>
      </c>
      <c r="AE134">
        <f t="shared" si="112"/>
        <v>6.0000000000000053</v>
      </c>
      <c r="AF134">
        <f t="shared" si="113"/>
        <v>301938.0000000025</v>
      </c>
      <c r="AG134">
        <f t="shared" si="114"/>
        <v>177261.00000000073</v>
      </c>
      <c r="AH134">
        <f t="shared" si="115"/>
        <v>6.9999999999999396</v>
      </c>
      <c r="AI134">
        <f t="shared" si="116"/>
        <v>0</v>
      </c>
      <c r="AJ134">
        <f t="shared" si="117"/>
        <v>0</v>
      </c>
      <c r="AK134">
        <f t="shared" si="118"/>
        <v>0</v>
      </c>
      <c r="AL134">
        <f t="shared" si="119"/>
        <v>0</v>
      </c>
      <c r="AM134" s="1">
        <f t="shared" si="120"/>
        <v>0</v>
      </c>
      <c r="AN134" s="1">
        <f t="shared" ref="AN134:AN197" si="188">SUM(V134:AM134)</f>
        <v>-26431.999999999447</v>
      </c>
      <c r="AO134">
        <f t="shared" ref="AO134:AO197" si="189">AN134/AN135-1</f>
        <v>-1.1403017081223346</v>
      </c>
      <c r="AP134">
        <f t="shared" ref="AP134:AP197" si="190">STDEV(AO134:AO154)</f>
        <v>6.3303635019640074</v>
      </c>
    </row>
    <row r="135" spans="1:42" x14ac:dyDescent="0.25">
      <c r="A135" s="4">
        <v>45902</v>
      </c>
      <c r="B135">
        <f t="shared" ref="B135:N135" si="191">(B685-B684)*100</f>
        <v>0.99999999999997868</v>
      </c>
      <c r="C135">
        <f t="shared" si="191"/>
        <v>0.99999999999997868</v>
      </c>
      <c r="D135">
        <f t="shared" si="191"/>
        <v>3.0000000000000249</v>
      </c>
      <c r="E135">
        <f t="shared" si="191"/>
        <v>1.9999999999999574</v>
      </c>
      <c r="F135">
        <f t="shared" si="191"/>
        <v>1.9999999999999574</v>
      </c>
      <c r="G135">
        <f t="shared" si="191"/>
        <v>1.0000000000000231</v>
      </c>
      <c r="H135">
        <f t="shared" si="191"/>
        <v>-7.0000000000000284</v>
      </c>
      <c r="I135">
        <f t="shared" si="191"/>
        <v>-4.9999999999999822</v>
      </c>
      <c r="J135">
        <f t="shared" si="191"/>
        <v>-6.0000000000000053</v>
      </c>
      <c r="K135">
        <f t="shared" si="191"/>
        <v>-6.0000000000000053</v>
      </c>
      <c r="L135">
        <f t="shared" si="191"/>
        <v>-4.9999999999999822</v>
      </c>
      <c r="M135">
        <f t="shared" si="191"/>
        <v>-5.9999999999999609</v>
      </c>
      <c r="N135">
        <f t="shared" si="191"/>
        <v>-4.9999999999999822</v>
      </c>
      <c r="O135" s="5">
        <f t="shared" ref="O135:S144" si="192">LN(O684/O685)</f>
        <v>0</v>
      </c>
      <c r="P135" s="5">
        <f t="shared" si="192"/>
        <v>0</v>
      </c>
      <c r="Q135" s="5">
        <f t="shared" si="192"/>
        <v>0</v>
      </c>
      <c r="R135" s="5">
        <f t="shared" si="192"/>
        <v>0</v>
      </c>
      <c r="S135" s="5">
        <f t="shared" si="192"/>
        <v>0</v>
      </c>
      <c r="U135" s="4">
        <v>45902</v>
      </c>
      <c r="V135">
        <f t="shared" si="103"/>
        <v>-3999.9999999999145</v>
      </c>
      <c r="W135">
        <f t="shared" si="104"/>
        <v>-2222.9999999999527</v>
      </c>
      <c r="X135">
        <f t="shared" si="105"/>
        <v>13770.000000000115</v>
      </c>
      <c r="Y135">
        <f t="shared" si="106"/>
        <v>-6889.9999999998536</v>
      </c>
      <c r="Z135">
        <f t="shared" si="107"/>
        <v>10869.999999999769</v>
      </c>
      <c r="AA135">
        <f t="shared" si="108"/>
        <v>-2000.0000000000462</v>
      </c>
      <c r="AB135">
        <f t="shared" si="109"/>
        <v>-31948.000000000131</v>
      </c>
      <c r="AC135">
        <f t="shared" si="110"/>
        <v>11114.99999999996</v>
      </c>
      <c r="AD135">
        <f t="shared" si="111"/>
        <v>603264.00000000058</v>
      </c>
      <c r="AE135">
        <f t="shared" si="112"/>
        <v>-6.0000000000000053</v>
      </c>
      <c r="AF135">
        <f t="shared" si="113"/>
        <v>-251614.9999999991</v>
      </c>
      <c r="AG135">
        <f t="shared" si="114"/>
        <v>-151937.99999999901</v>
      </c>
      <c r="AH135">
        <f t="shared" si="115"/>
        <v>-4.9999999999999822</v>
      </c>
      <c r="AI135">
        <f t="shared" si="116"/>
        <v>0</v>
      </c>
      <c r="AJ135">
        <f t="shared" si="117"/>
        <v>0</v>
      </c>
      <c r="AK135">
        <f t="shared" si="118"/>
        <v>0</v>
      </c>
      <c r="AL135">
        <f t="shared" si="119"/>
        <v>0</v>
      </c>
      <c r="AM135" s="1">
        <f t="shared" si="120"/>
        <v>0</v>
      </c>
      <c r="AN135" s="1">
        <f t="shared" si="188"/>
        <v>188394.0000000025</v>
      </c>
      <c r="AO135">
        <f t="shared" si="189"/>
        <v>-2.4486327573480455</v>
      </c>
      <c r="AP135">
        <f t="shared" si="190"/>
        <v>6.3279623810636414</v>
      </c>
    </row>
    <row r="136" spans="1:42" x14ac:dyDescent="0.25">
      <c r="A136" s="4">
        <v>45898</v>
      </c>
      <c r="B136">
        <f t="shared" ref="B136:N136" si="193">(B686-B685)*100</f>
        <v>0.99999999999997868</v>
      </c>
      <c r="C136">
        <f t="shared" si="193"/>
        <v>0.99999999999997868</v>
      </c>
      <c r="D136">
        <f t="shared" si="193"/>
        <v>2.9999999999999361</v>
      </c>
      <c r="E136">
        <f t="shared" si="193"/>
        <v>0</v>
      </c>
      <c r="F136">
        <f t="shared" si="193"/>
        <v>3.0000000000000249</v>
      </c>
      <c r="G136">
        <f t="shared" si="193"/>
        <v>2.0000000000000018</v>
      </c>
      <c r="H136">
        <f t="shared" si="193"/>
        <v>3.0000000000000249</v>
      </c>
      <c r="I136">
        <f t="shared" si="193"/>
        <v>2.0000000000000018</v>
      </c>
      <c r="J136">
        <f t="shared" si="193"/>
        <v>0.99999999999997868</v>
      </c>
      <c r="K136">
        <f t="shared" si="193"/>
        <v>0</v>
      </c>
      <c r="L136">
        <f t="shared" si="193"/>
        <v>-1.0000000000000675</v>
      </c>
      <c r="M136">
        <f t="shared" si="193"/>
        <v>-3.0000000000000249</v>
      </c>
      <c r="N136">
        <f t="shared" si="193"/>
        <v>-4.0000000000000036</v>
      </c>
      <c r="O136" s="5">
        <f t="shared" si="192"/>
        <v>2.7497641273180168E-3</v>
      </c>
      <c r="P136" s="5">
        <f t="shared" si="192"/>
        <v>-3.251744336919393E-3</v>
      </c>
      <c r="Q136" s="5">
        <f t="shared" si="192"/>
        <v>-1.1982729777076169E-3</v>
      </c>
      <c r="R136" s="5">
        <f t="shared" si="192"/>
        <v>-2.2637247923881403E-3</v>
      </c>
      <c r="S136" s="5">
        <f t="shared" si="192"/>
        <v>9.4356320027621024E-4</v>
      </c>
      <c r="U136" s="4">
        <v>45898</v>
      </c>
      <c r="V136">
        <f t="shared" si="103"/>
        <v>-3999.9999999999145</v>
      </c>
      <c r="W136">
        <f t="shared" si="104"/>
        <v>-2222.9999999999527</v>
      </c>
      <c r="X136">
        <f t="shared" si="105"/>
        <v>13769.999999999707</v>
      </c>
      <c r="Y136">
        <f t="shared" si="106"/>
        <v>0</v>
      </c>
      <c r="Z136">
        <f t="shared" si="107"/>
        <v>16305.000000000135</v>
      </c>
      <c r="AA136">
        <f t="shared" si="108"/>
        <v>-4000.0000000000036</v>
      </c>
      <c r="AB136">
        <f t="shared" si="109"/>
        <v>13692.000000000113</v>
      </c>
      <c r="AC136">
        <f t="shared" si="110"/>
        <v>-4446.0000000000036</v>
      </c>
      <c r="AD136">
        <f t="shared" si="111"/>
        <v>-100543.99999999786</v>
      </c>
      <c r="AE136">
        <f t="shared" si="112"/>
        <v>0</v>
      </c>
      <c r="AF136">
        <f t="shared" si="113"/>
        <v>-50323.000000003398</v>
      </c>
      <c r="AG136">
        <f t="shared" si="114"/>
        <v>-75969.000000000626</v>
      </c>
      <c r="AH136">
        <f t="shared" si="115"/>
        <v>-4.0000000000000036</v>
      </c>
      <c r="AI136">
        <f t="shared" si="116"/>
        <v>0.27497641273180168</v>
      </c>
      <c r="AJ136">
        <f t="shared" si="117"/>
        <v>32517.44336919393</v>
      </c>
      <c r="AK136">
        <f t="shared" si="118"/>
        <v>-11982.729777076169</v>
      </c>
      <c r="AL136">
        <f t="shared" si="119"/>
        <v>56593.119809703509</v>
      </c>
      <c r="AM136" s="1">
        <f t="shared" si="120"/>
        <v>-9435.6320027621023</v>
      </c>
      <c r="AN136" s="1">
        <f t="shared" si="188"/>
        <v>-130049.52362452989</v>
      </c>
      <c r="AO136">
        <f t="shared" si="189"/>
        <v>-1.4000211703999264</v>
      </c>
      <c r="AP136">
        <f t="shared" si="190"/>
        <v>8.0948246939027904</v>
      </c>
    </row>
    <row r="137" spans="1:42" x14ac:dyDescent="0.25">
      <c r="A137" s="4">
        <v>45897</v>
      </c>
      <c r="B137">
        <f t="shared" ref="B137:N137" si="194">(B687-B686)*100</f>
        <v>0</v>
      </c>
      <c r="C137">
        <f t="shared" si="194"/>
        <v>-0.99999999999997868</v>
      </c>
      <c r="D137">
        <f t="shared" si="194"/>
        <v>0</v>
      </c>
      <c r="E137">
        <f t="shared" si="194"/>
        <v>0.99999999999997868</v>
      </c>
      <c r="F137">
        <f t="shared" si="194"/>
        <v>0</v>
      </c>
      <c r="G137">
        <f t="shared" si="194"/>
        <v>-2.0000000000000018</v>
      </c>
      <c r="H137">
        <f t="shared" si="194"/>
        <v>-3.0000000000000249</v>
      </c>
      <c r="I137">
        <f t="shared" si="194"/>
        <v>-1.0000000000000231</v>
      </c>
      <c r="J137">
        <f t="shared" si="194"/>
        <v>0</v>
      </c>
      <c r="K137">
        <f t="shared" si="194"/>
        <v>3.0000000000000249</v>
      </c>
      <c r="L137">
        <f t="shared" si="194"/>
        <v>2.0000000000000462</v>
      </c>
      <c r="M137">
        <f t="shared" si="194"/>
        <v>4.0000000000000036</v>
      </c>
      <c r="N137">
        <f t="shared" si="194"/>
        <v>3.0000000000000249</v>
      </c>
      <c r="O137" s="5">
        <f t="shared" si="192"/>
        <v>-5.7676344044413708E-3</v>
      </c>
      <c r="P137" s="5">
        <f t="shared" si="192"/>
        <v>-1.2409257321868909E-4</v>
      </c>
      <c r="Q137" s="5">
        <f t="shared" si="192"/>
        <v>3.754561853759753E-3</v>
      </c>
      <c r="R137" s="5">
        <f t="shared" si="192"/>
        <v>-3.386007749730868E-3</v>
      </c>
      <c r="S137" s="5">
        <f t="shared" si="192"/>
        <v>-8.417441219724255E-4</v>
      </c>
      <c r="U137" s="4">
        <v>45897</v>
      </c>
      <c r="V137">
        <f t="shared" ref="V137:V200" si="195">B137*B$3</f>
        <v>0</v>
      </c>
      <c r="W137">
        <f t="shared" ref="W137:W200" si="196">C137*C$3</f>
        <v>2222.9999999999527</v>
      </c>
      <c r="X137">
        <f t="shared" ref="X137:X200" si="197">D137*D$3</f>
        <v>0</v>
      </c>
      <c r="Y137">
        <f t="shared" ref="Y137:Y200" si="198">E137*E$3</f>
        <v>-3444.9999999999268</v>
      </c>
      <c r="Z137">
        <f t="shared" ref="Z137:Z200" si="199">F137*F$3</f>
        <v>0</v>
      </c>
      <c r="AA137">
        <f t="shared" ref="AA137:AA200" si="200">G137*G$3</f>
        <v>4000.0000000000036</v>
      </c>
      <c r="AB137">
        <f t="shared" ref="AB137:AB200" si="201">H137*H$3</f>
        <v>-13692.000000000113</v>
      </c>
      <c r="AC137">
        <f t="shared" ref="AC137:AC200" si="202">I137*I$3</f>
        <v>2223.0000000000514</v>
      </c>
      <c r="AD137">
        <f t="shared" ref="AD137:AD200" si="203">J137*J$3</f>
        <v>0</v>
      </c>
      <c r="AE137">
        <f t="shared" ref="AE137:AE200" si="204">K137*K$3</f>
        <v>3.0000000000000249</v>
      </c>
      <c r="AF137">
        <f t="shared" ref="AF137:AF200" si="205">L137*L$3</f>
        <v>100646.00000000233</v>
      </c>
      <c r="AG137">
        <f t="shared" ref="AG137:AG200" si="206">M137*M$3</f>
        <v>101292.00000000009</v>
      </c>
      <c r="AH137">
        <f t="shared" ref="AH137:AH200" si="207">N137*N$3</f>
        <v>3.0000000000000249</v>
      </c>
      <c r="AI137">
        <f t="shared" ref="AI137:AI200" si="208">O137*O$3</f>
        <v>-0.57676344044413708</v>
      </c>
      <c r="AJ137">
        <f t="shared" ref="AJ137:AJ200" si="209">P137*P$3</f>
        <v>1240.9257321868909</v>
      </c>
      <c r="AK137">
        <f t="shared" ref="AK137:AK200" si="210">Q137*Q$3</f>
        <v>37545.618537597533</v>
      </c>
      <c r="AL137">
        <f t="shared" ref="AL137:AL200" si="211">R137*R$3</f>
        <v>84650.193743271695</v>
      </c>
      <c r="AM137" s="1">
        <f t="shared" ref="AM137:AM200" si="212">S137*S$3</f>
        <v>8417.4412197242546</v>
      </c>
      <c r="AN137" s="1">
        <f t="shared" si="188"/>
        <v>325106.6024693423</v>
      </c>
      <c r="AO137">
        <f t="shared" si="189"/>
        <v>-1.724214744476392</v>
      </c>
      <c r="AP137">
        <f t="shared" si="190"/>
        <v>8.0960465753324051</v>
      </c>
    </row>
    <row r="138" spans="1:42" x14ac:dyDescent="0.25">
      <c r="A138" s="4">
        <v>45896</v>
      </c>
      <c r="B138">
        <f t="shared" ref="B138:N138" si="213">(B688-B687)*100</f>
        <v>0</v>
      </c>
      <c r="C138">
        <f t="shared" si="213"/>
        <v>4.0000000000000036</v>
      </c>
      <c r="D138">
        <f t="shared" si="213"/>
        <v>2.0000000000000462</v>
      </c>
      <c r="E138">
        <f t="shared" si="213"/>
        <v>2.0000000000000462</v>
      </c>
      <c r="F138">
        <f t="shared" si="213"/>
        <v>1.9999999999999574</v>
      </c>
      <c r="G138">
        <f t="shared" si="213"/>
        <v>2.0000000000000018</v>
      </c>
      <c r="H138">
        <f t="shared" si="213"/>
        <v>2.0000000000000018</v>
      </c>
      <c r="I138">
        <f t="shared" si="213"/>
        <v>4.0000000000000036</v>
      </c>
      <c r="J138">
        <f t="shared" si="213"/>
        <v>6.0000000000000053</v>
      </c>
      <c r="K138">
        <f t="shared" si="213"/>
        <v>2.9999999999999805</v>
      </c>
      <c r="L138">
        <f t="shared" si="213"/>
        <v>1.9999999999999574</v>
      </c>
      <c r="M138">
        <f t="shared" si="213"/>
        <v>-0.99999999999997868</v>
      </c>
      <c r="N138">
        <f t="shared" si="213"/>
        <v>-0.99999999999997868</v>
      </c>
      <c r="O138" s="5">
        <f t="shared" si="192"/>
        <v>3.8659841964657545E-3</v>
      </c>
      <c r="P138" s="5">
        <f t="shared" si="192"/>
        <v>-6.3083887849472312E-3</v>
      </c>
      <c r="Q138" s="5">
        <f t="shared" si="192"/>
        <v>2.5940082612368113E-3</v>
      </c>
      <c r="R138" s="5">
        <f t="shared" si="192"/>
        <v>5.6353903999141746E-4</v>
      </c>
      <c r="S138" s="5">
        <f t="shared" si="192"/>
        <v>-3.5900005475863014E-4</v>
      </c>
      <c r="U138" s="4">
        <v>45896</v>
      </c>
      <c r="V138">
        <f t="shared" si="195"/>
        <v>0</v>
      </c>
      <c r="W138">
        <f t="shared" si="196"/>
        <v>-8892.0000000000073</v>
      </c>
      <c r="X138">
        <f t="shared" si="197"/>
        <v>9180.0000000002128</v>
      </c>
      <c r="Y138">
        <f t="shared" si="198"/>
        <v>-6890.0000000001592</v>
      </c>
      <c r="Z138">
        <f t="shared" si="199"/>
        <v>10869.999999999769</v>
      </c>
      <c r="AA138">
        <f t="shared" si="200"/>
        <v>-4000.0000000000036</v>
      </c>
      <c r="AB138">
        <f t="shared" si="201"/>
        <v>9128.0000000000073</v>
      </c>
      <c r="AC138">
        <f t="shared" si="202"/>
        <v>-8892.0000000000073</v>
      </c>
      <c r="AD138">
        <f t="shared" si="203"/>
        <v>-603264.00000000058</v>
      </c>
      <c r="AE138">
        <f t="shared" si="204"/>
        <v>2.9999999999999805</v>
      </c>
      <c r="AF138">
        <f t="shared" si="205"/>
        <v>100645.99999999786</v>
      </c>
      <c r="AG138">
        <f t="shared" si="206"/>
        <v>-25322.999999999462</v>
      </c>
      <c r="AH138">
        <f t="shared" si="207"/>
        <v>-0.99999999999997868</v>
      </c>
      <c r="AI138">
        <f t="shared" si="208"/>
        <v>0.38659841964657543</v>
      </c>
      <c r="AJ138">
        <f t="shared" si="209"/>
        <v>63083.88784947231</v>
      </c>
      <c r="AK138">
        <f t="shared" si="210"/>
        <v>25940.082612368114</v>
      </c>
      <c r="AL138">
        <f t="shared" si="211"/>
        <v>-14088.475999785436</v>
      </c>
      <c r="AM138" s="1">
        <f t="shared" si="212"/>
        <v>3590.0005475863013</v>
      </c>
      <c r="AN138" s="1">
        <f t="shared" si="188"/>
        <v>-448909.11839194153</v>
      </c>
      <c r="AO138">
        <f t="shared" si="189"/>
        <v>-0.18316625714926893</v>
      </c>
      <c r="AP138">
        <f t="shared" si="190"/>
        <v>8.0932949461201265</v>
      </c>
    </row>
    <row r="139" spans="1:42" x14ac:dyDescent="0.25">
      <c r="A139" s="4">
        <v>45895</v>
      </c>
      <c r="B139">
        <f t="shared" ref="B139:N139" si="214">(B689-B688)*100</f>
        <v>3.0000000000000249</v>
      </c>
      <c r="C139">
        <f t="shared" si="214"/>
        <v>0.99999999999997868</v>
      </c>
      <c r="D139">
        <f t="shared" si="214"/>
        <v>0.99999999999997868</v>
      </c>
      <c r="E139">
        <f t="shared" si="214"/>
        <v>0.99999999999997868</v>
      </c>
      <c r="F139">
        <f t="shared" si="214"/>
        <v>2.0000000000000462</v>
      </c>
      <c r="G139">
        <f t="shared" si="214"/>
        <v>2.9999999999999805</v>
      </c>
      <c r="H139">
        <f t="shared" si="214"/>
        <v>12.000000000000011</v>
      </c>
      <c r="I139">
        <f t="shared" si="214"/>
        <v>5.0000000000000266</v>
      </c>
      <c r="J139">
        <f t="shared" si="214"/>
        <v>4.9999999999999822</v>
      </c>
      <c r="K139">
        <f t="shared" si="214"/>
        <v>2.9999999999999805</v>
      </c>
      <c r="L139">
        <f t="shared" si="214"/>
        <v>2.0000000000000462</v>
      </c>
      <c r="M139">
        <f t="shared" si="214"/>
        <v>0</v>
      </c>
      <c r="N139">
        <f t="shared" si="214"/>
        <v>-1.0000000000000675</v>
      </c>
      <c r="O139" s="5">
        <f t="shared" si="192"/>
        <v>8.1191302229216631E-4</v>
      </c>
      <c r="P139" s="5">
        <f t="shared" si="192"/>
        <v>6.6310615107323789E-3</v>
      </c>
      <c r="Q139" s="5">
        <f t="shared" si="192"/>
        <v>-1.7024284472567225E-3</v>
      </c>
      <c r="R139" s="5">
        <f t="shared" si="192"/>
        <v>4.5197817056195572E-3</v>
      </c>
      <c r="S139" s="5">
        <f t="shared" si="192"/>
        <v>-1.3384159438503687E-3</v>
      </c>
      <c r="U139" s="4">
        <v>45895</v>
      </c>
      <c r="V139">
        <f t="shared" si="195"/>
        <v>-12000.0000000001</v>
      </c>
      <c r="W139">
        <f t="shared" si="196"/>
        <v>-2222.9999999999527</v>
      </c>
      <c r="X139">
        <f t="shared" si="197"/>
        <v>4589.9999999999018</v>
      </c>
      <c r="Y139">
        <f t="shared" si="198"/>
        <v>-3444.9999999999268</v>
      </c>
      <c r="Z139">
        <f t="shared" si="199"/>
        <v>10870.000000000251</v>
      </c>
      <c r="AA139">
        <f t="shared" si="200"/>
        <v>-5999.9999999999609</v>
      </c>
      <c r="AB139">
        <f t="shared" si="201"/>
        <v>54768.000000000051</v>
      </c>
      <c r="AC139">
        <f t="shared" si="202"/>
        <v>-11115.00000000006</v>
      </c>
      <c r="AD139">
        <f t="shared" si="203"/>
        <v>-502719.9999999982</v>
      </c>
      <c r="AE139">
        <f t="shared" si="204"/>
        <v>2.9999999999999805</v>
      </c>
      <c r="AF139">
        <f t="shared" si="205"/>
        <v>100646.00000000233</v>
      </c>
      <c r="AG139">
        <f t="shared" si="206"/>
        <v>0</v>
      </c>
      <c r="AH139">
        <f t="shared" si="207"/>
        <v>-1.0000000000000675</v>
      </c>
      <c r="AI139">
        <f t="shared" si="208"/>
        <v>8.1191302229216625E-2</v>
      </c>
      <c r="AJ139">
        <f t="shared" si="209"/>
        <v>-66310.615107323785</v>
      </c>
      <c r="AK139">
        <f t="shared" si="210"/>
        <v>-17024.284472567226</v>
      </c>
      <c r="AL139">
        <f t="shared" si="211"/>
        <v>-112994.54264048893</v>
      </c>
      <c r="AM139" s="1">
        <f t="shared" si="212"/>
        <v>13384.159438503686</v>
      </c>
      <c r="AN139" s="1">
        <f t="shared" si="188"/>
        <v>-549572.20159056969</v>
      </c>
      <c r="AO139">
        <f t="shared" si="189"/>
        <v>22.411618574298188</v>
      </c>
      <c r="AP139">
        <f t="shared" si="190"/>
        <v>8.1030075807750936</v>
      </c>
    </row>
    <row r="140" spans="1:42" x14ac:dyDescent="0.25">
      <c r="A140" s="4">
        <v>45894</v>
      </c>
      <c r="B140">
        <f t="shared" ref="B140:N140" si="215">(B690-B689)*100</f>
        <v>1.9999999999999574</v>
      </c>
      <c r="C140">
        <f t="shared" si="215"/>
        <v>1.0000000000000675</v>
      </c>
      <c r="D140">
        <f t="shared" si="215"/>
        <v>-2.0000000000000462</v>
      </c>
      <c r="E140">
        <f t="shared" si="215"/>
        <v>0</v>
      </c>
      <c r="F140">
        <f t="shared" si="215"/>
        <v>0</v>
      </c>
      <c r="G140">
        <f t="shared" si="215"/>
        <v>-0.99999999999997868</v>
      </c>
      <c r="H140">
        <f t="shared" si="215"/>
        <v>-4.9999999999999822</v>
      </c>
      <c r="I140">
        <f t="shared" si="215"/>
        <v>-4.0000000000000036</v>
      </c>
      <c r="J140">
        <f t="shared" si="215"/>
        <v>-4.0000000000000036</v>
      </c>
      <c r="K140">
        <f t="shared" si="215"/>
        <v>-2.9999999999999805</v>
      </c>
      <c r="L140">
        <f t="shared" si="215"/>
        <v>-2.0000000000000462</v>
      </c>
      <c r="M140">
        <f t="shared" si="215"/>
        <v>-2.0000000000000462</v>
      </c>
      <c r="N140">
        <f t="shared" si="215"/>
        <v>-0.99999999999997868</v>
      </c>
      <c r="O140" s="5">
        <f t="shared" si="192"/>
        <v>-4.0162176313253114E-3</v>
      </c>
      <c r="P140" s="5">
        <f t="shared" si="192"/>
        <v>3.7805347718640383E-3</v>
      </c>
      <c r="Q140" s="5">
        <f t="shared" si="192"/>
        <v>-4.635817861558836E-3</v>
      </c>
      <c r="R140" s="5">
        <f t="shared" si="192"/>
        <v>4.255929249868215E-3</v>
      </c>
      <c r="S140" s="5">
        <f t="shared" si="192"/>
        <v>5.246117683461656E-3</v>
      </c>
      <c r="U140" s="4">
        <v>45894</v>
      </c>
      <c r="V140">
        <f t="shared" si="195"/>
        <v>-7999.999999999829</v>
      </c>
      <c r="W140">
        <f t="shared" si="196"/>
        <v>-2223.0000000001501</v>
      </c>
      <c r="X140">
        <f t="shared" si="197"/>
        <v>-9180.0000000002128</v>
      </c>
      <c r="Y140">
        <f t="shared" si="198"/>
        <v>0</v>
      </c>
      <c r="Z140">
        <f t="shared" si="199"/>
        <v>0</v>
      </c>
      <c r="AA140">
        <f t="shared" si="200"/>
        <v>1999.9999999999573</v>
      </c>
      <c r="AB140">
        <f t="shared" si="201"/>
        <v>-22819.99999999992</v>
      </c>
      <c r="AC140">
        <f t="shared" si="202"/>
        <v>8892.0000000000073</v>
      </c>
      <c r="AD140">
        <f t="shared" si="203"/>
        <v>402176.00000000035</v>
      </c>
      <c r="AE140">
        <f t="shared" si="204"/>
        <v>-2.9999999999999805</v>
      </c>
      <c r="AF140">
        <f t="shared" si="205"/>
        <v>-100646.00000000233</v>
      </c>
      <c r="AG140">
        <f t="shared" si="206"/>
        <v>-50646.000000001171</v>
      </c>
      <c r="AH140">
        <f t="shared" si="207"/>
        <v>-0.99999999999997868</v>
      </c>
      <c r="AI140">
        <f t="shared" si="208"/>
        <v>-0.40162176313253112</v>
      </c>
      <c r="AJ140">
        <f t="shared" si="209"/>
        <v>-37805.347718640383</v>
      </c>
      <c r="AK140">
        <f t="shared" si="210"/>
        <v>-46358.17861558836</v>
      </c>
      <c r="AL140">
        <f t="shared" si="211"/>
        <v>-106398.23124670537</v>
      </c>
      <c r="AM140" s="1">
        <f t="shared" si="212"/>
        <v>-52461.176834616563</v>
      </c>
      <c r="AN140" s="1">
        <f t="shared" si="188"/>
        <v>-23474.336037317073</v>
      </c>
      <c r="AO140">
        <f t="shared" si="189"/>
        <v>-0.8619398287771104</v>
      </c>
      <c r="AP140">
        <f t="shared" si="190"/>
        <v>6.1475363787366346</v>
      </c>
    </row>
    <row r="141" spans="1:42" x14ac:dyDescent="0.25">
      <c r="A141" s="4">
        <v>45891</v>
      </c>
      <c r="B141">
        <f t="shared" ref="B141:N141" si="216">(B691-B690)*100</f>
        <v>2.0000000000000462</v>
      </c>
      <c r="C141">
        <f t="shared" si="216"/>
        <v>2.9999999999999361</v>
      </c>
      <c r="D141">
        <f t="shared" si="216"/>
        <v>5.0000000000000711</v>
      </c>
      <c r="E141">
        <f t="shared" si="216"/>
        <v>3.0000000000000249</v>
      </c>
      <c r="F141">
        <f t="shared" si="216"/>
        <v>5.9999999999999609</v>
      </c>
      <c r="G141">
        <f t="shared" si="216"/>
        <v>8.0000000000000071</v>
      </c>
      <c r="H141">
        <f t="shared" si="216"/>
        <v>10.999999999999988</v>
      </c>
      <c r="I141">
        <f t="shared" si="216"/>
        <v>10.999999999999988</v>
      </c>
      <c r="J141">
        <f t="shared" si="216"/>
        <v>10.000000000000009</v>
      </c>
      <c r="K141">
        <f t="shared" si="216"/>
        <v>9.0000000000000302</v>
      </c>
      <c r="L141">
        <f t="shared" si="216"/>
        <v>7.0000000000000284</v>
      </c>
      <c r="M141">
        <f t="shared" si="216"/>
        <v>4.9999999999999822</v>
      </c>
      <c r="N141">
        <f t="shared" si="216"/>
        <v>4.0000000000000036</v>
      </c>
      <c r="O141" s="5">
        <f t="shared" si="192"/>
        <v>-7.9843667707736043E-3</v>
      </c>
      <c r="P141" s="5">
        <f t="shared" si="192"/>
        <v>-4.4753928502490698E-3</v>
      </c>
      <c r="Q141" s="5">
        <f t="shared" si="192"/>
        <v>3.6924264552416308E-3</v>
      </c>
      <c r="R141" s="5">
        <f t="shared" si="192"/>
        <v>-5.6705567314982138E-3</v>
      </c>
      <c r="S141" s="5">
        <f t="shared" si="192"/>
        <v>-9.2772939706712142E-3</v>
      </c>
      <c r="U141" s="4">
        <v>45891</v>
      </c>
      <c r="V141">
        <f t="shared" si="195"/>
        <v>-8000.0000000001846</v>
      </c>
      <c r="W141">
        <f t="shared" si="196"/>
        <v>-6668.9999999998581</v>
      </c>
      <c r="X141">
        <f t="shared" si="197"/>
        <v>22950.000000000327</v>
      </c>
      <c r="Y141">
        <f t="shared" si="198"/>
        <v>-10335.000000000085</v>
      </c>
      <c r="Z141">
        <f t="shared" si="199"/>
        <v>32609.999999999789</v>
      </c>
      <c r="AA141">
        <f t="shared" si="200"/>
        <v>-16000.000000000015</v>
      </c>
      <c r="AB141">
        <f t="shared" si="201"/>
        <v>50203.999999999942</v>
      </c>
      <c r="AC141">
        <f t="shared" si="202"/>
        <v>-24452.999999999971</v>
      </c>
      <c r="AD141">
        <f t="shared" si="203"/>
        <v>-1005440.0000000009</v>
      </c>
      <c r="AE141">
        <f t="shared" si="204"/>
        <v>9.0000000000000302</v>
      </c>
      <c r="AF141">
        <f t="shared" si="205"/>
        <v>352261.00000000146</v>
      </c>
      <c r="AG141">
        <f t="shared" si="206"/>
        <v>126614.99999999955</v>
      </c>
      <c r="AH141">
        <f t="shared" si="207"/>
        <v>4.0000000000000036</v>
      </c>
      <c r="AI141">
        <f t="shared" si="208"/>
        <v>-0.79843667707736043</v>
      </c>
      <c r="AJ141">
        <f t="shared" si="209"/>
        <v>44753.9285024907</v>
      </c>
      <c r="AK141">
        <f t="shared" si="210"/>
        <v>36924.264552416309</v>
      </c>
      <c r="AL141">
        <f t="shared" si="211"/>
        <v>141763.91828745534</v>
      </c>
      <c r="AM141" s="1">
        <f t="shared" si="212"/>
        <v>92772.939706712146</v>
      </c>
      <c r="AN141" s="1">
        <f t="shared" si="188"/>
        <v>-170029.74738760258</v>
      </c>
      <c r="AO141">
        <f t="shared" si="189"/>
        <v>-2.8031897670602737</v>
      </c>
      <c r="AP141">
        <f t="shared" si="190"/>
        <v>6.1461160597655446</v>
      </c>
    </row>
    <row r="142" spans="1:42" x14ac:dyDescent="0.25">
      <c r="A142" s="4">
        <v>45890</v>
      </c>
      <c r="B142">
        <f t="shared" ref="B142:N142" si="217">(B692-B691)*100</f>
        <v>-4.0000000000000036</v>
      </c>
      <c r="C142">
        <f t="shared" si="217"/>
        <v>-4.0000000000000036</v>
      </c>
      <c r="D142">
        <f t="shared" si="217"/>
        <v>-2.0000000000000462</v>
      </c>
      <c r="E142">
        <f t="shared" si="217"/>
        <v>-2.0000000000000462</v>
      </c>
      <c r="F142">
        <f t="shared" si="217"/>
        <v>-2.9999999999999361</v>
      </c>
      <c r="G142">
        <f t="shared" si="217"/>
        <v>-5.0000000000000266</v>
      </c>
      <c r="H142">
        <f t="shared" si="217"/>
        <v>-4.9999999999999822</v>
      </c>
      <c r="I142">
        <f t="shared" si="217"/>
        <v>-6.0000000000000053</v>
      </c>
      <c r="J142">
        <f t="shared" si="217"/>
        <v>-4.9999999999999822</v>
      </c>
      <c r="K142">
        <f t="shared" si="217"/>
        <v>-5.0000000000000711</v>
      </c>
      <c r="L142">
        <f t="shared" si="217"/>
        <v>-4.0000000000000036</v>
      </c>
      <c r="M142">
        <f t="shared" si="217"/>
        <v>-2.9999999999999361</v>
      </c>
      <c r="N142">
        <f t="shared" si="217"/>
        <v>-3.0000000000000249</v>
      </c>
      <c r="O142" s="5">
        <f t="shared" si="192"/>
        <v>1.8621979310648425E-3</v>
      </c>
      <c r="P142" s="5">
        <f t="shared" si="192"/>
        <v>2.7325815040991326E-3</v>
      </c>
      <c r="Q142" s="5">
        <f t="shared" si="192"/>
        <v>1.5451385661759919E-3</v>
      </c>
      <c r="R142" s="5">
        <f t="shared" si="192"/>
        <v>4.8179206133378916E-3</v>
      </c>
      <c r="S142" s="5">
        <f t="shared" si="192"/>
        <v>5.6498682312026158E-4</v>
      </c>
      <c r="U142" s="4">
        <v>45890</v>
      </c>
      <c r="V142">
        <f t="shared" si="195"/>
        <v>16000.000000000015</v>
      </c>
      <c r="W142">
        <f t="shared" si="196"/>
        <v>8892.0000000000073</v>
      </c>
      <c r="X142">
        <f t="shared" si="197"/>
        <v>-9180.0000000002128</v>
      </c>
      <c r="Y142">
        <f t="shared" si="198"/>
        <v>6890.0000000001592</v>
      </c>
      <c r="Z142">
        <f t="shared" si="199"/>
        <v>-16304.999999999653</v>
      </c>
      <c r="AA142">
        <f t="shared" si="200"/>
        <v>10000.000000000053</v>
      </c>
      <c r="AB142">
        <f t="shared" si="201"/>
        <v>-22819.99999999992</v>
      </c>
      <c r="AC142">
        <f t="shared" si="202"/>
        <v>13338.000000000013</v>
      </c>
      <c r="AD142">
        <f t="shared" si="203"/>
        <v>502719.9999999982</v>
      </c>
      <c r="AE142">
        <f t="shared" si="204"/>
        <v>-5.0000000000000711</v>
      </c>
      <c r="AF142">
        <f t="shared" si="205"/>
        <v>-201292.00000000017</v>
      </c>
      <c r="AG142">
        <f t="shared" si="206"/>
        <v>-75968.999999998385</v>
      </c>
      <c r="AH142">
        <f t="shared" si="207"/>
        <v>-3.0000000000000249</v>
      </c>
      <c r="AI142">
        <f t="shared" si="208"/>
        <v>0.18621979310648426</v>
      </c>
      <c r="AJ142">
        <f t="shared" si="209"/>
        <v>-27325.815040991325</v>
      </c>
      <c r="AK142">
        <f t="shared" si="210"/>
        <v>15451.385661759919</v>
      </c>
      <c r="AL142">
        <f t="shared" si="211"/>
        <v>-120448.01533344729</v>
      </c>
      <c r="AM142" s="1">
        <f t="shared" si="212"/>
        <v>-5649.8682312026158</v>
      </c>
      <c r="AN142" s="1">
        <f t="shared" si="188"/>
        <v>94293.873275911901</v>
      </c>
      <c r="AO142">
        <f t="shared" si="189"/>
        <v>-0.17916722158022969</v>
      </c>
      <c r="AP142">
        <f t="shared" si="190"/>
        <v>6.1476565383028774</v>
      </c>
    </row>
    <row r="143" spans="1:42" x14ac:dyDescent="0.25">
      <c r="A143" s="4">
        <v>45889</v>
      </c>
      <c r="B143">
        <f t="shared" ref="B143:N143" si="218">(B693-B692)*100</f>
        <v>0.99999999999997868</v>
      </c>
      <c r="C143">
        <f t="shared" si="218"/>
        <v>0</v>
      </c>
      <c r="D143">
        <f t="shared" si="218"/>
        <v>0</v>
      </c>
      <c r="E143">
        <f t="shared" si="218"/>
        <v>-0.99999999999997868</v>
      </c>
      <c r="F143">
        <f t="shared" si="218"/>
        <v>0</v>
      </c>
      <c r="G143">
        <f t="shared" si="218"/>
        <v>1.0000000000000231</v>
      </c>
      <c r="H143">
        <f t="shared" si="218"/>
        <v>0.99999999999997868</v>
      </c>
      <c r="I143">
        <f t="shared" si="218"/>
        <v>1.0000000000000231</v>
      </c>
      <c r="J143">
        <f t="shared" si="218"/>
        <v>0.99999999999997868</v>
      </c>
      <c r="K143">
        <f t="shared" si="218"/>
        <v>2.0000000000000462</v>
      </c>
      <c r="L143">
        <f t="shared" si="218"/>
        <v>0.99999999999997868</v>
      </c>
      <c r="M143">
        <f t="shared" si="218"/>
        <v>2.9999999999999361</v>
      </c>
      <c r="N143">
        <f t="shared" si="218"/>
        <v>1.0000000000000675</v>
      </c>
      <c r="O143" s="5">
        <f t="shared" si="192"/>
        <v>1.8275521816999021E-4</v>
      </c>
      <c r="P143" s="5">
        <f t="shared" si="192"/>
        <v>-2.7573889364069641E-3</v>
      </c>
      <c r="Q143" s="5">
        <f t="shared" si="192"/>
        <v>-2.7671135538357844E-3</v>
      </c>
      <c r="R143" s="5">
        <f t="shared" si="192"/>
        <v>-2.2701485345391855E-3</v>
      </c>
      <c r="S143" s="5">
        <f t="shared" si="192"/>
        <v>-3.268237689721966E-3</v>
      </c>
      <c r="U143" s="4">
        <v>45889</v>
      </c>
      <c r="V143">
        <f t="shared" si="195"/>
        <v>-3999.9999999999145</v>
      </c>
      <c r="W143">
        <f t="shared" si="196"/>
        <v>0</v>
      </c>
      <c r="X143">
        <f t="shared" si="197"/>
        <v>0</v>
      </c>
      <c r="Y143">
        <f t="shared" si="198"/>
        <v>3444.9999999999268</v>
      </c>
      <c r="Z143">
        <f t="shared" si="199"/>
        <v>0</v>
      </c>
      <c r="AA143">
        <f t="shared" si="200"/>
        <v>-2000.0000000000462</v>
      </c>
      <c r="AB143">
        <f t="shared" si="201"/>
        <v>4563.9999999999027</v>
      </c>
      <c r="AC143">
        <f t="shared" si="202"/>
        <v>-2223.0000000000514</v>
      </c>
      <c r="AD143">
        <f t="shared" si="203"/>
        <v>-100543.99999999786</v>
      </c>
      <c r="AE143">
        <f t="shared" si="204"/>
        <v>2.0000000000000462</v>
      </c>
      <c r="AF143">
        <f t="shared" si="205"/>
        <v>50322.99999999893</v>
      </c>
      <c r="AG143">
        <f t="shared" si="206"/>
        <v>75968.999999998385</v>
      </c>
      <c r="AH143">
        <f t="shared" si="207"/>
        <v>1.0000000000000675</v>
      </c>
      <c r="AI143">
        <f t="shared" si="208"/>
        <v>1.827552181699902E-2</v>
      </c>
      <c r="AJ143">
        <f t="shared" si="209"/>
        <v>27573.889364069641</v>
      </c>
      <c r="AK143">
        <f t="shared" si="210"/>
        <v>-27671.135538357845</v>
      </c>
      <c r="AL143">
        <f t="shared" si="211"/>
        <v>56753.713363479641</v>
      </c>
      <c r="AM143" s="1">
        <f t="shared" si="212"/>
        <v>32682.376897219659</v>
      </c>
      <c r="AN143" s="1">
        <f t="shared" si="188"/>
        <v>114875.86236193217</v>
      </c>
      <c r="AO143">
        <f t="shared" si="189"/>
        <v>-4.6691295357477109</v>
      </c>
      <c r="AP143">
        <f t="shared" si="190"/>
        <v>6.1479514053127229</v>
      </c>
    </row>
    <row r="144" spans="1:42" x14ac:dyDescent="0.25">
      <c r="A144" s="4">
        <v>45888</v>
      </c>
      <c r="B144">
        <f t="shared" ref="B144:N144" si="219">(B694-B693)*100</f>
        <v>0.99999999999997868</v>
      </c>
      <c r="C144">
        <f t="shared" si="219"/>
        <v>0</v>
      </c>
      <c r="D144">
        <f t="shared" si="219"/>
        <v>3.0000000000000249</v>
      </c>
      <c r="E144">
        <f t="shared" si="219"/>
        <v>0.99999999999997868</v>
      </c>
      <c r="F144">
        <f t="shared" si="219"/>
        <v>1.9999999999999574</v>
      </c>
      <c r="G144">
        <f t="shared" si="219"/>
        <v>2.0000000000000018</v>
      </c>
      <c r="H144">
        <f t="shared" si="219"/>
        <v>2.0000000000000018</v>
      </c>
      <c r="I144">
        <f t="shared" si="219"/>
        <v>2.9999999999999805</v>
      </c>
      <c r="J144">
        <f t="shared" si="219"/>
        <v>4.0000000000000036</v>
      </c>
      <c r="K144">
        <f t="shared" si="219"/>
        <v>3.0000000000000249</v>
      </c>
      <c r="L144">
        <f t="shared" si="219"/>
        <v>4.0000000000000036</v>
      </c>
      <c r="M144">
        <f t="shared" si="219"/>
        <v>3.0000000000000249</v>
      </c>
      <c r="N144">
        <f t="shared" si="219"/>
        <v>4.0000000000000036</v>
      </c>
      <c r="O144" s="5">
        <f t="shared" si="192"/>
        <v>1.0306433948410597E-2</v>
      </c>
      <c r="P144" s="5">
        <f t="shared" si="192"/>
        <v>4.001944168611664E-3</v>
      </c>
      <c r="Q144" s="5">
        <f t="shared" si="192"/>
        <v>4.5641338929373531E-3</v>
      </c>
      <c r="R144" s="5">
        <f t="shared" si="192"/>
        <v>-3.6780349852217854E-3</v>
      </c>
      <c r="S144" s="5">
        <f t="shared" si="192"/>
        <v>1.9628553337443532E-3</v>
      </c>
      <c r="U144" s="4">
        <v>45888</v>
      </c>
      <c r="V144">
        <f t="shared" si="195"/>
        <v>-3999.9999999999145</v>
      </c>
      <c r="W144">
        <f t="shared" si="196"/>
        <v>0</v>
      </c>
      <c r="X144">
        <f t="shared" si="197"/>
        <v>13770.000000000115</v>
      </c>
      <c r="Y144">
        <f t="shared" si="198"/>
        <v>-3444.9999999999268</v>
      </c>
      <c r="Z144">
        <f t="shared" si="199"/>
        <v>10869.999999999769</v>
      </c>
      <c r="AA144">
        <f t="shared" si="200"/>
        <v>-4000.0000000000036</v>
      </c>
      <c r="AB144">
        <f t="shared" si="201"/>
        <v>9128.0000000000073</v>
      </c>
      <c r="AC144">
        <f t="shared" si="202"/>
        <v>-6668.9999999999563</v>
      </c>
      <c r="AD144">
        <f t="shared" si="203"/>
        <v>-402176.00000000035</v>
      </c>
      <c r="AE144">
        <f t="shared" si="204"/>
        <v>3.0000000000000249</v>
      </c>
      <c r="AF144">
        <f t="shared" si="205"/>
        <v>201292.00000000017</v>
      </c>
      <c r="AG144">
        <f t="shared" si="206"/>
        <v>75969.000000000626</v>
      </c>
      <c r="AH144">
        <f t="shared" si="207"/>
        <v>4.0000000000000036</v>
      </c>
      <c r="AI144">
        <f t="shared" si="208"/>
        <v>1.0306433948410596</v>
      </c>
      <c r="AJ144">
        <f t="shared" si="209"/>
        <v>-40019.441686116639</v>
      </c>
      <c r="AK144">
        <f t="shared" si="210"/>
        <v>45641.338929373531</v>
      </c>
      <c r="AL144">
        <f t="shared" si="211"/>
        <v>91950.87463054464</v>
      </c>
      <c r="AM144" s="1">
        <f t="shared" si="212"/>
        <v>-19628.553337443533</v>
      </c>
      <c r="AN144" s="1">
        <f t="shared" si="188"/>
        <v>-31308.750820246598</v>
      </c>
      <c r="AO144">
        <f t="shared" si="189"/>
        <v>-1.1646187452028991</v>
      </c>
      <c r="AP144">
        <f t="shared" si="190"/>
        <v>6.1358154346158917</v>
      </c>
    </row>
    <row r="145" spans="1:42" x14ac:dyDescent="0.25">
      <c r="A145" s="4">
        <v>45887</v>
      </c>
      <c r="B145">
        <f t="shared" ref="B145:N145" si="220">(B695-B694)*100</f>
        <v>1.0000000000000675</v>
      </c>
      <c r="C145">
        <f t="shared" si="220"/>
        <v>0</v>
      </c>
      <c r="D145">
        <f t="shared" si="220"/>
        <v>-3.0000000000000249</v>
      </c>
      <c r="E145">
        <f t="shared" si="220"/>
        <v>0</v>
      </c>
      <c r="F145">
        <f t="shared" si="220"/>
        <v>-0.99999999999997868</v>
      </c>
      <c r="G145">
        <f t="shared" si="220"/>
        <v>0</v>
      </c>
      <c r="H145">
        <f t="shared" si="220"/>
        <v>-2.0000000000000018</v>
      </c>
      <c r="I145">
        <f t="shared" si="220"/>
        <v>0</v>
      </c>
      <c r="J145">
        <f t="shared" si="220"/>
        <v>-0.99999999999997868</v>
      </c>
      <c r="K145">
        <f t="shared" si="220"/>
        <v>0</v>
      </c>
      <c r="L145">
        <f t="shared" si="220"/>
        <v>-0.99999999999997868</v>
      </c>
      <c r="M145">
        <f t="shared" si="220"/>
        <v>-0.99999999999997868</v>
      </c>
      <c r="N145">
        <f t="shared" si="220"/>
        <v>-2.0000000000000462</v>
      </c>
      <c r="O145" s="5">
        <f t="shared" ref="O145:S154" si="221">LN(O694/O695)</f>
        <v>4.2007149310863707E-3</v>
      </c>
      <c r="P145" s="5">
        <f t="shared" si="221"/>
        <v>0</v>
      </c>
      <c r="Q145" s="5">
        <f t="shared" si="221"/>
        <v>9.894501920074069E-3</v>
      </c>
      <c r="R145" s="5">
        <f t="shared" si="221"/>
        <v>-4.7894161138767478E-3</v>
      </c>
      <c r="S145" s="5">
        <f t="shared" si="221"/>
        <v>2.1054378691658369E-3</v>
      </c>
      <c r="U145" s="4">
        <v>45887</v>
      </c>
      <c r="V145">
        <f t="shared" si="195"/>
        <v>-4000.0000000002701</v>
      </c>
      <c r="W145">
        <f t="shared" si="196"/>
        <v>0</v>
      </c>
      <c r="X145">
        <f t="shared" si="197"/>
        <v>-13770.000000000115</v>
      </c>
      <c r="Y145">
        <f t="shared" si="198"/>
        <v>0</v>
      </c>
      <c r="Z145">
        <f t="shared" si="199"/>
        <v>-5434.9999999998845</v>
      </c>
      <c r="AA145">
        <f t="shared" si="200"/>
        <v>0</v>
      </c>
      <c r="AB145">
        <f t="shared" si="201"/>
        <v>-9128.0000000000073</v>
      </c>
      <c r="AC145">
        <f t="shared" si="202"/>
        <v>0</v>
      </c>
      <c r="AD145">
        <f t="shared" si="203"/>
        <v>100543.99999999786</v>
      </c>
      <c r="AE145">
        <f t="shared" si="204"/>
        <v>0</v>
      </c>
      <c r="AF145">
        <f t="shared" si="205"/>
        <v>-50322.99999999893</v>
      </c>
      <c r="AG145">
        <f t="shared" si="206"/>
        <v>-25322.999999999462</v>
      </c>
      <c r="AH145">
        <f t="shared" si="207"/>
        <v>-2.0000000000000462</v>
      </c>
      <c r="AI145">
        <f t="shared" si="208"/>
        <v>0.42007149310863706</v>
      </c>
      <c r="AJ145">
        <f t="shared" si="209"/>
        <v>0</v>
      </c>
      <c r="AK145">
        <f t="shared" si="210"/>
        <v>98945.019200740688</v>
      </c>
      <c r="AL145">
        <f t="shared" si="211"/>
        <v>119735.40284691869</v>
      </c>
      <c r="AM145" s="1">
        <f t="shared" si="212"/>
        <v>-21054.37869165837</v>
      </c>
      <c r="AN145" s="1">
        <f t="shared" si="188"/>
        <v>190189.46342749329</v>
      </c>
      <c r="AO145">
        <f t="shared" si="189"/>
        <v>0.12122774483588294</v>
      </c>
      <c r="AP145">
        <f t="shared" si="190"/>
        <v>6.1383717605354953</v>
      </c>
    </row>
    <row r="146" spans="1:42" x14ac:dyDescent="0.25">
      <c r="A146" s="4">
        <v>45884</v>
      </c>
      <c r="B146">
        <f t="shared" ref="B146:N146" si="222">(B696-B695)*100</f>
        <v>0</v>
      </c>
      <c r="C146">
        <f t="shared" si="222"/>
        <v>1.0000000000000675</v>
      </c>
      <c r="D146">
        <f t="shared" si="222"/>
        <v>0</v>
      </c>
      <c r="E146">
        <f t="shared" si="222"/>
        <v>0</v>
      </c>
      <c r="F146">
        <f t="shared" si="222"/>
        <v>0</v>
      </c>
      <c r="G146">
        <f t="shared" si="222"/>
        <v>-2.0000000000000018</v>
      </c>
      <c r="H146">
        <f t="shared" si="222"/>
        <v>-0.99999999999997868</v>
      </c>
      <c r="I146">
        <f t="shared" si="222"/>
        <v>-2.9999999999999805</v>
      </c>
      <c r="J146">
        <f t="shared" si="222"/>
        <v>-3.0000000000000249</v>
      </c>
      <c r="K146">
        <f t="shared" si="222"/>
        <v>-4.0000000000000036</v>
      </c>
      <c r="L146">
        <f t="shared" si="222"/>
        <v>-4.0000000000000036</v>
      </c>
      <c r="M146">
        <f t="shared" si="222"/>
        <v>-4.9999999999999822</v>
      </c>
      <c r="N146">
        <f t="shared" si="222"/>
        <v>-4.0000000000000036</v>
      </c>
      <c r="O146" s="5">
        <f t="shared" si="221"/>
        <v>-3.0921083358933805E-3</v>
      </c>
      <c r="P146" s="5">
        <f t="shared" si="221"/>
        <v>-9.6099649318560701E-3</v>
      </c>
      <c r="Q146" s="5">
        <f t="shared" si="221"/>
        <v>0</v>
      </c>
      <c r="R146" s="5">
        <f t="shared" si="221"/>
        <v>-2.2459301973052439E-3</v>
      </c>
      <c r="S146" s="5">
        <f t="shared" si="221"/>
        <v>-3.9779481645185119E-3</v>
      </c>
      <c r="U146" s="4">
        <v>45884</v>
      </c>
      <c r="V146">
        <f t="shared" si="195"/>
        <v>0</v>
      </c>
      <c r="W146">
        <f t="shared" si="196"/>
        <v>-2223.0000000001501</v>
      </c>
      <c r="X146">
        <f t="shared" si="197"/>
        <v>0</v>
      </c>
      <c r="Y146">
        <f t="shared" si="198"/>
        <v>0</v>
      </c>
      <c r="Z146">
        <f t="shared" si="199"/>
        <v>0</v>
      </c>
      <c r="AA146">
        <f t="shared" si="200"/>
        <v>4000.0000000000036</v>
      </c>
      <c r="AB146">
        <f t="shared" si="201"/>
        <v>-4563.9999999999027</v>
      </c>
      <c r="AC146">
        <f t="shared" si="202"/>
        <v>6668.9999999999563</v>
      </c>
      <c r="AD146">
        <f t="shared" si="203"/>
        <v>301632.0000000025</v>
      </c>
      <c r="AE146">
        <f t="shared" si="204"/>
        <v>-4.0000000000000036</v>
      </c>
      <c r="AF146">
        <f t="shared" si="205"/>
        <v>-201292.00000000017</v>
      </c>
      <c r="AG146">
        <f t="shared" si="206"/>
        <v>-126614.99999999955</v>
      </c>
      <c r="AH146">
        <f t="shared" si="207"/>
        <v>-4.0000000000000036</v>
      </c>
      <c r="AI146">
        <f t="shared" si="208"/>
        <v>-0.30921083358933804</v>
      </c>
      <c r="AJ146">
        <f t="shared" si="209"/>
        <v>96099.649318560696</v>
      </c>
      <c r="AK146">
        <f t="shared" si="210"/>
        <v>0</v>
      </c>
      <c r="AL146">
        <f t="shared" si="211"/>
        <v>56148.254932631098</v>
      </c>
      <c r="AM146" s="1">
        <f t="shared" si="212"/>
        <v>39779.481645185122</v>
      </c>
      <c r="AN146" s="1">
        <f t="shared" si="188"/>
        <v>169626.076685546</v>
      </c>
      <c r="AO146">
        <f t="shared" si="189"/>
        <v>-1.5174999144493939</v>
      </c>
      <c r="AP146">
        <f t="shared" si="190"/>
        <v>6.3189554170605122</v>
      </c>
    </row>
    <row r="147" spans="1:42" x14ac:dyDescent="0.25">
      <c r="A147" s="4">
        <v>45883</v>
      </c>
      <c r="B147">
        <f t="shared" ref="B147:N147" si="223">(B697-B696)*100</f>
        <v>-4.0000000000000036</v>
      </c>
      <c r="C147">
        <f t="shared" si="223"/>
        <v>-4.0000000000000036</v>
      </c>
      <c r="D147">
        <f t="shared" si="223"/>
        <v>-0.99999999999997868</v>
      </c>
      <c r="E147">
        <f t="shared" si="223"/>
        <v>-0.99999999999997868</v>
      </c>
      <c r="F147">
        <f t="shared" si="223"/>
        <v>-3.0000000000000249</v>
      </c>
      <c r="G147">
        <f t="shared" si="223"/>
        <v>-5.0000000000000266</v>
      </c>
      <c r="H147">
        <f t="shared" si="223"/>
        <v>-7.0000000000000284</v>
      </c>
      <c r="I147">
        <f t="shared" si="223"/>
        <v>-6.0000000000000053</v>
      </c>
      <c r="J147">
        <f t="shared" si="223"/>
        <v>-4.9999999999999822</v>
      </c>
      <c r="K147">
        <f t="shared" si="223"/>
        <v>-5.0000000000000266</v>
      </c>
      <c r="L147">
        <f t="shared" si="223"/>
        <v>-4.9999999999999822</v>
      </c>
      <c r="M147">
        <f t="shared" si="223"/>
        <v>-5.0000000000000711</v>
      </c>
      <c r="N147">
        <f t="shared" si="223"/>
        <v>-4.9999999999999822</v>
      </c>
      <c r="O147" s="5">
        <f t="shared" si="221"/>
        <v>3.0921083358933323E-3</v>
      </c>
      <c r="P147" s="5">
        <f t="shared" si="221"/>
        <v>6.3748548556983196E-3</v>
      </c>
      <c r="Q147" s="5">
        <f t="shared" si="221"/>
        <v>-1.0351853860358104E-2</v>
      </c>
      <c r="R147" s="5">
        <f t="shared" si="221"/>
        <v>7.6003180776222585E-3</v>
      </c>
      <c r="S147" s="5">
        <f t="shared" si="221"/>
        <v>9.3817182626262895E-3</v>
      </c>
      <c r="U147" s="4">
        <v>45883</v>
      </c>
      <c r="V147">
        <f t="shared" si="195"/>
        <v>16000.000000000015</v>
      </c>
      <c r="W147">
        <f t="shared" si="196"/>
        <v>8892.0000000000073</v>
      </c>
      <c r="X147">
        <f t="shared" si="197"/>
        <v>-4589.9999999999018</v>
      </c>
      <c r="Y147">
        <f t="shared" si="198"/>
        <v>3444.9999999999268</v>
      </c>
      <c r="Z147">
        <f t="shared" si="199"/>
        <v>-16305.000000000135</v>
      </c>
      <c r="AA147">
        <f t="shared" si="200"/>
        <v>10000.000000000053</v>
      </c>
      <c r="AB147">
        <f t="shared" si="201"/>
        <v>-31948.000000000131</v>
      </c>
      <c r="AC147">
        <f t="shared" si="202"/>
        <v>13338.000000000013</v>
      </c>
      <c r="AD147">
        <f t="shared" si="203"/>
        <v>502719.9999999982</v>
      </c>
      <c r="AE147">
        <f t="shared" si="204"/>
        <v>-5.0000000000000266</v>
      </c>
      <c r="AF147">
        <f t="shared" si="205"/>
        <v>-251614.9999999991</v>
      </c>
      <c r="AG147">
        <f t="shared" si="206"/>
        <v>-126615.0000000018</v>
      </c>
      <c r="AH147">
        <f t="shared" si="207"/>
        <v>-4.9999999999999822</v>
      </c>
      <c r="AI147">
        <f t="shared" si="208"/>
        <v>0.30921083358933321</v>
      </c>
      <c r="AJ147">
        <f t="shared" si="209"/>
        <v>-63748.548556983194</v>
      </c>
      <c r="AK147">
        <f t="shared" si="210"/>
        <v>-103518.53860358104</v>
      </c>
      <c r="AL147">
        <f t="shared" si="211"/>
        <v>-190007.95194055646</v>
      </c>
      <c r="AM147" s="1">
        <f t="shared" si="212"/>
        <v>-93817.182626262889</v>
      </c>
      <c r="AN147" s="1">
        <f t="shared" si="188"/>
        <v>-327779.9125165529</v>
      </c>
      <c r="AO147">
        <f t="shared" si="189"/>
        <v>-0.17528418219730524</v>
      </c>
      <c r="AP147">
        <f t="shared" si="190"/>
        <v>6.3205862960976624</v>
      </c>
    </row>
    <row r="148" spans="1:42" x14ac:dyDescent="0.25">
      <c r="A148" s="4">
        <v>45882</v>
      </c>
      <c r="B148">
        <f t="shared" ref="B148:N148" si="224">(B698-B697)*100</f>
        <v>0</v>
      </c>
      <c r="C148">
        <f t="shared" si="224"/>
        <v>2.9999999999999361</v>
      </c>
      <c r="D148">
        <f t="shared" si="224"/>
        <v>4.0000000000000036</v>
      </c>
      <c r="E148">
        <f t="shared" si="224"/>
        <v>4.0000000000000036</v>
      </c>
      <c r="F148">
        <f t="shared" si="224"/>
        <v>3.0000000000000249</v>
      </c>
      <c r="G148">
        <f t="shared" si="224"/>
        <v>4.0000000000000036</v>
      </c>
      <c r="H148">
        <f t="shared" si="224"/>
        <v>5.0000000000000266</v>
      </c>
      <c r="I148">
        <f t="shared" si="224"/>
        <v>4.9999999999999822</v>
      </c>
      <c r="J148">
        <f t="shared" si="224"/>
        <v>6.0000000000000053</v>
      </c>
      <c r="K148">
        <f t="shared" si="224"/>
        <v>5.0000000000000266</v>
      </c>
      <c r="L148">
        <f t="shared" si="224"/>
        <v>4.9999999999999822</v>
      </c>
      <c r="M148">
        <f t="shared" si="224"/>
        <v>6.0000000000000497</v>
      </c>
      <c r="N148">
        <f t="shared" si="224"/>
        <v>4.9999999999999822</v>
      </c>
      <c r="O148" s="5">
        <f t="shared" si="221"/>
        <v>-2.2968502512402929E-3</v>
      </c>
      <c r="P148" s="5">
        <f t="shared" si="221"/>
        <v>2.8117874855762481E-3</v>
      </c>
      <c r="Q148" s="5">
        <f t="shared" si="221"/>
        <v>-7.7534613726017911E-3</v>
      </c>
      <c r="R148" s="5">
        <f t="shared" si="221"/>
        <v>3.1130632187814163E-3</v>
      </c>
      <c r="S148" s="5">
        <f t="shared" si="221"/>
        <v>3.21865916430421E-3</v>
      </c>
      <c r="U148" s="4">
        <v>45882</v>
      </c>
      <c r="V148">
        <f t="shared" si="195"/>
        <v>0</v>
      </c>
      <c r="W148">
        <f t="shared" si="196"/>
        <v>-6668.9999999998581</v>
      </c>
      <c r="X148">
        <f t="shared" si="197"/>
        <v>18360.000000000015</v>
      </c>
      <c r="Y148">
        <f t="shared" si="198"/>
        <v>-13780.000000000013</v>
      </c>
      <c r="Z148">
        <f t="shared" si="199"/>
        <v>16305.000000000135</v>
      </c>
      <c r="AA148">
        <f t="shared" si="200"/>
        <v>-8000.0000000000073</v>
      </c>
      <c r="AB148">
        <f t="shared" si="201"/>
        <v>22820.00000000012</v>
      </c>
      <c r="AC148">
        <f t="shared" si="202"/>
        <v>-11114.99999999996</v>
      </c>
      <c r="AD148">
        <f t="shared" si="203"/>
        <v>-603264.00000000058</v>
      </c>
      <c r="AE148">
        <f t="shared" si="204"/>
        <v>5.0000000000000266</v>
      </c>
      <c r="AF148">
        <f t="shared" si="205"/>
        <v>251614.9999999991</v>
      </c>
      <c r="AG148">
        <f t="shared" si="206"/>
        <v>151938.00000000125</v>
      </c>
      <c r="AH148">
        <f t="shared" si="207"/>
        <v>4.9999999999999822</v>
      </c>
      <c r="AI148">
        <f t="shared" si="208"/>
        <v>-0.2296850251240293</v>
      </c>
      <c r="AJ148">
        <f t="shared" si="209"/>
        <v>-28117.874855762482</v>
      </c>
      <c r="AK148">
        <f t="shared" si="210"/>
        <v>-77534.613726017909</v>
      </c>
      <c r="AL148">
        <f t="shared" si="211"/>
        <v>-77826.580469535402</v>
      </c>
      <c r="AM148" s="1">
        <f t="shared" si="212"/>
        <v>-32186.591643042098</v>
      </c>
      <c r="AN148" s="1">
        <f t="shared" si="188"/>
        <v>-397445.89037938282</v>
      </c>
      <c r="AO148">
        <f t="shared" si="189"/>
        <v>13.560284918960953</v>
      </c>
      <c r="AP148">
        <f t="shared" si="190"/>
        <v>6.3069233946213181</v>
      </c>
    </row>
    <row r="149" spans="1:42" x14ac:dyDescent="0.25">
      <c r="A149" s="4">
        <v>45881</v>
      </c>
      <c r="B149">
        <f t="shared" ref="B149:N149" si="225">(B699-B698)*100</f>
        <v>1.9999999999999574</v>
      </c>
      <c r="C149">
        <f t="shared" si="225"/>
        <v>3.0000000000000249</v>
      </c>
      <c r="D149">
        <f t="shared" si="225"/>
        <v>0.99999999999997868</v>
      </c>
      <c r="E149">
        <f t="shared" si="225"/>
        <v>1.9999999999999574</v>
      </c>
      <c r="F149">
        <f t="shared" si="225"/>
        <v>3.0000000000000249</v>
      </c>
      <c r="G149">
        <f t="shared" si="225"/>
        <v>3.0000000000000249</v>
      </c>
      <c r="H149">
        <f t="shared" si="225"/>
        <v>3.9999999999999591</v>
      </c>
      <c r="I149">
        <f t="shared" si="225"/>
        <v>2.0000000000000018</v>
      </c>
      <c r="J149">
        <f t="shared" si="225"/>
        <v>0</v>
      </c>
      <c r="K149">
        <f t="shared" si="225"/>
        <v>0</v>
      </c>
      <c r="L149">
        <f t="shared" si="225"/>
        <v>-2.0000000000000462</v>
      </c>
      <c r="M149">
        <f t="shared" si="225"/>
        <v>-4.0000000000000036</v>
      </c>
      <c r="N149">
        <f t="shared" si="225"/>
        <v>-4.0000000000000036</v>
      </c>
      <c r="O149" s="5">
        <f t="shared" si="221"/>
        <v>-7.7590488691227167E-3</v>
      </c>
      <c r="P149" s="5">
        <f t="shared" si="221"/>
        <v>-4.2977695427135277E-3</v>
      </c>
      <c r="Q149" s="5">
        <f t="shared" si="221"/>
        <v>4.2678360334976548E-3</v>
      </c>
      <c r="R149" s="5">
        <f t="shared" si="221"/>
        <v>-1.1331445971687313E-3</v>
      </c>
      <c r="S149" s="5">
        <f t="shared" si="221"/>
        <v>-5.3515531513836185E-3</v>
      </c>
      <c r="U149" s="4">
        <v>45881</v>
      </c>
      <c r="V149">
        <f t="shared" si="195"/>
        <v>-7999.999999999829</v>
      </c>
      <c r="W149">
        <f t="shared" si="196"/>
        <v>-6669.0000000000555</v>
      </c>
      <c r="X149">
        <f t="shared" si="197"/>
        <v>4589.9999999999018</v>
      </c>
      <c r="Y149">
        <f t="shared" si="198"/>
        <v>-6889.9999999998536</v>
      </c>
      <c r="Z149">
        <f t="shared" si="199"/>
        <v>16305.000000000135</v>
      </c>
      <c r="AA149">
        <f t="shared" si="200"/>
        <v>-6000.00000000005</v>
      </c>
      <c r="AB149">
        <f t="shared" si="201"/>
        <v>18255.999999999814</v>
      </c>
      <c r="AC149">
        <f t="shared" si="202"/>
        <v>-4446.0000000000036</v>
      </c>
      <c r="AD149">
        <f t="shared" si="203"/>
        <v>0</v>
      </c>
      <c r="AE149">
        <f t="shared" si="204"/>
        <v>0</v>
      </c>
      <c r="AF149">
        <f t="shared" si="205"/>
        <v>-100646.00000000233</v>
      </c>
      <c r="AG149">
        <f t="shared" si="206"/>
        <v>-101292.00000000009</v>
      </c>
      <c r="AH149">
        <f t="shared" si="207"/>
        <v>-4.0000000000000036</v>
      </c>
      <c r="AI149">
        <f t="shared" si="208"/>
        <v>-0.77590488691227166</v>
      </c>
      <c r="AJ149">
        <f t="shared" si="209"/>
        <v>42977.695427135273</v>
      </c>
      <c r="AK149">
        <f t="shared" si="210"/>
        <v>42678.360334976547</v>
      </c>
      <c r="AL149">
        <f t="shared" si="211"/>
        <v>28328.614929218282</v>
      </c>
      <c r="AM149" s="1">
        <f t="shared" si="212"/>
        <v>53515.531513836184</v>
      </c>
      <c r="AN149" s="1">
        <f t="shared" si="188"/>
        <v>-27296.573699722991</v>
      </c>
      <c r="AO149">
        <f t="shared" si="189"/>
        <v>-0.88619030382329145</v>
      </c>
      <c r="AP149">
        <f t="shared" si="190"/>
        <v>5.1892673750638023</v>
      </c>
    </row>
    <row r="150" spans="1:42" x14ac:dyDescent="0.25">
      <c r="A150" s="4">
        <v>45880</v>
      </c>
      <c r="B150">
        <f t="shared" ref="B150:N150" si="226">(B700-B699)*100</f>
        <v>2.0000000000000462</v>
      </c>
      <c r="C150">
        <f t="shared" si="226"/>
        <v>0.99999999999997868</v>
      </c>
      <c r="D150">
        <f t="shared" si="226"/>
        <v>-1.9999999999999574</v>
      </c>
      <c r="E150">
        <f t="shared" si="226"/>
        <v>0</v>
      </c>
      <c r="F150">
        <f t="shared" si="226"/>
        <v>0</v>
      </c>
      <c r="G150">
        <f t="shared" si="226"/>
        <v>0</v>
      </c>
      <c r="H150">
        <f t="shared" si="226"/>
        <v>0</v>
      </c>
      <c r="I150">
        <f t="shared" si="226"/>
        <v>-0.99999999999997868</v>
      </c>
      <c r="J150">
        <f t="shared" si="226"/>
        <v>0.99999999999997868</v>
      </c>
      <c r="K150">
        <f t="shared" si="226"/>
        <v>0</v>
      </c>
      <c r="L150">
        <f t="shared" si="226"/>
        <v>0</v>
      </c>
      <c r="M150">
        <f t="shared" si="226"/>
        <v>0.99999999999997868</v>
      </c>
      <c r="N150">
        <f t="shared" si="226"/>
        <v>0.99999999999997868</v>
      </c>
      <c r="O150" s="5">
        <f t="shared" si="221"/>
        <v>4.0286659651796904E-3</v>
      </c>
      <c r="P150" s="5">
        <f t="shared" si="221"/>
        <v>-3.7114975180039963E-3</v>
      </c>
      <c r="Q150" s="5">
        <f t="shared" si="221"/>
        <v>-6.4412461028571051E-3</v>
      </c>
      <c r="R150" s="5">
        <f t="shared" si="221"/>
        <v>3.1192425687980498E-3</v>
      </c>
      <c r="S150" s="5">
        <f t="shared" si="221"/>
        <v>4.2165860968917911E-3</v>
      </c>
      <c r="U150" s="4">
        <v>45880</v>
      </c>
      <c r="V150">
        <f t="shared" si="195"/>
        <v>-8000.0000000001846</v>
      </c>
      <c r="W150">
        <f t="shared" si="196"/>
        <v>-2222.9999999999527</v>
      </c>
      <c r="X150">
        <f t="shared" si="197"/>
        <v>-9179.9999999998035</v>
      </c>
      <c r="Y150">
        <f t="shared" si="198"/>
        <v>0</v>
      </c>
      <c r="Z150">
        <f t="shared" si="199"/>
        <v>0</v>
      </c>
      <c r="AA150">
        <f t="shared" si="200"/>
        <v>0</v>
      </c>
      <c r="AB150">
        <f t="shared" si="201"/>
        <v>0</v>
      </c>
      <c r="AC150">
        <f t="shared" si="202"/>
        <v>2222.9999999999527</v>
      </c>
      <c r="AD150">
        <f t="shared" si="203"/>
        <v>-100543.99999999786</v>
      </c>
      <c r="AE150">
        <f t="shared" si="204"/>
        <v>0</v>
      </c>
      <c r="AF150">
        <f t="shared" si="205"/>
        <v>0</v>
      </c>
      <c r="AG150">
        <f t="shared" si="206"/>
        <v>25322.999999999462</v>
      </c>
      <c r="AH150">
        <f t="shared" si="207"/>
        <v>0.99999999999997868</v>
      </c>
      <c r="AI150">
        <f t="shared" si="208"/>
        <v>0.40286659651796902</v>
      </c>
      <c r="AJ150">
        <f t="shared" si="209"/>
        <v>37114.975180039961</v>
      </c>
      <c r="AK150">
        <f t="shared" si="210"/>
        <v>-64412.461028571051</v>
      </c>
      <c r="AL150">
        <f t="shared" si="211"/>
        <v>-77981.064219951251</v>
      </c>
      <c r="AM150" s="1">
        <f t="shared" si="212"/>
        <v>-42165.860968917914</v>
      </c>
      <c r="AN150" s="1">
        <f t="shared" si="188"/>
        <v>-239844.00817080215</v>
      </c>
      <c r="AO150">
        <f t="shared" si="189"/>
        <v>-1.8122120503928132</v>
      </c>
      <c r="AP150">
        <f t="shared" si="190"/>
        <v>5.4011655754782106</v>
      </c>
    </row>
    <row r="151" spans="1:42" x14ac:dyDescent="0.25">
      <c r="A151" s="4">
        <v>45877</v>
      </c>
      <c r="B151">
        <f t="shared" ref="B151:N151" si="227">(B701-B700)*100</f>
        <v>0.99999999999997868</v>
      </c>
      <c r="C151">
        <f t="shared" si="227"/>
        <v>2.0000000000000462</v>
      </c>
      <c r="D151">
        <f t="shared" si="227"/>
        <v>0</v>
      </c>
      <c r="E151">
        <f t="shared" si="227"/>
        <v>0</v>
      </c>
      <c r="F151">
        <f t="shared" si="227"/>
        <v>0</v>
      </c>
      <c r="G151">
        <f t="shared" si="227"/>
        <v>-1.0000000000000231</v>
      </c>
      <c r="H151">
        <f t="shared" si="227"/>
        <v>-3.9999999999999591</v>
      </c>
      <c r="I151">
        <f t="shared" si="227"/>
        <v>-4.0000000000000036</v>
      </c>
      <c r="J151">
        <f t="shared" si="227"/>
        <v>-4.9999999999999822</v>
      </c>
      <c r="K151">
        <f t="shared" si="227"/>
        <v>-4.0000000000000036</v>
      </c>
      <c r="L151">
        <f t="shared" si="227"/>
        <v>-3.9999999999999147</v>
      </c>
      <c r="M151">
        <f t="shared" si="227"/>
        <v>-3.0000000000000249</v>
      </c>
      <c r="N151">
        <f t="shared" si="227"/>
        <v>-4.0000000000000036</v>
      </c>
      <c r="O151" s="5">
        <f t="shared" si="221"/>
        <v>-7.0532775923052744E-3</v>
      </c>
      <c r="P151" s="5">
        <f t="shared" si="221"/>
        <v>7.1648284123962121E-4</v>
      </c>
      <c r="Q151" s="5">
        <f t="shared" si="221"/>
        <v>-4.6604816685631347E-3</v>
      </c>
      <c r="R151" s="5">
        <f t="shared" si="221"/>
        <v>-4.816555564678018E-3</v>
      </c>
      <c r="S151" s="5">
        <f t="shared" si="221"/>
        <v>-1.9012739962611356E-3</v>
      </c>
      <c r="U151" s="4">
        <v>45877</v>
      </c>
      <c r="V151">
        <f t="shared" si="195"/>
        <v>-3999.9999999999145</v>
      </c>
      <c r="W151">
        <f t="shared" si="196"/>
        <v>-4446.0000000001028</v>
      </c>
      <c r="X151">
        <f t="shared" si="197"/>
        <v>0</v>
      </c>
      <c r="Y151">
        <f t="shared" si="198"/>
        <v>0</v>
      </c>
      <c r="Z151">
        <f t="shared" si="199"/>
        <v>0</v>
      </c>
      <c r="AA151">
        <f t="shared" si="200"/>
        <v>2000.0000000000462</v>
      </c>
      <c r="AB151">
        <f t="shared" si="201"/>
        <v>-18255.999999999814</v>
      </c>
      <c r="AC151">
        <f t="shared" si="202"/>
        <v>8892.0000000000073</v>
      </c>
      <c r="AD151">
        <f t="shared" si="203"/>
        <v>502719.9999999982</v>
      </c>
      <c r="AE151">
        <f t="shared" si="204"/>
        <v>-4.0000000000000036</v>
      </c>
      <c r="AF151">
        <f t="shared" si="205"/>
        <v>-201291.99999999572</v>
      </c>
      <c r="AG151">
        <f t="shared" si="206"/>
        <v>-75969.000000000626</v>
      </c>
      <c r="AH151">
        <f t="shared" si="207"/>
        <v>-4.0000000000000036</v>
      </c>
      <c r="AI151">
        <f t="shared" si="208"/>
        <v>-0.70532775923052748</v>
      </c>
      <c r="AJ151">
        <f t="shared" si="209"/>
        <v>-7164.8284123962121</v>
      </c>
      <c r="AK151">
        <f t="shared" si="210"/>
        <v>-46604.816685631347</v>
      </c>
      <c r="AL151">
        <f t="shared" si="211"/>
        <v>120413.88911695045</v>
      </c>
      <c r="AM151" s="1">
        <f t="shared" si="212"/>
        <v>19012.739962611355</v>
      </c>
      <c r="AN151" s="1">
        <f t="shared" si="188"/>
        <v>295297.27865377703</v>
      </c>
      <c r="AO151">
        <f t="shared" si="189"/>
        <v>-0.14014121959221837</v>
      </c>
      <c r="AP151">
        <f t="shared" si="190"/>
        <v>5.4053719045060431</v>
      </c>
    </row>
    <row r="152" spans="1:42" x14ac:dyDescent="0.25">
      <c r="A152" s="4">
        <v>45876</v>
      </c>
      <c r="B152">
        <f t="shared" ref="B152:N152" si="228">(B702-B701)*100</f>
        <v>-0.99999999999997868</v>
      </c>
      <c r="C152">
        <f t="shared" si="228"/>
        <v>-0.99999999999997868</v>
      </c>
      <c r="D152">
        <f t="shared" si="228"/>
        <v>0</v>
      </c>
      <c r="E152">
        <f t="shared" si="228"/>
        <v>0</v>
      </c>
      <c r="F152">
        <f t="shared" si="228"/>
        <v>0</v>
      </c>
      <c r="G152">
        <f t="shared" si="228"/>
        <v>-2.0000000000000018</v>
      </c>
      <c r="H152">
        <f t="shared" si="228"/>
        <v>-3.0000000000000249</v>
      </c>
      <c r="I152">
        <f t="shared" si="228"/>
        <v>-3.0000000000000249</v>
      </c>
      <c r="J152">
        <f t="shared" si="228"/>
        <v>-2.0000000000000018</v>
      </c>
      <c r="K152">
        <f t="shared" si="228"/>
        <v>-2.0000000000000018</v>
      </c>
      <c r="L152">
        <f t="shared" si="228"/>
        <v>-1.0000000000000675</v>
      </c>
      <c r="M152">
        <f t="shared" si="228"/>
        <v>-0.99999999999997868</v>
      </c>
      <c r="N152">
        <f t="shared" si="228"/>
        <v>0</v>
      </c>
      <c r="O152" s="5">
        <f t="shared" si="221"/>
        <v>-2.997242589578673E-3</v>
      </c>
      <c r="P152" s="5">
        <f t="shared" si="221"/>
        <v>0</v>
      </c>
      <c r="Q152" s="5">
        <f t="shared" si="221"/>
        <v>1.0708283785520044E-2</v>
      </c>
      <c r="R152" s="5">
        <f t="shared" si="221"/>
        <v>-4.7934675176108154E-3</v>
      </c>
      <c r="S152" s="5">
        <f t="shared" si="221"/>
        <v>1.2133903934317476E-3</v>
      </c>
      <c r="U152" s="4">
        <v>45876</v>
      </c>
      <c r="V152">
        <f t="shared" si="195"/>
        <v>3999.9999999999145</v>
      </c>
      <c r="W152">
        <f t="shared" si="196"/>
        <v>2222.9999999999527</v>
      </c>
      <c r="X152">
        <f t="shared" si="197"/>
        <v>0</v>
      </c>
      <c r="Y152">
        <f t="shared" si="198"/>
        <v>0</v>
      </c>
      <c r="Z152">
        <f t="shared" si="199"/>
        <v>0</v>
      </c>
      <c r="AA152">
        <f t="shared" si="200"/>
        <v>4000.0000000000036</v>
      </c>
      <c r="AB152">
        <f t="shared" si="201"/>
        <v>-13692.000000000113</v>
      </c>
      <c r="AC152">
        <f t="shared" si="202"/>
        <v>6669.0000000000555</v>
      </c>
      <c r="AD152">
        <f t="shared" si="203"/>
        <v>201088.00000000017</v>
      </c>
      <c r="AE152">
        <f t="shared" si="204"/>
        <v>-2.0000000000000018</v>
      </c>
      <c r="AF152">
        <f t="shared" si="205"/>
        <v>-50323.000000003398</v>
      </c>
      <c r="AG152">
        <f t="shared" si="206"/>
        <v>-25322.999999999462</v>
      </c>
      <c r="AH152">
        <f t="shared" si="207"/>
        <v>0</v>
      </c>
      <c r="AI152">
        <f t="shared" si="208"/>
        <v>-0.29972425895786731</v>
      </c>
      <c r="AJ152">
        <f t="shared" si="209"/>
        <v>0</v>
      </c>
      <c r="AK152">
        <f t="shared" si="210"/>
        <v>107082.83785520044</v>
      </c>
      <c r="AL152">
        <f t="shared" si="211"/>
        <v>119836.68794027038</v>
      </c>
      <c r="AM152" s="1">
        <f t="shared" si="212"/>
        <v>-12133.903934317477</v>
      </c>
      <c r="AN152" s="1">
        <f t="shared" si="188"/>
        <v>343425.32213689148</v>
      </c>
      <c r="AO152">
        <f t="shared" si="189"/>
        <v>1.6967826937658557</v>
      </c>
      <c r="AP152">
        <f t="shared" si="190"/>
        <v>5.5607683794515328</v>
      </c>
    </row>
    <row r="153" spans="1:42" x14ac:dyDescent="0.25">
      <c r="A153" s="4">
        <v>45875</v>
      </c>
      <c r="B153">
        <f t="shared" ref="B153:N153" si="229">(B703-B702)*100</f>
        <v>0.99999999999997868</v>
      </c>
      <c r="C153">
        <f t="shared" si="229"/>
        <v>0.99999999999997868</v>
      </c>
      <c r="D153">
        <f t="shared" si="229"/>
        <v>1.9999999999999574</v>
      </c>
      <c r="E153">
        <f t="shared" si="229"/>
        <v>2.0000000000000462</v>
      </c>
      <c r="F153">
        <f t="shared" si="229"/>
        <v>0.99999999999997868</v>
      </c>
      <c r="G153">
        <f t="shared" si="229"/>
        <v>2.0000000000000018</v>
      </c>
      <c r="H153">
        <f t="shared" si="229"/>
        <v>3.0000000000000249</v>
      </c>
      <c r="I153">
        <f t="shared" si="229"/>
        <v>0</v>
      </c>
      <c r="J153">
        <f t="shared" si="229"/>
        <v>0</v>
      </c>
      <c r="K153">
        <f t="shared" si="229"/>
        <v>0</v>
      </c>
      <c r="L153">
        <f t="shared" si="229"/>
        <v>0</v>
      </c>
      <c r="M153">
        <f t="shared" si="229"/>
        <v>-3.0000000000000249</v>
      </c>
      <c r="N153">
        <f t="shared" si="229"/>
        <v>-2.9999999999999361</v>
      </c>
      <c r="O153" s="5">
        <f t="shared" si="221"/>
        <v>-5.7681095193693232E-3</v>
      </c>
      <c r="P153" s="5">
        <f t="shared" si="221"/>
        <v>-1.07915158459259E-2</v>
      </c>
      <c r="Q153" s="5">
        <f t="shared" si="221"/>
        <v>1.8028290641641364E-3</v>
      </c>
      <c r="R153" s="5">
        <f t="shared" si="221"/>
        <v>0</v>
      </c>
      <c r="S153" s="5">
        <f t="shared" si="221"/>
        <v>-6.6181436676950919E-3</v>
      </c>
      <c r="U153" s="4">
        <v>45875</v>
      </c>
      <c r="V153">
        <f t="shared" si="195"/>
        <v>-3999.9999999999145</v>
      </c>
      <c r="W153">
        <f t="shared" si="196"/>
        <v>-2222.9999999999527</v>
      </c>
      <c r="X153">
        <f t="shared" si="197"/>
        <v>9179.9999999998035</v>
      </c>
      <c r="Y153">
        <f t="shared" si="198"/>
        <v>-6890.0000000001592</v>
      </c>
      <c r="Z153">
        <f t="shared" si="199"/>
        <v>5434.9999999998845</v>
      </c>
      <c r="AA153">
        <f t="shared" si="200"/>
        <v>-4000.0000000000036</v>
      </c>
      <c r="AB153">
        <f t="shared" si="201"/>
        <v>13692.000000000113</v>
      </c>
      <c r="AC153">
        <f t="shared" si="202"/>
        <v>0</v>
      </c>
      <c r="AD153">
        <f t="shared" si="203"/>
        <v>0</v>
      </c>
      <c r="AE153">
        <f t="shared" si="204"/>
        <v>0</v>
      </c>
      <c r="AF153">
        <f t="shared" si="205"/>
        <v>0</v>
      </c>
      <c r="AG153">
        <f t="shared" si="206"/>
        <v>-75969.000000000626</v>
      </c>
      <c r="AH153">
        <f t="shared" si="207"/>
        <v>-2.9999999999999361</v>
      </c>
      <c r="AI153">
        <f t="shared" si="208"/>
        <v>-0.57681095193693233</v>
      </c>
      <c r="AJ153">
        <f t="shared" si="209"/>
        <v>107915.15845925901</v>
      </c>
      <c r="AK153">
        <f t="shared" si="210"/>
        <v>18028.290641641364</v>
      </c>
      <c r="AL153">
        <f t="shared" si="211"/>
        <v>0</v>
      </c>
      <c r="AM153" s="1">
        <f t="shared" si="212"/>
        <v>66181.436676950922</v>
      </c>
      <c r="AN153" s="1">
        <f t="shared" si="188"/>
        <v>127346.3089668985</v>
      </c>
      <c r="AO153">
        <f t="shared" si="189"/>
        <v>-0.64327722703437229</v>
      </c>
      <c r="AP153">
        <f t="shared" si="190"/>
        <v>5.4931703742310152</v>
      </c>
    </row>
    <row r="154" spans="1:42" x14ac:dyDescent="0.25">
      <c r="A154" s="4">
        <v>45874</v>
      </c>
      <c r="B154">
        <f t="shared" ref="B154:N154" si="230">(B704-B703)*100</f>
        <v>-0.99999999999997868</v>
      </c>
      <c r="C154">
        <f t="shared" si="230"/>
        <v>1.9999999999999574</v>
      </c>
      <c r="D154">
        <f t="shared" si="230"/>
        <v>0.99999999999997868</v>
      </c>
      <c r="E154">
        <f t="shared" si="230"/>
        <v>-0.99999999999997868</v>
      </c>
      <c r="F154">
        <f t="shared" si="230"/>
        <v>-0.99999999999997868</v>
      </c>
      <c r="G154">
        <f t="shared" si="230"/>
        <v>-10.000000000000009</v>
      </c>
      <c r="H154">
        <f t="shared" si="230"/>
        <v>-3.0000000000000249</v>
      </c>
      <c r="I154">
        <f t="shared" si="230"/>
        <v>3.0000000000000249</v>
      </c>
      <c r="J154">
        <f t="shared" si="230"/>
        <v>-2.0000000000000018</v>
      </c>
      <c r="K154">
        <f t="shared" si="230"/>
        <v>-2.0000000000000018</v>
      </c>
      <c r="L154">
        <f t="shared" si="230"/>
        <v>0</v>
      </c>
      <c r="M154">
        <f t="shared" si="230"/>
        <v>1.0000000000000675</v>
      </c>
      <c r="N154">
        <f t="shared" si="230"/>
        <v>1.9999999999999574</v>
      </c>
      <c r="O154" s="5">
        <f t="shared" si="221"/>
        <v>1.0886723651255029E-4</v>
      </c>
      <c r="P154" s="5">
        <f t="shared" si="221"/>
        <v>-1.5879805450219602E-3</v>
      </c>
      <c r="Q154" s="5">
        <f t="shared" si="221"/>
        <v>-3.3130439878683838E-3</v>
      </c>
      <c r="R154" s="5">
        <f t="shared" si="221"/>
        <v>-2.2478233684948166E-3</v>
      </c>
      <c r="S154" s="5">
        <f t="shared" si="221"/>
        <v>-8.9840608310906619E-3</v>
      </c>
      <c r="U154" s="4">
        <v>45874</v>
      </c>
      <c r="V154">
        <f t="shared" si="195"/>
        <v>3999.9999999999145</v>
      </c>
      <c r="W154">
        <f t="shared" si="196"/>
        <v>-4445.9999999999054</v>
      </c>
      <c r="X154">
        <f t="shared" si="197"/>
        <v>4589.9999999999018</v>
      </c>
      <c r="Y154">
        <f t="shared" si="198"/>
        <v>3444.9999999999268</v>
      </c>
      <c r="Z154">
        <f t="shared" si="199"/>
        <v>-5434.9999999998845</v>
      </c>
      <c r="AA154">
        <f t="shared" si="200"/>
        <v>20000.000000000018</v>
      </c>
      <c r="AB154">
        <f t="shared" si="201"/>
        <v>-13692.000000000113</v>
      </c>
      <c r="AC154">
        <f t="shared" si="202"/>
        <v>-6669.0000000000555</v>
      </c>
      <c r="AD154">
        <f t="shared" si="203"/>
        <v>201088.00000000017</v>
      </c>
      <c r="AE154">
        <f t="shared" si="204"/>
        <v>-2.0000000000000018</v>
      </c>
      <c r="AF154">
        <f t="shared" si="205"/>
        <v>0</v>
      </c>
      <c r="AG154">
        <f t="shared" si="206"/>
        <v>25323.00000000171</v>
      </c>
      <c r="AH154">
        <f t="shared" si="207"/>
        <v>1.9999999999999574</v>
      </c>
      <c r="AI154">
        <f t="shared" si="208"/>
        <v>1.088672365125503E-2</v>
      </c>
      <c r="AJ154">
        <f t="shared" si="209"/>
        <v>15879.805450219603</v>
      </c>
      <c r="AK154">
        <f t="shared" si="210"/>
        <v>-33130.439878683836</v>
      </c>
      <c r="AL154">
        <f t="shared" si="211"/>
        <v>56195.584212370413</v>
      </c>
      <c r="AM154" s="1">
        <f t="shared" si="212"/>
        <v>89840.608310906624</v>
      </c>
      <c r="AN154" s="1">
        <f t="shared" si="188"/>
        <v>356989.56898153812</v>
      </c>
      <c r="AO154">
        <f t="shared" si="189"/>
        <v>-8.0359595385229259</v>
      </c>
      <c r="AP154">
        <f t="shared" si="190"/>
        <v>5.4783575492371082</v>
      </c>
    </row>
    <row r="155" spans="1:42" x14ac:dyDescent="0.25">
      <c r="A155" s="4">
        <v>45873</v>
      </c>
      <c r="B155">
        <f t="shared" ref="B155:N155" si="231">(B705-B704)*100</f>
        <v>0.99999999999997868</v>
      </c>
      <c r="C155">
        <f t="shared" si="231"/>
        <v>1.0000000000000675</v>
      </c>
      <c r="D155">
        <f t="shared" si="231"/>
        <v>0</v>
      </c>
      <c r="E155">
        <f t="shared" si="231"/>
        <v>1.9999999999999574</v>
      </c>
      <c r="F155">
        <f t="shared" si="231"/>
        <v>0.99999999999997868</v>
      </c>
      <c r="G155">
        <f t="shared" si="231"/>
        <v>5.0000000000000266</v>
      </c>
      <c r="H155">
        <f t="shared" si="231"/>
        <v>0</v>
      </c>
      <c r="I155">
        <f t="shared" si="231"/>
        <v>0.99999999999997868</v>
      </c>
      <c r="J155">
        <f t="shared" si="231"/>
        <v>2.0000000000000018</v>
      </c>
      <c r="K155">
        <f t="shared" si="231"/>
        <v>2.0000000000000018</v>
      </c>
      <c r="L155">
        <f t="shared" si="231"/>
        <v>1.0000000000000675</v>
      </c>
      <c r="M155">
        <f t="shared" si="231"/>
        <v>0.99999999999997868</v>
      </c>
      <c r="N155">
        <f t="shared" si="231"/>
        <v>0.99999999999997868</v>
      </c>
      <c r="O155" s="5">
        <f t="shared" ref="O155:S164" si="232">LN(O704/O705)</f>
        <v>-5.8438963884447585E-3</v>
      </c>
      <c r="P155" s="5">
        <f t="shared" si="232"/>
        <v>-7.4178001707124516E-3</v>
      </c>
      <c r="Q155" s="5">
        <f t="shared" si="232"/>
        <v>-9.5871699408486364E-3</v>
      </c>
      <c r="R155" s="5">
        <f t="shared" si="232"/>
        <v>-5.0392043925966464E-3</v>
      </c>
      <c r="S155" s="5">
        <f t="shared" si="232"/>
        <v>9.6836932598080242E-4</v>
      </c>
      <c r="U155" s="4">
        <v>45873</v>
      </c>
      <c r="V155">
        <f t="shared" si="195"/>
        <v>-3999.9999999999145</v>
      </c>
      <c r="W155">
        <f t="shared" si="196"/>
        <v>-2223.0000000001501</v>
      </c>
      <c r="X155">
        <f t="shared" si="197"/>
        <v>0</v>
      </c>
      <c r="Y155">
        <f t="shared" si="198"/>
        <v>-6889.9999999998536</v>
      </c>
      <c r="Z155">
        <f t="shared" si="199"/>
        <v>5434.9999999998845</v>
      </c>
      <c r="AA155">
        <f t="shared" si="200"/>
        <v>-10000.000000000053</v>
      </c>
      <c r="AB155">
        <f t="shared" si="201"/>
        <v>0</v>
      </c>
      <c r="AC155">
        <f t="shared" si="202"/>
        <v>-2222.9999999999527</v>
      </c>
      <c r="AD155">
        <f t="shared" si="203"/>
        <v>-201088.00000000017</v>
      </c>
      <c r="AE155">
        <f t="shared" si="204"/>
        <v>2.0000000000000018</v>
      </c>
      <c r="AF155">
        <f t="shared" si="205"/>
        <v>50323.000000003398</v>
      </c>
      <c r="AG155">
        <f t="shared" si="206"/>
        <v>25322.999999999462</v>
      </c>
      <c r="AH155">
        <f t="shared" si="207"/>
        <v>0.99999999999997868</v>
      </c>
      <c r="AI155">
        <f t="shared" si="208"/>
        <v>-0.58438963884447581</v>
      </c>
      <c r="AJ155">
        <f t="shared" si="209"/>
        <v>74178.001707124509</v>
      </c>
      <c r="AK155">
        <f t="shared" si="210"/>
        <v>-95871.699408486369</v>
      </c>
      <c r="AL155">
        <f t="shared" si="211"/>
        <v>125980.10981491616</v>
      </c>
      <c r="AM155" s="1">
        <f t="shared" si="212"/>
        <v>-9683.6932598080239</v>
      </c>
      <c r="AN155" s="1">
        <f t="shared" si="188"/>
        <v>-50737.86553588989</v>
      </c>
      <c r="AO155">
        <f t="shared" si="189"/>
        <v>-0.92618761772890268</v>
      </c>
      <c r="AP155">
        <f t="shared" si="190"/>
        <v>5.3347987148466327</v>
      </c>
    </row>
    <row r="156" spans="1:42" x14ac:dyDescent="0.25">
      <c r="A156" s="4">
        <v>45870</v>
      </c>
      <c r="B156">
        <f t="shared" ref="B156:N156" si="233">(B706-B705)*100</f>
        <v>0</v>
      </c>
      <c r="C156">
        <f t="shared" si="233"/>
        <v>1.9999999999999574</v>
      </c>
      <c r="D156">
        <f t="shared" si="233"/>
        <v>6.0000000000000497</v>
      </c>
      <c r="E156">
        <f t="shared" si="233"/>
        <v>10.000000000000053</v>
      </c>
      <c r="F156">
        <f t="shared" si="233"/>
        <v>14.999999999999947</v>
      </c>
      <c r="G156">
        <f t="shared" si="233"/>
        <v>22.999999999999954</v>
      </c>
      <c r="H156">
        <f t="shared" si="233"/>
        <v>25</v>
      </c>
      <c r="I156">
        <f t="shared" si="233"/>
        <v>22.000000000000021</v>
      </c>
      <c r="J156">
        <f t="shared" si="233"/>
        <v>18.999999999999993</v>
      </c>
      <c r="K156">
        <f t="shared" si="233"/>
        <v>16.99999999999995</v>
      </c>
      <c r="L156">
        <f t="shared" si="233"/>
        <v>13.999999999999968</v>
      </c>
      <c r="M156">
        <f t="shared" si="233"/>
        <v>9.9999999999999645</v>
      </c>
      <c r="N156">
        <f t="shared" si="233"/>
        <v>8.0000000000000071</v>
      </c>
      <c r="O156" s="5">
        <f t="shared" si="232"/>
        <v>-1.0497983375892606E-2</v>
      </c>
      <c r="P156" s="5">
        <f t="shared" si="232"/>
        <v>-1.2999701603983177E-2</v>
      </c>
      <c r="Q156" s="5">
        <f t="shared" si="232"/>
        <v>-1.2993193191067822E-3</v>
      </c>
      <c r="R156" s="5">
        <f t="shared" si="232"/>
        <v>-2.7886242276502493E-3</v>
      </c>
      <c r="S156" s="5">
        <f t="shared" si="232"/>
        <v>1.0912000574239873E-3</v>
      </c>
      <c r="U156" s="4">
        <v>45870</v>
      </c>
      <c r="V156">
        <f t="shared" si="195"/>
        <v>0</v>
      </c>
      <c r="W156">
        <f t="shared" si="196"/>
        <v>-4445.9999999999054</v>
      </c>
      <c r="X156">
        <f t="shared" si="197"/>
        <v>27540.000000000229</v>
      </c>
      <c r="Y156">
        <f t="shared" si="198"/>
        <v>-34450.000000000182</v>
      </c>
      <c r="Z156">
        <f t="shared" si="199"/>
        <v>81524.999999999709</v>
      </c>
      <c r="AA156">
        <f t="shared" si="200"/>
        <v>-45999.999999999905</v>
      </c>
      <c r="AB156">
        <f t="shared" si="201"/>
        <v>114100</v>
      </c>
      <c r="AC156">
        <f t="shared" si="202"/>
        <v>-48906.000000000051</v>
      </c>
      <c r="AD156">
        <f t="shared" si="203"/>
        <v>-1910335.9999999993</v>
      </c>
      <c r="AE156">
        <f t="shared" si="204"/>
        <v>16.99999999999995</v>
      </c>
      <c r="AF156">
        <f t="shared" si="205"/>
        <v>704521.99999999837</v>
      </c>
      <c r="AG156">
        <f t="shared" si="206"/>
        <v>253229.9999999991</v>
      </c>
      <c r="AH156">
        <f t="shared" si="207"/>
        <v>8.0000000000000071</v>
      </c>
      <c r="AI156">
        <f t="shared" si="208"/>
        <v>-1.0497983375892606</v>
      </c>
      <c r="AJ156">
        <f t="shared" si="209"/>
        <v>129997.01603983177</v>
      </c>
      <c r="AK156">
        <f t="shared" si="210"/>
        <v>-12993.193191067821</v>
      </c>
      <c r="AL156">
        <f t="shared" si="211"/>
        <v>69715.605691256234</v>
      </c>
      <c r="AM156" s="1">
        <f t="shared" si="212"/>
        <v>-10912.000574239873</v>
      </c>
      <c r="AN156" s="1">
        <f t="shared" si="188"/>
        <v>-687389.62183255935</v>
      </c>
      <c r="AO156">
        <f t="shared" si="189"/>
        <v>-22.791216983642666</v>
      </c>
      <c r="AP156">
        <f t="shared" si="190"/>
        <v>5.6577984987639827</v>
      </c>
    </row>
    <row r="157" spans="1:42" x14ac:dyDescent="0.25">
      <c r="A157" s="4">
        <v>45869</v>
      </c>
      <c r="B157">
        <f t="shared" ref="B157:N157" si="234">(B707-B706)*100</f>
        <v>-8.0000000000000071</v>
      </c>
      <c r="C157">
        <f t="shared" si="234"/>
        <v>-0.99999999999997868</v>
      </c>
      <c r="D157">
        <f t="shared" si="234"/>
        <v>0</v>
      </c>
      <c r="E157">
        <f t="shared" si="234"/>
        <v>-1.0000000000000675</v>
      </c>
      <c r="F157">
        <f t="shared" si="234"/>
        <v>0</v>
      </c>
      <c r="G157">
        <f t="shared" si="234"/>
        <v>2.0000000000000462</v>
      </c>
      <c r="H157">
        <f t="shared" si="234"/>
        <v>0</v>
      </c>
      <c r="I157">
        <f t="shared" si="234"/>
        <v>0</v>
      </c>
      <c r="J157">
        <f t="shared" si="234"/>
        <v>0</v>
      </c>
      <c r="K157">
        <f t="shared" si="234"/>
        <v>1.0000000000000675</v>
      </c>
      <c r="L157">
        <f t="shared" si="234"/>
        <v>0.99999999999997868</v>
      </c>
      <c r="M157">
        <f t="shared" si="234"/>
        <v>1.0000000000000675</v>
      </c>
      <c r="N157">
        <f t="shared" si="234"/>
        <v>0</v>
      </c>
      <c r="O157" s="5">
        <f t="shared" si="232"/>
        <v>-2.3204134009830382E-4</v>
      </c>
      <c r="P157" s="5">
        <f t="shared" si="232"/>
        <v>-6.9337352895667745E-4</v>
      </c>
      <c r="Q157" s="5">
        <f t="shared" si="232"/>
        <v>8.1923914171417554E-3</v>
      </c>
      <c r="R157" s="5">
        <f t="shared" si="232"/>
        <v>6.4255005261827924E-3</v>
      </c>
      <c r="S157" s="5">
        <f t="shared" si="232"/>
        <v>5.9907701521587126E-4</v>
      </c>
      <c r="U157" s="4">
        <v>45869</v>
      </c>
      <c r="V157">
        <f t="shared" si="195"/>
        <v>32000.000000000029</v>
      </c>
      <c r="W157">
        <f t="shared" si="196"/>
        <v>2222.9999999999527</v>
      </c>
      <c r="X157">
        <f t="shared" si="197"/>
        <v>0</v>
      </c>
      <c r="Y157">
        <f t="shared" si="198"/>
        <v>3445.0000000002324</v>
      </c>
      <c r="Z157">
        <f t="shared" si="199"/>
        <v>0</v>
      </c>
      <c r="AA157">
        <f t="shared" si="200"/>
        <v>-4000.0000000000923</v>
      </c>
      <c r="AB157">
        <f t="shared" si="201"/>
        <v>0</v>
      </c>
      <c r="AC157">
        <f t="shared" si="202"/>
        <v>0</v>
      </c>
      <c r="AD157">
        <f t="shared" si="203"/>
        <v>0</v>
      </c>
      <c r="AE157">
        <f t="shared" si="204"/>
        <v>1.0000000000000675</v>
      </c>
      <c r="AF157">
        <f t="shared" si="205"/>
        <v>50322.99999999893</v>
      </c>
      <c r="AG157">
        <f t="shared" si="206"/>
        <v>25323.00000000171</v>
      </c>
      <c r="AH157">
        <f t="shared" si="207"/>
        <v>0</v>
      </c>
      <c r="AI157">
        <f t="shared" si="208"/>
        <v>-2.3204134009830381E-2</v>
      </c>
      <c r="AJ157">
        <f t="shared" si="209"/>
        <v>6933.7352895667746</v>
      </c>
      <c r="AK157">
        <f t="shared" si="210"/>
        <v>81923.914171417549</v>
      </c>
      <c r="AL157">
        <f t="shared" si="211"/>
        <v>-160637.51315456981</v>
      </c>
      <c r="AM157" s="1">
        <f t="shared" si="212"/>
        <v>-5990.7701521587123</v>
      </c>
      <c r="AN157" s="1">
        <f t="shared" si="188"/>
        <v>31544.342950122551</v>
      </c>
      <c r="AO157">
        <f t="shared" si="189"/>
        <v>-1.6139874268964274</v>
      </c>
      <c r="AP157">
        <f t="shared" si="190"/>
        <v>3.0304258041989867</v>
      </c>
    </row>
    <row r="158" spans="1:42" x14ac:dyDescent="0.25">
      <c r="A158" s="4">
        <v>45868</v>
      </c>
      <c r="B158">
        <f t="shared" ref="B158:N158" si="235">(B708-B707)*100</f>
        <v>-0.99999999999997868</v>
      </c>
      <c r="C158">
        <f t="shared" si="235"/>
        <v>0</v>
      </c>
      <c r="D158">
        <f t="shared" si="235"/>
        <v>-0.99999999999997868</v>
      </c>
      <c r="E158">
        <f t="shared" si="235"/>
        <v>2.0000000000000462</v>
      </c>
      <c r="F158">
        <f t="shared" si="235"/>
        <v>-2.9999999999999361</v>
      </c>
      <c r="G158">
        <f t="shared" si="235"/>
        <v>-4.9999999999999822</v>
      </c>
      <c r="H158">
        <f t="shared" si="235"/>
        <v>-8.0000000000000071</v>
      </c>
      <c r="I158">
        <f t="shared" si="235"/>
        <v>-7.0000000000000284</v>
      </c>
      <c r="J158">
        <f t="shared" si="235"/>
        <v>-6.0000000000000053</v>
      </c>
      <c r="K158">
        <f t="shared" si="235"/>
        <v>-5.0000000000000711</v>
      </c>
      <c r="L158">
        <f t="shared" si="235"/>
        <v>-4.0000000000000036</v>
      </c>
      <c r="M158">
        <f t="shared" si="235"/>
        <v>-4.0000000000000036</v>
      </c>
      <c r="N158">
        <f t="shared" si="235"/>
        <v>-2.9999999999999361</v>
      </c>
      <c r="O158" s="5">
        <f t="shared" si="232"/>
        <v>4.8304087052541958E-3</v>
      </c>
      <c r="P158" s="5">
        <f t="shared" si="232"/>
        <v>9.5823209462028141E-3</v>
      </c>
      <c r="Q158" s="5">
        <f t="shared" si="232"/>
        <v>3.5054437838344474E-4</v>
      </c>
      <c r="R158" s="5">
        <f t="shared" si="232"/>
        <v>6.7491819749283298E-3</v>
      </c>
      <c r="S158" s="5">
        <f t="shared" si="232"/>
        <v>5.6265371423426004E-3</v>
      </c>
      <c r="U158" s="4">
        <v>45868</v>
      </c>
      <c r="V158">
        <f t="shared" si="195"/>
        <v>3999.9999999999145</v>
      </c>
      <c r="W158">
        <f t="shared" si="196"/>
        <v>0</v>
      </c>
      <c r="X158">
        <f t="shared" si="197"/>
        <v>-4589.9999999999018</v>
      </c>
      <c r="Y158">
        <f t="shared" si="198"/>
        <v>-6890.0000000001592</v>
      </c>
      <c r="Z158">
        <f t="shared" si="199"/>
        <v>-16304.999999999653</v>
      </c>
      <c r="AA158">
        <f t="shared" si="200"/>
        <v>9999.9999999999636</v>
      </c>
      <c r="AB158">
        <f t="shared" si="201"/>
        <v>-36512.000000000029</v>
      </c>
      <c r="AC158">
        <f t="shared" si="202"/>
        <v>15561.000000000064</v>
      </c>
      <c r="AD158">
        <f t="shared" si="203"/>
        <v>603264.00000000058</v>
      </c>
      <c r="AE158">
        <f t="shared" si="204"/>
        <v>-5.0000000000000711</v>
      </c>
      <c r="AF158">
        <f t="shared" si="205"/>
        <v>-201292.00000000017</v>
      </c>
      <c r="AG158">
        <f t="shared" si="206"/>
        <v>-101292.00000000009</v>
      </c>
      <c r="AH158">
        <f t="shared" si="207"/>
        <v>-2.9999999999999361</v>
      </c>
      <c r="AI158">
        <f t="shared" si="208"/>
        <v>0.48304087052541955</v>
      </c>
      <c r="AJ158">
        <f t="shared" si="209"/>
        <v>-95823.209462028142</v>
      </c>
      <c r="AK158">
        <f t="shared" si="210"/>
        <v>3505.4437838344475</v>
      </c>
      <c r="AL158">
        <f t="shared" si="211"/>
        <v>-168729.54937320825</v>
      </c>
      <c r="AM158" s="1">
        <f t="shared" si="212"/>
        <v>-56265.371423426004</v>
      </c>
      <c r="AN158" s="1">
        <f t="shared" si="188"/>
        <v>-51376.203433956842</v>
      </c>
      <c r="AO158">
        <f t="shared" si="189"/>
        <v>-1.2300039058460543</v>
      </c>
      <c r="AP158">
        <f t="shared" si="190"/>
        <v>3.0865580909275616</v>
      </c>
    </row>
    <row r="159" spans="1:42" x14ac:dyDescent="0.25">
      <c r="A159" s="4">
        <v>45867</v>
      </c>
      <c r="B159">
        <f t="shared" ref="B159:N159" si="236">(B709-B708)*100</f>
        <v>0</v>
      </c>
      <c r="C159">
        <f t="shared" si="236"/>
        <v>0</v>
      </c>
      <c r="D159">
        <f t="shared" si="236"/>
        <v>0</v>
      </c>
      <c r="E159">
        <f t="shared" si="236"/>
        <v>0.99999999999997868</v>
      </c>
      <c r="F159">
        <f t="shared" si="236"/>
        <v>1.9999999999999574</v>
      </c>
      <c r="G159">
        <f t="shared" si="236"/>
        <v>1.9999999999999574</v>
      </c>
      <c r="H159">
        <f t="shared" si="236"/>
        <v>5.0000000000000266</v>
      </c>
      <c r="I159">
        <f t="shared" si="236"/>
        <v>5.0000000000000266</v>
      </c>
      <c r="J159">
        <f t="shared" si="236"/>
        <v>6.0000000000000053</v>
      </c>
      <c r="K159">
        <f t="shared" si="236"/>
        <v>8.0000000000000071</v>
      </c>
      <c r="L159">
        <f t="shared" si="236"/>
        <v>8.0000000000000071</v>
      </c>
      <c r="M159">
        <f t="shared" si="236"/>
        <v>8.9999999999999858</v>
      </c>
      <c r="N159">
        <f t="shared" si="236"/>
        <v>9.9999999999999645</v>
      </c>
      <c r="O159" s="5">
        <f t="shared" si="232"/>
        <v>-2.0244553875297432E-3</v>
      </c>
      <c r="P159" s="5">
        <f t="shared" si="232"/>
        <v>-5.0547706616240603E-3</v>
      </c>
      <c r="Q159" s="5">
        <f t="shared" si="232"/>
        <v>1.2378437443525101E-2</v>
      </c>
      <c r="R159" s="5">
        <f t="shared" si="232"/>
        <v>0</v>
      </c>
      <c r="S159" s="5">
        <f t="shared" si="232"/>
        <v>-6.6641256601398082E-4</v>
      </c>
      <c r="U159" s="4">
        <v>45867</v>
      </c>
      <c r="V159">
        <f t="shared" si="195"/>
        <v>0</v>
      </c>
      <c r="W159">
        <f t="shared" si="196"/>
        <v>0</v>
      </c>
      <c r="X159">
        <f t="shared" si="197"/>
        <v>0</v>
      </c>
      <c r="Y159">
        <f t="shared" si="198"/>
        <v>-3444.9999999999268</v>
      </c>
      <c r="Z159">
        <f t="shared" si="199"/>
        <v>10869.999999999769</v>
      </c>
      <c r="AA159">
        <f t="shared" si="200"/>
        <v>-3999.9999999999145</v>
      </c>
      <c r="AB159">
        <f t="shared" si="201"/>
        <v>22820.00000000012</v>
      </c>
      <c r="AC159">
        <f t="shared" si="202"/>
        <v>-11115.00000000006</v>
      </c>
      <c r="AD159">
        <f t="shared" si="203"/>
        <v>-603264.00000000058</v>
      </c>
      <c r="AE159">
        <f t="shared" si="204"/>
        <v>8.0000000000000071</v>
      </c>
      <c r="AF159">
        <f t="shared" si="205"/>
        <v>402584.00000000035</v>
      </c>
      <c r="AG159">
        <f t="shared" si="206"/>
        <v>227906.99999999965</v>
      </c>
      <c r="AH159">
        <f t="shared" si="207"/>
        <v>9.9999999999999645</v>
      </c>
      <c r="AI159">
        <f t="shared" si="208"/>
        <v>-0.20244553875297433</v>
      </c>
      <c r="AJ159">
        <f t="shared" si="209"/>
        <v>50547.706616240604</v>
      </c>
      <c r="AK159">
        <f t="shared" si="210"/>
        <v>123784.37443525101</v>
      </c>
      <c r="AL159">
        <f t="shared" si="211"/>
        <v>0</v>
      </c>
      <c r="AM159" s="1">
        <f t="shared" si="212"/>
        <v>6664.1256601398081</v>
      </c>
      <c r="AN159" s="1">
        <f t="shared" si="188"/>
        <v>223371.00426609209</v>
      </c>
      <c r="AO159">
        <f t="shared" si="189"/>
        <v>-2.4440136674038913</v>
      </c>
      <c r="AP159">
        <f t="shared" si="190"/>
        <v>3.2463981875824226</v>
      </c>
    </row>
    <row r="160" spans="1:42" x14ac:dyDescent="0.25">
      <c r="A160" s="4">
        <v>45866</v>
      </c>
      <c r="B160">
        <f t="shared" ref="B160:N160" si="237">(B710-B709)*100</f>
        <v>-3.0000000000000249</v>
      </c>
      <c r="C160">
        <f t="shared" si="237"/>
        <v>0.99999999999997868</v>
      </c>
      <c r="D160">
        <f t="shared" si="237"/>
        <v>1.9999999999999574</v>
      </c>
      <c r="E160">
        <f t="shared" si="237"/>
        <v>0</v>
      </c>
      <c r="F160">
        <f t="shared" si="237"/>
        <v>0.99999999999997868</v>
      </c>
      <c r="G160">
        <f t="shared" si="237"/>
        <v>0</v>
      </c>
      <c r="H160">
        <f t="shared" si="237"/>
        <v>0</v>
      </c>
      <c r="I160">
        <f t="shared" si="237"/>
        <v>-1.0000000000000231</v>
      </c>
      <c r="J160">
        <f t="shared" si="237"/>
        <v>-0.99999999999997868</v>
      </c>
      <c r="K160">
        <f t="shared" si="237"/>
        <v>-2.9999999999999361</v>
      </c>
      <c r="L160">
        <f t="shared" si="237"/>
        <v>-1.9999999999999574</v>
      </c>
      <c r="M160">
        <f t="shared" si="237"/>
        <v>-3.0000000000000249</v>
      </c>
      <c r="N160">
        <f t="shared" si="237"/>
        <v>-4.0000000000000036</v>
      </c>
      <c r="O160" s="5">
        <f t="shared" si="232"/>
        <v>8.1044856298305695E-3</v>
      </c>
      <c r="P160" s="5">
        <f t="shared" si="232"/>
        <v>5.7789710553758158E-3</v>
      </c>
      <c r="Q160" s="5">
        <f t="shared" si="232"/>
        <v>6.8619349545288432E-3</v>
      </c>
      <c r="R160" s="5">
        <f t="shared" si="232"/>
        <v>0</v>
      </c>
      <c r="S160" s="5">
        <f t="shared" si="232"/>
        <v>1.1605504645409999E-2</v>
      </c>
      <c r="U160" s="4">
        <v>45866</v>
      </c>
      <c r="V160">
        <f t="shared" si="195"/>
        <v>12000.0000000001</v>
      </c>
      <c r="W160">
        <f t="shared" si="196"/>
        <v>-2222.9999999999527</v>
      </c>
      <c r="X160">
        <f t="shared" si="197"/>
        <v>9179.9999999998035</v>
      </c>
      <c r="Y160">
        <f t="shared" si="198"/>
        <v>0</v>
      </c>
      <c r="Z160">
        <f t="shared" si="199"/>
        <v>5434.9999999998845</v>
      </c>
      <c r="AA160">
        <f t="shared" si="200"/>
        <v>0</v>
      </c>
      <c r="AB160">
        <f t="shared" si="201"/>
        <v>0</v>
      </c>
      <c r="AC160">
        <f t="shared" si="202"/>
        <v>2223.0000000000514</v>
      </c>
      <c r="AD160">
        <f t="shared" si="203"/>
        <v>100543.99999999786</v>
      </c>
      <c r="AE160">
        <f t="shared" si="204"/>
        <v>-2.9999999999999361</v>
      </c>
      <c r="AF160">
        <f t="shared" si="205"/>
        <v>-100645.99999999786</v>
      </c>
      <c r="AG160">
        <f t="shared" si="206"/>
        <v>-75969.000000000626</v>
      </c>
      <c r="AH160">
        <f t="shared" si="207"/>
        <v>-4.0000000000000036</v>
      </c>
      <c r="AI160">
        <f t="shared" si="208"/>
        <v>0.8104485629830569</v>
      </c>
      <c r="AJ160">
        <f t="shared" si="209"/>
        <v>-57789.710553758159</v>
      </c>
      <c r="AK160">
        <f t="shared" si="210"/>
        <v>68619.349545288438</v>
      </c>
      <c r="AL160">
        <f t="shared" si="211"/>
        <v>0</v>
      </c>
      <c r="AM160" s="1">
        <f t="shared" si="212"/>
        <v>-116055.04645409998</v>
      </c>
      <c r="AN160" s="1">
        <f t="shared" si="188"/>
        <v>-154687.59701400745</v>
      </c>
      <c r="AO160">
        <f t="shared" si="189"/>
        <v>-0.32422206922620456</v>
      </c>
      <c r="AP160">
        <f t="shared" si="190"/>
        <v>3.448804974454049</v>
      </c>
    </row>
    <row r="161" spans="1:42" x14ac:dyDescent="0.25">
      <c r="A161" s="4">
        <v>45863</v>
      </c>
      <c r="B161">
        <f t="shared" ref="B161:N161" si="238">(B711-B710)*100</f>
        <v>0</v>
      </c>
      <c r="C161">
        <f t="shared" si="238"/>
        <v>0</v>
      </c>
      <c r="D161">
        <f t="shared" si="238"/>
        <v>0</v>
      </c>
      <c r="E161">
        <f t="shared" si="238"/>
        <v>0</v>
      </c>
      <c r="F161">
        <f t="shared" si="238"/>
        <v>1.0000000000000675</v>
      </c>
      <c r="G161">
        <f t="shared" si="238"/>
        <v>0.99999999999997868</v>
      </c>
      <c r="H161">
        <f t="shared" si="238"/>
        <v>0</v>
      </c>
      <c r="I161">
        <f t="shared" si="238"/>
        <v>1.0000000000000231</v>
      </c>
      <c r="J161">
        <f t="shared" si="238"/>
        <v>2.9999999999999805</v>
      </c>
      <c r="K161">
        <f t="shared" si="238"/>
        <v>2.9999999999999361</v>
      </c>
      <c r="L161">
        <f t="shared" si="238"/>
        <v>2.9999999999999361</v>
      </c>
      <c r="M161">
        <f t="shared" si="238"/>
        <v>3.0000000000000249</v>
      </c>
      <c r="N161">
        <f t="shared" si="238"/>
        <v>4.0000000000000036</v>
      </c>
      <c r="O161" s="5">
        <f t="shared" si="232"/>
        <v>3.3797554289200166E-3</v>
      </c>
      <c r="P161" s="5">
        <f t="shared" si="232"/>
        <v>1.6314441351912207E-2</v>
      </c>
      <c r="Q161" s="5">
        <f t="shared" si="232"/>
        <v>2.4628998872179421E-3</v>
      </c>
      <c r="R161" s="5">
        <f t="shared" si="232"/>
        <v>8.4685961306785271E-4</v>
      </c>
      <c r="S161" s="5">
        <f t="shared" si="232"/>
        <v>-4.2585650357751498E-4</v>
      </c>
      <c r="U161" s="4">
        <v>45863</v>
      </c>
      <c r="V161">
        <f t="shared" si="195"/>
        <v>0</v>
      </c>
      <c r="W161">
        <f t="shared" si="196"/>
        <v>0</v>
      </c>
      <c r="X161">
        <f t="shared" si="197"/>
        <v>0</v>
      </c>
      <c r="Y161">
        <f t="shared" si="198"/>
        <v>0</v>
      </c>
      <c r="Z161">
        <f t="shared" si="199"/>
        <v>5435.0000000003665</v>
      </c>
      <c r="AA161">
        <f t="shared" si="200"/>
        <v>-1999.9999999999573</v>
      </c>
      <c r="AB161">
        <f t="shared" si="201"/>
        <v>0</v>
      </c>
      <c r="AC161">
        <f t="shared" si="202"/>
        <v>-2223.0000000000514</v>
      </c>
      <c r="AD161">
        <f t="shared" si="203"/>
        <v>-301631.99999999802</v>
      </c>
      <c r="AE161">
        <f t="shared" si="204"/>
        <v>2.9999999999999361</v>
      </c>
      <c r="AF161">
        <f t="shared" si="205"/>
        <v>150968.99999999677</v>
      </c>
      <c r="AG161">
        <f t="shared" si="206"/>
        <v>75969.000000000626</v>
      </c>
      <c r="AH161">
        <f t="shared" si="207"/>
        <v>4.0000000000000036</v>
      </c>
      <c r="AI161">
        <f t="shared" si="208"/>
        <v>0.33797554289200166</v>
      </c>
      <c r="AJ161">
        <f t="shared" si="209"/>
        <v>-163144.41351912206</v>
      </c>
      <c r="AK161">
        <f t="shared" si="210"/>
        <v>24628.998872179422</v>
      </c>
      <c r="AL161">
        <f t="shared" si="211"/>
        <v>-21171.490326696319</v>
      </c>
      <c r="AM161" s="1">
        <f t="shared" si="212"/>
        <v>4258.5650357751501</v>
      </c>
      <c r="AN161" s="1">
        <f t="shared" si="188"/>
        <v>-228903.00196232117</v>
      </c>
      <c r="AO161">
        <f t="shared" si="189"/>
        <v>-2.5138939113750833</v>
      </c>
      <c r="AP161">
        <f t="shared" si="190"/>
        <v>3.4493098531938142</v>
      </c>
    </row>
    <row r="162" spans="1:42" x14ac:dyDescent="0.25">
      <c r="A162" s="4">
        <v>45862</v>
      </c>
      <c r="B162">
        <f t="shared" ref="B162:N162" si="239">(B712-B711)*100</f>
        <v>0</v>
      </c>
      <c r="C162">
        <f t="shared" si="239"/>
        <v>-0.99999999999997868</v>
      </c>
      <c r="D162">
        <f t="shared" si="239"/>
        <v>-0.99999999999997868</v>
      </c>
      <c r="E162">
        <f t="shared" si="239"/>
        <v>0</v>
      </c>
      <c r="F162">
        <f t="shared" si="239"/>
        <v>-1.0000000000000675</v>
      </c>
      <c r="G162">
        <f t="shared" si="239"/>
        <v>-1.9999999999999574</v>
      </c>
      <c r="H162">
        <f t="shared" si="239"/>
        <v>-3.0000000000000249</v>
      </c>
      <c r="I162">
        <f t="shared" si="239"/>
        <v>-3.0000000000000249</v>
      </c>
      <c r="J162">
        <f t="shared" si="239"/>
        <v>-4.0000000000000036</v>
      </c>
      <c r="K162">
        <f t="shared" si="239"/>
        <v>-2.9999999999999361</v>
      </c>
      <c r="L162">
        <f t="shared" si="239"/>
        <v>-2.9999999999999361</v>
      </c>
      <c r="M162">
        <f t="shared" si="239"/>
        <v>-2.0000000000000462</v>
      </c>
      <c r="N162">
        <f t="shared" si="239"/>
        <v>-0.99999999999997868</v>
      </c>
      <c r="O162" s="5">
        <f t="shared" si="232"/>
        <v>-5.3805311713916518E-3</v>
      </c>
      <c r="P162" s="5">
        <f t="shared" si="232"/>
        <v>7.1338961649067426E-3</v>
      </c>
      <c r="Q162" s="5">
        <f t="shared" si="232"/>
        <v>-4.699508735920576E-3</v>
      </c>
      <c r="R162" s="5">
        <f t="shared" si="232"/>
        <v>-3.6645566026928785E-3</v>
      </c>
      <c r="S162" s="5">
        <f t="shared" si="232"/>
        <v>1.1809846685220356E-3</v>
      </c>
      <c r="U162" s="4">
        <v>45862</v>
      </c>
      <c r="V162">
        <f t="shared" si="195"/>
        <v>0</v>
      </c>
      <c r="W162">
        <f t="shared" si="196"/>
        <v>2222.9999999999527</v>
      </c>
      <c r="X162">
        <f t="shared" si="197"/>
        <v>-4589.9999999999018</v>
      </c>
      <c r="Y162">
        <f t="shared" si="198"/>
        <v>0</v>
      </c>
      <c r="Z162">
        <f t="shared" si="199"/>
        <v>-5435.0000000003665</v>
      </c>
      <c r="AA162">
        <f t="shared" si="200"/>
        <v>3999.9999999999145</v>
      </c>
      <c r="AB162">
        <f t="shared" si="201"/>
        <v>-13692.000000000113</v>
      </c>
      <c r="AC162">
        <f t="shared" si="202"/>
        <v>6669.0000000000555</v>
      </c>
      <c r="AD162">
        <f t="shared" si="203"/>
        <v>402176.00000000035</v>
      </c>
      <c r="AE162">
        <f t="shared" si="204"/>
        <v>-2.9999999999999361</v>
      </c>
      <c r="AF162">
        <f t="shared" si="205"/>
        <v>-150968.99999999677</v>
      </c>
      <c r="AG162">
        <f t="shared" si="206"/>
        <v>-50646.000000001171</v>
      </c>
      <c r="AH162">
        <f t="shared" si="207"/>
        <v>-0.99999999999997868</v>
      </c>
      <c r="AI162">
        <f t="shared" si="208"/>
        <v>-0.53805311713916515</v>
      </c>
      <c r="AJ162">
        <f t="shared" si="209"/>
        <v>-71338.961649067423</v>
      </c>
      <c r="AK162">
        <f t="shared" si="210"/>
        <v>-46995.087359205761</v>
      </c>
      <c r="AL162">
        <f t="shared" si="211"/>
        <v>91613.915067321956</v>
      </c>
      <c r="AM162" s="1">
        <f t="shared" si="212"/>
        <v>-11809.846685220356</v>
      </c>
      <c r="AN162" s="1">
        <f t="shared" si="188"/>
        <v>151201.48132071324</v>
      </c>
      <c r="AO162">
        <f t="shared" si="189"/>
        <v>-0.58628510462819805</v>
      </c>
      <c r="AP162">
        <f t="shared" si="190"/>
        <v>3.5972575925766797</v>
      </c>
    </row>
    <row r="163" spans="1:42" x14ac:dyDescent="0.25">
      <c r="A163" s="4">
        <v>45861</v>
      </c>
      <c r="B163">
        <f t="shared" ref="B163:N163" si="240">(B713-B712)*100</f>
        <v>0</v>
      </c>
      <c r="C163">
        <f t="shared" si="240"/>
        <v>0</v>
      </c>
      <c r="D163">
        <f t="shared" si="240"/>
        <v>0</v>
      </c>
      <c r="E163">
        <f t="shared" si="240"/>
        <v>0</v>
      </c>
      <c r="F163">
        <f t="shared" si="240"/>
        <v>-0.99999999999997868</v>
      </c>
      <c r="G163">
        <f t="shared" si="240"/>
        <v>-3.0000000000000249</v>
      </c>
      <c r="H163">
        <f t="shared" si="240"/>
        <v>-4.9999999999999822</v>
      </c>
      <c r="I163">
        <f t="shared" si="240"/>
        <v>-6.999999999999984</v>
      </c>
      <c r="J163">
        <f t="shared" si="240"/>
        <v>-6.0000000000000053</v>
      </c>
      <c r="K163">
        <f t="shared" si="240"/>
        <v>-6.0000000000000497</v>
      </c>
      <c r="L163">
        <f t="shared" si="240"/>
        <v>-5.0000000000000711</v>
      </c>
      <c r="M163">
        <f t="shared" si="240"/>
        <v>-2.9999999999999361</v>
      </c>
      <c r="N163">
        <f t="shared" si="240"/>
        <v>-4.9999999999999822</v>
      </c>
      <c r="O163" s="5">
        <f t="shared" si="232"/>
        <v>-3.0924152655538127E-3</v>
      </c>
      <c r="P163" s="5">
        <f t="shared" si="232"/>
        <v>-7.3817796462147169E-3</v>
      </c>
      <c r="Q163" s="5">
        <f t="shared" si="232"/>
        <v>-3.4030555602865089E-3</v>
      </c>
      <c r="R163" s="5">
        <f t="shared" si="232"/>
        <v>0</v>
      </c>
      <c r="S163" s="5">
        <f t="shared" si="232"/>
        <v>-5.67107236146123E-3</v>
      </c>
      <c r="U163" s="4">
        <v>45861</v>
      </c>
      <c r="V163">
        <f t="shared" si="195"/>
        <v>0</v>
      </c>
      <c r="W163">
        <f t="shared" si="196"/>
        <v>0</v>
      </c>
      <c r="X163">
        <f t="shared" si="197"/>
        <v>0</v>
      </c>
      <c r="Y163">
        <f t="shared" si="198"/>
        <v>0</v>
      </c>
      <c r="Z163">
        <f t="shared" si="199"/>
        <v>-5434.9999999998845</v>
      </c>
      <c r="AA163">
        <f t="shared" si="200"/>
        <v>6000.00000000005</v>
      </c>
      <c r="AB163">
        <f t="shared" si="201"/>
        <v>-22819.99999999992</v>
      </c>
      <c r="AC163">
        <f t="shared" si="202"/>
        <v>15560.999999999964</v>
      </c>
      <c r="AD163">
        <f t="shared" si="203"/>
        <v>603264.00000000058</v>
      </c>
      <c r="AE163">
        <f t="shared" si="204"/>
        <v>-6.0000000000000497</v>
      </c>
      <c r="AF163">
        <f t="shared" si="205"/>
        <v>-251615.00000000358</v>
      </c>
      <c r="AG163">
        <f t="shared" si="206"/>
        <v>-75968.999999998385</v>
      </c>
      <c r="AH163">
        <f t="shared" si="207"/>
        <v>-4.9999999999999822</v>
      </c>
      <c r="AI163">
        <f t="shared" si="208"/>
        <v>-0.30924152655538129</v>
      </c>
      <c r="AJ163">
        <f t="shared" si="209"/>
        <v>73817.796462147176</v>
      </c>
      <c r="AK163">
        <f t="shared" si="210"/>
        <v>-34030.55560286509</v>
      </c>
      <c r="AL163">
        <f t="shared" si="211"/>
        <v>0</v>
      </c>
      <c r="AM163" s="1">
        <f t="shared" si="212"/>
        <v>56710.723614612303</v>
      </c>
      <c r="AN163" s="1">
        <f t="shared" si="188"/>
        <v>365472.6552323667</v>
      </c>
      <c r="AO163">
        <f t="shared" si="189"/>
        <v>-3.4536670583483455</v>
      </c>
      <c r="AP163">
        <f t="shared" si="190"/>
        <v>3.6004186626341639</v>
      </c>
    </row>
    <row r="164" spans="1:42" x14ac:dyDescent="0.25">
      <c r="A164" s="4">
        <v>45860</v>
      </c>
      <c r="B164">
        <f t="shared" ref="B164:N164" si="241">(B714-B713)*100</f>
        <v>-2.0000000000000462</v>
      </c>
      <c r="C164">
        <f t="shared" si="241"/>
        <v>0.99999999999997868</v>
      </c>
      <c r="D164">
        <f t="shared" si="241"/>
        <v>0</v>
      </c>
      <c r="E164">
        <f t="shared" si="241"/>
        <v>0</v>
      </c>
      <c r="F164">
        <f t="shared" si="241"/>
        <v>0</v>
      </c>
      <c r="G164">
        <f t="shared" si="241"/>
        <v>0.99999999999997868</v>
      </c>
      <c r="H164">
        <f t="shared" si="241"/>
        <v>2.0000000000000018</v>
      </c>
      <c r="I164">
        <f t="shared" si="241"/>
        <v>4.0000000000000036</v>
      </c>
      <c r="J164">
        <f t="shared" si="241"/>
        <v>3.0000000000000249</v>
      </c>
      <c r="K164">
        <f t="shared" si="241"/>
        <v>4.0000000000000036</v>
      </c>
      <c r="L164">
        <f t="shared" si="241"/>
        <v>3.0000000000000249</v>
      </c>
      <c r="M164">
        <f t="shared" si="241"/>
        <v>2.9999999999999361</v>
      </c>
      <c r="N164">
        <f t="shared" si="241"/>
        <v>4.0000000000000036</v>
      </c>
      <c r="O164" s="5">
        <f t="shared" si="232"/>
        <v>1.5090546123296934E-3</v>
      </c>
      <c r="P164" s="5">
        <f t="shared" si="232"/>
        <v>7.488088587514913E-3</v>
      </c>
      <c r="Q164" s="5">
        <f t="shared" si="232"/>
        <v>-5.1089674258445834E-3</v>
      </c>
      <c r="R164" s="5">
        <f t="shared" si="232"/>
        <v>-1.4058767955961277E-3</v>
      </c>
      <c r="S164" s="5">
        <f t="shared" si="232"/>
        <v>-1.254691853608037E-3</v>
      </c>
      <c r="U164" s="4">
        <v>45860</v>
      </c>
      <c r="V164">
        <f t="shared" si="195"/>
        <v>8000.0000000001846</v>
      </c>
      <c r="W164">
        <f t="shared" si="196"/>
        <v>-2222.9999999999527</v>
      </c>
      <c r="X164">
        <f t="shared" si="197"/>
        <v>0</v>
      </c>
      <c r="Y164">
        <f t="shared" si="198"/>
        <v>0</v>
      </c>
      <c r="Z164">
        <f t="shared" si="199"/>
        <v>0</v>
      </c>
      <c r="AA164">
        <f t="shared" si="200"/>
        <v>-1999.9999999999573</v>
      </c>
      <c r="AB164">
        <f t="shared" si="201"/>
        <v>9128.0000000000073</v>
      </c>
      <c r="AC164">
        <f t="shared" si="202"/>
        <v>-8892.0000000000073</v>
      </c>
      <c r="AD164">
        <f t="shared" si="203"/>
        <v>-301632.0000000025</v>
      </c>
      <c r="AE164">
        <f t="shared" si="204"/>
        <v>4.0000000000000036</v>
      </c>
      <c r="AF164">
        <f t="shared" si="205"/>
        <v>150969.00000000125</v>
      </c>
      <c r="AG164">
        <f t="shared" si="206"/>
        <v>75968.999999998385</v>
      </c>
      <c r="AH164">
        <f t="shared" si="207"/>
        <v>4.0000000000000036</v>
      </c>
      <c r="AI164">
        <f t="shared" si="208"/>
        <v>0.15090546123296933</v>
      </c>
      <c r="AJ164">
        <f t="shared" si="209"/>
        <v>-74880.885875149135</v>
      </c>
      <c r="AK164">
        <f t="shared" si="210"/>
        <v>-51089.674258445833</v>
      </c>
      <c r="AL164">
        <f t="shared" si="211"/>
        <v>35146.919889903191</v>
      </c>
      <c r="AM164" s="1">
        <f t="shared" si="212"/>
        <v>12546.918536080369</v>
      </c>
      <c r="AN164" s="1">
        <f t="shared" si="188"/>
        <v>-148949.57080215274</v>
      </c>
      <c r="AO164">
        <f t="shared" si="189"/>
        <v>0.58529315306029583</v>
      </c>
      <c r="AP164">
        <f t="shared" si="190"/>
        <v>3.5487998410797421</v>
      </c>
    </row>
    <row r="165" spans="1:42" x14ac:dyDescent="0.25">
      <c r="A165" s="4">
        <v>45859</v>
      </c>
      <c r="B165">
        <f t="shared" ref="B165:N165" si="242">(B715-B714)*100</f>
        <v>0</v>
      </c>
      <c r="C165">
        <f t="shared" si="242"/>
        <v>0</v>
      </c>
      <c r="D165">
        <f t="shared" si="242"/>
        <v>-0.99999999999997868</v>
      </c>
      <c r="E165">
        <f t="shared" si="242"/>
        <v>0</v>
      </c>
      <c r="F165">
        <f t="shared" si="242"/>
        <v>0</v>
      </c>
      <c r="G165">
        <f t="shared" si="242"/>
        <v>2.0000000000000462</v>
      </c>
      <c r="H165">
        <f t="shared" si="242"/>
        <v>2.9999999999999805</v>
      </c>
      <c r="I165">
        <f t="shared" si="242"/>
        <v>2.9999999999999805</v>
      </c>
      <c r="J165">
        <f t="shared" si="242"/>
        <v>4.9999999999999822</v>
      </c>
      <c r="K165">
        <f t="shared" si="242"/>
        <v>4.9999999999999822</v>
      </c>
      <c r="L165">
        <f t="shared" si="242"/>
        <v>6.0000000000000497</v>
      </c>
      <c r="M165">
        <f t="shared" si="242"/>
        <v>6.0000000000000497</v>
      </c>
      <c r="N165">
        <f t="shared" si="242"/>
        <v>5.9999999999999609</v>
      </c>
      <c r="O165" s="5">
        <f t="shared" ref="O165:S174" si="243">LN(O714/O715)</f>
        <v>2.862674683035347E-3</v>
      </c>
      <c r="P165" s="5">
        <f t="shared" si="243"/>
        <v>6.8597499054575415E-3</v>
      </c>
      <c r="Q165" s="5">
        <f t="shared" si="243"/>
        <v>-5.424396056676402E-3</v>
      </c>
      <c r="R165" s="5">
        <f t="shared" si="243"/>
        <v>-1.6844473382035578E-3</v>
      </c>
      <c r="S165" s="5">
        <f t="shared" si="243"/>
        <v>-3.7172875080854102E-3</v>
      </c>
      <c r="U165" s="4">
        <v>45859</v>
      </c>
      <c r="V165">
        <f t="shared" si="195"/>
        <v>0</v>
      </c>
      <c r="W165">
        <f t="shared" si="196"/>
        <v>0</v>
      </c>
      <c r="X165">
        <f t="shared" si="197"/>
        <v>-4589.9999999999018</v>
      </c>
      <c r="Y165">
        <f t="shared" si="198"/>
        <v>0</v>
      </c>
      <c r="Z165">
        <f t="shared" si="199"/>
        <v>0</v>
      </c>
      <c r="AA165">
        <f t="shared" si="200"/>
        <v>-4000.0000000000923</v>
      </c>
      <c r="AB165">
        <f t="shared" si="201"/>
        <v>13691.999999999911</v>
      </c>
      <c r="AC165">
        <f t="shared" si="202"/>
        <v>-6668.9999999999563</v>
      </c>
      <c r="AD165">
        <f t="shared" si="203"/>
        <v>-502719.9999999982</v>
      </c>
      <c r="AE165">
        <f t="shared" si="204"/>
        <v>4.9999999999999822</v>
      </c>
      <c r="AF165">
        <f t="shared" si="205"/>
        <v>301938.0000000025</v>
      </c>
      <c r="AG165">
        <f t="shared" si="206"/>
        <v>151938.00000000125</v>
      </c>
      <c r="AH165">
        <f t="shared" si="207"/>
        <v>5.9999999999999609</v>
      </c>
      <c r="AI165">
        <f t="shared" si="208"/>
        <v>0.28626746830353472</v>
      </c>
      <c r="AJ165">
        <f t="shared" si="209"/>
        <v>-68597.499054575412</v>
      </c>
      <c r="AK165">
        <f t="shared" si="210"/>
        <v>-54243.960566764021</v>
      </c>
      <c r="AL165">
        <f t="shared" si="211"/>
        <v>42111.183455088947</v>
      </c>
      <c r="AM165" s="1">
        <f t="shared" si="212"/>
        <v>37172.875080854101</v>
      </c>
      <c r="AN165" s="1">
        <f t="shared" si="188"/>
        <v>-93957.114817922586</v>
      </c>
      <c r="AO165">
        <f t="shared" si="189"/>
        <v>-0.70737424161127627</v>
      </c>
      <c r="AP165">
        <f t="shared" si="190"/>
        <v>3.5578272449086916</v>
      </c>
    </row>
    <row r="166" spans="1:42" x14ac:dyDescent="0.25">
      <c r="A166" s="4">
        <v>45856</v>
      </c>
      <c r="B166">
        <f t="shared" ref="B166:N166" si="244">(B716-B715)*100</f>
        <v>1.0000000000000675</v>
      </c>
      <c r="C166">
        <f t="shared" si="244"/>
        <v>0.99999999999997868</v>
      </c>
      <c r="D166">
        <f t="shared" si="244"/>
        <v>0.99999999999997868</v>
      </c>
      <c r="E166">
        <f t="shared" si="244"/>
        <v>0</v>
      </c>
      <c r="F166">
        <f t="shared" si="244"/>
        <v>0.99999999999997868</v>
      </c>
      <c r="G166">
        <f t="shared" si="244"/>
        <v>1.9999999999999574</v>
      </c>
      <c r="H166">
        <f t="shared" si="244"/>
        <v>3.0000000000000249</v>
      </c>
      <c r="I166">
        <f t="shared" si="244"/>
        <v>5.0000000000000266</v>
      </c>
      <c r="J166">
        <f t="shared" si="244"/>
        <v>4.9999999999999822</v>
      </c>
      <c r="K166">
        <f t="shared" si="244"/>
        <v>4.0000000000000036</v>
      </c>
      <c r="L166">
        <f t="shared" si="244"/>
        <v>2.9999999999999361</v>
      </c>
      <c r="M166">
        <f t="shared" si="244"/>
        <v>1.9999999999999574</v>
      </c>
      <c r="N166">
        <f t="shared" si="244"/>
        <v>0.99999999999997868</v>
      </c>
      <c r="O166" s="5">
        <f t="shared" si="243"/>
        <v>-4.8742418687537639E-3</v>
      </c>
      <c r="P166" s="5">
        <f t="shared" si="243"/>
        <v>-1.3691042967706955E-4</v>
      </c>
      <c r="Q166" s="5">
        <f t="shared" si="243"/>
        <v>1.1695120949243641E-3</v>
      </c>
      <c r="R166" s="5">
        <f t="shared" si="243"/>
        <v>1.9654646226159342E-3</v>
      </c>
      <c r="S166" s="5">
        <f t="shared" si="243"/>
        <v>-1.3711019777563594E-3</v>
      </c>
      <c r="U166" s="4">
        <v>45856</v>
      </c>
      <c r="V166">
        <f t="shared" si="195"/>
        <v>-4000.0000000002701</v>
      </c>
      <c r="W166">
        <f t="shared" si="196"/>
        <v>-2222.9999999999527</v>
      </c>
      <c r="X166">
        <f t="shared" si="197"/>
        <v>4589.9999999999018</v>
      </c>
      <c r="Y166">
        <f t="shared" si="198"/>
        <v>0</v>
      </c>
      <c r="Z166">
        <f t="shared" si="199"/>
        <v>5434.9999999998845</v>
      </c>
      <c r="AA166">
        <f t="shared" si="200"/>
        <v>-3999.9999999999145</v>
      </c>
      <c r="AB166">
        <f t="shared" si="201"/>
        <v>13692.000000000113</v>
      </c>
      <c r="AC166">
        <f t="shared" si="202"/>
        <v>-11115.00000000006</v>
      </c>
      <c r="AD166">
        <f t="shared" si="203"/>
        <v>-502719.9999999982</v>
      </c>
      <c r="AE166">
        <f t="shared" si="204"/>
        <v>4.0000000000000036</v>
      </c>
      <c r="AF166">
        <f t="shared" si="205"/>
        <v>150968.99999999677</v>
      </c>
      <c r="AG166">
        <f t="shared" si="206"/>
        <v>50645.999999998923</v>
      </c>
      <c r="AH166">
        <f t="shared" si="207"/>
        <v>0.99999999999997868</v>
      </c>
      <c r="AI166">
        <f t="shared" si="208"/>
        <v>-0.48742418687537636</v>
      </c>
      <c r="AJ166">
        <f t="shared" si="209"/>
        <v>1369.1042967706956</v>
      </c>
      <c r="AK166">
        <f t="shared" si="210"/>
        <v>11695.120949243641</v>
      </c>
      <c r="AL166">
        <f t="shared" si="211"/>
        <v>-49136.615565398351</v>
      </c>
      <c r="AM166" s="1">
        <f t="shared" si="212"/>
        <v>13711.019777563593</v>
      </c>
      <c r="AN166" s="1">
        <f t="shared" si="188"/>
        <v>-321082.85796601011</v>
      </c>
      <c r="AO166">
        <f t="shared" si="189"/>
        <v>-8.8078614552370649</v>
      </c>
      <c r="AP166">
        <f t="shared" si="190"/>
        <v>3.8634495427603968</v>
      </c>
    </row>
    <row r="167" spans="1:42" x14ac:dyDescent="0.25">
      <c r="A167" s="4">
        <v>45855</v>
      </c>
      <c r="B167">
        <f t="shared" ref="B167:N167" si="245">(B717-B716)*100</f>
        <v>0</v>
      </c>
      <c r="C167">
        <f t="shared" si="245"/>
        <v>-1.9999999999999574</v>
      </c>
      <c r="D167">
        <f t="shared" si="245"/>
        <v>0</v>
      </c>
      <c r="E167">
        <f t="shared" si="245"/>
        <v>0</v>
      </c>
      <c r="F167">
        <f t="shared" si="245"/>
        <v>0</v>
      </c>
      <c r="G167">
        <f t="shared" si="245"/>
        <v>-1.9999999999999574</v>
      </c>
      <c r="H167">
        <f t="shared" si="245"/>
        <v>-3.0000000000000249</v>
      </c>
      <c r="I167">
        <f t="shared" si="245"/>
        <v>-3.0000000000000249</v>
      </c>
      <c r="J167">
        <f t="shared" si="245"/>
        <v>-1.9999999999999574</v>
      </c>
      <c r="K167">
        <f t="shared" si="245"/>
        <v>-0.99999999999997868</v>
      </c>
      <c r="L167">
        <f t="shared" si="245"/>
        <v>-0.99999999999997868</v>
      </c>
      <c r="M167">
        <f t="shared" si="245"/>
        <v>0</v>
      </c>
      <c r="N167">
        <f t="shared" si="245"/>
        <v>0</v>
      </c>
      <c r="O167" s="5">
        <f t="shared" si="243"/>
        <v>2.6917176012437703E-4</v>
      </c>
      <c r="P167" s="5">
        <f t="shared" si="243"/>
        <v>8.7156825538424638E-4</v>
      </c>
      <c r="Q167" s="5">
        <f t="shared" si="243"/>
        <v>-1.624527614667271E-3</v>
      </c>
      <c r="R167" s="5">
        <f t="shared" si="243"/>
        <v>2.8145247963103563E-3</v>
      </c>
      <c r="S167" s="5">
        <f t="shared" si="243"/>
        <v>1.5739926364055166E-3</v>
      </c>
      <c r="U167" s="4">
        <v>45855</v>
      </c>
      <c r="V167">
        <f t="shared" si="195"/>
        <v>0</v>
      </c>
      <c r="W167">
        <f t="shared" si="196"/>
        <v>4445.9999999999054</v>
      </c>
      <c r="X167">
        <f t="shared" si="197"/>
        <v>0</v>
      </c>
      <c r="Y167">
        <f t="shared" si="198"/>
        <v>0</v>
      </c>
      <c r="Z167">
        <f t="shared" si="199"/>
        <v>0</v>
      </c>
      <c r="AA167">
        <f t="shared" si="200"/>
        <v>3999.9999999999145</v>
      </c>
      <c r="AB167">
        <f t="shared" si="201"/>
        <v>-13692.000000000113</v>
      </c>
      <c r="AC167">
        <f t="shared" si="202"/>
        <v>6669.0000000000555</v>
      </c>
      <c r="AD167">
        <f t="shared" si="203"/>
        <v>201087.99999999572</v>
      </c>
      <c r="AE167">
        <f t="shared" si="204"/>
        <v>-0.99999999999997868</v>
      </c>
      <c r="AF167">
        <f t="shared" si="205"/>
        <v>-50322.99999999893</v>
      </c>
      <c r="AG167">
        <f t="shared" si="206"/>
        <v>0</v>
      </c>
      <c r="AH167">
        <f t="shared" si="207"/>
        <v>0</v>
      </c>
      <c r="AI167">
        <f t="shared" si="208"/>
        <v>2.6917176012437705E-2</v>
      </c>
      <c r="AJ167">
        <f t="shared" si="209"/>
        <v>-8715.6825538424637</v>
      </c>
      <c r="AK167">
        <f t="shared" si="210"/>
        <v>-16245.27614667271</v>
      </c>
      <c r="AL167">
        <f t="shared" si="211"/>
        <v>-70363.119907758912</v>
      </c>
      <c r="AM167" s="1">
        <f t="shared" si="212"/>
        <v>-15739.926364055165</v>
      </c>
      <c r="AN167" s="1">
        <f t="shared" si="188"/>
        <v>41123.02194484332</v>
      </c>
      <c r="AO167">
        <f t="shared" si="189"/>
        <v>-1.2081417854816017</v>
      </c>
      <c r="AP167">
        <f t="shared" si="190"/>
        <v>3.4453853626126398</v>
      </c>
    </row>
    <row r="168" spans="1:42" x14ac:dyDescent="0.25">
      <c r="A168" s="4">
        <v>45854</v>
      </c>
      <c r="B168">
        <f t="shared" ref="B168:N168" si="246">(B718-B717)*100</f>
        <v>0</v>
      </c>
      <c r="C168">
        <f t="shared" si="246"/>
        <v>0.99999999999997868</v>
      </c>
      <c r="D168">
        <f t="shared" si="246"/>
        <v>0.99999999999997868</v>
      </c>
      <c r="E168">
        <f t="shared" si="246"/>
        <v>0.99999999999997868</v>
      </c>
      <c r="F168">
        <f t="shared" si="246"/>
        <v>2.0000000000000462</v>
      </c>
      <c r="G168">
        <f t="shared" si="246"/>
        <v>4.0000000000000036</v>
      </c>
      <c r="H168">
        <f t="shared" si="246"/>
        <v>7.0000000000000284</v>
      </c>
      <c r="I168">
        <f t="shared" si="246"/>
        <v>7.0000000000000284</v>
      </c>
      <c r="J168">
        <f t="shared" si="246"/>
        <v>5.9999999999999609</v>
      </c>
      <c r="K168">
        <f t="shared" si="246"/>
        <v>4.9999999999999822</v>
      </c>
      <c r="L168">
        <f t="shared" si="246"/>
        <v>4.0000000000000036</v>
      </c>
      <c r="M168">
        <f t="shared" si="246"/>
        <v>0.99999999999997868</v>
      </c>
      <c r="N168">
        <f t="shared" si="246"/>
        <v>0</v>
      </c>
      <c r="O168" s="5">
        <f t="shared" si="243"/>
        <v>2.6327272903867195E-3</v>
      </c>
      <c r="P168" s="5">
        <f t="shared" si="243"/>
        <v>-3.4817244821695025E-3</v>
      </c>
      <c r="Q168" s="5">
        <f t="shared" si="243"/>
        <v>0</v>
      </c>
      <c r="R168" s="5">
        <f t="shared" si="243"/>
        <v>-3.0955420807225525E-3</v>
      </c>
      <c r="S168" s="5">
        <f t="shared" si="243"/>
        <v>-4.8686780843651377E-3</v>
      </c>
      <c r="U168" s="4">
        <v>45854</v>
      </c>
      <c r="V168">
        <f t="shared" si="195"/>
        <v>0</v>
      </c>
      <c r="W168">
        <f t="shared" si="196"/>
        <v>-2222.9999999999527</v>
      </c>
      <c r="X168">
        <f t="shared" si="197"/>
        <v>4589.9999999999018</v>
      </c>
      <c r="Y168">
        <f t="shared" si="198"/>
        <v>-3444.9999999999268</v>
      </c>
      <c r="Z168">
        <f t="shared" si="199"/>
        <v>10870.000000000251</v>
      </c>
      <c r="AA168">
        <f t="shared" si="200"/>
        <v>-8000.0000000000073</v>
      </c>
      <c r="AB168">
        <f t="shared" si="201"/>
        <v>31948.000000000131</v>
      </c>
      <c r="AC168">
        <f t="shared" si="202"/>
        <v>-15561.000000000064</v>
      </c>
      <c r="AD168">
        <f t="shared" si="203"/>
        <v>-603263.99999999604</v>
      </c>
      <c r="AE168">
        <f t="shared" si="204"/>
        <v>4.9999999999999822</v>
      </c>
      <c r="AF168">
        <f t="shared" si="205"/>
        <v>201292.00000000017</v>
      </c>
      <c r="AG168">
        <f t="shared" si="206"/>
        <v>25322.999999999462</v>
      </c>
      <c r="AH168">
        <f t="shared" si="207"/>
        <v>0</v>
      </c>
      <c r="AI168">
        <f t="shared" si="208"/>
        <v>0.26327272903867194</v>
      </c>
      <c r="AJ168">
        <f t="shared" si="209"/>
        <v>34817.244821695029</v>
      </c>
      <c r="AK168">
        <f t="shared" si="210"/>
        <v>0</v>
      </c>
      <c r="AL168">
        <f t="shared" si="211"/>
        <v>77388.552018063812</v>
      </c>
      <c r="AM168" s="1">
        <f t="shared" si="212"/>
        <v>48686.780843651373</v>
      </c>
      <c r="AN168" s="1">
        <f t="shared" si="188"/>
        <v>-197572.15904385678</v>
      </c>
      <c r="AO168">
        <f t="shared" si="189"/>
        <v>-1.7453818351512349</v>
      </c>
      <c r="AP168">
        <f t="shared" si="190"/>
        <v>7.1906301367062495</v>
      </c>
    </row>
    <row r="169" spans="1:42" x14ac:dyDescent="0.25">
      <c r="A169" s="4">
        <v>45853</v>
      </c>
      <c r="B169">
        <f t="shared" ref="B169:N169" si="247">(B719-B718)*100</f>
        <v>0.99999999999997868</v>
      </c>
      <c r="C169">
        <f t="shared" si="247"/>
        <v>0</v>
      </c>
      <c r="D169">
        <f t="shared" si="247"/>
        <v>0</v>
      </c>
      <c r="E169">
        <f t="shared" si="247"/>
        <v>-0.99999999999997868</v>
      </c>
      <c r="F169">
        <f t="shared" si="247"/>
        <v>-2.0000000000000462</v>
      </c>
      <c r="G169">
        <f t="shared" si="247"/>
        <v>-4.0000000000000036</v>
      </c>
      <c r="H169">
        <f t="shared" si="247"/>
        <v>-5.0000000000000266</v>
      </c>
      <c r="I169">
        <f t="shared" si="247"/>
        <v>-7.0000000000000284</v>
      </c>
      <c r="J169">
        <f t="shared" si="247"/>
        <v>-6.999999999999984</v>
      </c>
      <c r="K169">
        <f t="shared" si="247"/>
        <v>-6.9999999999999396</v>
      </c>
      <c r="L169">
        <f t="shared" si="247"/>
        <v>-7.0000000000000284</v>
      </c>
      <c r="M169">
        <f t="shared" si="247"/>
        <v>-4.9999999999999822</v>
      </c>
      <c r="N169">
        <f t="shared" si="247"/>
        <v>-4.0000000000000036</v>
      </c>
      <c r="O169" s="5">
        <f t="shared" si="243"/>
        <v>-3.5083142909843914E-4</v>
      </c>
      <c r="P169" s="5">
        <f t="shared" si="243"/>
        <v>7.0131144395679306E-3</v>
      </c>
      <c r="Q169" s="5">
        <f t="shared" si="243"/>
        <v>1.1950530950070305E-2</v>
      </c>
      <c r="R169" s="5">
        <f t="shared" si="243"/>
        <v>-1.9649129128928989E-3</v>
      </c>
      <c r="S169" s="5">
        <f t="shared" si="243"/>
        <v>4.7672276094631967E-3</v>
      </c>
      <c r="U169" s="4">
        <v>45853</v>
      </c>
      <c r="V169">
        <f t="shared" si="195"/>
        <v>-3999.9999999999145</v>
      </c>
      <c r="W169">
        <f t="shared" si="196"/>
        <v>0</v>
      </c>
      <c r="X169">
        <f t="shared" si="197"/>
        <v>0</v>
      </c>
      <c r="Y169">
        <f t="shared" si="198"/>
        <v>3444.9999999999268</v>
      </c>
      <c r="Z169">
        <f t="shared" si="199"/>
        <v>-10870.000000000251</v>
      </c>
      <c r="AA169">
        <f t="shared" si="200"/>
        <v>8000.0000000000073</v>
      </c>
      <c r="AB169">
        <f t="shared" si="201"/>
        <v>-22820.00000000012</v>
      </c>
      <c r="AC169">
        <f t="shared" si="202"/>
        <v>15561.000000000064</v>
      </c>
      <c r="AD169">
        <f t="shared" si="203"/>
        <v>703807.99999999837</v>
      </c>
      <c r="AE169">
        <f t="shared" si="204"/>
        <v>-6.9999999999999396</v>
      </c>
      <c r="AF169">
        <f t="shared" si="205"/>
        <v>-352261.00000000146</v>
      </c>
      <c r="AG169">
        <f t="shared" si="206"/>
        <v>-126614.99999999955</v>
      </c>
      <c r="AH169">
        <f t="shared" si="207"/>
        <v>-4.0000000000000036</v>
      </c>
      <c r="AI169">
        <f t="shared" si="208"/>
        <v>-3.5083142909843913E-2</v>
      </c>
      <c r="AJ169">
        <f t="shared" si="209"/>
        <v>-70131.144395679308</v>
      </c>
      <c r="AK169">
        <f t="shared" si="210"/>
        <v>119505.30950070305</v>
      </c>
      <c r="AL169">
        <f t="shared" si="211"/>
        <v>49122.822822322472</v>
      </c>
      <c r="AM169" s="1">
        <f t="shared" si="212"/>
        <v>-47672.276094631969</v>
      </c>
      <c r="AN169" s="1">
        <f t="shared" si="188"/>
        <v>265061.67674956849</v>
      </c>
      <c r="AO169">
        <f t="shared" si="189"/>
        <v>-2.2171123783617555</v>
      </c>
      <c r="AP169">
        <f t="shared" si="190"/>
        <v>7.1940334283884306</v>
      </c>
    </row>
    <row r="170" spans="1:42" x14ac:dyDescent="0.25">
      <c r="A170" s="4">
        <v>45852</v>
      </c>
      <c r="B170">
        <f t="shared" ref="B170:N170" si="248">(B720-B719)*100</f>
        <v>0</v>
      </c>
      <c r="C170">
        <f t="shared" si="248"/>
        <v>0.99999999999997868</v>
      </c>
      <c r="D170">
        <f t="shared" si="248"/>
        <v>-0.99999999999997868</v>
      </c>
      <c r="E170">
        <f t="shared" si="248"/>
        <v>0</v>
      </c>
      <c r="F170">
        <f t="shared" si="248"/>
        <v>0</v>
      </c>
      <c r="G170">
        <f t="shared" si="248"/>
        <v>0.99999999999997868</v>
      </c>
      <c r="H170">
        <f t="shared" si="248"/>
        <v>0</v>
      </c>
      <c r="I170">
        <f t="shared" si="248"/>
        <v>0</v>
      </c>
      <c r="J170">
        <f t="shared" si="248"/>
        <v>1.0000000000000231</v>
      </c>
      <c r="K170">
        <f t="shared" si="248"/>
        <v>0</v>
      </c>
      <c r="L170">
        <f t="shared" si="248"/>
        <v>0</v>
      </c>
      <c r="M170">
        <f t="shared" si="248"/>
        <v>-0.99999999999997868</v>
      </c>
      <c r="N170">
        <f t="shared" si="248"/>
        <v>-0.99999999999997868</v>
      </c>
      <c r="O170" s="5">
        <f t="shared" si="243"/>
        <v>-2.2818958612883292E-3</v>
      </c>
      <c r="P170" s="5">
        <f t="shared" si="243"/>
        <v>9.0043902483397391E-4</v>
      </c>
      <c r="Q170" s="5">
        <f t="shared" si="243"/>
        <v>5.5609326164440444E-3</v>
      </c>
      <c r="R170" s="5">
        <f t="shared" si="243"/>
        <v>3.3707897084889957E-3</v>
      </c>
      <c r="S170" s="5">
        <f t="shared" si="243"/>
        <v>4.5433096557049944E-3</v>
      </c>
      <c r="U170" s="4">
        <v>45852</v>
      </c>
      <c r="V170">
        <f t="shared" si="195"/>
        <v>0</v>
      </c>
      <c r="W170">
        <f t="shared" si="196"/>
        <v>-2222.9999999999527</v>
      </c>
      <c r="X170">
        <f t="shared" si="197"/>
        <v>-4589.9999999999018</v>
      </c>
      <c r="Y170">
        <f t="shared" si="198"/>
        <v>0</v>
      </c>
      <c r="Z170">
        <f t="shared" si="199"/>
        <v>0</v>
      </c>
      <c r="AA170">
        <f t="shared" si="200"/>
        <v>-1999.9999999999573</v>
      </c>
      <c r="AB170">
        <f t="shared" si="201"/>
        <v>0</v>
      </c>
      <c r="AC170">
        <f t="shared" si="202"/>
        <v>0</v>
      </c>
      <c r="AD170">
        <f t="shared" si="203"/>
        <v>-100544.00000000233</v>
      </c>
      <c r="AE170">
        <f t="shared" si="204"/>
        <v>0</v>
      </c>
      <c r="AF170">
        <f t="shared" si="205"/>
        <v>0</v>
      </c>
      <c r="AG170">
        <f t="shared" si="206"/>
        <v>-25322.999999999462</v>
      </c>
      <c r="AH170">
        <f t="shared" si="207"/>
        <v>-0.99999999999997868</v>
      </c>
      <c r="AI170">
        <f t="shared" si="208"/>
        <v>-0.22818958612883292</v>
      </c>
      <c r="AJ170">
        <f t="shared" si="209"/>
        <v>-9004.3902483397396</v>
      </c>
      <c r="AK170">
        <f t="shared" si="210"/>
        <v>55609.326164440441</v>
      </c>
      <c r="AL170">
        <f t="shared" si="211"/>
        <v>-84269.742712224892</v>
      </c>
      <c r="AM170" s="1">
        <f t="shared" si="212"/>
        <v>-45433.096557049947</v>
      </c>
      <c r="AN170" s="1">
        <f t="shared" si="188"/>
        <v>-217779.13154276187</v>
      </c>
      <c r="AO170">
        <f t="shared" si="189"/>
        <v>4.221242408233878</v>
      </c>
      <c r="AP170">
        <f t="shared" si="190"/>
        <v>7.2123142437777839</v>
      </c>
    </row>
    <row r="171" spans="1:42" x14ac:dyDescent="0.25">
      <c r="A171" s="4">
        <v>45849</v>
      </c>
      <c r="B171">
        <f t="shared" ref="B171:N171" si="249">(B721-B720)*100</f>
        <v>-0.99999999999997868</v>
      </c>
      <c r="C171">
        <f t="shared" si="249"/>
        <v>0</v>
      </c>
      <c r="D171">
        <f t="shared" si="249"/>
        <v>0.99999999999997868</v>
      </c>
      <c r="E171">
        <f t="shared" si="249"/>
        <v>0</v>
      </c>
      <c r="F171">
        <f t="shared" si="249"/>
        <v>0</v>
      </c>
      <c r="G171">
        <f t="shared" si="249"/>
        <v>-1.9999999999999574</v>
      </c>
      <c r="H171">
        <f t="shared" si="249"/>
        <v>-4.0000000000000036</v>
      </c>
      <c r="I171">
        <f t="shared" si="249"/>
        <v>-4.0000000000000036</v>
      </c>
      <c r="J171">
        <f t="shared" si="249"/>
        <v>-6.0000000000000053</v>
      </c>
      <c r="K171">
        <f t="shared" si="249"/>
        <v>-7.0000000000000284</v>
      </c>
      <c r="L171">
        <f t="shared" si="249"/>
        <v>-8.0000000000000071</v>
      </c>
      <c r="M171">
        <f t="shared" si="249"/>
        <v>-8.9999999999999858</v>
      </c>
      <c r="N171">
        <f t="shared" si="249"/>
        <v>-9.9999999999999645</v>
      </c>
      <c r="O171" s="5">
        <f t="shared" si="243"/>
        <v>5.2002384416011552E-3</v>
      </c>
      <c r="P171" s="5">
        <f t="shared" si="243"/>
        <v>-3.8337428400019901E-3</v>
      </c>
      <c r="Q171" s="5">
        <f t="shared" si="243"/>
        <v>2.2119708191055999E-3</v>
      </c>
      <c r="R171" s="5">
        <f t="shared" si="243"/>
        <v>2.5355697483688093E-3</v>
      </c>
      <c r="S171" s="5">
        <f t="shared" si="243"/>
        <v>1.4760625631951899E-3</v>
      </c>
      <c r="U171" s="4">
        <v>45849</v>
      </c>
      <c r="V171">
        <f t="shared" si="195"/>
        <v>3999.9999999999145</v>
      </c>
      <c r="W171">
        <f t="shared" si="196"/>
        <v>0</v>
      </c>
      <c r="X171">
        <f t="shared" si="197"/>
        <v>4589.9999999999018</v>
      </c>
      <c r="Y171">
        <f t="shared" si="198"/>
        <v>0</v>
      </c>
      <c r="Z171">
        <f t="shared" si="199"/>
        <v>0</v>
      </c>
      <c r="AA171">
        <f t="shared" si="200"/>
        <v>3999.9999999999145</v>
      </c>
      <c r="AB171">
        <f t="shared" si="201"/>
        <v>-18256.000000000015</v>
      </c>
      <c r="AC171">
        <f t="shared" si="202"/>
        <v>8892.0000000000073</v>
      </c>
      <c r="AD171">
        <f t="shared" si="203"/>
        <v>603264.00000000058</v>
      </c>
      <c r="AE171">
        <f t="shared" si="204"/>
        <v>-7.0000000000000284</v>
      </c>
      <c r="AF171">
        <f t="shared" si="205"/>
        <v>-402584.00000000035</v>
      </c>
      <c r="AG171">
        <f t="shared" si="206"/>
        <v>-227906.99999999965</v>
      </c>
      <c r="AH171">
        <f t="shared" si="207"/>
        <v>-9.9999999999999645</v>
      </c>
      <c r="AI171">
        <f t="shared" si="208"/>
        <v>0.52002384416011549</v>
      </c>
      <c r="AJ171">
        <f t="shared" si="209"/>
        <v>38337.428400019904</v>
      </c>
      <c r="AK171">
        <f t="shared" si="210"/>
        <v>22119.708191056001</v>
      </c>
      <c r="AL171">
        <f t="shared" si="211"/>
        <v>-63389.243709220231</v>
      </c>
      <c r="AM171" s="1">
        <f t="shared" si="212"/>
        <v>-14760.6256319519</v>
      </c>
      <c r="AN171" s="1">
        <f t="shared" si="188"/>
        <v>-41710.212726251717</v>
      </c>
      <c r="AO171">
        <f t="shared" si="189"/>
        <v>-1.3609567429197569</v>
      </c>
      <c r="AP171">
        <f t="shared" si="190"/>
        <v>7.0723626108630233</v>
      </c>
    </row>
    <row r="172" spans="1:42" x14ac:dyDescent="0.25">
      <c r="A172" s="4">
        <v>45848</v>
      </c>
      <c r="B172">
        <f t="shared" ref="B172:N172" si="250">(B722-B721)*100</f>
        <v>0</v>
      </c>
      <c r="C172">
        <f t="shared" si="250"/>
        <v>-1.9999999999999574</v>
      </c>
      <c r="D172">
        <f t="shared" si="250"/>
        <v>0</v>
      </c>
      <c r="E172">
        <f t="shared" si="250"/>
        <v>0</v>
      </c>
      <c r="F172">
        <f t="shared" si="250"/>
        <v>0</v>
      </c>
      <c r="G172">
        <f t="shared" si="250"/>
        <v>0</v>
      </c>
      <c r="H172">
        <f t="shared" si="250"/>
        <v>0</v>
      </c>
      <c r="I172">
        <f t="shared" si="250"/>
        <v>-2.0000000000000018</v>
      </c>
      <c r="J172">
        <f t="shared" si="250"/>
        <v>-1.0000000000000231</v>
      </c>
      <c r="K172">
        <f t="shared" si="250"/>
        <v>-0.99999999999997868</v>
      </c>
      <c r="L172">
        <f t="shared" si="250"/>
        <v>-0.99999999999997868</v>
      </c>
      <c r="M172">
        <f t="shared" si="250"/>
        <v>0</v>
      </c>
      <c r="N172">
        <f t="shared" si="250"/>
        <v>0.99999999999997868</v>
      </c>
      <c r="O172" s="5">
        <f t="shared" si="243"/>
        <v>1.4665923958552644E-2</v>
      </c>
      <c r="P172" s="5">
        <f t="shared" si="243"/>
        <v>8.9780044935258826E-4</v>
      </c>
      <c r="Q172" s="5">
        <f t="shared" si="243"/>
        <v>3.1050021777815151E-3</v>
      </c>
      <c r="R172" s="5">
        <f t="shared" si="243"/>
        <v>-1.1277136802686164E-3</v>
      </c>
      <c r="S172" s="5">
        <f t="shared" si="243"/>
        <v>-6.1752760028509104E-4</v>
      </c>
      <c r="U172" s="4">
        <v>45848</v>
      </c>
      <c r="V172">
        <f t="shared" si="195"/>
        <v>0</v>
      </c>
      <c r="W172">
        <f t="shared" si="196"/>
        <v>4445.9999999999054</v>
      </c>
      <c r="X172">
        <f t="shared" si="197"/>
        <v>0</v>
      </c>
      <c r="Y172">
        <f t="shared" si="198"/>
        <v>0</v>
      </c>
      <c r="Z172">
        <f t="shared" si="199"/>
        <v>0</v>
      </c>
      <c r="AA172">
        <f t="shared" si="200"/>
        <v>0</v>
      </c>
      <c r="AB172">
        <f t="shared" si="201"/>
        <v>0</v>
      </c>
      <c r="AC172">
        <f t="shared" si="202"/>
        <v>4446.0000000000036</v>
      </c>
      <c r="AD172">
        <f t="shared" si="203"/>
        <v>100544.00000000233</v>
      </c>
      <c r="AE172">
        <f t="shared" si="204"/>
        <v>-0.99999999999997868</v>
      </c>
      <c r="AF172">
        <f t="shared" si="205"/>
        <v>-50322.99999999893</v>
      </c>
      <c r="AG172">
        <f t="shared" si="206"/>
        <v>0</v>
      </c>
      <c r="AH172">
        <f t="shared" si="207"/>
        <v>0.99999999999997868</v>
      </c>
      <c r="AI172">
        <f t="shared" si="208"/>
        <v>1.4665923958552645</v>
      </c>
      <c r="AJ172">
        <f t="shared" si="209"/>
        <v>-8978.0044935258829</v>
      </c>
      <c r="AK172">
        <f t="shared" si="210"/>
        <v>31050.021777815153</v>
      </c>
      <c r="AL172">
        <f t="shared" si="211"/>
        <v>28192.842006715411</v>
      </c>
      <c r="AM172" s="1">
        <f t="shared" si="212"/>
        <v>6175.2760028509101</v>
      </c>
      <c r="AN172" s="1">
        <f t="shared" si="188"/>
        <v>115554.60188625475</v>
      </c>
      <c r="AO172">
        <f t="shared" si="189"/>
        <v>3.8036201390238702</v>
      </c>
      <c r="AP172">
        <f t="shared" si="190"/>
        <v>7.0810716159959606</v>
      </c>
    </row>
    <row r="173" spans="1:42" x14ac:dyDescent="0.25">
      <c r="A173" s="4">
        <v>45847</v>
      </c>
      <c r="B173">
        <f t="shared" ref="B173:N173" si="251">(B723-B722)*100</f>
        <v>0</v>
      </c>
      <c r="C173">
        <f t="shared" si="251"/>
        <v>0.99999999999997868</v>
      </c>
      <c r="D173">
        <f t="shared" si="251"/>
        <v>0</v>
      </c>
      <c r="E173">
        <f t="shared" si="251"/>
        <v>0</v>
      </c>
      <c r="F173">
        <f t="shared" si="251"/>
        <v>3.0000000000000249</v>
      </c>
      <c r="G173">
        <f t="shared" si="251"/>
        <v>4.0000000000000036</v>
      </c>
      <c r="H173">
        <f t="shared" si="251"/>
        <v>4.0000000000000036</v>
      </c>
      <c r="I173">
        <f t="shared" si="251"/>
        <v>6.0000000000000053</v>
      </c>
      <c r="J173">
        <f t="shared" si="251"/>
        <v>7.0000000000000284</v>
      </c>
      <c r="K173">
        <f t="shared" si="251"/>
        <v>6.9999999999999396</v>
      </c>
      <c r="L173">
        <f t="shared" si="251"/>
        <v>8.0000000000000071</v>
      </c>
      <c r="M173">
        <f t="shared" si="251"/>
        <v>8.0000000000000071</v>
      </c>
      <c r="N173">
        <f t="shared" si="251"/>
        <v>7.0000000000000284</v>
      </c>
      <c r="O173" s="5">
        <f t="shared" si="243"/>
        <v>1.0074091207424121E-3</v>
      </c>
      <c r="P173" s="5">
        <f t="shared" si="243"/>
        <v>-1.0399825673022839E-2</v>
      </c>
      <c r="Q173" s="5">
        <f t="shared" si="243"/>
        <v>5.4198375205569225E-3</v>
      </c>
      <c r="R173" s="5">
        <f t="shared" si="243"/>
        <v>1.1277136802686375E-3</v>
      </c>
      <c r="S173" s="5">
        <f t="shared" si="243"/>
        <v>1.8322158005473232E-3</v>
      </c>
      <c r="U173" s="4">
        <v>45847</v>
      </c>
      <c r="V173">
        <f t="shared" si="195"/>
        <v>0</v>
      </c>
      <c r="W173">
        <f t="shared" si="196"/>
        <v>-2222.9999999999527</v>
      </c>
      <c r="X173">
        <f t="shared" si="197"/>
        <v>0</v>
      </c>
      <c r="Y173">
        <f t="shared" si="198"/>
        <v>0</v>
      </c>
      <c r="Z173">
        <f t="shared" si="199"/>
        <v>16305.000000000135</v>
      </c>
      <c r="AA173">
        <f t="shared" si="200"/>
        <v>-8000.0000000000073</v>
      </c>
      <c r="AB173">
        <f t="shared" si="201"/>
        <v>18256.000000000015</v>
      </c>
      <c r="AC173">
        <f t="shared" si="202"/>
        <v>-13338.000000000013</v>
      </c>
      <c r="AD173">
        <f t="shared" si="203"/>
        <v>-703808.00000000291</v>
      </c>
      <c r="AE173">
        <f t="shared" si="204"/>
        <v>6.9999999999999396</v>
      </c>
      <c r="AF173">
        <f t="shared" si="205"/>
        <v>402584.00000000035</v>
      </c>
      <c r="AG173">
        <f t="shared" si="206"/>
        <v>202584.00000000017</v>
      </c>
      <c r="AH173">
        <f t="shared" si="207"/>
        <v>7.0000000000000284</v>
      </c>
      <c r="AI173">
        <f t="shared" si="208"/>
        <v>0.10074091207424121</v>
      </c>
      <c r="AJ173">
        <f t="shared" si="209"/>
        <v>103998.25673022839</v>
      </c>
      <c r="AK173">
        <f t="shared" si="210"/>
        <v>54198.375205569224</v>
      </c>
      <c r="AL173">
        <f t="shared" si="211"/>
        <v>-28192.842006715935</v>
      </c>
      <c r="AM173" s="1">
        <f t="shared" si="212"/>
        <v>-18322.158005473233</v>
      </c>
      <c r="AN173" s="1">
        <f t="shared" si="188"/>
        <v>24055.732664518364</v>
      </c>
      <c r="AO173">
        <f t="shared" si="189"/>
        <v>-0.93552656335225226</v>
      </c>
      <c r="AP173">
        <f t="shared" si="190"/>
        <v>6.9489084095906888</v>
      </c>
    </row>
    <row r="174" spans="1:42" x14ac:dyDescent="0.25">
      <c r="A174" s="4">
        <v>45846</v>
      </c>
      <c r="B174">
        <f t="shared" ref="B174:N174" si="252">(B724-B723)*100</f>
        <v>0.99999999999997868</v>
      </c>
      <c r="C174">
        <f t="shared" si="252"/>
        <v>-0.99999999999997868</v>
      </c>
      <c r="D174">
        <f t="shared" si="252"/>
        <v>0</v>
      </c>
      <c r="E174">
        <f t="shared" si="252"/>
        <v>-0.99999999999997868</v>
      </c>
      <c r="F174">
        <f t="shared" si="252"/>
        <v>-0.99999999999997868</v>
      </c>
      <c r="G174">
        <f t="shared" si="252"/>
        <v>-3.0000000000000249</v>
      </c>
      <c r="H174">
        <f t="shared" si="252"/>
        <v>0</v>
      </c>
      <c r="I174">
        <f t="shared" si="252"/>
        <v>-0.99999999999997868</v>
      </c>
      <c r="J174">
        <f t="shared" si="252"/>
        <v>-3.0000000000000249</v>
      </c>
      <c r="K174">
        <f t="shared" si="252"/>
        <v>-1.9999999999999574</v>
      </c>
      <c r="L174">
        <f t="shared" si="252"/>
        <v>-1.9999999999999574</v>
      </c>
      <c r="M174">
        <f t="shared" si="252"/>
        <v>-2.0000000000000462</v>
      </c>
      <c r="N174">
        <f t="shared" si="252"/>
        <v>-2.0000000000000462</v>
      </c>
      <c r="O174" s="5">
        <f t="shared" si="243"/>
        <v>3.4825004705091073E-4</v>
      </c>
      <c r="P174" s="5">
        <f t="shared" si="243"/>
        <v>1.9525704741573096E-3</v>
      </c>
      <c r="Q174" s="5">
        <f t="shared" si="243"/>
        <v>8.480148222619532E-3</v>
      </c>
      <c r="R174" s="5">
        <f t="shared" si="243"/>
        <v>-5.0647266396081922E-3</v>
      </c>
      <c r="S174" s="5">
        <f t="shared" si="243"/>
        <v>-2.642477731177411E-3</v>
      </c>
      <c r="U174" s="4">
        <v>45846</v>
      </c>
      <c r="V174">
        <f t="shared" si="195"/>
        <v>-3999.9999999999145</v>
      </c>
      <c r="W174">
        <f t="shared" si="196"/>
        <v>2222.9999999999527</v>
      </c>
      <c r="X174">
        <f t="shared" si="197"/>
        <v>0</v>
      </c>
      <c r="Y174">
        <f t="shared" si="198"/>
        <v>3444.9999999999268</v>
      </c>
      <c r="Z174">
        <f t="shared" si="199"/>
        <v>-5434.9999999998845</v>
      </c>
      <c r="AA174">
        <f t="shared" si="200"/>
        <v>6000.00000000005</v>
      </c>
      <c r="AB174">
        <f t="shared" si="201"/>
        <v>0</v>
      </c>
      <c r="AC174">
        <f t="shared" si="202"/>
        <v>2222.9999999999527</v>
      </c>
      <c r="AD174">
        <f t="shared" si="203"/>
        <v>301632.0000000025</v>
      </c>
      <c r="AE174">
        <f t="shared" si="204"/>
        <v>-1.9999999999999574</v>
      </c>
      <c r="AF174">
        <f t="shared" si="205"/>
        <v>-100645.99999999786</v>
      </c>
      <c r="AG174">
        <f t="shared" si="206"/>
        <v>-50646.000000001171</v>
      </c>
      <c r="AH174">
        <f t="shared" si="207"/>
        <v>-2.0000000000000462</v>
      </c>
      <c r="AI174">
        <f t="shared" si="208"/>
        <v>3.4825004705091075E-2</v>
      </c>
      <c r="AJ174">
        <f t="shared" si="209"/>
        <v>-19525.704741573096</v>
      </c>
      <c r="AK174">
        <f t="shared" si="210"/>
        <v>84801.482226195323</v>
      </c>
      <c r="AL174">
        <f t="shared" si="211"/>
        <v>126618.16599020481</v>
      </c>
      <c r="AM174" s="1">
        <f t="shared" si="212"/>
        <v>26424.777311774109</v>
      </c>
      <c r="AN174" s="1">
        <f t="shared" si="188"/>
        <v>373110.75561160932</v>
      </c>
      <c r="AO174">
        <f t="shared" si="189"/>
        <v>-1.9267329717227568</v>
      </c>
      <c r="AP174">
        <f t="shared" si="190"/>
        <v>6.9671033467889556</v>
      </c>
    </row>
    <row r="175" spans="1:42" x14ac:dyDescent="0.25">
      <c r="A175" s="4">
        <v>45845</v>
      </c>
      <c r="B175">
        <f t="shared" ref="B175:N175" si="253">(B725-B724)*100</f>
        <v>-2.0000000000000462</v>
      </c>
      <c r="C175">
        <f t="shared" si="253"/>
        <v>4.9999999999999822</v>
      </c>
      <c r="D175">
        <f t="shared" si="253"/>
        <v>0</v>
      </c>
      <c r="E175">
        <f t="shared" si="253"/>
        <v>0</v>
      </c>
      <c r="F175">
        <f t="shared" si="253"/>
        <v>0.99999999999997868</v>
      </c>
      <c r="G175">
        <f t="shared" si="253"/>
        <v>-0.99999999999997868</v>
      </c>
      <c r="H175">
        <f t="shared" si="253"/>
        <v>-2.0000000000000018</v>
      </c>
      <c r="I175">
        <f t="shared" si="253"/>
        <v>-1.0000000000000231</v>
      </c>
      <c r="J175">
        <f t="shared" si="253"/>
        <v>-2.0000000000000018</v>
      </c>
      <c r="K175">
        <f t="shared" si="253"/>
        <v>-4.0000000000000036</v>
      </c>
      <c r="L175">
        <f t="shared" si="253"/>
        <v>-5.0000000000000711</v>
      </c>
      <c r="M175">
        <f t="shared" si="253"/>
        <v>-5.9999999999999609</v>
      </c>
      <c r="N175">
        <f t="shared" si="253"/>
        <v>-5.9999999999999609</v>
      </c>
      <c r="O175" s="5">
        <f t="shared" ref="O175:S184" si="254">LN(O724/O725)</f>
        <v>6.3262251921125095E-3</v>
      </c>
      <c r="P175" s="5">
        <f t="shared" si="254"/>
        <v>1.3700550582211389E-2</v>
      </c>
      <c r="Q175" s="5">
        <f t="shared" si="254"/>
        <v>6.2727160513816856E-3</v>
      </c>
      <c r="R175" s="5">
        <f t="shared" si="254"/>
        <v>5.346853880864485E-3</v>
      </c>
      <c r="S175" s="5">
        <f t="shared" si="254"/>
        <v>-1.0400361197386188E-3</v>
      </c>
      <c r="U175" s="4">
        <v>45845</v>
      </c>
      <c r="V175">
        <f t="shared" si="195"/>
        <v>8000.0000000001846</v>
      </c>
      <c r="W175">
        <f t="shared" si="196"/>
        <v>-11114.99999999996</v>
      </c>
      <c r="X175">
        <f t="shared" si="197"/>
        <v>0</v>
      </c>
      <c r="Y175">
        <f t="shared" si="198"/>
        <v>0</v>
      </c>
      <c r="Z175">
        <f t="shared" si="199"/>
        <v>5434.9999999998845</v>
      </c>
      <c r="AA175">
        <f t="shared" si="200"/>
        <v>1999.9999999999573</v>
      </c>
      <c r="AB175">
        <f t="shared" si="201"/>
        <v>-9128.0000000000073</v>
      </c>
      <c r="AC175">
        <f t="shared" si="202"/>
        <v>2223.0000000000514</v>
      </c>
      <c r="AD175">
        <f t="shared" si="203"/>
        <v>201088.00000000017</v>
      </c>
      <c r="AE175">
        <f t="shared" si="204"/>
        <v>-4.0000000000000036</v>
      </c>
      <c r="AF175">
        <f t="shared" si="205"/>
        <v>-251615.00000000358</v>
      </c>
      <c r="AG175">
        <f t="shared" si="206"/>
        <v>-151937.99999999901</v>
      </c>
      <c r="AH175">
        <f t="shared" si="207"/>
        <v>-5.9999999999999609</v>
      </c>
      <c r="AI175">
        <f t="shared" si="208"/>
        <v>0.6326225192112509</v>
      </c>
      <c r="AJ175">
        <f t="shared" si="209"/>
        <v>-137005.50582211389</v>
      </c>
      <c r="AK175">
        <f t="shared" si="210"/>
        <v>62727.160513816852</v>
      </c>
      <c r="AL175">
        <f t="shared" si="211"/>
        <v>-133671.34702161213</v>
      </c>
      <c r="AM175" s="1">
        <f t="shared" si="212"/>
        <v>10400.361197386188</v>
      </c>
      <c r="AN175" s="1">
        <f t="shared" si="188"/>
        <v>-402608.69851000607</v>
      </c>
      <c r="AO175">
        <f t="shared" si="189"/>
        <v>-1.8642845018740288</v>
      </c>
      <c r="AP175">
        <f t="shared" si="190"/>
        <v>6.9668664595035219</v>
      </c>
    </row>
    <row r="176" spans="1:42" x14ac:dyDescent="0.25">
      <c r="A176" s="4">
        <v>45841</v>
      </c>
      <c r="B176">
        <f t="shared" ref="B176:N176" si="255">(B726-B725)*100</f>
        <v>-1.9999999999999574</v>
      </c>
      <c r="C176">
        <f t="shared" si="255"/>
        <v>-7.0000000000000284</v>
      </c>
      <c r="D176">
        <f t="shared" si="255"/>
        <v>-0.99999999999997868</v>
      </c>
      <c r="E176">
        <f t="shared" si="255"/>
        <v>-4.0000000000000036</v>
      </c>
      <c r="F176">
        <f t="shared" si="255"/>
        <v>-5.9999999999999609</v>
      </c>
      <c r="G176">
        <f t="shared" si="255"/>
        <v>-8.0000000000000071</v>
      </c>
      <c r="H176">
        <f t="shared" si="255"/>
        <v>-10.000000000000009</v>
      </c>
      <c r="I176">
        <f t="shared" si="255"/>
        <v>-6.999999999999984</v>
      </c>
      <c r="J176">
        <f t="shared" si="255"/>
        <v>-6.999999999999984</v>
      </c>
      <c r="K176">
        <f t="shared" si="255"/>
        <v>-6.0000000000000497</v>
      </c>
      <c r="L176">
        <f t="shared" si="255"/>
        <v>-4.9999999999999822</v>
      </c>
      <c r="M176">
        <f t="shared" si="255"/>
        <v>-3.0000000000000249</v>
      </c>
      <c r="N176">
        <f t="shared" si="255"/>
        <v>-4.0000000000000036</v>
      </c>
      <c r="O176" s="5">
        <f t="shared" si="254"/>
        <v>-5.5926705369073147E-3</v>
      </c>
      <c r="P176" s="5">
        <f t="shared" si="254"/>
        <v>-1.3284375269584827E-3</v>
      </c>
      <c r="Q176" s="5">
        <f t="shared" si="254"/>
        <v>-1.1871806093391832E-4</v>
      </c>
      <c r="R176" s="5">
        <f t="shared" si="254"/>
        <v>-1.4098409215248459E-3</v>
      </c>
      <c r="S176" s="5">
        <f t="shared" si="254"/>
        <v>-5.6210241238911643E-3</v>
      </c>
      <c r="U176" s="4">
        <v>45841</v>
      </c>
      <c r="V176">
        <f t="shared" si="195"/>
        <v>7999.999999999829</v>
      </c>
      <c r="W176">
        <f t="shared" si="196"/>
        <v>15561.000000000064</v>
      </c>
      <c r="X176">
        <f t="shared" si="197"/>
        <v>-4589.9999999999018</v>
      </c>
      <c r="Y176">
        <f t="shared" si="198"/>
        <v>13780.000000000013</v>
      </c>
      <c r="Z176">
        <f t="shared" si="199"/>
        <v>-32609.999999999789</v>
      </c>
      <c r="AA176">
        <f t="shared" si="200"/>
        <v>16000.000000000015</v>
      </c>
      <c r="AB176">
        <f t="shared" si="201"/>
        <v>-45640.000000000044</v>
      </c>
      <c r="AC176">
        <f t="shared" si="202"/>
        <v>15560.999999999964</v>
      </c>
      <c r="AD176">
        <f t="shared" si="203"/>
        <v>703807.99999999837</v>
      </c>
      <c r="AE176">
        <f t="shared" si="204"/>
        <v>-6.0000000000000497</v>
      </c>
      <c r="AF176">
        <f t="shared" si="205"/>
        <v>-251614.9999999991</v>
      </c>
      <c r="AG176">
        <f t="shared" si="206"/>
        <v>-75969.000000000626</v>
      </c>
      <c r="AH176">
        <f t="shared" si="207"/>
        <v>-4.0000000000000036</v>
      </c>
      <c r="AI176">
        <f t="shared" si="208"/>
        <v>-0.55926705369073149</v>
      </c>
      <c r="AJ176">
        <f t="shared" si="209"/>
        <v>13284.375269584827</v>
      </c>
      <c r="AK176">
        <f t="shared" si="210"/>
        <v>-1187.1806093391833</v>
      </c>
      <c r="AL176">
        <f t="shared" si="211"/>
        <v>35246.023038121144</v>
      </c>
      <c r="AM176" s="1">
        <f t="shared" si="212"/>
        <v>56210.241238911643</v>
      </c>
      <c r="AN176" s="1">
        <f t="shared" si="188"/>
        <v>465828.89967022347</v>
      </c>
      <c r="AO176">
        <f t="shared" si="189"/>
        <v>6.3965270223227382</v>
      </c>
      <c r="AP176">
        <f t="shared" si="190"/>
        <v>6.966785107083215</v>
      </c>
    </row>
    <row r="177" spans="1:42" x14ac:dyDescent="0.25">
      <c r="A177" s="4">
        <v>45840</v>
      </c>
      <c r="B177">
        <f t="shared" ref="B177:N177" si="256">(B727-B726)*100</f>
        <v>-0.99999999999997868</v>
      </c>
      <c r="C177">
        <f t="shared" si="256"/>
        <v>-0.99999999999997868</v>
      </c>
      <c r="D177">
        <f t="shared" si="256"/>
        <v>-0.99999999999997868</v>
      </c>
      <c r="E177">
        <f t="shared" si="256"/>
        <v>-2.0000000000000462</v>
      </c>
      <c r="F177">
        <f t="shared" si="256"/>
        <v>0.99999999999997868</v>
      </c>
      <c r="G177">
        <f t="shared" si="256"/>
        <v>-1.0000000000000231</v>
      </c>
      <c r="H177">
        <f t="shared" si="256"/>
        <v>0</v>
      </c>
      <c r="I177">
        <f t="shared" si="256"/>
        <v>-2.0000000000000018</v>
      </c>
      <c r="J177">
        <f t="shared" si="256"/>
        <v>-3.0000000000000249</v>
      </c>
      <c r="K177">
        <f t="shared" si="256"/>
        <v>-2.9999999999999361</v>
      </c>
      <c r="L177">
        <f t="shared" si="256"/>
        <v>-4.0000000000000036</v>
      </c>
      <c r="M177">
        <f t="shared" si="256"/>
        <v>-4.9999999999999822</v>
      </c>
      <c r="N177">
        <f t="shared" si="256"/>
        <v>-4.0000000000000036</v>
      </c>
      <c r="O177" s="5">
        <f t="shared" si="254"/>
        <v>1.8345762587933821E-5</v>
      </c>
      <c r="P177" s="5">
        <f t="shared" si="254"/>
        <v>-8.4554971564145109E-3</v>
      </c>
      <c r="Q177" s="5">
        <f t="shared" si="254"/>
        <v>-7.311703290835146E-3</v>
      </c>
      <c r="R177" s="5">
        <f t="shared" si="254"/>
        <v>-3.0946711995797193E-3</v>
      </c>
      <c r="S177" s="5">
        <f t="shared" si="254"/>
        <v>1.9947311594540129E-3</v>
      </c>
      <c r="U177" s="4">
        <v>45840</v>
      </c>
      <c r="V177">
        <f t="shared" si="195"/>
        <v>3999.9999999999145</v>
      </c>
      <c r="W177">
        <f t="shared" si="196"/>
        <v>2222.9999999999527</v>
      </c>
      <c r="X177">
        <f t="shared" si="197"/>
        <v>-4589.9999999999018</v>
      </c>
      <c r="Y177">
        <f t="shared" si="198"/>
        <v>6890.0000000001592</v>
      </c>
      <c r="Z177">
        <f t="shared" si="199"/>
        <v>5434.9999999998845</v>
      </c>
      <c r="AA177">
        <f t="shared" si="200"/>
        <v>2000.0000000000462</v>
      </c>
      <c r="AB177">
        <f t="shared" si="201"/>
        <v>0</v>
      </c>
      <c r="AC177">
        <f t="shared" si="202"/>
        <v>4446.0000000000036</v>
      </c>
      <c r="AD177">
        <f t="shared" si="203"/>
        <v>301632.0000000025</v>
      </c>
      <c r="AE177">
        <f t="shared" si="204"/>
        <v>-2.9999999999999361</v>
      </c>
      <c r="AF177">
        <f t="shared" si="205"/>
        <v>-201292.00000000017</v>
      </c>
      <c r="AG177">
        <f t="shared" si="206"/>
        <v>-126614.99999999955</v>
      </c>
      <c r="AH177">
        <f t="shared" si="207"/>
        <v>-4.0000000000000036</v>
      </c>
      <c r="AI177">
        <f t="shared" si="208"/>
        <v>1.8345762587933822E-3</v>
      </c>
      <c r="AJ177">
        <f t="shared" si="209"/>
        <v>84554.971564145104</v>
      </c>
      <c r="AK177">
        <f t="shared" si="210"/>
        <v>-73117.032908351466</v>
      </c>
      <c r="AL177">
        <f t="shared" si="211"/>
        <v>77366.779989492978</v>
      </c>
      <c r="AM177" s="1">
        <f t="shared" si="212"/>
        <v>-19947.31159454013</v>
      </c>
      <c r="AN177" s="1">
        <f t="shared" si="188"/>
        <v>62979.408885325589</v>
      </c>
      <c r="AO177">
        <f t="shared" si="189"/>
        <v>-0.86039902954860059</v>
      </c>
      <c r="AP177">
        <f t="shared" si="190"/>
        <v>6.7183944618227933</v>
      </c>
    </row>
    <row r="178" spans="1:42" x14ac:dyDescent="0.25">
      <c r="A178" s="4">
        <v>45839</v>
      </c>
      <c r="B178">
        <f t="shared" ref="B178:N178" si="257">(B728-B727)*100</f>
        <v>-4.0000000000000036</v>
      </c>
      <c r="C178">
        <f t="shared" si="257"/>
        <v>3.0000000000000249</v>
      </c>
      <c r="D178">
        <f t="shared" si="257"/>
        <v>0.99999999999997868</v>
      </c>
      <c r="E178">
        <f t="shared" si="257"/>
        <v>1.0000000000000675</v>
      </c>
      <c r="F178">
        <f t="shared" si="257"/>
        <v>0</v>
      </c>
      <c r="G178">
        <f t="shared" si="257"/>
        <v>-2.0000000000000018</v>
      </c>
      <c r="H178">
        <f t="shared" si="257"/>
        <v>-5.9999999999999609</v>
      </c>
      <c r="I178">
        <f t="shared" si="257"/>
        <v>-6.999999999999984</v>
      </c>
      <c r="J178">
        <f t="shared" si="257"/>
        <v>-4.9999999999999822</v>
      </c>
      <c r="K178">
        <f t="shared" si="257"/>
        <v>-5.0000000000000266</v>
      </c>
      <c r="L178">
        <f t="shared" si="257"/>
        <v>-1.9999999999999574</v>
      </c>
      <c r="M178">
        <f t="shared" si="257"/>
        <v>0</v>
      </c>
      <c r="N178">
        <f t="shared" si="257"/>
        <v>0</v>
      </c>
      <c r="O178" s="5">
        <f t="shared" si="254"/>
        <v>-1.1001504648439258E-3</v>
      </c>
      <c r="P178" s="5">
        <f t="shared" si="254"/>
        <v>-1.8651656567597985E-2</v>
      </c>
      <c r="Q178" s="5">
        <f t="shared" si="254"/>
        <v>-2.4823997853362814E-3</v>
      </c>
      <c r="R178" s="5">
        <f t="shared" si="254"/>
        <v>5.3513717341725315E-3</v>
      </c>
      <c r="S178" s="5">
        <f t="shared" si="254"/>
        <v>-1.8508596843901379E-3</v>
      </c>
      <c r="U178" s="4">
        <v>45839</v>
      </c>
      <c r="V178">
        <f t="shared" si="195"/>
        <v>16000.000000000015</v>
      </c>
      <c r="W178">
        <f t="shared" si="196"/>
        <v>-6669.0000000000555</v>
      </c>
      <c r="X178">
        <f t="shared" si="197"/>
        <v>4589.9999999999018</v>
      </c>
      <c r="Y178">
        <f t="shared" si="198"/>
        <v>-3445.0000000002324</v>
      </c>
      <c r="Z178">
        <f t="shared" si="199"/>
        <v>0</v>
      </c>
      <c r="AA178">
        <f t="shared" si="200"/>
        <v>4000.0000000000036</v>
      </c>
      <c r="AB178">
        <f t="shared" si="201"/>
        <v>-27383.999999999822</v>
      </c>
      <c r="AC178">
        <f t="shared" si="202"/>
        <v>15560.999999999964</v>
      </c>
      <c r="AD178">
        <f t="shared" si="203"/>
        <v>502719.9999999982</v>
      </c>
      <c r="AE178">
        <f t="shared" si="204"/>
        <v>-5.0000000000000266</v>
      </c>
      <c r="AF178">
        <f t="shared" si="205"/>
        <v>-100645.99999999786</v>
      </c>
      <c r="AG178">
        <f t="shared" si="206"/>
        <v>0</v>
      </c>
      <c r="AH178">
        <f t="shared" si="207"/>
        <v>0</v>
      </c>
      <c r="AI178">
        <f t="shared" si="208"/>
        <v>-0.11001504648439257</v>
      </c>
      <c r="AJ178">
        <f t="shared" si="209"/>
        <v>186516.56567597986</v>
      </c>
      <c r="AK178">
        <f t="shared" si="210"/>
        <v>-24823.997853362813</v>
      </c>
      <c r="AL178">
        <f t="shared" si="211"/>
        <v>-133784.2933543133</v>
      </c>
      <c r="AM178" s="1">
        <f t="shared" si="212"/>
        <v>18508.596843901378</v>
      </c>
      <c r="AN178" s="1">
        <f t="shared" si="188"/>
        <v>451138.76129715878</v>
      </c>
      <c r="AO178">
        <f t="shared" si="189"/>
        <v>1.9304201508619716</v>
      </c>
      <c r="AP178">
        <f t="shared" si="190"/>
        <v>6.7114697813371444</v>
      </c>
    </row>
    <row r="179" spans="1:42" x14ac:dyDescent="0.25">
      <c r="A179" s="4">
        <v>45838</v>
      </c>
      <c r="B179">
        <f t="shared" ref="B179:N179" si="258">(B729-B728)*100</f>
        <v>-8.9999999999999858</v>
      </c>
      <c r="C179">
        <f t="shared" si="258"/>
        <v>4.0000000000000036</v>
      </c>
      <c r="D179">
        <f t="shared" si="258"/>
        <v>-2.0000000000000462</v>
      </c>
      <c r="E179">
        <f t="shared" si="258"/>
        <v>0</v>
      </c>
      <c r="F179">
        <f t="shared" si="258"/>
        <v>-3.0000000000000249</v>
      </c>
      <c r="G179">
        <f t="shared" si="258"/>
        <v>1.0000000000000231</v>
      </c>
      <c r="H179">
        <f t="shared" si="258"/>
        <v>0.99999999999997868</v>
      </c>
      <c r="I179">
        <f t="shared" si="258"/>
        <v>4.0000000000000036</v>
      </c>
      <c r="J179">
        <f t="shared" si="258"/>
        <v>4.0000000000000036</v>
      </c>
      <c r="K179">
        <f t="shared" si="258"/>
        <v>5.0000000000000266</v>
      </c>
      <c r="L179">
        <f t="shared" si="258"/>
        <v>4.9999999999999822</v>
      </c>
      <c r="M179">
        <f t="shared" si="258"/>
        <v>5.9999999999999609</v>
      </c>
      <c r="N179">
        <f t="shared" si="258"/>
        <v>6.9999999999999396</v>
      </c>
      <c r="O179" s="5">
        <f t="shared" si="254"/>
        <v>-3.4393213808475097E-3</v>
      </c>
      <c r="P179" s="5">
        <f t="shared" si="254"/>
        <v>0</v>
      </c>
      <c r="Q179" s="5">
        <f t="shared" si="254"/>
        <v>5.4329032427910089E-3</v>
      </c>
      <c r="R179" s="5">
        <f t="shared" si="254"/>
        <v>-2.2567005345927788E-3</v>
      </c>
      <c r="S179" s="5">
        <f t="shared" si="254"/>
        <v>-4.6519995746555857E-3</v>
      </c>
      <c r="U179" s="4">
        <v>45838</v>
      </c>
      <c r="V179">
        <f t="shared" si="195"/>
        <v>35999.999999999942</v>
      </c>
      <c r="W179">
        <f t="shared" si="196"/>
        <v>-8892.0000000000073</v>
      </c>
      <c r="X179">
        <f t="shared" si="197"/>
        <v>-9180.0000000002128</v>
      </c>
      <c r="Y179">
        <f t="shared" si="198"/>
        <v>0</v>
      </c>
      <c r="Z179">
        <f t="shared" si="199"/>
        <v>-16305.000000000135</v>
      </c>
      <c r="AA179">
        <f t="shared" si="200"/>
        <v>-2000.0000000000462</v>
      </c>
      <c r="AB179">
        <f t="shared" si="201"/>
        <v>4563.9999999999027</v>
      </c>
      <c r="AC179">
        <f t="shared" si="202"/>
        <v>-8892.0000000000073</v>
      </c>
      <c r="AD179">
        <f t="shared" si="203"/>
        <v>-402176.00000000035</v>
      </c>
      <c r="AE179">
        <f t="shared" si="204"/>
        <v>5.0000000000000266</v>
      </c>
      <c r="AF179">
        <f t="shared" si="205"/>
        <v>251614.9999999991</v>
      </c>
      <c r="AG179">
        <f t="shared" si="206"/>
        <v>151937.99999999901</v>
      </c>
      <c r="AH179">
        <f t="shared" si="207"/>
        <v>6.9999999999999396</v>
      </c>
      <c r="AI179">
        <f t="shared" si="208"/>
        <v>-0.34393213808475098</v>
      </c>
      <c r="AJ179">
        <f t="shared" si="209"/>
        <v>0</v>
      </c>
      <c r="AK179">
        <f t="shared" si="210"/>
        <v>54329.03242791009</v>
      </c>
      <c r="AL179">
        <f t="shared" si="211"/>
        <v>56417.513364819468</v>
      </c>
      <c r="AM179" s="1">
        <f t="shared" si="212"/>
        <v>46519.995746555855</v>
      </c>
      <c r="AN179" s="1">
        <f t="shared" si="188"/>
        <v>153950.19760714451</v>
      </c>
      <c r="AO179">
        <f t="shared" si="189"/>
        <v>-5.3417756420674545</v>
      </c>
      <c r="AP179">
        <f t="shared" si="190"/>
        <v>7.1721912310516327</v>
      </c>
    </row>
    <row r="180" spans="1:42" x14ac:dyDescent="0.25">
      <c r="A180" s="4">
        <v>45835</v>
      </c>
      <c r="B180">
        <f t="shared" ref="B180:N180" si="259">(B730-B729)*100</f>
        <v>-8.0000000000000071</v>
      </c>
      <c r="C180">
        <f t="shared" si="259"/>
        <v>0</v>
      </c>
      <c r="D180">
        <f t="shared" si="259"/>
        <v>0</v>
      </c>
      <c r="E180">
        <f t="shared" si="259"/>
        <v>0</v>
      </c>
      <c r="F180">
        <f t="shared" si="259"/>
        <v>0</v>
      </c>
      <c r="G180">
        <f t="shared" si="259"/>
        <v>-1.0000000000000231</v>
      </c>
      <c r="H180">
        <f t="shared" si="259"/>
        <v>-2.9999999999999805</v>
      </c>
      <c r="I180">
        <f t="shared" si="259"/>
        <v>-4.0000000000000036</v>
      </c>
      <c r="J180">
        <f t="shared" si="259"/>
        <v>-4.0000000000000036</v>
      </c>
      <c r="K180">
        <f t="shared" si="259"/>
        <v>-3.0000000000000249</v>
      </c>
      <c r="L180">
        <f t="shared" si="259"/>
        <v>-3.0000000000000249</v>
      </c>
      <c r="M180">
        <f t="shared" si="259"/>
        <v>-4.0000000000000036</v>
      </c>
      <c r="N180">
        <f t="shared" si="259"/>
        <v>-4.0000000000000036</v>
      </c>
      <c r="O180" s="5">
        <f t="shared" si="254"/>
        <v>-7.0247245139910836E-3</v>
      </c>
      <c r="P180" s="5">
        <f t="shared" si="254"/>
        <v>1.5229967677130181E-2</v>
      </c>
      <c r="Q180" s="5">
        <f t="shared" si="254"/>
        <v>-6.0205006806791569E-3</v>
      </c>
      <c r="R180" s="5">
        <f t="shared" si="254"/>
        <v>2.8180921702627179E-4</v>
      </c>
      <c r="S180" s="5">
        <f t="shared" si="254"/>
        <v>-4.9847277461810796E-4</v>
      </c>
      <c r="U180" s="4">
        <v>45835</v>
      </c>
      <c r="V180">
        <f t="shared" si="195"/>
        <v>32000.000000000029</v>
      </c>
      <c r="W180">
        <f t="shared" si="196"/>
        <v>0</v>
      </c>
      <c r="X180">
        <f t="shared" si="197"/>
        <v>0</v>
      </c>
      <c r="Y180">
        <f t="shared" si="198"/>
        <v>0</v>
      </c>
      <c r="Z180">
        <f t="shared" si="199"/>
        <v>0</v>
      </c>
      <c r="AA180">
        <f t="shared" si="200"/>
        <v>2000.0000000000462</v>
      </c>
      <c r="AB180">
        <f t="shared" si="201"/>
        <v>-13691.999999999911</v>
      </c>
      <c r="AC180">
        <f t="shared" si="202"/>
        <v>8892.0000000000073</v>
      </c>
      <c r="AD180">
        <f t="shared" si="203"/>
        <v>402176.00000000035</v>
      </c>
      <c r="AE180">
        <f t="shared" si="204"/>
        <v>-3.0000000000000249</v>
      </c>
      <c r="AF180">
        <f t="shared" si="205"/>
        <v>-150969.00000000125</v>
      </c>
      <c r="AG180">
        <f t="shared" si="206"/>
        <v>-101292.00000000009</v>
      </c>
      <c r="AH180">
        <f t="shared" si="207"/>
        <v>-4.0000000000000036</v>
      </c>
      <c r="AI180">
        <f t="shared" si="208"/>
        <v>-0.70247245139910841</v>
      </c>
      <c r="AJ180">
        <f t="shared" si="209"/>
        <v>-152299.67677130181</v>
      </c>
      <c r="AK180">
        <f t="shared" si="210"/>
        <v>-60205.006806791571</v>
      </c>
      <c r="AL180">
        <f t="shared" si="211"/>
        <v>-7045.230425656795</v>
      </c>
      <c r="AM180" s="1">
        <f t="shared" si="212"/>
        <v>4984.72774618108</v>
      </c>
      <c r="AN180" s="1">
        <f t="shared" si="188"/>
        <v>-35457.888730021281</v>
      </c>
      <c r="AO180">
        <f t="shared" si="189"/>
        <v>4.7230567428699093</v>
      </c>
      <c r="AP180">
        <f t="shared" si="190"/>
        <v>7.179305316597727</v>
      </c>
    </row>
    <row r="181" spans="1:42" x14ac:dyDescent="0.25">
      <c r="A181" s="4">
        <v>45834</v>
      </c>
      <c r="B181">
        <f t="shared" ref="B181:N181" si="260">(B731-B730)*100</f>
        <v>9.9999999999999645</v>
      </c>
      <c r="C181">
        <f t="shared" si="260"/>
        <v>-6.0000000000000497</v>
      </c>
      <c r="D181">
        <f t="shared" si="260"/>
        <v>-0.99999999999997868</v>
      </c>
      <c r="E181">
        <f t="shared" si="260"/>
        <v>0</v>
      </c>
      <c r="F181">
        <f t="shared" si="260"/>
        <v>0</v>
      </c>
      <c r="G181">
        <f t="shared" si="260"/>
        <v>3.0000000000000249</v>
      </c>
      <c r="H181">
        <f t="shared" si="260"/>
        <v>4.0000000000000036</v>
      </c>
      <c r="I181">
        <f t="shared" si="260"/>
        <v>6.0000000000000053</v>
      </c>
      <c r="J181">
        <f t="shared" si="260"/>
        <v>4.0000000000000036</v>
      </c>
      <c r="K181">
        <f t="shared" si="260"/>
        <v>4.9999999999999822</v>
      </c>
      <c r="L181">
        <f t="shared" si="260"/>
        <v>3.0000000000000249</v>
      </c>
      <c r="M181">
        <f t="shared" si="260"/>
        <v>2.0000000000000462</v>
      </c>
      <c r="N181">
        <f t="shared" si="260"/>
        <v>2.0000000000000462</v>
      </c>
      <c r="O181" s="5">
        <f t="shared" si="254"/>
        <v>-5.1010366927130351E-3</v>
      </c>
      <c r="P181" s="5">
        <f t="shared" si="254"/>
        <v>-4.9358185833619818E-3</v>
      </c>
      <c r="Q181" s="5">
        <f t="shared" si="254"/>
        <v>-1.707413790245972E-3</v>
      </c>
      <c r="R181" s="5">
        <f t="shared" si="254"/>
        <v>-6.4616041649783428E-3</v>
      </c>
      <c r="S181" s="5">
        <f t="shared" si="254"/>
        <v>-3.2868737364364405E-3</v>
      </c>
      <c r="U181" s="4">
        <v>45834</v>
      </c>
      <c r="V181">
        <f t="shared" si="195"/>
        <v>-39999.999999999854</v>
      </c>
      <c r="W181">
        <f t="shared" si="196"/>
        <v>13338.000000000111</v>
      </c>
      <c r="X181">
        <f t="shared" si="197"/>
        <v>-4589.9999999999018</v>
      </c>
      <c r="Y181">
        <f t="shared" si="198"/>
        <v>0</v>
      </c>
      <c r="Z181">
        <f t="shared" si="199"/>
        <v>0</v>
      </c>
      <c r="AA181">
        <f t="shared" si="200"/>
        <v>-6000.00000000005</v>
      </c>
      <c r="AB181">
        <f t="shared" si="201"/>
        <v>18256.000000000015</v>
      </c>
      <c r="AC181">
        <f t="shared" si="202"/>
        <v>-13338.000000000013</v>
      </c>
      <c r="AD181">
        <f t="shared" si="203"/>
        <v>-402176.00000000035</v>
      </c>
      <c r="AE181">
        <f t="shared" si="204"/>
        <v>4.9999999999999822</v>
      </c>
      <c r="AF181">
        <f t="shared" si="205"/>
        <v>150969.00000000125</v>
      </c>
      <c r="AG181">
        <f t="shared" si="206"/>
        <v>50646.000000001171</v>
      </c>
      <c r="AH181">
        <f t="shared" si="207"/>
        <v>2.0000000000000462</v>
      </c>
      <c r="AI181">
        <f t="shared" si="208"/>
        <v>-0.51010366927130346</v>
      </c>
      <c r="AJ181">
        <f t="shared" si="209"/>
        <v>49358.18583361982</v>
      </c>
      <c r="AK181">
        <f t="shared" si="210"/>
        <v>-17074.137902459719</v>
      </c>
      <c r="AL181">
        <f t="shared" si="211"/>
        <v>161540.10412445856</v>
      </c>
      <c r="AM181" s="1">
        <f t="shared" si="212"/>
        <v>32868.737364364402</v>
      </c>
      <c r="AN181" s="1">
        <f t="shared" si="188"/>
        <v>-6195.6206836838755</v>
      </c>
      <c r="AO181">
        <f t="shared" si="189"/>
        <v>-0.97507262100503667</v>
      </c>
      <c r="AP181">
        <f t="shared" si="190"/>
        <v>6.9489165278242568</v>
      </c>
    </row>
    <row r="182" spans="1:42" x14ac:dyDescent="0.25">
      <c r="A182" s="4">
        <v>45833</v>
      </c>
      <c r="B182">
        <f t="shared" ref="B182:N182" si="261">(B732-B731)*100</f>
        <v>0</v>
      </c>
      <c r="C182">
        <f t="shared" si="261"/>
        <v>1.0000000000000675</v>
      </c>
      <c r="D182">
        <f t="shared" si="261"/>
        <v>0</v>
      </c>
      <c r="E182">
        <f t="shared" si="261"/>
        <v>0.99999999999997868</v>
      </c>
      <c r="F182">
        <f t="shared" si="261"/>
        <v>0.99999999999997868</v>
      </c>
      <c r="G182">
        <f t="shared" si="261"/>
        <v>0</v>
      </c>
      <c r="H182">
        <f t="shared" si="261"/>
        <v>0.99999999999997868</v>
      </c>
      <c r="I182">
        <f t="shared" si="261"/>
        <v>0.99999999999997868</v>
      </c>
      <c r="J182">
        <f t="shared" si="261"/>
        <v>2.9999999999999805</v>
      </c>
      <c r="K182">
        <f t="shared" si="261"/>
        <v>0.99999999999997868</v>
      </c>
      <c r="L182">
        <f t="shared" si="261"/>
        <v>0.99999999999997868</v>
      </c>
      <c r="M182">
        <f t="shared" si="261"/>
        <v>0</v>
      </c>
      <c r="N182">
        <f t="shared" si="261"/>
        <v>0</v>
      </c>
      <c r="O182" s="5">
        <f t="shared" si="254"/>
        <v>8.8620447871256541E-3</v>
      </c>
      <c r="P182" s="5">
        <f t="shared" si="254"/>
        <v>-4.548763202077386E-3</v>
      </c>
      <c r="Q182" s="5">
        <f t="shared" si="254"/>
        <v>-1.2997720125429345E-2</v>
      </c>
      <c r="R182" s="5">
        <f t="shared" si="254"/>
        <v>-1.9583164742158782E-3</v>
      </c>
      <c r="S182" s="5">
        <f t="shared" si="254"/>
        <v>-3.6183955042844466E-3</v>
      </c>
      <c r="U182" s="4">
        <v>45833</v>
      </c>
      <c r="V182">
        <f t="shared" si="195"/>
        <v>0</v>
      </c>
      <c r="W182">
        <f t="shared" si="196"/>
        <v>-2223.0000000001501</v>
      </c>
      <c r="X182">
        <f t="shared" si="197"/>
        <v>0</v>
      </c>
      <c r="Y182">
        <f t="shared" si="198"/>
        <v>-3444.9999999999268</v>
      </c>
      <c r="Z182">
        <f t="shared" si="199"/>
        <v>5434.9999999998845</v>
      </c>
      <c r="AA182">
        <f t="shared" si="200"/>
        <v>0</v>
      </c>
      <c r="AB182">
        <f t="shared" si="201"/>
        <v>4563.9999999999027</v>
      </c>
      <c r="AC182">
        <f t="shared" si="202"/>
        <v>-2222.9999999999527</v>
      </c>
      <c r="AD182">
        <f t="shared" si="203"/>
        <v>-301631.99999999802</v>
      </c>
      <c r="AE182">
        <f t="shared" si="204"/>
        <v>0.99999999999997868</v>
      </c>
      <c r="AF182">
        <f t="shared" si="205"/>
        <v>50322.99999999893</v>
      </c>
      <c r="AG182">
        <f t="shared" si="206"/>
        <v>0</v>
      </c>
      <c r="AH182">
        <f t="shared" si="207"/>
        <v>0</v>
      </c>
      <c r="AI182">
        <f t="shared" si="208"/>
        <v>0.88620447871256536</v>
      </c>
      <c r="AJ182">
        <f t="shared" si="209"/>
        <v>45487.632020773861</v>
      </c>
      <c r="AK182">
        <f t="shared" si="210"/>
        <v>-129977.20125429345</v>
      </c>
      <c r="AL182">
        <f t="shared" si="211"/>
        <v>48957.911855396953</v>
      </c>
      <c r="AM182" s="1">
        <f t="shared" si="212"/>
        <v>36183.955042844464</v>
      </c>
      <c r="AN182" s="1">
        <f t="shared" si="188"/>
        <v>-248546.81613079883</v>
      </c>
      <c r="AO182">
        <f t="shared" si="189"/>
        <v>-5.6040050910363881</v>
      </c>
      <c r="AP182">
        <f t="shared" si="190"/>
        <v>15.352679540810739</v>
      </c>
    </row>
    <row r="183" spans="1:42" x14ac:dyDescent="0.25">
      <c r="A183" s="4">
        <v>45832</v>
      </c>
      <c r="B183">
        <f t="shared" ref="B183:N183" si="262">(B733-B732)*100</f>
        <v>-0.99999999999997868</v>
      </c>
      <c r="C183">
        <f t="shared" si="262"/>
        <v>7.9999999999999183</v>
      </c>
      <c r="D183">
        <f t="shared" si="262"/>
        <v>0</v>
      </c>
      <c r="E183">
        <f t="shared" si="262"/>
        <v>0</v>
      </c>
      <c r="F183">
        <f t="shared" si="262"/>
        <v>1.0000000000000675</v>
      </c>
      <c r="G183">
        <f t="shared" si="262"/>
        <v>0.99999999999997868</v>
      </c>
      <c r="H183">
        <f t="shared" si="262"/>
        <v>8.9999999999999858</v>
      </c>
      <c r="I183">
        <f t="shared" si="262"/>
        <v>4.9999999999999822</v>
      </c>
      <c r="J183">
        <f t="shared" si="262"/>
        <v>5.0000000000000266</v>
      </c>
      <c r="K183">
        <f t="shared" si="262"/>
        <v>4.0000000000000036</v>
      </c>
      <c r="L183">
        <f t="shared" si="262"/>
        <v>4.0000000000000036</v>
      </c>
      <c r="M183">
        <f t="shared" si="262"/>
        <v>4.0000000000000036</v>
      </c>
      <c r="N183">
        <f t="shared" si="262"/>
        <v>4.0000000000000036</v>
      </c>
      <c r="O183" s="5">
        <f t="shared" si="254"/>
        <v>-4.9934281431089607E-3</v>
      </c>
      <c r="P183" s="5">
        <f t="shared" si="254"/>
        <v>-3.7932134805997502E-3</v>
      </c>
      <c r="Q183" s="5">
        <f t="shared" si="254"/>
        <v>3.299619795402769E-3</v>
      </c>
      <c r="R183" s="5">
        <f t="shared" si="254"/>
        <v>-3.3482174136600595E-3</v>
      </c>
      <c r="S183" s="5">
        <f t="shared" si="254"/>
        <v>-7.9867644640863929E-3</v>
      </c>
      <c r="U183" s="4">
        <v>45832</v>
      </c>
      <c r="V183">
        <f t="shared" si="195"/>
        <v>3999.9999999999145</v>
      </c>
      <c r="W183">
        <f t="shared" si="196"/>
        <v>-17783.999999999818</v>
      </c>
      <c r="X183">
        <f t="shared" si="197"/>
        <v>0</v>
      </c>
      <c r="Y183">
        <f t="shared" si="198"/>
        <v>0</v>
      </c>
      <c r="Z183">
        <f t="shared" si="199"/>
        <v>5435.0000000003665</v>
      </c>
      <c r="AA183">
        <f t="shared" si="200"/>
        <v>-1999.9999999999573</v>
      </c>
      <c r="AB183">
        <f t="shared" si="201"/>
        <v>41075.999999999935</v>
      </c>
      <c r="AC183">
        <f t="shared" si="202"/>
        <v>-11114.99999999996</v>
      </c>
      <c r="AD183">
        <f t="shared" si="203"/>
        <v>-502720.00000000268</v>
      </c>
      <c r="AE183">
        <f t="shared" si="204"/>
        <v>4.0000000000000036</v>
      </c>
      <c r="AF183">
        <f t="shared" si="205"/>
        <v>201292.00000000017</v>
      </c>
      <c r="AG183">
        <f t="shared" si="206"/>
        <v>101292.00000000009</v>
      </c>
      <c r="AH183">
        <f t="shared" si="207"/>
        <v>4.0000000000000036</v>
      </c>
      <c r="AI183">
        <f t="shared" si="208"/>
        <v>-0.49934281431089605</v>
      </c>
      <c r="AJ183">
        <f t="shared" si="209"/>
        <v>37932.134805997499</v>
      </c>
      <c r="AK183">
        <f t="shared" si="210"/>
        <v>32996.197954027688</v>
      </c>
      <c r="AL183">
        <f t="shared" si="211"/>
        <v>83705.435341501492</v>
      </c>
      <c r="AM183" s="1">
        <f t="shared" si="212"/>
        <v>79867.644640863931</v>
      </c>
      <c r="AN183" s="1">
        <f t="shared" si="188"/>
        <v>53984.913399574347</v>
      </c>
      <c r="AO183">
        <f t="shared" si="189"/>
        <v>-1.4819725940459032</v>
      </c>
      <c r="AP183">
        <f t="shared" si="190"/>
        <v>15.401937613839245</v>
      </c>
    </row>
    <row r="184" spans="1:42" x14ac:dyDescent="0.25">
      <c r="A184" s="4">
        <v>45831</v>
      </c>
      <c r="B184">
        <f t="shared" ref="B184:N184" si="263">(B734-B733)*100</f>
        <v>0</v>
      </c>
      <c r="C184">
        <f t="shared" si="263"/>
        <v>3.0000000000000249</v>
      </c>
      <c r="D184">
        <f t="shared" si="263"/>
        <v>0.99999999999997868</v>
      </c>
      <c r="E184">
        <f t="shared" si="263"/>
        <v>3.0000000000000249</v>
      </c>
      <c r="F184">
        <f t="shared" si="263"/>
        <v>0.99999999999997868</v>
      </c>
      <c r="G184">
        <f t="shared" si="263"/>
        <v>7.0000000000000284</v>
      </c>
      <c r="H184">
        <f t="shared" si="263"/>
        <v>6.0000000000000053</v>
      </c>
      <c r="I184">
        <f t="shared" si="263"/>
        <v>6.0000000000000053</v>
      </c>
      <c r="J184">
        <f t="shared" si="263"/>
        <v>4.9999999999999822</v>
      </c>
      <c r="K184">
        <f t="shared" si="263"/>
        <v>6.0000000000000497</v>
      </c>
      <c r="L184">
        <f t="shared" si="263"/>
        <v>4.0000000000000036</v>
      </c>
      <c r="M184">
        <f t="shared" si="263"/>
        <v>3.0000000000000249</v>
      </c>
      <c r="N184">
        <f t="shared" si="263"/>
        <v>1.9999999999999574</v>
      </c>
      <c r="O184" s="5">
        <f t="shared" si="254"/>
        <v>4.6476246470476624E-3</v>
      </c>
      <c r="P184" s="5">
        <f t="shared" si="254"/>
        <v>0</v>
      </c>
      <c r="Q184" s="5">
        <f t="shared" si="254"/>
        <v>3.8828015497196985E-3</v>
      </c>
      <c r="R184" s="5">
        <f t="shared" si="254"/>
        <v>-2.781642961876914E-3</v>
      </c>
      <c r="S184" s="5">
        <f t="shared" si="254"/>
        <v>-1.2006182015182568E-3</v>
      </c>
      <c r="U184" s="4">
        <v>45831</v>
      </c>
      <c r="V184">
        <f t="shared" si="195"/>
        <v>0</v>
      </c>
      <c r="W184">
        <f t="shared" si="196"/>
        <v>-6669.0000000000555</v>
      </c>
      <c r="X184">
        <f t="shared" si="197"/>
        <v>4589.9999999999018</v>
      </c>
      <c r="Y184">
        <f t="shared" si="198"/>
        <v>-10335.000000000085</v>
      </c>
      <c r="Z184">
        <f t="shared" si="199"/>
        <v>5434.9999999998845</v>
      </c>
      <c r="AA184">
        <f t="shared" si="200"/>
        <v>-14000.000000000056</v>
      </c>
      <c r="AB184">
        <f t="shared" si="201"/>
        <v>27384.000000000025</v>
      </c>
      <c r="AC184">
        <f t="shared" si="202"/>
        <v>-13338.000000000013</v>
      </c>
      <c r="AD184">
        <f t="shared" si="203"/>
        <v>-502719.9999999982</v>
      </c>
      <c r="AE184">
        <f t="shared" si="204"/>
        <v>6.0000000000000497</v>
      </c>
      <c r="AF184">
        <f t="shared" si="205"/>
        <v>201292.00000000017</v>
      </c>
      <c r="AG184">
        <f t="shared" si="206"/>
        <v>75969.000000000626</v>
      </c>
      <c r="AH184">
        <f t="shared" si="207"/>
        <v>1.9999999999999574</v>
      </c>
      <c r="AI184">
        <f t="shared" si="208"/>
        <v>0.46476246470476623</v>
      </c>
      <c r="AJ184">
        <f t="shared" si="209"/>
        <v>0</v>
      </c>
      <c r="AK184">
        <f t="shared" si="210"/>
        <v>38828.015497196982</v>
      </c>
      <c r="AL184">
        <f t="shared" si="211"/>
        <v>69541.074046922848</v>
      </c>
      <c r="AM184" s="1">
        <f t="shared" si="212"/>
        <v>12006.182015182569</v>
      </c>
      <c r="AN184" s="1">
        <f t="shared" si="188"/>
        <v>-112008.26367823067</v>
      </c>
      <c r="AO184">
        <f t="shared" si="189"/>
        <v>-0.74394634343135868</v>
      </c>
      <c r="AP184">
        <f t="shared" si="190"/>
        <v>15.435863993110212</v>
      </c>
    </row>
    <row r="185" spans="1:42" x14ac:dyDescent="0.25">
      <c r="A185" s="4">
        <v>45828</v>
      </c>
      <c r="B185">
        <f t="shared" ref="B185:N185" si="264">(B735-B734)*100</f>
        <v>0</v>
      </c>
      <c r="C185">
        <f t="shared" si="264"/>
        <v>3.0000000000000249</v>
      </c>
      <c r="D185">
        <f t="shared" si="264"/>
        <v>3.0000000000000249</v>
      </c>
      <c r="E185">
        <f t="shared" si="264"/>
        <v>0.99999999999997868</v>
      </c>
      <c r="F185">
        <f t="shared" si="264"/>
        <v>4.0000000000000036</v>
      </c>
      <c r="G185">
        <f t="shared" si="264"/>
        <v>2.9999999999999361</v>
      </c>
      <c r="H185">
        <f t="shared" si="264"/>
        <v>4.0000000000000036</v>
      </c>
      <c r="I185">
        <f t="shared" si="264"/>
        <v>3.0000000000000249</v>
      </c>
      <c r="J185">
        <f t="shared" si="264"/>
        <v>2.0000000000000018</v>
      </c>
      <c r="K185">
        <f t="shared" si="264"/>
        <v>0.99999999999997868</v>
      </c>
      <c r="L185">
        <f t="shared" si="264"/>
        <v>0</v>
      </c>
      <c r="M185">
        <f t="shared" si="264"/>
        <v>-1.0000000000000675</v>
      </c>
      <c r="N185">
        <f t="shared" si="264"/>
        <v>-0.99999999999997868</v>
      </c>
      <c r="O185" s="5">
        <f t="shared" ref="O185:S194" si="265">LN(O734/O735)</f>
        <v>1.4203771849870938E-3</v>
      </c>
      <c r="P185" s="5">
        <f t="shared" si="265"/>
        <v>6.2481060845228694E-3</v>
      </c>
      <c r="Q185" s="5">
        <f t="shared" si="265"/>
        <v>4.3236994029770479E-3</v>
      </c>
      <c r="R185" s="5">
        <f t="shared" si="265"/>
        <v>6.1298603755370095E-3</v>
      </c>
      <c r="S185" s="5">
        <f t="shared" si="265"/>
        <v>6.9522160040712717E-3</v>
      </c>
      <c r="U185" s="4">
        <v>45828</v>
      </c>
      <c r="V185">
        <f t="shared" si="195"/>
        <v>0</v>
      </c>
      <c r="W185">
        <f t="shared" si="196"/>
        <v>-6669.0000000000555</v>
      </c>
      <c r="X185">
        <f t="shared" si="197"/>
        <v>13770.000000000115</v>
      </c>
      <c r="Y185">
        <f t="shared" si="198"/>
        <v>-3444.9999999999268</v>
      </c>
      <c r="Z185">
        <f t="shared" si="199"/>
        <v>21740.000000000018</v>
      </c>
      <c r="AA185">
        <f t="shared" si="200"/>
        <v>-5999.9999999998718</v>
      </c>
      <c r="AB185">
        <f t="shared" si="201"/>
        <v>18256.000000000015</v>
      </c>
      <c r="AC185">
        <f t="shared" si="202"/>
        <v>-6669.0000000000555</v>
      </c>
      <c r="AD185">
        <f t="shared" si="203"/>
        <v>-201088.00000000017</v>
      </c>
      <c r="AE185">
        <f t="shared" si="204"/>
        <v>0.99999999999997868</v>
      </c>
      <c r="AF185">
        <f t="shared" si="205"/>
        <v>0</v>
      </c>
      <c r="AG185">
        <f t="shared" si="206"/>
        <v>-25323.00000000171</v>
      </c>
      <c r="AH185">
        <f t="shared" si="207"/>
        <v>-0.99999999999997868</v>
      </c>
      <c r="AI185">
        <f t="shared" si="208"/>
        <v>0.14203771849870939</v>
      </c>
      <c r="AJ185">
        <f t="shared" si="209"/>
        <v>-62481.060845228691</v>
      </c>
      <c r="AK185">
        <f t="shared" si="210"/>
        <v>43236.994029770482</v>
      </c>
      <c r="AL185">
        <f t="shared" si="211"/>
        <v>-153246.50938842524</v>
      </c>
      <c r="AM185" s="1">
        <f t="shared" si="212"/>
        <v>-69522.160040712712</v>
      </c>
      <c r="AN185" s="1">
        <f t="shared" si="188"/>
        <v>-437440.59420687926</v>
      </c>
      <c r="AO185">
        <f t="shared" si="189"/>
        <v>-2.4934550497427521</v>
      </c>
      <c r="AP185">
        <f t="shared" si="190"/>
        <v>15.425792105001564</v>
      </c>
    </row>
    <row r="186" spans="1:42" x14ac:dyDescent="0.25">
      <c r="A186" s="4">
        <v>45826</v>
      </c>
      <c r="B186">
        <f t="shared" ref="B186:N186" si="266">(B736-B735)*100</f>
        <v>3.0000000000000249</v>
      </c>
      <c r="C186">
        <f t="shared" si="266"/>
        <v>-12.000000000000011</v>
      </c>
      <c r="D186">
        <f t="shared" si="266"/>
        <v>0</v>
      </c>
      <c r="E186">
        <f t="shared" si="266"/>
        <v>-2.0000000000000462</v>
      </c>
      <c r="F186">
        <f t="shared" si="266"/>
        <v>-2.0000000000000462</v>
      </c>
      <c r="G186">
        <f t="shared" si="266"/>
        <v>0</v>
      </c>
      <c r="H186">
        <f t="shared" si="266"/>
        <v>0</v>
      </c>
      <c r="I186">
        <f t="shared" si="266"/>
        <v>0.99999999999997868</v>
      </c>
      <c r="J186">
        <f t="shared" si="266"/>
        <v>1.0000000000000231</v>
      </c>
      <c r="K186">
        <f t="shared" si="266"/>
        <v>0</v>
      </c>
      <c r="L186">
        <f t="shared" si="266"/>
        <v>0.99999999999997868</v>
      </c>
      <c r="M186">
        <f t="shared" si="266"/>
        <v>0</v>
      </c>
      <c r="N186">
        <f t="shared" si="266"/>
        <v>0</v>
      </c>
      <c r="O186" s="5">
        <f t="shared" si="265"/>
        <v>1.9334956682883929E-3</v>
      </c>
      <c r="P186" s="5">
        <f t="shared" si="265"/>
        <v>-7.956465255347241E-3</v>
      </c>
      <c r="Q186" s="5">
        <f t="shared" si="265"/>
        <v>4.3531677172806782E-3</v>
      </c>
      <c r="R186" s="5">
        <f t="shared" si="265"/>
        <v>-8.9037872582621389E-3</v>
      </c>
      <c r="S186" s="5">
        <f t="shared" si="265"/>
        <v>1.1038108873689355E-3</v>
      </c>
      <c r="U186" s="4">
        <v>45826</v>
      </c>
      <c r="V186">
        <f t="shared" si="195"/>
        <v>-12000.0000000001</v>
      </c>
      <c r="W186">
        <f t="shared" si="196"/>
        <v>26676.000000000025</v>
      </c>
      <c r="X186">
        <f t="shared" si="197"/>
        <v>0</v>
      </c>
      <c r="Y186">
        <f t="shared" si="198"/>
        <v>6890.0000000001592</v>
      </c>
      <c r="Z186">
        <f t="shared" si="199"/>
        <v>-10870.000000000251</v>
      </c>
      <c r="AA186">
        <f t="shared" si="200"/>
        <v>0</v>
      </c>
      <c r="AB186">
        <f t="shared" si="201"/>
        <v>0</v>
      </c>
      <c r="AC186">
        <f t="shared" si="202"/>
        <v>-2222.9999999999527</v>
      </c>
      <c r="AD186">
        <f t="shared" si="203"/>
        <v>-100544.00000000233</v>
      </c>
      <c r="AE186">
        <f t="shared" si="204"/>
        <v>0</v>
      </c>
      <c r="AF186">
        <f t="shared" si="205"/>
        <v>50322.99999999893</v>
      </c>
      <c r="AG186">
        <f t="shared" si="206"/>
        <v>0</v>
      </c>
      <c r="AH186">
        <f t="shared" si="207"/>
        <v>0</v>
      </c>
      <c r="AI186">
        <f t="shared" si="208"/>
        <v>0.19334956682883928</v>
      </c>
      <c r="AJ186">
        <f t="shared" si="209"/>
        <v>79564.652553472406</v>
      </c>
      <c r="AK186">
        <f t="shared" si="210"/>
        <v>43531.677172806783</v>
      </c>
      <c r="AL186">
        <f t="shared" si="211"/>
        <v>222594.68145655346</v>
      </c>
      <c r="AM186" s="1">
        <f t="shared" si="212"/>
        <v>-11038.108873689354</v>
      </c>
      <c r="AN186" s="1">
        <f t="shared" si="188"/>
        <v>292905.09565870656</v>
      </c>
      <c r="AO186">
        <f t="shared" si="189"/>
        <v>-7.7270512358546197</v>
      </c>
      <c r="AP186">
        <f t="shared" si="190"/>
        <v>15.619008878677992</v>
      </c>
    </row>
    <row r="187" spans="1:42" x14ac:dyDescent="0.25">
      <c r="A187" s="4">
        <v>45825</v>
      </c>
      <c r="B187">
        <f t="shared" ref="B187:N187" si="267">(B737-B736)*100</f>
        <v>0.99999999999997868</v>
      </c>
      <c r="C187">
        <f t="shared" si="267"/>
        <v>0.99999999999997868</v>
      </c>
      <c r="D187">
        <f t="shared" si="267"/>
        <v>0.99999999999997868</v>
      </c>
      <c r="E187">
        <f t="shared" si="267"/>
        <v>1.0000000000000675</v>
      </c>
      <c r="F187">
        <f t="shared" si="267"/>
        <v>1.0000000000000675</v>
      </c>
      <c r="G187">
        <f t="shared" si="267"/>
        <v>0</v>
      </c>
      <c r="H187">
        <f t="shared" si="267"/>
        <v>3.0000000000000249</v>
      </c>
      <c r="I187">
        <f t="shared" si="267"/>
        <v>3.0000000000000249</v>
      </c>
      <c r="J187">
        <f t="shared" si="267"/>
        <v>4.9999999999999822</v>
      </c>
      <c r="K187">
        <f t="shared" si="267"/>
        <v>6.0000000000000497</v>
      </c>
      <c r="L187">
        <f t="shared" si="267"/>
        <v>7.0000000000000284</v>
      </c>
      <c r="M187">
        <f t="shared" si="267"/>
        <v>8.0000000000000071</v>
      </c>
      <c r="N187">
        <f t="shared" si="267"/>
        <v>8.0000000000000071</v>
      </c>
      <c r="O187" s="5">
        <f t="shared" si="265"/>
        <v>-6.3700279097730515E-3</v>
      </c>
      <c r="P187" s="5">
        <f t="shared" si="265"/>
        <v>-1.3402377881877403E-3</v>
      </c>
      <c r="Q187" s="5">
        <f t="shared" si="265"/>
        <v>-2.744276918617658E-3</v>
      </c>
      <c r="R187" s="5">
        <f t="shared" si="265"/>
        <v>1.3860016078771529E-3</v>
      </c>
      <c r="S187" s="5">
        <f t="shared" si="265"/>
        <v>5.4369311721773218E-3</v>
      </c>
      <c r="U187" s="4">
        <v>45825</v>
      </c>
      <c r="V187">
        <f t="shared" si="195"/>
        <v>-3999.9999999999145</v>
      </c>
      <c r="W187">
        <f t="shared" si="196"/>
        <v>-2222.9999999999527</v>
      </c>
      <c r="X187">
        <f t="shared" si="197"/>
        <v>4589.9999999999018</v>
      </c>
      <c r="Y187">
        <f t="shared" si="198"/>
        <v>-3445.0000000002324</v>
      </c>
      <c r="Z187">
        <f t="shared" si="199"/>
        <v>5435.0000000003665</v>
      </c>
      <c r="AA187">
        <f t="shared" si="200"/>
        <v>0</v>
      </c>
      <c r="AB187">
        <f t="shared" si="201"/>
        <v>13692.000000000113</v>
      </c>
      <c r="AC187">
        <f t="shared" si="202"/>
        <v>-6669.0000000000555</v>
      </c>
      <c r="AD187">
        <f t="shared" si="203"/>
        <v>-502719.9999999982</v>
      </c>
      <c r="AE187">
        <f t="shared" si="204"/>
        <v>6.0000000000000497</v>
      </c>
      <c r="AF187">
        <f t="shared" si="205"/>
        <v>352261.00000000146</v>
      </c>
      <c r="AG187">
        <f t="shared" si="206"/>
        <v>202584.00000000017</v>
      </c>
      <c r="AH187">
        <f t="shared" si="207"/>
        <v>8.0000000000000071</v>
      </c>
      <c r="AI187">
        <f t="shared" si="208"/>
        <v>-0.63700279097730517</v>
      </c>
      <c r="AJ187">
        <f t="shared" si="209"/>
        <v>13402.377881877403</v>
      </c>
      <c r="AK187">
        <f t="shared" si="210"/>
        <v>-27442.769186176582</v>
      </c>
      <c r="AL187">
        <f t="shared" si="211"/>
        <v>-34650.040196928821</v>
      </c>
      <c r="AM187" s="1">
        <f t="shared" si="212"/>
        <v>-54369.311721773214</v>
      </c>
      <c r="AN187" s="1">
        <f t="shared" si="188"/>
        <v>-43541.380225788518</v>
      </c>
      <c r="AO187">
        <f t="shared" si="189"/>
        <v>-1.4275205777761264</v>
      </c>
      <c r="AP187">
        <f t="shared" si="190"/>
        <v>15.648860899077965</v>
      </c>
    </row>
    <row r="188" spans="1:42" x14ac:dyDescent="0.25">
      <c r="A188" s="4">
        <v>45824</v>
      </c>
      <c r="B188">
        <f t="shared" ref="B188:N188" si="268">(B738-B737)*100</f>
        <v>-0.99999999999997868</v>
      </c>
      <c r="C188">
        <f t="shared" si="268"/>
        <v>1.0000000000000675</v>
      </c>
      <c r="D188">
        <f t="shared" si="268"/>
        <v>2.0000000000000462</v>
      </c>
      <c r="E188">
        <f t="shared" si="268"/>
        <v>0</v>
      </c>
      <c r="F188">
        <f t="shared" si="268"/>
        <v>-2.0000000000000462</v>
      </c>
      <c r="G188">
        <f t="shared" si="268"/>
        <v>-0.99999999999997868</v>
      </c>
      <c r="H188">
        <f t="shared" si="268"/>
        <v>-1.0000000000000231</v>
      </c>
      <c r="I188">
        <f t="shared" si="268"/>
        <v>-3.0000000000000249</v>
      </c>
      <c r="J188">
        <f t="shared" si="268"/>
        <v>-2.0000000000000462</v>
      </c>
      <c r="K188">
        <f t="shared" si="268"/>
        <v>-3.0000000000000249</v>
      </c>
      <c r="L188">
        <f t="shared" si="268"/>
        <v>-4.9999999999999822</v>
      </c>
      <c r="M188">
        <f t="shared" si="268"/>
        <v>-4.0000000000000036</v>
      </c>
      <c r="N188">
        <f t="shared" si="268"/>
        <v>-5.9999999999999609</v>
      </c>
      <c r="O188" s="5">
        <f t="shared" si="265"/>
        <v>-9.5514814027665169E-3</v>
      </c>
      <c r="P188" s="5">
        <f t="shared" si="265"/>
        <v>-5.706322774831434E-3</v>
      </c>
      <c r="Q188" s="5">
        <f t="shared" si="265"/>
        <v>8.0620126924902894E-3</v>
      </c>
      <c r="R188" s="5">
        <f t="shared" si="265"/>
        <v>-3.875973844693072E-3</v>
      </c>
      <c r="S188" s="5">
        <f t="shared" si="265"/>
        <v>-1.490053378648268E-3</v>
      </c>
      <c r="U188" s="4">
        <v>45824</v>
      </c>
      <c r="V188">
        <f t="shared" si="195"/>
        <v>3999.9999999999145</v>
      </c>
      <c r="W188">
        <f t="shared" si="196"/>
        <v>-2223.0000000001501</v>
      </c>
      <c r="X188">
        <f t="shared" si="197"/>
        <v>9180.0000000002128</v>
      </c>
      <c r="Y188">
        <f t="shared" si="198"/>
        <v>0</v>
      </c>
      <c r="Z188">
        <f t="shared" si="199"/>
        <v>-10870.000000000251</v>
      </c>
      <c r="AA188">
        <f t="shared" si="200"/>
        <v>1999.9999999999573</v>
      </c>
      <c r="AB188">
        <f t="shared" si="201"/>
        <v>-4564.0000000001055</v>
      </c>
      <c r="AC188">
        <f t="shared" si="202"/>
        <v>6669.0000000000555</v>
      </c>
      <c r="AD188">
        <f t="shared" si="203"/>
        <v>201088.00000000466</v>
      </c>
      <c r="AE188">
        <f t="shared" si="204"/>
        <v>-3.0000000000000249</v>
      </c>
      <c r="AF188">
        <f t="shared" si="205"/>
        <v>-251614.9999999991</v>
      </c>
      <c r="AG188">
        <f t="shared" si="206"/>
        <v>-101292.00000000009</v>
      </c>
      <c r="AH188">
        <f t="shared" si="207"/>
        <v>-5.9999999999999609</v>
      </c>
      <c r="AI188">
        <f t="shared" si="208"/>
        <v>-0.95514814027665174</v>
      </c>
      <c r="AJ188">
        <f t="shared" si="209"/>
        <v>57063.227748314341</v>
      </c>
      <c r="AK188">
        <f t="shared" si="210"/>
        <v>80620.126924902899</v>
      </c>
      <c r="AL188">
        <f t="shared" si="211"/>
        <v>96899.346117326801</v>
      </c>
      <c r="AM188" s="1">
        <f t="shared" si="212"/>
        <v>14900.53378648268</v>
      </c>
      <c r="AN188" s="1">
        <f t="shared" si="188"/>
        <v>101846.27942889152</v>
      </c>
      <c r="AO188">
        <f t="shared" si="189"/>
        <v>-29.707389184450896</v>
      </c>
      <c r="AP188">
        <f t="shared" si="190"/>
        <v>15.652722827062508</v>
      </c>
    </row>
    <row r="189" spans="1:42" x14ac:dyDescent="0.25">
      <c r="A189" s="4">
        <v>45821</v>
      </c>
      <c r="B189">
        <f t="shared" ref="B189:N189" si="269">(B739-B738)*100</f>
        <v>-5.0000000000000711</v>
      </c>
      <c r="C189">
        <f t="shared" si="269"/>
        <v>0.99999999999997868</v>
      </c>
      <c r="D189">
        <f t="shared" si="269"/>
        <v>0.99999999999997868</v>
      </c>
      <c r="E189">
        <f t="shared" si="269"/>
        <v>0</v>
      </c>
      <c r="F189">
        <f t="shared" si="269"/>
        <v>-0.99999999999997868</v>
      </c>
      <c r="G189">
        <f t="shared" si="269"/>
        <v>-3.0000000000000249</v>
      </c>
      <c r="H189">
        <f t="shared" si="269"/>
        <v>-6.0000000000000053</v>
      </c>
      <c r="I189">
        <f t="shared" si="269"/>
        <v>-4.9999999999999822</v>
      </c>
      <c r="J189">
        <f t="shared" si="269"/>
        <v>-4.9999999999999378</v>
      </c>
      <c r="K189">
        <f t="shared" si="269"/>
        <v>-4.9999999999999822</v>
      </c>
      <c r="L189">
        <f t="shared" si="269"/>
        <v>-4.9999999999999822</v>
      </c>
      <c r="M189">
        <f t="shared" si="269"/>
        <v>-6.9999999999999396</v>
      </c>
      <c r="N189">
        <f t="shared" si="269"/>
        <v>-6.0000000000000497</v>
      </c>
      <c r="O189" s="5">
        <f t="shared" si="265"/>
        <v>4.7553091392734358E-3</v>
      </c>
      <c r="P189" s="5">
        <f t="shared" si="265"/>
        <v>-6.7351372069778233E-3</v>
      </c>
      <c r="Q189" s="5">
        <f t="shared" si="265"/>
        <v>-6.5466506899382959E-3</v>
      </c>
      <c r="R189" s="5">
        <f t="shared" si="265"/>
        <v>3.044142381228273E-3</v>
      </c>
      <c r="S189" s="5">
        <f t="shared" si="265"/>
        <v>9.8255186111062564E-4</v>
      </c>
      <c r="U189" s="4">
        <v>45821</v>
      </c>
      <c r="V189">
        <f t="shared" si="195"/>
        <v>20000.000000000284</v>
      </c>
      <c r="W189">
        <f t="shared" si="196"/>
        <v>-2222.9999999999527</v>
      </c>
      <c r="X189">
        <f t="shared" si="197"/>
        <v>4589.9999999999018</v>
      </c>
      <c r="Y189">
        <f t="shared" si="198"/>
        <v>0</v>
      </c>
      <c r="Z189">
        <f t="shared" si="199"/>
        <v>-5434.9999999998845</v>
      </c>
      <c r="AA189">
        <f t="shared" si="200"/>
        <v>6000.00000000005</v>
      </c>
      <c r="AB189">
        <f t="shared" si="201"/>
        <v>-27384.000000000025</v>
      </c>
      <c r="AC189">
        <f t="shared" si="202"/>
        <v>11114.99999999996</v>
      </c>
      <c r="AD189">
        <f t="shared" si="203"/>
        <v>502719.99999999377</v>
      </c>
      <c r="AE189">
        <f t="shared" si="204"/>
        <v>-4.9999999999999822</v>
      </c>
      <c r="AF189">
        <f t="shared" si="205"/>
        <v>-251614.9999999991</v>
      </c>
      <c r="AG189">
        <f t="shared" si="206"/>
        <v>-177260.99999999846</v>
      </c>
      <c r="AH189">
        <f t="shared" si="207"/>
        <v>-6.0000000000000497</v>
      </c>
      <c r="AI189">
        <f t="shared" si="208"/>
        <v>0.47553091392734359</v>
      </c>
      <c r="AJ189">
        <f t="shared" si="209"/>
        <v>67351.372069778226</v>
      </c>
      <c r="AK189">
        <f t="shared" si="210"/>
        <v>-65466.506899382963</v>
      </c>
      <c r="AL189">
        <f t="shared" si="211"/>
        <v>-76103.559530706829</v>
      </c>
      <c r="AM189" s="1">
        <f t="shared" si="212"/>
        <v>-9825.5186111062558</v>
      </c>
      <c r="AN189" s="1">
        <f t="shared" si="188"/>
        <v>-3547.737440507326</v>
      </c>
      <c r="AO189">
        <f t="shared" si="189"/>
        <v>-1.076612059628212</v>
      </c>
      <c r="AP189">
        <f t="shared" si="190"/>
        <v>14.667953890453855</v>
      </c>
    </row>
    <row r="190" spans="1:42" x14ac:dyDescent="0.25">
      <c r="A190" s="4">
        <v>45820</v>
      </c>
      <c r="B190">
        <f t="shared" ref="B190:N190" si="270">(B740-B739)*100</f>
        <v>12.000000000000011</v>
      </c>
      <c r="C190">
        <f t="shared" si="270"/>
        <v>-10.000000000000053</v>
      </c>
      <c r="D190">
        <f t="shared" si="270"/>
        <v>-0.99999999999997868</v>
      </c>
      <c r="E190">
        <f t="shared" si="270"/>
        <v>-1.0000000000000675</v>
      </c>
      <c r="F190">
        <f t="shared" si="270"/>
        <v>1.9999999999999574</v>
      </c>
      <c r="G190">
        <f t="shared" si="270"/>
        <v>2.0000000000000462</v>
      </c>
      <c r="H190">
        <f t="shared" si="270"/>
        <v>4.0000000000000036</v>
      </c>
      <c r="I190">
        <f t="shared" si="270"/>
        <v>4.0000000000000036</v>
      </c>
      <c r="J190">
        <f t="shared" si="270"/>
        <v>4.9999999999999378</v>
      </c>
      <c r="K190">
        <f t="shared" si="270"/>
        <v>5.9999999999999609</v>
      </c>
      <c r="L190">
        <f t="shared" si="270"/>
        <v>4.9999999999999822</v>
      </c>
      <c r="M190">
        <f t="shared" si="270"/>
        <v>6.9999999999999396</v>
      </c>
      <c r="N190">
        <f t="shared" si="270"/>
        <v>7.0000000000000284</v>
      </c>
      <c r="O190" s="5">
        <f t="shared" si="265"/>
        <v>-3.6110208359941203E-5</v>
      </c>
      <c r="P190" s="5">
        <f t="shared" si="265"/>
        <v>-6.013757648549189E-3</v>
      </c>
      <c r="Q190" s="5">
        <f t="shared" si="265"/>
        <v>-2.6876575978920405E-3</v>
      </c>
      <c r="R190" s="5">
        <f t="shared" si="265"/>
        <v>-3.872757260844354E-3</v>
      </c>
      <c r="S190" s="5">
        <f t="shared" si="265"/>
        <v>-7.3989123632611174E-5</v>
      </c>
      <c r="U190" s="4">
        <v>45820</v>
      </c>
      <c r="V190">
        <f t="shared" si="195"/>
        <v>-48000.000000000044</v>
      </c>
      <c r="W190">
        <f t="shared" si="196"/>
        <v>22230.00000000012</v>
      </c>
      <c r="X190">
        <f t="shared" si="197"/>
        <v>-4589.9999999999018</v>
      </c>
      <c r="Y190">
        <f t="shared" si="198"/>
        <v>3445.0000000002324</v>
      </c>
      <c r="Z190">
        <f t="shared" si="199"/>
        <v>10869.999999999769</v>
      </c>
      <c r="AA190">
        <f t="shared" si="200"/>
        <v>-4000.0000000000923</v>
      </c>
      <c r="AB190">
        <f t="shared" si="201"/>
        <v>18256.000000000015</v>
      </c>
      <c r="AC190">
        <f t="shared" si="202"/>
        <v>-8892.0000000000073</v>
      </c>
      <c r="AD190">
        <f t="shared" si="203"/>
        <v>-502719.99999999377</v>
      </c>
      <c r="AE190">
        <f t="shared" si="204"/>
        <v>5.9999999999999609</v>
      </c>
      <c r="AF190">
        <f t="shared" si="205"/>
        <v>251614.9999999991</v>
      </c>
      <c r="AG190">
        <f t="shared" si="206"/>
        <v>177260.99999999846</v>
      </c>
      <c r="AH190">
        <f t="shared" si="207"/>
        <v>7.0000000000000284</v>
      </c>
      <c r="AI190">
        <f t="shared" si="208"/>
        <v>-3.6110208359941202E-3</v>
      </c>
      <c r="AJ190">
        <f t="shared" si="209"/>
        <v>60137.576485491889</v>
      </c>
      <c r="AK190">
        <f t="shared" si="210"/>
        <v>-26876.575978920406</v>
      </c>
      <c r="AL190">
        <f t="shared" si="211"/>
        <v>96818.931521108854</v>
      </c>
      <c r="AM190" s="1">
        <f t="shared" si="212"/>
        <v>739.89123632611177</v>
      </c>
      <c r="AN190" s="1">
        <f t="shared" si="188"/>
        <v>46307.819652989514</v>
      </c>
      <c r="AO190">
        <f t="shared" si="189"/>
        <v>0.23102034276621453</v>
      </c>
      <c r="AP190">
        <f t="shared" si="190"/>
        <v>14.704493788327005</v>
      </c>
    </row>
    <row r="191" spans="1:42" x14ac:dyDescent="0.25">
      <c r="A191" s="4">
        <v>45819</v>
      </c>
      <c r="B191">
        <f t="shared" ref="B191:N191" si="271">(B741-B740)*100</f>
        <v>-0.99999999999997868</v>
      </c>
      <c r="C191">
        <f t="shared" si="271"/>
        <v>-1.9999999999999574</v>
      </c>
      <c r="D191">
        <f t="shared" si="271"/>
        <v>0</v>
      </c>
      <c r="E191">
        <f t="shared" si="271"/>
        <v>-0.99999999999997868</v>
      </c>
      <c r="F191">
        <f t="shared" si="271"/>
        <v>1.0000000000000675</v>
      </c>
      <c r="G191">
        <f t="shared" si="271"/>
        <v>4.0000000000000036</v>
      </c>
      <c r="H191">
        <f t="shared" si="271"/>
        <v>6.999999999999984</v>
      </c>
      <c r="I191">
        <f t="shared" si="271"/>
        <v>6.0000000000000053</v>
      </c>
      <c r="J191">
        <f t="shared" si="271"/>
        <v>6.0000000000000497</v>
      </c>
      <c r="K191">
        <f t="shared" si="271"/>
        <v>5.9999999999999609</v>
      </c>
      <c r="L191">
        <f t="shared" si="271"/>
        <v>5.9999999999999609</v>
      </c>
      <c r="M191">
        <f t="shared" si="271"/>
        <v>3.0000000000000249</v>
      </c>
      <c r="N191">
        <f t="shared" si="271"/>
        <v>1.9999999999999574</v>
      </c>
      <c r="O191" s="5">
        <f t="shared" si="265"/>
        <v>-3.0106115167089229E-3</v>
      </c>
      <c r="P191" s="5">
        <f t="shared" si="265"/>
        <v>-5.7235027799154674E-3</v>
      </c>
      <c r="Q191" s="5">
        <f t="shared" si="265"/>
        <v>1.9083466614425227E-3</v>
      </c>
      <c r="R191" s="5">
        <f t="shared" si="265"/>
        <v>-3.3076105127577528E-3</v>
      </c>
      <c r="S191" s="5">
        <f t="shared" si="265"/>
        <v>-7.6021972269281835E-3</v>
      </c>
      <c r="U191" s="4">
        <v>45819</v>
      </c>
      <c r="V191">
        <f t="shared" si="195"/>
        <v>3999.9999999999145</v>
      </c>
      <c r="W191">
        <f t="shared" si="196"/>
        <v>4445.9999999999054</v>
      </c>
      <c r="X191">
        <f t="shared" si="197"/>
        <v>0</v>
      </c>
      <c r="Y191">
        <f t="shared" si="198"/>
        <v>3444.9999999999268</v>
      </c>
      <c r="Z191">
        <f t="shared" si="199"/>
        <v>5435.0000000003665</v>
      </c>
      <c r="AA191">
        <f t="shared" si="200"/>
        <v>-8000.0000000000073</v>
      </c>
      <c r="AB191">
        <f t="shared" si="201"/>
        <v>31947.999999999927</v>
      </c>
      <c r="AC191">
        <f t="shared" si="202"/>
        <v>-13338.000000000013</v>
      </c>
      <c r="AD191">
        <f t="shared" si="203"/>
        <v>-603264.00000000501</v>
      </c>
      <c r="AE191">
        <f t="shared" si="204"/>
        <v>5.9999999999999609</v>
      </c>
      <c r="AF191">
        <f t="shared" si="205"/>
        <v>301937.99999999802</v>
      </c>
      <c r="AG191">
        <f t="shared" si="206"/>
        <v>75969.000000000626</v>
      </c>
      <c r="AH191">
        <f t="shared" si="207"/>
        <v>1.9999999999999574</v>
      </c>
      <c r="AI191">
        <f t="shared" si="208"/>
        <v>-0.30106115167089231</v>
      </c>
      <c r="AJ191">
        <f t="shared" si="209"/>
        <v>57235.027799154675</v>
      </c>
      <c r="AK191">
        <f t="shared" si="210"/>
        <v>19083.466614425226</v>
      </c>
      <c r="AL191">
        <f t="shared" si="211"/>
        <v>82690.262818943826</v>
      </c>
      <c r="AM191" s="1">
        <f t="shared" si="212"/>
        <v>76021.972269281832</v>
      </c>
      <c r="AN191" s="1">
        <f t="shared" si="188"/>
        <v>37617.428440647564</v>
      </c>
      <c r="AO191">
        <f t="shared" si="189"/>
        <v>-1.409455263062469</v>
      </c>
      <c r="AP191">
        <f t="shared" si="190"/>
        <v>14.699521357607658</v>
      </c>
    </row>
    <row r="192" spans="1:42" x14ac:dyDescent="0.25">
      <c r="A192" s="4">
        <v>45818</v>
      </c>
      <c r="B192">
        <f t="shared" ref="B192:N192" si="272">(B742-B741)*100</f>
        <v>0</v>
      </c>
      <c r="C192">
        <f t="shared" si="272"/>
        <v>-0.99999999999997868</v>
      </c>
      <c r="D192">
        <f t="shared" si="272"/>
        <v>-0.99999999999997868</v>
      </c>
      <c r="E192">
        <f t="shared" si="272"/>
        <v>0</v>
      </c>
      <c r="F192">
        <f t="shared" si="272"/>
        <v>0</v>
      </c>
      <c r="G192">
        <f t="shared" si="272"/>
        <v>0.99999999999997868</v>
      </c>
      <c r="H192">
        <f t="shared" si="272"/>
        <v>0</v>
      </c>
      <c r="I192">
        <f t="shared" si="272"/>
        <v>4.0000000000000036</v>
      </c>
      <c r="J192">
        <f t="shared" si="272"/>
        <v>0.99999999999997868</v>
      </c>
      <c r="K192">
        <f t="shared" si="272"/>
        <v>1.0000000000000675</v>
      </c>
      <c r="L192">
        <f t="shared" si="272"/>
        <v>2.0000000000000462</v>
      </c>
      <c r="M192">
        <f t="shared" si="272"/>
        <v>2.0000000000000462</v>
      </c>
      <c r="N192">
        <f t="shared" si="272"/>
        <v>2.0000000000000462</v>
      </c>
      <c r="O192" s="5">
        <f t="shared" si="265"/>
        <v>-3.6474423023151819E-3</v>
      </c>
      <c r="P192" s="5">
        <f t="shared" si="265"/>
        <v>1.4367034728768761E-2</v>
      </c>
      <c r="Q192" s="5">
        <f t="shared" si="265"/>
        <v>3.3992550102160987E-3</v>
      </c>
      <c r="R192" s="5">
        <f t="shared" si="265"/>
        <v>2.7521673491452176E-4</v>
      </c>
      <c r="S192" s="5">
        <f t="shared" si="265"/>
        <v>1.2805308604839959E-3</v>
      </c>
      <c r="U192" s="4">
        <v>45818</v>
      </c>
      <c r="V192">
        <f t="shared" si="195"/>
        <v>0</v>
      </c>
      <c r="W192">
        <f t="shared" si="196"/>
        <v>2222.9999999999527</v>
      </c>
      <c r="X192">
        <f t="shared" si="197"/>
        <v>-4589.9999999999018</v>
      </c>
      <c r="Y192">
        <f t="shared" si="198"/>
        <v>0</v>
      </c>
      <c r="Z192">
        <f t="shared" si="199"/>
        <v>0</v>
      </c>
      <c r="AA192">
        <f t="shared" si="200"/>
        <v>-1999.9999999999573</v>
      </c>
      <c r="AB192">
        <f t="shared" si="201"/>
        <v>0</v>
      </c>
      <c r="AC192">
        <f t="shared" si="202"/>
        <v>-8892.0000000000073</v>
      </c>
      <c r="AD192">
        <f t="shared" si="203"/>
        <v>-100543.99999999786</v>
      </c>
      <c r="AE192">
        <f t="shared" si="204"/>
        <v>1.0000000000000675</v>
      </c>
      <c r="AF192">
        <f t="shared" si="205"/>
        <v>100646.00000000233</v>
      </c>
      <c r="AG192">
        <f t="shared" si="206"/>
        <v>50646.000000001171</v>
      </c>
      <c r="AH192">
        <f t="shared" si="207"/>
        <v>2.0000000000000462</v>
      </c>
      <c r="AI192">
        <f t="shared" si="208"/>
        <v>-0.3647442302315182</v>
      </c>
      <c r="AJ192">
        <f t="shared" si="209"/>
        <v>-143670.34728768762</v>
      </c>
      <c r="AK192">
        <f t="shared" si="210"/>
        <v>33992.550102160989</v>
      </c>
      <c r="AL192">
        <f t="shared" si="211"/>
        <v>-6880.4183728630442</v>
      </c>
      <c r="AM192" s="1">
        <f t="shared" si="212"/>
        <v>-12805.308604839958</v>
      </c>
      <c r="AN192" s="1">
        <f t="shared" si="188"/>
        <v>-91871.888907454137</v>
      </c>
      <c r="AO192">
        <f t="shared" si="189"/>
        <v>-0.44916695680710017</v>
      </c>
      <c r="AP192">
        <f t="shared" si="190"/>
        <v>14.689768509444866</v>
      </c>
    </row>
    <row r="193" spans="1:42" x14ac:dyDescent="0.25">
      <c r="A193" s="4">
        <v>45817</v>
      </c>
      <c r="B193">
        <f t="shared" ref="B193:N193" si="273">(B743-B742)*100</f>
        <v>-0.99999999999997868</v>
      </c>
      <c r="C193">
        <f t="shared" si="273"/>
        <v>-1.0000000000000675</v>
      </c>
      <c r="D193">
        <f t="shared" si="273"/>
        <v>-1.0000000000000675</v>
      </c>
      <c r="E193">
        <f t="shared" si="273"/>
        <v>0</v>
      </c>
      <c r="F193">
        <f t="shared" si="273"/>
        <v>-1.0000000000000675</v>
      </c>
      <c r="G193">
        <f t="shared" si="273"/>
        <v>0.99999999999997868</v>
      </c>
      <c r="H193">
        <f t="shared" si="273"/>
        <v>3.0000000000000249</v>
      </c>
      <c r="I193">
        <f t="shared" si="273"/>
        <v>2.9999999999999361</v>
      </c>
      <c r="J193">
        <f t="shared" si="273"/>
        <v>4.0000000000000036</v>
      </c>
      <c r="K193">
        <f t="shared" si="273"/>
        <v>2.9999999999999361</v>
      </c>
      <c r="L193">
        <f t="shared" si="273"/>
        <v>1.9999999999999574</v>
      </c>
      <c r="M193">
        <f t="shared" si="273"/>
        <v>0.99999999999997868</v>
      </c>
      <c r="N193">
        <f t="shared" si="273"/>
        <v>1.9999999999999574</v>
      </c>
      <c r="O193" s="5">
        <f t="shared" si="265"/>
        <v>-3.348227405285543E-3</v>
      </c>
      <c r="P193" s="5">
        <f t="shared" si="265"/>
        <v>7.5009519078119528E-3</v>
      </c>
      <c r="Q193" s="5">
        <f t="shared" si="265"/>
        <v>3.346385918975812E-3</v>
      </c>
      <c r="R193" s="5">
        <f t="shared" si="265"/>
        <v>-4.6684143553352361E-3</v>
      </c>
      <c r="S193" s="5">
        <f t="shared" si="265"/>
        <v>-3.3029457674940729E-3</v>
      </c>
      <c r="U193" s="4">
        <v>45817</v>
      </c>
      <c r="V193">
        <f t="shared" si="195"/>
        <v>3999.9999999999145</v>
      </c>
      <c r="W193">
        <f t="shared" si="196"/>
        <v>2223.0000000001501</v>
      </c>
      <c r="X193">
        <f t="shared" si="197"/>
        <v>-4590.0000000003101</v>
      </c>
      <c r="Y193">
        <f t="shared" si="198"/>
        <v>0</v>
      </c>
      <c r="Z193">
        <f t="shared" si="199"/>
        <v>-5435.0000000003665</v>
      </c>
      <c r="AA193">
        <f t="shared" si="200"/>
        <v>-1999.9999999999573</v>
      </c>
      <c r="AB193">
        <f t="shared" si="201"/>
        <v>13692.000000000113</v>
      </c>
      <c r="AC193">
        <f t="shared" si="202"/>
        <v>-6668.9999999998581</v>
      </c>
      <c r="AD193">
        <f t="shared" si="203"/>
        <v>-402176.00000000035</v>
      </c>
      <c r="AE193">
        <f t="shared" si="204"/>
        <v>2.9999999999999361</v>
      </c>
      <c r="AF193">
        <f t="shared" si="205"/>
        <v>100645.99999999786</v>
      </c>
      <c r="AG193">
        <f t="shared" si="206"/>
        <v>25322.999999999462</v>
      </c>
      <c r="AH193">
        <f t="shared" si="207"/>
        <v>1.9999999999999574</v>
      </c>
      <c r="AI193">
        <f t="shared" si="208"/>
        <v>-0.33482274052855432</v>
      </c>
      <c r="AJ193">
        <f t="shared" si="209"/>
        <v>-75009.519078119527</v>
      </c>
      <c r="AK193">
        <f t="shared" si="210"/>
        <v>33463.859189758121</v>
      </c>
      <c r="AL193">
        <f t="shared" si="211"/>
        <v>116710.3588833809</v>
      </c>
      <c r="AM193" s="1">
        <f t="shared" si="212"/>
        <v>33029.457674940728</v>
      </c>
      <c r="AN193" s="1">
        <f t="shared" si="188"/>
        <v>-166787.17815278363</v>
      </c>
      <c r="AO193">
        <f t="shared" si="189"/>
        <v>-1.4118260646448841</v>
      </c>
      <c r="AP193">
        <f t="shared" si="190"/>
        <v>14.681337894767349</v>
      </c>
    </row>
    <row r="194" spans="1:42" x14ac:dyDescent="0.25">
      <c r="A194" s="4">
        <v>45814</v>
      </c>
      <c r="B194">
        <f t="shared" ref="B194:N194" si="274">(B744-B743)*100</f>
        <v>-2.0000000000000462</v>
      </c>
      <c r="C194">
        <f t="shared" si="274"/>
        <v>0</v>
      </c>
      <c r="D194">
        <f t="shared" si="274"/>
        <v>1.0000000000000675</v>
      </c>
      <c r="E194">
        <f t="shared" si="274"/>
        <v>-0.99999999999997868</v>
      </c>
      <c r="F194">
        <f t="shared" si="274"/>
        <v>-1.9999999999999574</v>
      </c>
      <c r="G194">
        <f t="shared" si="274"/>
        <v>-5.9999999999999609</v>
      </c>
      <c r="H194">
        <f t="shared" si="274"/>
        <v>-12.000000000000011</v>
      </c>
      <c r="I194">
        <f t="shared" si="274"/>
        <v>-11.999999999999966</v>
      </c>
      <c r="J194">
        <f t="shared" si="274"/>
        <v>-13.999999999999968</v>
      </c>
      <c r="K194">
        <f t="shared" si="274"/>
        <v>-12.999999999999989</v>
      </c>
      <c r="L194">
        <f t="shared" si="274"/>
        <v>-10.999999999999943</v>
      </c>
      <c r="M194">
        <f t="shared" si="274"/>
        <v>-8.9999999999999858</v>
      </c>
      <c r="N194">
        <f t="shared" si="274"/>
        <v>-8.9999999999999858</v>
      </c>
      <c r="O194" s="5">
        <f t="shared" si="265"/>
        <v>-3.9317309057994418E-4</v>
      </c>
      <c r="P194" s="5">
        <f t="shared" si="265"/>
        <v>2.9158769706511179E-4</v>
      </c>
      <c r="Q194" s="5">
        <f t="shared" si="265"/>
        <v>-6.5321914785474357E-3</v>
      </c>
      <c r="R194" s="5">
        <f t="shared" si="265"/>
        <v>6.5970552617407472E-3</v>
      </c>
      <c r="S194" s="5">
        <f t="shared" si="265"/>
        <v>-2.2951438265597507E-3</v>
      </c>
      <c r="U194" s="4">
        <v>45814</v>
      </c>
      <c r="V194">
        <f t="shared" si="195"/>
        <v>8000.0000000001846</v>
      </c>
      <c r="W194">
        <f t="shared" si="196"/>
        <v>0</v>
      </c>
      <c r="X194">
        <f t="shared" si="197"/>
        <v>4590.0000000003101</v>
      </c>
      <c r="Y194">
        <f t="shared" si="198"/>
        <v>3444.9999999999268</v>
      </c>
      <c r="Z194">
        <f t="shared" si="199"/>
        <v>-10869.999999999769</v>
      </c>
      <c r="AA194">
        <f t="shared" si="200"/>
        <v>11999.999999999922</v>
      </c>
      <c r="AB194">
        <f t="shared" si="201"/>
        <v>-54768.000000000051</v>
      </c>
      <c r="AC194">
        <f t="shared" si="202"/>
        <v>26675.999999999924</v>
      </c>
      <c r="AD194">
        <f t="shared" si="203"/>
        <v>1407615.9999999967</v>
      </c>
      <c r="AE194">
        <f t="shared" si="204"/>
        <v>-12.999999999999989</v>
      </c>
      <c r="AF194">
        <f t="shared" si="205"/>
        <v>-553552.99999999709</v>
      </c>
      <c r="AG194">
        <f t="shared" si="206"/>
        <v>-227906.99999999965</v>
      </c>
      <c r="AH194">
        <f t="shared" si="207"/>
        <v>-8.9999999999999858</v>
      </c>
      <c r="AI194">
        <f t="shared" si="208"/>
        <v>-3.9317309057994416E-2</v>
      </c>
      <c r="AJ194">
        <f t="shared" si="209"/>
        <v>-2915.876970651118</v>
      </c>
      <c r="AK194">
        <f t="shared" si="210"/>
        <v>-65321.914785474357</v>
      </c>
      <c r="AL194">
        <f t="shared" si="211"/>
        <v>-164926.38154351868</v>
      </c>
      <c r="AM194" s="1">
        <f t="shared" si="212"/>
        <v>22951.438265597506</v>
      </c>
      <c r="AN194" s="1">
        <f t="shared" si="188"/>
        <v>404994.22564864485</v>
      </c>
      <c r="AO194">
        <f t="shared" si="189"/>
        <v>0.26024564495987468</v>
      </c>
      <c r="AP194">
        <f t="shared" si="190"/>
        <v>14.824457579131744</v>
      </c>
    </row>
    <row r="195" spans="1:42" x14ac:dyDescent="0.25">
      <c r="A195" s="4">
        <v>45813</v>
      </c>
      <c r="B195">
        <f t="shared" ref="B195:N195" si="275">(B745-B744)*100</f>
        <v>6.0000000000000497</v>
      </c>
      <c r="C195">
        <f t="shared" si="275"/>
        <v>0</v>
      </c>
      <c r="D195">
        <f t="shared" si="275"/>
        <v>0</v>
      </c>
      <c r="E195">
        <f t="shared" si="275"/>
        <v>0</v>
      </c>
      <c r="F195">
        <f t="shared" si="275"/>
        <v>0</v>
      </c>
      <c r="G195">
        <f t="shared" si="275"/>
        <v>-2.0000000000000462</v>
      </c>
      <c r="H195">
        <f t="shared" si="275"/>
        <v>-4.9999999999999822</v>
      </c>
      <c r="I195">
        <f t="shared" si="275"/>
        <v>-6.0000000000000053</v>
      </c>
      <c r="J195">
        <f t="shared" si="275"/>
        <v>-6.0000000000000053</v>
      </c>
      <c r="K195">
        <f t="shared" si="275"/>
        <v>-4.0000000000000036</v>
      </c>
      <c r="L195">
        <f t="shared" si="275"/>
        <v>-3.0000000000000249</v>
      </c>
      <c r="M195">
        <f t="shared" si="275"/>
        <v>0</v>
      </c>
      <c r="N195">
        <f t="shared" si="275"/>
        <v>0.99999999999997868</v>
      </c>
      <c r="O195" s="5">
        <f t="shared" ref="O195:S204" si="276">LN(O744/O745)</f>
        <v>-6.465136727163423E-3</v>
      </c>
      <c r="P195" s="5">
        <f t="shared" si="276"/>
        <v>9.2878736718202245E-4</v>
      </c>
      <c r="Q195" s="5">
        <f t="shared" si="276"/>
        <v>-4.9403322338178344E-3</v>
      </c>
      <c r="R195" s="5">
        <f t="shared" si="276"/>
        <v>2.7616698027292112E-3</v>
      </c>
      <c r="S195" s="5">
        <f t="shared" si="276"/>
        <v>-2.628492477909767E-3</v>
      </c>
      <c r="U195" s="4">
        <v>45813</v>
      </c>
      <c r="V195">
        <f t="shared" si="195"/>
        <v>-24000.0000000002</v>
      </c>
      <c r="W195">
        <f t="shared" si="196"/>
        <v>0</v>
      </c>
      <c r="X195">
        <f t="shared" si="197"/>
        <v>0</v>
      </c>
      <c r="Y195">
        <f t="shared" si="198"/>
        <v>0</v>
      </c>
      <c r="Z195">
        <f t="shared" si="199"/>
        <v>0</v>
      </c>
      <c r="AA195">
        <f t="shared" si="200"/>
        <v>4000.0000000000923</v>
      </c>
      <c r="AB195">
        <f t="shared" si="201"/>
        <v>-22819.99999999992</v>
      </c>
      <c r="AC195">
        <f t="shared" si="202"/>
        <v>13338.000000000013</v>
      </c>
      <c r="AD195">
        <f t="shared" si="203"/>
        <v>603264.00000000058</v>
      </c>
      <c r="AE195">
        <f t="shared" si="204"/>
        <v>-4.0000000000000036</v>
      </c>
      <c r="AF195">
        <f t="shared" si="205"/>
        <v>-150969.00000000125</v>
      </c>
      <c r="AG195">
        <f t="shared" si="206"/>
        <v>0</v>
      </c>
      <c r="AH195">
        <f t="shared" si="207"/>
        <v>0.99999999999997868</v>
      </c>
      <c r="AI195">
        <f t="shared" si="208"/>
        <v>-0.6465136727163423</v>
      </c>
      <c r="AJ195">
        <f t="shared" si="209"/>
        <v>-9287.8736718202254</v>
      </c>
      <c r="AK195">
        <f t="shared" si="210"/>
        <v>-49403.322338178346</v>
      </c>
      <c r="AL195">
        <f t="shared" si="211"/>
        <v>-69041.745068230288</v>
      </c>
      <c r="AM195" s="1">
        <f t="shared" si="212"/>
        <v>26284.92477909767</v>
      </c>
      <c r="AN195" s="1">
        <f t="shared" si="188"/>
        <v>321361.33718719543</v>
      </c>
      <c r="AO195">
        <f t="shared" si="189"/>
        <v>-1.9975364572777736</v>
      </c>
      <c r="AP195">
        <f t="shared" si="190"/>
        <v>14.795031348779405</v>
      </c>
    </row>
    <row r="196" spans="1:42" x14ac:dyDescent="0.25">
      <c r="A196" s="4">
        <v>45812</v>
      </c>
      <c r="B196">
        <f t="shared" ref="B196:N196" si="277">(B746-B745)*100</f>
        <v>0.99999999999997868</v>
      </c>
      <c r="C196">
        <f t="shared" si="277"/>
        <v>0</v>
      </c>
      <c r="D196">
        <f t="shared" si="277"/>
        <v>-1.0000000000000675</v>
      </c>
      <c r="E196">
        <f t="shared" si="277"/>
        <v>0.99999999999997868</v>
      </c>
      <c r="F196">
        <f t="shared" si="277"/>
        <v>1.9999999999999574</v>
      </c>
      <c r="G196">
        <f t="shared" si="277"/>
        <v>6.0000000000000497</v>
      </c>
      <c r="H196">
        <f t="shared" si="277"/>
        <v>8.9999999999999858</v>
      </c>
      <c r="I196">
        <f t="shared" si="277"/>
        <v>9.0000000000000302</v>
      </c>
      <c r="J196">
        <f t="shared" si="277"/>
        <v>10.999999999999988</v>
      </c>
      <c r="K196">
        <f t="shared" si="277"/>
        <v>9.0000000000000746</v>
      </c>
      <c r="L196">
        <f t="shared" si="277"/>
        <v>8.9999999999999858</v>
      </c>
      <c r="M196">
        <f t="shared" si="277"/>
        <v>9.9999999999999645</v>
      </c>
      <c r="N196">
        <f t="shared" si="277"/>
        <v>9.0000000000000746</v>
      </c>
      <c r="O196" s="5">
        <f t="shared" si="276"/>
        <v>-6.4059677567022766E-3</v>
      </c>
      <c r="P196" s="5">
        <f t="shared" si="276"/>
        <v>9.9295690256552961E-4</v>
      </c>
      <c r="Q196" s="5">
        <f t="shared" si="276"/>
        <v>1.9987461336832143E-3</v>
      </c>
      <c r="R196" s="5">
        <f t="shared" si="276"/>
        <v>-1.6579169312914701E-3</v>
      </c>
      <c r="S196" s="5">
        <f t="shared" si="276"/>
        <v>-1.8264845260342985E-3</v>
      </c>
      <c r="U196" s="4">
        <v>45812</v>
      </c>
      <c r="V196">
        <f t="shared" si="195"/>
        <v>-3999.9999999999145</v>
      </c>
      <c r="W196">
        <f t="shared" si="196"/>
        <v>0</v>
      </c>
      <c r="X196">
        <f t="shared" si="197"/>
        <v>-4590.0000000003101</v>
      </c>
      <c r="Y196">
        <f t="shared" si="198"/>
        <v>-3444.9999999999268</v>
      </c>
      <c r="Z196">
        <f t="shared" si="199"/>
        <v>10869.999999999769</v>
      </c>
      <c r="AA196">
        <f t="shared" si="200"/>
        <v>-12000.0000000001</v>
      </c>
      <c r="AB196">
        <f t="shared" si="201"/>
        <v>41075.999999999935</v>
      </c>
      <c r="AC196">
        <f t="shared" si="202"/>
        <v>-20007.000000000065</v>
      </c>
      <c r="AD196">
        <f t="shared" si="203"/>
        <v>-1105983.9999999988</v>
      </c>
      <c r="AE196">
        <f t="shared" si="204"/>
        <v>9.0000000000000746</v>
      </c>
      <c r="AF196">
        <f t="shared" si="205"/>
        <v>452906.9999999993</v>
      </c>
      <c r="AG196">
        <f t="shared" si="206"/>
        <v>253229.9999999991</v>
      </c>
      <c r="AH196">
        <f t="shared" si="207"/>
        <v>9.0000000000000746</v>
      </c>
      <c r="AI196">
        <f t="shared" si="208"/>
        <v>-0.64059677567022766</v>
      </c>
      <c r="AJ196">
        <f t="shared" si="209"/>
        <v>-9929.5690256552953</v>
      </c>
      <c r="AK196">
        <f t="shared" si="210"/>
        <v>19987.461336832144</v>
      </c>
      <c r="AL196">
        <f t="shared" si="211"/>
        <v>41447.923282286756</v>
      </c>
      <c r="AM196" s="1">
        <f t="shared" si="212"/>
        <v>18264.845260342987</v>
      </c>
      <c r="AN196" s="1">
        <f t="shared" si="188"/>
        <v>-322154.97974297026</v>
      </c>
      <c r="AO196">
        <f t="shared" si="189"/>
        <v>-1.8846712216250943</v>
      </c>
      <c r="AP196">
        <f t="shared" si="190"/>
        <v>14.807479431609728</v>
      </c>
    </row>
    <row r="197" spans="1:42" x14ac:dyDescent="0.25">
      <c r="A197" s="4">
        <v>45811</v>
      </c>
      <c r="B197">
        <f t="shared" ref="B197:N197" si="278">(B747-B746)*100</f>
        <v>0</v>
      </c>
      <c r="C197">
        <f t="shared" si="278"/>
        <v>1.0000000000000675</v>
      </c>
      <c r="D197">
        <f t="shared" si="278"/>
        <v>1.0000000000000675</v>
      </c>
      <c r="E197">
        <f t="shared" si="278"/>
        <v>0</v>
      </c>
      <c r="F197">
        <f t="shared" si="278"/>
        <v>0</v>
      </c>
      <c r="G197">
        <f t="shared" si="278"/>
        <v>0</v>
      </c>
      <c r="H197">
        <f t="shared" si="278"/>
        <v>-2.0000000000000018</v>
      </c>
      <c r="I197">
        <f t="shared" si="278"/>
        <v>-2.0000000000000018</v>
      </c>
      <c r="J197">
        <f t="shared" si="278"/>
        <v>-3.0000000000000249</v>
      </c>
      <c r="K197">
        <f t="shared" si="278"/>
        <v>-1.0000000000000675</v>
      </c>
      <c r="L197">
        <f t="shared" si="278"/>
        <v>0</v>
      </c>
      <c r="M197">
        <f t="shared" si="278"/>
        <v>0</v>
      </c>
      <c r="N197">
        <f t="shared" si="278"/>
        <v>0.99999999999997868</v>
      </c>
      <c r="O197" s="5">
        <f t="shared" si="276"/>
        <v>-4.2772342436650035E-3</v>
      </c>
      <c r="P197" s="5">
        <f t="shared" si="276"/>
        <v>-1.2151635305839325E-2</v>
      </c>
      <c r="Q197" s="5">
        <f t="shared" si="276"/>
        <v>-2.4659614328645186E-3</v>
      </c>
      <c r="R197" s="5">
        <f t="shared" si="276"/>
        <v>5.5233362354184989E-4</v>
      </c>
      <c r="S197" s="5">
        <f t="shared" si="276"/>
        <v>1.8212761248831862E-3</v>
      </c>
      <c r="U197" s="4">
        <v>45811</v>
      </c>
      <c r="V197">
        <f t="shared" si="195"/>
        <v>0</v>
      </c>
      <c r="W197">
        <f t="shared" si="196"/>
        <v>-2223.0000000001501</v>
      </c>
      <c r="X197">
        <f t="shared" si="197"/>
        <v>4590.0000000003101</v>
      </c>
      <c r="Y197">
        <f t="shared" si="198"/>
        <v>0</v>
      </c>
      <c r="Z197">
        <f t="shared" si="199"/>
        <v>0</v>
      </c>
      <c r="AA197">
        <f t="shared" si="200"/>
        <v>0</v>
      </c>
      <c r="AB197">
        <f t="shared" si="201"/>
        <v>-9128.0000000000073</v>
      </c>
      <c r="AC197">
        <f t="shared" si="202"/>
        <v>4446.0000000000036</v>
      </c>
      <c r="AD197">
        <f t="shared" si="203"/>
        <v>301632.0000000025</v>
      </c>
      <c r="AE197">
        <f t="shared" si="204"/>
        <v>-1.0000000000000675</v>
      </c>
      <c r="AF197">
        <f t="shared" si="205"/>
        <v>0</v>
      </c>
      <c r="AG197">
        <f t="shared" si="206"/>
        <v>0</v>
      </c>
      <c r="AH197">
        <f t="shared" si="207"/>
        <v>0.99999999999997868</v>
      </c>
      <c r="AI197">
        <f t="shared" si="208"/>
        <v>-0.42772342436650035</v>
      </c>
      <c r="AJ197">
        <f t="shared" si="209"/>
        <v>121516.35305839326</v>
      </c>
      <c r="AK197">
        <f t="shared" si="210"/>
        <v>-24659.614328645184</v>
      </c>
      <c r="AL197">
        <f t="shared" si="211"/>
        <v>-13808.340588546247</v>
      </c>
      <c r="AM197" s="1">
        <f t="shared" si="212"/>
        <v>-18212.761248831863</v>
      </c>
      <c r="AN197" s="1">
        <f t="shared" si="188"/>
        <v>364152.20916894823</v>
      </c>
      <c r="AO197">
        <f t="shared" si="189"/>
        <v>0.93914057458682998</v>
      </c>
      <c r="AP197">
        <f t="shared" si="190"/>
        <v>14.810100128294685</v>
      </c>
    </row>
    <row r="198" spans="1:42" x14ac:dyDescent="0.25">
      <c r="A198" s="4">
        <v>45810</v>
      </c>
      <c r="B198">
        <f t="shared" ref="B198:N198" si="279">(B748-B747)*100</f>
        <v>0</v>
      </c>
      <c r="C198">
        <f t="shared" si="279"/>
        <v>-1.0000000000000675</v>
      </c>
      <c r="D198">
        <f t="shared" si="279"/>
        <v>-8.0000000000000071</v>
      </c>
      <c r="E198">
        <f t="shared" si="279"/>
        <v>0.99999999999997868</v>
      </c>
      <c r="F198">
        <f t="shared" si="279"/>
        <v>5.0000000000000711</v>
      </c>
      <c r="G198">
        <f t="shared" si="279"/>
        <v>-0.99999999999997868</v>
      </c>
      <c r="H198">
        <f t="shared" si="279"/>
        <v>-4.9999999999999822</v>
      </c>
      <c r="I198">
        <f t="shared" si="279"/>
        <v>-4.0000000000000036</v>
      </c>
      <c r="J198">
        <f t="shared" si="279"/>
        <v>-4.9999999999999822</v>
      </c>
      <c r="K198">
        <f t="shared" si="279"/>
        <v>-4.0000000000000036</v>
      </c>
      <c r="L198">
        <f t="shared" si="279"/>
        <v>-4.9999999999999822</v>
      </c>
      <c r="M198">
        <f t="shared" si="279"/>
        <v>-7.0000000000000284</v>
      </c>
      <c r="N198">
        <f t="shared" si="279"/>
        <v>-7.0000000000000284</v>
      </c>
      <c r="O198" s="5">
        <f t="shared" si="276"/>
        <v>-2.6311650184683132E-3</v>
      </c>
      <c r="P198" s="5">
        <f t="shared" si="276"/>
        <v>0</v>
      </c>
      <c r="Q198" s="5">
        <f t="shared" si="276"/>
        <v>4.895345372686182E-3</v>
      </c>
      <c r="R198" s="5">
        <f t="shared" si="276"/>
        <v>5.5263886457640541E-4</v>
      </c>
      <c r="S198" s="5">
        <f t="shared" si="276"/>
        <v>-1.015152970405369E-2</v>
      </c>
      <c r="U198" s="4">
        <v>45810</v>
      </c>
      <c r="V198">
        <f t="shared" si="195"/>
        <v>0</v>
      </c>
      <c r="W198">
        <f t="shared" si="196"/>
        <v>2223.0000000001501</v>
      </c>
      <c r="X198">
        <f t="shared" si="197"/>
        <v>-36720.000000000029</v>
      </c>
      <c r="Y198">
        <f t="shared" si="198"/>
        <v>-3444.9999999999268</v>
      </c>
      <c r="Z198">
        <f t="shared" si="199"/>
        <v>27175.000000000386</v>
      </c>
      <c r="AA198">
        <f t="shared" si="200"/>
        <v>1999.9999999999573</v>
      </c>
      <c r="AB198">
        <f t="shared" si="201"/>
        <v>-22819.99999999992</v>
      </c>
      <c r="AC198">
        <f t="shared" si="202"/>
        <v>8892.0000000000073</v>
      </c>
      <c r="AD198">
        <f t="shared" si="203"/>
        <v>502719.9999999982</v>
      </c>
      <c r="AE198">
        <f t="shared" si="204"/>
        <v>-4.0000000000000036</v>
      </c>
      <c r="AF198">
        <f t="shared" si="205"/>
        <v>-251614.9999999991</v>
      </c>
      <c r="AG198">
        <f t="shared" si="206"/>
        <v>-177261.00000000073</v>
      </c>
      <c r="AH198">
        <f t="shared" si="207"/>
        <v>-7.0000000000000284</v>
      </c>
      <c r="AI198">
        <f t="shared" si="208"/>
        <v>-0.26311650184683133</v>
      </c>
      <c r="AJ198">
        <f t="shared" si="209"/>
        <v>0</v>
      </c>
      <c r="AK198">
        <f t="shared" si="210"/>
        <v>48953.453726861822</v>
      </c>
      <c r="AL198">
        <f t="shared" si="211"/>
        <v>-13815.971614410135</v>
      </c>
      <c r="AM198" s="1">
        <f t="shared" si="212"/>
        <v>101515.2970405369</v>
      </c>
      <c r="AN198" s="1">
        <f t="shared" ref="AN198:AN261" si="280">SUM(V198:AM198)</f>
        <v>187790.51603648573</v>
      </c>
      <c r="AO198">
        <f t="shared" ref="AO198:AO261" si="281">AN198/AN199-1</f>
        <v>-1.4628871722131813</v>
      </c>
      <c r="AP198">
        <f t="shared" ref="AP198:AP261" si="282">STDEV(AO198:AO218)</f>
        <v>14.810723321871063</v>
      </c>
    </row>
    <row r="199" spans="1:42" x14ac:dyDescent="0.25">
      <c r="A199" s="4">
        <v>45807</v>
      </c>
      <c r="B199">
        <f t="shared" ref="B199:N199" si="283">(B749-B748)*100</f>
        <v>0.99999999999997868</v>
      </c>
      <c r="C199">
        <f t="shared" si="283"/>
        <v>0</v>
      </c>
      <c r="D199">
        <f t="shared" si="283"/>
        <v>0</v>
      </c>
      <c r="E199">
        <f t="shared" si="283"/>
        <v>0</v>
      </c>
      <c r="F199">
        <f t="shared" si="283"/>
        <v>0</v>
      </c>
      <c r="G199">
        <f t="shared" si="283"/>
        <v>1.9999999999999574</v>
      </c>
      <c r="H199">
        <f t="shared" si="283"/>
        <v>2.9999999999999805</v>
      </c>
      <c r="I199">
        <f t="shared" si="283"/>
        <v>4.0000000000000036</v>
      </c>
      <c r="J199">
        <f t="shared" si="283"/>
        <v>4.0000000000000036</v>
      </c>
      <c r="K199">
        <f t="shared" si="283"/>
        <v>2.0000000000000462</v>
      </c>
      <c r="L199">
        <f t="shared" si="283"/>
        <v>1.9999999999999574</v>
      </c>
      <c r="M199">
        <f t="shared" si="283"/>
        <v>1.0000000000000675</v>
      </c>
      <c r="N199">
        <f t="shared" si="283"/>
        <v>0</v>
      </c>
      <c r="O199" s="5">
        <f t="shared" si="276"/>
        <v>9.2925695085506795E-3</v>
      </c>
      <c r="P199" s="5">
        <f t="shared" si="276"/>
        <v>8.0208037527298819E-3</v>
      </c>
      <c r="Q199" s="5">
        <f t="shared" si="276"/>
        <v>-3.0251730055660809E-3</v>
      </c>
      <c r="R199" s="5">
        <f t="shared" si="276"/>
        <v>-1.1049724881182148E-3</v>
      </c>
      <c r="S199" s="5">
        <f t="shared" si="276"/>
        <v>4.3454403865568064E-3</v>
      </c>
      <c r="U199" s="4">
        <v>45807</v>
      </c>
      <c r="V199">
        <f t="shared" si="195"/>
        <v>-3999.9999999999145</v>
      </c>
      <c r="W199">
        <f t="shared" si="196"/>
        <v>0</v>
      </c>
      <c r="X199">
        <f t="shared" si="197"/>
        <v>0</v>
      </c>
      <c r="Y199">
        <f t="shared" si="198"/>
        <v>0</v>
      </c>
      <c r="Z199">
        <f t="shared" si="199"/>
        <v>0</v>
      </c>
      <c r="AA199">
        <f t="shared" si="200"/>
        <v>-3999.9999999999145</v>
      </c>
      <c r="AB199">
        <f t="shared" si="201"/>
        <v>13691.999999999911</v>
      </c>
      <c r="AC199">
        <f t="shared" si="202"/>
        <v>-8892.0000000000073</v>
      </c>
      <c r="AD199">
        <f t="shared" si="203"/>
        <v>-402176.00000000035</v>
      </c>
      <c r="AE199">
        <f t="shared" si="204"/>
        <v>2.0000000000000462</v>
      </c>
      <c r="AF199">
        <f t="shared" si="205"/>
        <v>100645.99999999786</v>
      </c>
      <c r="AG199">
        <f t="shared" si="206"/>
        <v>25323.00000000171</v>
      </c>
      <c r="AH199">
        <f t="shared" si="207"/>
        <v>0</v>
      </c>
      <c r="AI199">
        <f t="shared" si="208"/>
        <v>0.92925695085506799</v>
      </c>
      <c r="AJ199">
        <f t="shared" si="209"/>
        <v>-80208.037527298817</v>
      </c>
      <c r="AK199">
        <f t="shared" si="210"/>
        <v>-30251.73005566081</v>
      </c>
      <c r="AL199">
        <f t="shared" si="211"/>
        <v>27624.312202955371</v>
      </c>
      <c r="AM199" s="1">
        <f t="shared" si="212"/>
        <v>-43454.403865568063</v>
      </c>
      <c r="AN199" s="1">
        <f t="shared" si="280"/>
        <v>-405693.92998862226</v>
      </c>
      <c r="AO199">
        <f t="shared" si="281"/>
        <v>-15.528409357030883</v>
      </c>
      <c r="AP199">
        <f t="shared" si="282"/>
        <v>14.807450736020193</v>
      </c>
    </row>
    <row r="200" spans="1:42" x14ac:dyDescent="0.25">
      <c r="A200" s="4">
        <v>45806</v>
      </c>
      <c r="B200">
        <f t="shared" ref="B200:N200" si="284">(B750-B749)*100</f>
        <v>0.99999999999997868</v>
      </c>
      <c r="C200">
        <f t="shared" si="284"/>
        <v>0</v>
      </c>
      <c r="D200">
        <f t="shared" si="284"/>
        <v>-1.0000000000000675</v>
      </c>
      <c r="E200">
        <f t="shared" si="284"/>
        <v>-0.99999999999997868</v>
      </c>
      <c r="F200">
        <f t="shared" si="284"/>
        <v>0</v>
      </c>
      <c r="G200">
        <f t="shared" si="284"/>
        <v>3.0000000000000249</v>
      </c>
      <c r="H200">
        <f t="shared" si="284"/>
        <v>4.0000000000000036</v>
      </c>
      <c r="I200">
        <f t="shared" si="284"/>
        <v>4.0000000000000036</v>
      </c>
      <c r="J200">
        <f t="shared" si="284"/>
        <v>4.9999999999999822</v>
      </c>
      <c r="K200">
        <f t="shared" si="284"/>
        <v>6.9999999999999396</v>
      </c>
      <c r="L200">
        <f t="shared" si="284"/>
        <v>4.0000000000000036</v>
      </c>
      <c r="M200">
        <f t="shared" si="284"/>
        <v>4.9999999999999822</v>
      </c>
      <c r="N200">
        <f t="shared" si="284"/>
        <v>4.9999999999999822</v>
      </c>
      <c r="O200" s="5">
        <f t="shared" si="276"/>
        <v>-6.6438401386895753E-3</v>
      </c>
      <c r="P200" s="5">
        <f t="shared" si="276"/>
        <v>-3.1518590167709177E-4</v>
      </c>
      <c r="Q200" s="5">
        <f t="shared" si="276"/>
        <v>2.4279352125242087E-3</v>
      </c>
      <c r="R200" s="5">
        <f t="shared" si="276"/>
        <v>-4.9573221874277462E-3</v>
      </c>
      <c r="S200" s="5">
        <f t="shared" si="276"/>
        <v>-5.3142579381531109E-3</v>
      </c>
      <c r="U200" s="4">
        <v>45806</v>
      </c>
      <c r="V200">
        <f t="shared" si="195"/>
        <v>-3999.9999999999145</v>
      </c>
      <c r="W200">
        <f t="shared" si="196"/>
        <v>0</v>
      </c>
      <c r="X200">
        <f t="shared" si="197"/>
        <v>-4590.0000000003101</v>
      </c>
      <c r="Y200">
        <f t="shared" si="198"/>
        <v>3444.9999999999268</v>
      </c>
      <c r="Z200">
        <f t="shared" si="199"/>
        <v>0</v>
      </c>
      <c r="AA200">
        <f t="shared" si="200"/>
        <v>-6000.00000000005</v>
      </c>
      <c r="AB200">
        <f t="shared" si="201"/>
        <v>18256.000000000015</v>
      </c>
      <c r="AC200">
        <f t="shared" si="202"/>
        <v>-8892.0000000000073</v>
      </c>
      <c r="AD200">
        <f t="shared" si="203"/>
        <v>-502719.9999999982</v>
      </c>
      <c r="AE200">
        <f t="shared" si="204"/>
        <v>6.9999999999999396</v>
      </c>
      <c r="AF200">
        <f t="shared" si="205"/>
        <v>201292.00000000017</v>
      </c>
      <c r="AG200">
        <f t="shared" si="206"/>
        <v>126614.99999999955</v>
      </c>
      <c r="AH200">
        <f t="shared" si="207"/>
        <v>4.9999999999999822</v>
      </c>
      <c r="AI200">
        <f t="shared" si="208"/>
        <v>-0.66438401386895751</v>
      </c>
      <c r="AJ200">
        <f t="shared" si="209"/>
        <v>3151.8590167709176</v>
      </c>
      <c r="AK200">
        <f t="shared" si="210"/>
        <v>24279.352125242087</v>
      </c>
      <c r="AL200">
        <f t="shared" si="211"/>
        <v>123933.05468569366</v>
      </c>
      <c r="AM200" s="1">
        <f t="shared" si="212"/>
        <v>53142.579381531112</v>
      </c>
      <c r="AN200" s="1">
        <f t="shared" si="280"/>
        <v>27924.18082522507</v>
      </c>
      <c r="AO200">
        <f t="shared" si="281"/>
        <v>-1.0781096168579647</v>
      </c>
      <c r="AP200">
        <f t="shared" si="282"/>
        <v>14.703959327833623</v>
      </c>
    </row>
    <row r="201" spans="1:42" x14ac:dyDescent="0.25">
      <c r="A201" s="4">
        <v>45805</v>
      </c>
      <c r="B201">
        <f t="shared" ref="B201:N201" si="285">(B751-B750)*100</f>
        <v>0</v>
      </c>
      <c r="C201">
        <f t="shared" si="285"/>
        <v>0</v>
      </c>
      <c r="D201">
        <f t="shared" si="285"/>
        <v>0</v>
      </c>
      <c r="E201">
        <f t="shared" si="285"/>
        <v>4.9999999999999822</v>
      </c>
      <c r="F201">
        <f t="shared" si="285"/>
        <v>-1.0000000000000675</v>
      </c>
      <c r="G201">
        <f t="shared" si="285"/>
        <v>-2.0000000000000462</v>
      </c>
      <c r="H201">
        <f t="shared" si="285"/>
        <v>-4.0000000000000036</v>
      </c>
      <c r="I201">
        <f t="shared" si="285"/>
        <v>-2.0000000000000018</v>
      </c>
      <c r="J201">
        <f t="shared" si="285"/>
        <v>-0.99999999999997868</v>
      </c>
      <c r="K201">
        <f t="shared" si="285"/>
        <v>-4.9999999999999822</v>
      </c>
      <c r="L201">
        <f t="shared" si="285"/>
        <v>-4.0000000000000036</v>
      </c>
      <c r="M201">
        <f t="shared" si="285"/>
        <v>-4.0000000000000036</v>
      </c>
      <c r="N201">
        <f t="shared" si="285"/>
        <v>-2.9999999999999361</v>
      </c>
      <c r="O201" s="5">
        <f t="shared" si="276"/>
        <v>6.9975344797304695E-3</v>
      </c>
      <c r="P201" s="5">
        <f t="shared" si="276"/>
        <v>3.6793095755103451E-3</v>
      </c>
      <c r="Q201" s="5">
        <f t="shared" si="276"/>
        <v>-3.7309256859305892E-4</v>
      </c>
      <c r="R201" s="5">
        <f t="shared" si="276"/>
        <v>2.7476301862656353E-4</v>
      </c>
      <c r="S201" s="5">
        <f t="shared" si="276"/>
        <v>7.5589510649427399E-3</v>
      </c>
      <c r="U201" s="4">
        <v>45805</v>
      </c>
      <c r="V201">
        <f t="shared" ref="V201:V264" si="286">B201*B$3</f>
        <v>0</v>
      </c>
      <c r="W201">
        <f t="shared" ref="W201:W264" si="287">C201*C$3</f>
        <v>0</v>
      </c>
      <c r="X201">
        <f t="shared" ref="X201:X264" si="288">D201*D$3</f>
        <v>0</v>
      </c>
      <c r="Y201">
        <f t="shared" ref="Y201:Y264" si="289">E201*E$3</f>
        <v>-17224.999999999938</v>
      </c>
      <c r="Z201">
        <f t="shared" ref="Z201:Z264" si="290">F201*F$3</f>
        <v>-5435.0000000003665</v>
      </c>
      <c r="AA201">
        <f t="shared" ref="AA201:AA264" si="291">G201*G$3</f>
        <v>4000.0000000000923</v>
      </c>
      <c r="AB201">
        <f t="shared" ref="AB201:AB264" si="292">H201*H$3</f>
        <v>-18256.000000000015</v>
      </c>
      <c r="AC201">
        <f t="shared" ref="AC201:AC264" si="293">I201*I$3</f>
        <v>4446.0000000000036</v>
      </c>
      <c r="AD201">
        <f t="shared" ref="AD201:AD264" si="294">J201*J$3</f>
        <v>100543.99999999786</v>
      </c>
      <c r="AE201">
        <f t="shared" ref="AE201:AE264" si="295">K201*K$3</f>
        <v>-4.9999999999999822</v>
      </c>
      <c r="AF201">
        <f t="shared" ref="AF201:AF264" si="296">L201*L$3</f>
        <v>-201292.00000000017</v>
      </c>
      <c r="AG201">
        <f t="shared" ref="AG201:AG264" si="297">M201*M$3</f>
        <v>-101292.00000000009</v>
      </c>
      <c r="AH201">
        <f t="shared" ref="AH201:AH264" si="298">N201*N$3</f>
        <v>-2.9999999999999361</v>
      </c>
      <c r="AI201">
        <f t="shared" ref="AI201:AI264" si="299">O201*O$3</f>
        <v>0.69975344797304695</v>
      </c>
      <c r="AJ201">
        <f t="shared" ref="AJ201:AJ264" si="300">P201*P$3</f>
        <v>-36793.095755103452</v>
      </c>
      <c r="AK201">
        <f t="shared" ref="AK201:AK264" si="301">Q201*Q$3</f>
        <v>-3730.9256859305892</v>
      </c>
      <c r="AL201">
        <f t="shared" ref="AL201:AL264" si="302">R201*R$3</f>
        <v>-6869.0754656640884</v>
      </c>
      <c r="AM201" s="1">
        <f t="shared" ref="AM201:AM264" si="303">S201*S$3</f>
        <v>-75589.510649427393</v>
      </c>
      <c r="AN201" s="1">
        <f t="shared" si="280"/>
        <v>-357499.90780268027</v>
      </c>
      <c r="AO201">
        <f t="shared" si="281"/>
        <v>-1.8906999328321041</v>
      </c>
      <c r="AP201">
        <f t="shared" si="282"/>
        <v>14.703689709158867</v>
      </c>
    </row>
    <row r="202" spans="1:42" x14ac:dyDescent="0.25">
      <c r="A202" s="4">
        <v>45804</v>
      </c>
      <c r="B202">
        <f t="shared" ref="B202:N202" si="304">(B752-B751)*100</f>
        <v>1.0000000000000675</v>
      </c>
      <c r="C202">
        <f t="shared" si="304"/>
        <v>0</v>
      </c>
      <c r="D202">
        <f t="shared" si="304"/>
        <v>1.0000000000000675</v>
      </c>
      <c r="E202">
        <f t="shared" si="304"/>
        <v>0</v>
      </c>
      <c r="F202">
        <f t="shared" si="304"/>
        <v>0</v>
      </c>
      <c r="G202">
        <f t="shared" si="304"/>
        <v>1.0000000000000675</v>
      </c>
      <c r="H202">
        <f t="shared" si="304"/>
        <v>8.0000000000000071</v>
      </c>
      <c r="I202">
        <f t="shared" si="304"/>
        <v>2.9999999999999805</v>
      </c>
      <c r="J202">
        <f t="shared" si="304"/>
        <v>4.0000000000000036</v>
      </c>
      <c r="K202">
        <f t="shared" si="304"/>
        <v>7.0000000000000284</v>
      </c>
      <c r="L202">
        <f t="shared" si="304"/>
        <v>8.0000000000000071</v>
      </c>
      <c r="M202">
        <f t="shared" si="304"/>
        <v>8.0000000000000071</v>
      </c>
      <c r="N202">
        <f t="shared" si="304"/>
        <v>9.9999999999999645</v>
      </c>
      <c r="O202" s="5">
        <f t="shared" si="276"/>
        <v>-6.9272739889319366E-3</v>
      </c>
      <c r="P202" s="5">
        <f t="shared" si="276"/>
        <v>-1.0371691495395442E-2</v>
      </c>
      <c r="Q202" s="5">
        <f t="shared" si="276"/>
        <v>-6.967189065084276E-3</v>
      </c>
      <c r="R202" s="5">
        <f t="shared" si="276"/>
        <v>-6.0274155080765057E-3</v>
      </c>
      <c r="S202" s="5">
        <f t="shared" si="276"/>
        <v>1.4802083303858608E-3</v>
      </c>
      <c r="U202" s="4">
        <v>45804</v>
      </c>
      <c r="V202">
        <f t="shared" si="286"/>
        <v>-4000.0000000002701</v>
      </c>
      <c r="W202">
        <f t="shared" si="287"/>
        <v>0</v>
      </c>
      <c r="X202">
        <f t="shared" si="288"/>
        <v>4590.0000000003101</v>
      </c>
      <c r="Y202">
        <f t="shared" si="289"/>
        <v>0</v>
      </c>
      <c r="Z202">
        <f t="shared" si="290"/>
        <v>0</v>
      </c>
      <c r="AA202">
        <f t="shared" si="291"/>
        <v>-2000.0000000001351</v>
      </c>
      <c r="AB202">
        <f t="shared" si="292"/>
        <v>36512.000000000029</v>
      </c>
      <c r="AC202">
        <f t="shared" si="293"/>
        <v>-6668.9999999999563</v>
      </c>
      <c r="AD202">
        <f t="shared" si="294"/>
        <v>-402176.00000000035</v>
      </c>
      <c r="AE202">
        <f t="shared" si="295"/>
        <v>7.0000000000000284</v>
      </c>
      <c r="AF202">
        <f t="shared" si="296"/>
        <v>402584.00000000035</v>
      </c>
      <c r="AG202">
        <f t="shared" si="297"/>
        <v>202584.00000000017</v>
      </c>
      <c r="AH202">
        <f t="shared" si="298"/>
        <v>9.9999999999999645</v>
      </c>
      <c r="AI202">
        <f t="shared" si="299"/>
        <v>-0.69272739889319368</v>
      </c>
      <c r="AJ202">
        <f t="shared" si="300"/>
        <v>103716.91495395442</v>
      </c>
      <c r="AK202">
        <f t="shared" si="301"/>
        <v>-69671.890650842761</v>
      </c>
      <c r="AL202">
        <f t="shared" si="302"/>
        <v>150685.38770191264</v>
      </c>
      <c r="AM202" s="1">
        <f t="shared" si="303"/>
        <v>-14802.083303858608</v>
      </c>
      <c r="AN202" s="1">
        <f t="shared" si="280"/>
        <v>401369.63597376697</v>
      </c>
      <c r="AO202">
        <f t="shared" si="281"/>
        <v>-66.596326691168429</v>
      </c>
      <c r="AP202">
        <f t="shared" si="282"/>
        <v>14.694435797770511</v>
      </c>
    </row>
    <row r="203" spans="1:42" x14ac:dyDescent="0.25">
      <c r="A203" s="4">
        <v>45800</v>
      </c>
      <c r="B203">
        <f t="shared" ref="B203:N203" si="305">(B753-B752)*100</f>
        <v>0.99999999999997868</v>
      </c>
      <c r="C203">
        <f t="shared" si="305"/>
        <v>0</v>
      </c>
      <c r="D203">
        <f t="shared" si="305"/>
        <v>0.99999999999997868</v>
      </c>
      <c r="E203">
        <f t="shared" si="305"/>
        <v>-0.99999999999997868</v>
      </c>
      <c r="F203">
        <f t="shared" si="305"/>
        <v>-0.99999999999997868</v>
      </c>
      <c r="G203">
        <f t="shared" si="305"/>
        <v>-2.0000000000000462</v>
      </c>
      <c r="H203">
        <f t="shared" si="305"/>
        <v>0</v>
      </c>
      <c r="I203">
        <f t="shared" si="305"/>
        <v>3.0000000000000249</v>
      </c>
      <c r="J203">
        <f t="shared" si="305"/>
        <v>3.0000000000000249</v>
      </c>
      <c r="K203">
        <f t="shared" si="305"/>
        <v>3.0000000000000249</v>
      </c>
      <c r="L203">
        <f t="shared" si="305"/>
        <v>3.0000000000000249</v>
      </c>
      <c r="M203">
        <f t="shared" si="305"/>
        <v>1.9999999999999574</v>
      </c>
      <c r="N203">
        <f t="shared" si="305"/>
        <v>0.99999999999997868</v>
      </c>
      <c r="O203" s="5">
        <f t="shared" si="276"/>
        <v>9.5662418957630346E-3</v>
      </c>
      <c r="P203" s="5">
        <f t="shared" si="276"/>
        <v>-5.3074729231569091E-3</v>
      </c>
      <c r="Q203" s="5">
        <f t="shared" si="276"/>
        <v>2.787421322024313E-3</v>
      </c>
      <c r="R203" s="5">
        <f t="shared" si="276"/>
        <v>8.1978416942516915E-4</v>
      </c>
      <c r="S203" s="5">
        <f t="shared" si="276"/>
        <v>-3.7507922962214282E-3</v>
      </c>
      <c r="U203" s="4">
        <v>45800</v>
      </c>
      <c r="V203">
        <f t="shared" si="286"/>
        <v>-3999.9999999999145</v>
      </c>
      <c r="W203">
        <f t="shared" si="287"/>
        <v>0</v>
      </c>
      <c r="X203">
        <f t="shared" si="288"/>
        <v>4589.9999999999018</v>
      </c>
      <c r="Y203">
        <f t="shared" si="289"/>
        <v>3444.9999999999268</v>
      </c>
      <c r="Z203">
        <f t="shared" si="290"/>
        <v>-5434.9999999998845</v>
      </c>
      <c r="AA203">
        <f t="shared" si="291"/>
        <v>4000.0000000000923</v>
      </c>
      <c r="AB203">
        <f t="shared" si="292"/>
        <v>0</v>
      </c>
      <c r="AC203">
        <f t="shared" si="293"/>
        <v>-6669.0000000000555</v>
      </c>
      <c r="AD203">
        <f t="shared" si="294"/>
        <v>-301632.0000000025</v>
      </c>
      <c r="AE203">
        <f t="shared" si="295"/>
        <v>3.0000000000000249</v>
      </c>
      <c r="AF203">
        <f t="shared" si="296"/>
        <v>150969.00000000125</v>
      </c>
      <c r="AG203">
        <f t="shared" si="297"/>
        <v>50645.999999998923</v>
      </c>
      <c r="AH203">
        <f t="shared" si="298"/>
        <v>0.99999999999997868</v>
      </c>
      <c r="AI203">
        <f t="shared" si="299"/>
        <v>0.95662418957630346</v>
      </c>
      <c r="AJ203">
        <f t="shared" si="300"/>
        <v>53074.729231569094</v>
      </c>
      <c r="AK203">
        <f t="shared" si="301"/>
        <v>27874.213220243131</v>
      </c>
      <c r="AL203">
        <f t="shared" si="302"/>
        <v>-20494.604235629227</v>
      </c>
      <c r="AM203" s="1">
        <f t="shared" si="303"/>
        <v>37507.922962214281</v>
      </c>
      <c r="AN203" s="1">
        <f t="shared" si="280"/>
        <v>-6118.782197415414</v>
      </c>
      <c r="AO203">
        <f t="shared" si="281"/>
        <v>-1.0712107912584337</v>
      </c>
      <c r="AP203">
        <f t="shared" si="282"/>
        <v>3.4713944927045164</v>
      </c>
    </row>
    <row r="204" spans="1:42" x14ac:dyDescent="0.25">
      <c r="A204" s="4">
        <v>45799</v>
      </c>
      <c r="B204">
        <f t="shared" ref="B204:N204" si="306">(B754-B753)*100</f>
        <v>-2.0000000000000462</v>
      </c>
      <c r="C204">
        <f t="shared" si="306"/>
        <v>-0.99999999999997868</v>
      </c>
      <c r="D204">
        <f t="shared" si="306"/>
        <v>-0.99999999999997868</v>
      </c>
      <c r="E204">
        <f t="shared" si="306"/>
        <v>0</v>
      </c>
      <c r="F204">
        <f t="shared" si="306"/>
        <v>-0.99999999999997868</v>
      </c>
      <c r="G204">
        <f t="shared" si="306"/>
        <v>0</v>
      </c>
      <c r="H204">
        <f t="shared" si="306"/>
        <v>0</v>
      </c>
      <c r="I204">
        <f t="shared" si="306"/>
        <v>0.99999999999997868</v>
      </c>
      <c r="J204">
        <f t="shared" si="306"/>
        <v>4.0000000000000036</v>
      </c>
      <c r="K204">
        <f t="shared" si="306"/>
        <v>4.9999999999999822</v>
      </c>
      <c r="L204">
        <f t="shared" si="306"/>
        <v>4.0000000000000036</v>
      </c>
      <c r="M204">
        <f t="shared" si="306"/>
        <v>3.0000000000000249</v>
      </c>
      <c r="N204">
        <f t="shared" si="306"/>
        <v>3.0000000000000249</v>
      </c>
      <c r="O204" s="5">
        <f t="shared" si="276"/>
        <v>-3.2048188202173857E-3</v>
      </c>
      <c r="P204" s="5">
        <f t="shared" si="276"/>
        <v>-7.4223944220015627E-4</v>
      </c>
      <c r="Q204" s="5">
        <f t="shared" si="276"/>
        <v>5.875795286047255E-3</v>
      </c>
      <c r="R204" s="5">
        <f t="shared" si="276"/>
        <v>-4.6365826961260632E-3</v>
      </c>
      <c r="S204" s="5">
        <f t="shared" si="276"/>
        <v>-3.0762334999885838E-3</v>
      </c>
      <c r="U204" s="4">
        <v>45799</v>
      </c>
      <c r="V204">
        <f t="shared" si="286"/>
        <v>8000.0000000001846</v>
      </c>
      <c r="W204">
        <f t="shared" si="287"/>
        <v>2222.9999999999527</v>
      </c>
      <c r="X204">
        <f t="shared" si="288"/>
        <v>-4589.9999999999018</v>
      </c>
      <c r="Y204">
        <f t="shared" si="289"/>
        <v>0</v>
      </c>
      <c r="Z204">
        <f t="shared" si="290"/>
        <v>-5434.9999999998845</v>
      </c>
      <c r="AA204">
        <f t="shared" si="291"/>
        <v>0</v>
      </c>
      <c r="AB204">
        <f t="shared" si="292"/>
        <v>0</v>
      </c>
      <c r="AC204">
        <f t="shared" si="293"/>
        <v>-2222.9999999999527</v>
      </c>
      <c r="AD204">
        <f t="shared" si="294"/>
        <v>-402176.00000000035</v>
      </c>
      <c r="AE204">
        <f t="shared" si="295"/>
        <v>4.9999999999999822</v>
      </c>
      <c r="AF204">
        <f t="shared" si="296"/>
        <v>201292.00000000017</v>
      </c>
      <c r="AG204">
        <f t="shared" si="297"/>
        <v>75969.000000000626</v>
      </c>
      <c r="AH204">
        <f t="shared" si="298"/>
        <v>3.0000000000000249</v>
      </c>
      <c r="AI204">
        <f t="shared" si="299"/>
        <v>-0.32048188202173855</v>
      </c>
      <c r="AJ204">
        <f t="shared" si="300"/>
        <v>7422.3944220015628</v>
      </c>
      <c r="AK204">
        <f t="shared" si="301"/>
        <v>58757.952860472549</v>
      </c>
      <c r="AL204">
        <f t="shared" si="302"/>
        <v>115914.56740315158</v>
      </c>
      <c r="AM204" s="1">
        <f t="shared" si="303"/>
        <v>30762.334999885839</v>
      </c>
      <c r="AN204" s="1">
        <f t="shared" si="280"/>
        <v>85924.929203630367</v>
      </c>
      <c r="AO204">
        <f t="shared" si="281"/>
        <v>0.28231258132013037</v>
      </c>
      <c r="AP204">
        <f t="shared" si="282"/>
        <v>3.4736938020283774</v>
      </c>
    </row>
    <row r="205" spans="1:42" x14ac:dyDescent="0.25">
      <c r="A205" s="4">
        <v>45798</v>
      </c>
      <c r="B205">
        <f t="shared" ref="B205:N205" si="307">(B755-B754)*100</f>
        <v>1.0000000000000675</v>
      </c>
      <c r="C205">
        <f t="shared" si="307"/>
        <v>0</v>
      </c>
      <c r="D205">
        <f t="shared" si="307"/>
        <v>1.9999999999999574</v>
      </c>
      <c r="E205">
        <f t="shared" si="307"/>
        <v>0</v>
      </c>
      <c r="F205">
        <f t="shared" si="307"/>
        <v>-0.99999999999997868</v>
      </c>
      <c r="G205">
        <f t="shared" si="307"/>
        <v>-0.99999999999997868</v>
      </c>
      <c r="H205">
        <f t="shared" si="307"/>
        <v>-2.9999999999999805</v>
      </c>
      <c r="I205">
        <f t="shared" si="307"/>
        <v>-4.9999999999999822</v>
      </c>
      <c r="J205">
        <f t="shared" si="307"/>
        <v>-8.0000000000000071</v>
      </c>
      <c r="K205">
        <f t="shared" si="307"/>
        <v>-10.000000000000053</v>
      </c>
      <c r="L205">
        <f t="shared" si="307"/>
        <v>-9.9999999999999645</v>
      </c>
      <c r="M205">
        <f t="shared" si="307"/>
        <v>-8.9999999999999858</v>
      </c>
      <c r="N205">
        <f t="shared" si="307"/>
        <v>-12.000000000000011</v>
      </c>
      <c r="O205" s="5">
        <f t="shared" ref="O205:S214" si="308">LN(O754/O755)</f>
        <v>-8.6583916704838519E-4</v>
      </c>
      <c r="P205" s="5">
        <f t="shared" si="308"/>
        <v>3.0442883222403867E-3</v>
      </c>
      <c r="Q205" s="5">
        <f t="shared" si="308"/>
        <v>0</v>
      </c>
      <c r="R205" s="5">
        <f t="shared" si="308"/>
        <v>-2.9887265828316065E-3</v>
      </c>
      <c r="S205" s="5">
        <f t="shared" si="308"/>
        <v>4.9628407072666598E-3</v>
      </c>
      <c r="U205" s="4">
        <v>45798</v>
      </c>
      <c r="V205">
        <f t="shared" si="286"/>
        <v>-4000.0000000002701</v>
      </c>
      <c r="W205">
        <f t="shared" si="287"/>
        <v>0</v>
      </c>
      <c r="X205">
        <f t="shared" si="288"/>
        <v>9179.9999999998035</v>
      </c>
      <c r="Y205">
        <f t="shared" si="289"/>
        <v>0</v>
      </c>
      <c r="Z205">
        <f t="shared" si="290"/>
        <v>-5434.9999999998845</v>
      </c>
      <c r="AA205">
        <f t="shared" si="291"/>
        <v>1999.9999999999573</v>
      </c>
      <c r="AB205">
        <f t="shared" si="292"/>
        <v>-13691.999999999911</v>
      </c>
      <c r="AC205">
        <f t="shared" si="293"/>
        <v>11114.99999999996</v>
      </c>
      <c r="AD205">
        <f t="shared" si="294"/>
        <v>804352.0000000007</v>
      </c>
      <c r="AE205">
        <f t="shared" si="295"/>
        <v>-10.000000000000053</v>
      </c>
      <c r="AF205">
        <f t="shared" si="296"/>
        <v>-503229.9999999982</v>
      </c>
      <c r="AG205">
        <f t="shared" si="297"/>
        <v>-227906.99999999965</v>
      </c>
      <c r="AH205">
        <f t="shared" si="298"/>
        <v>-12.000000000000011</v>
      </c>
      <c r="AI205">
        <f t="shared" si="299"/>
        <v>-8.6583916704838518E-2</v>
      </c>
      <c r="AJ205">
        <f t="shared" si="300"/>
        <v>-30442.883222403867</v>
      </c>
      <c r="AK205">
        <f t="shared" si="301"/>
        <v>0</v>
      </c>
      <c r="AL205">
        <f t="shared" si="302"/>
        <v>74718.164570790163</v>
      </c>
      <c r="AM205" s="1">
        <f t="shared" si="303"/>
        <v>-49628.407072666596</v>
      </c>
      <c r="AN205" s="1">
        <f t="shared" si="280"/>
        <v>67007.787691805497</v>
      </c>
      <c r="AO205">
        <f t="shared" si="281"/>
        <v>-1.3118463424450608</v>
      </c>
      <c r="AP205">
        <f t="shared" si="282"/>
        <v>3.4676879412058175</v>
      </c>
    </row>
    <row r="206" spans="1:42" x14ac:dyDescent="0.25">
      <c r="A206" s="4">
        <v>45797</v>
      </c>
      <c r="B206">
        <f t="shared" ref="B206:N206" si="309">(B756-B755)*100</f>
        <v>0.99999999999997868</v>
      </c>
      <c r="C206">
        <f t="shared" si="309"/>
        <v>0.99999999999997868</v>
      </c>
      <c r="D206">
        <f t="shared" si="309"/>
        <v>0.99999999999997868</v>
      </c>
      <c r="E206">
        <f t="shared" si="309"/>
        <v>0</v>
      </c>
      <c r="F206">
        <f t="shared" si="309"/>
        <v>0</v>
      </c>
      <c r="G206">
        <f t="shared" si="309"/>
        <v>0</v>
      </c>
      <c r="H206">
        <f t="shared" si="309"/>
        <v>0</v>
      </c>
      <c r="I206">
        <f t="shared" si="309"/>
        <v>0</v>
      </c>
      <c r="J206">
        <f t="shared" si="309"/>
        <v>0</v>
      </c>
      <c r="K206">
        <f t="shared" si="309"/>
        <v>-0.99999999999997868</v>
      </c>
      <c r="L206">
        <f t="shared" si="309"/>
        <v>-2.0000000000000462</v>
      </c>
      <c r="M206">
        <f t="shared" si="309"/>
        <v>-4.0000000000000036</v>
      </c>
      <c r="N206">
        <f t="shared" si="309"/>
        <v>-4.0000000000000036</v>
      </c>
      <c r="O206" s="5">
        <f t="shared" si="308"/>
        <v>5.1234487230011308E-4</v>
      </c>
      <c r="P206" s="5">
        <f t="shared" si="308"/>
        <v>-2.1343701520892986E-3</v>
      </c>
      <c r="Q206" s="5">
        <f t="shared" si="308"/>
        <v>-8.2609512133494777E-3</v>
      </c>
      <c r="R206" s="5">
        <f t="shared" si="308"/>
        <v>-1.0845988048043295E-3</v>
      </c>
      <c r="S206" s="5">
        <f t="shared" si="308"/>
        <v>-2.2852415018360371E-3</v>
      </c>
      <c r="U206" s="4">
        <v>45797</v>
      </c>
      <c r="V206">
        <f t="shared" si="286"/>
        <v>-3999.9999999999145</v>
      </c>
      <c r="W206">
        <f t="shared" si="287"/>
        <v>-2222.9999999999527</v>
      </c>
      <c r="X206">
        <f t="shared" si="288"/>
        <v>4589.9999999999018</v>
      </c>
      <c r="Y206">
        <f t="shared" si="289"/>
        <v>0</v>
      </c>
      <c r="Z206">
        <f t="shared" si="290"/>
        <v>0</v>
      </c>
      <c r="AA206">
        <f t="shared" si="291"/>
        <v>0</v>
      </c>
      <c r="AB206">
        <f t="shared" si="292"/>
        <v>0</v>
      </c>
      <c r="AC206">
        <f t="shared" si="293"/>
        <v>0</v>
      </c>
      <c r="AD206">
        <f t="shared" si="294"/>
        <v>0</v>
      </c>
      <c r="AE206">
        <f t="shared" si="295"/>
        <v>-0.99999999999997868</v>
      </c>
      <c r="AF206">
        <f t="shared" si="296"/>
        <v>-100646.00000000233</v>
      </c>
      <c r="AG206">
        <f t="shared" si="297"/>
        <v>-101292.00000000009</v>
      </c>
      <c r="AH206">
        <f t="shared" si="298"/>
        <v>-4.0000000000000036</v>
      </c>
      <c r="AI206">
        <f t="shared" si="299"/>
        <v>5.1234487230011311E-2</v>
      </c>
      <c r="AJ206">
        <f t="shared" si="300"/>
        <v>21343.701520892988</v>
      </c>
      <c r="AK206">
        <f t="shared" si="301"/>
        <v>-82609.512133494776</v>
      </c>
      <c r="AL206">
        <f t="shared" si="302"/>
        <v>27114.970120108239</v>
      </c>
      <c r="AM206" s="1">
        <f t="shared" si="303"/>
        <v>22852.415018360371</v>
      </c>
      <c r="AN206" s="1">
        <f t="shared" si="280"/>
        <v>-214874.37423964831</v>
      </c>
      <c r="AO206">
        <f t="shared" si="281"/>
        <v>5.2755529362884808</v>
      </c>
      <c r="AP206">
        <f t="shared" si="282"/>
        <v>3.4747285510696742</v>
      </c>
    </row>
    <row r="207" spans="1:42" x14ac:dyDescent="0.25">
      <c r="A207" s="4">
        <v>45796</v>
      </c>
      <c r="B207">
        <f t="shared" ref="B207:N207" si="310">(B757-B756)*100</f>
        <v>0</v>
      </c>
      <c r="C207">
        <f t="shared" si="310"/>
        <v>-0.99999999999997868</v>
      </c>
      <c r="D207">
        <f t="shared" si="310"/>
        <v>-1.9999999999999574</v>
      </c>
      <c r="E207">
        <f t="shared" si="310"/>
        <v>0</v>
      </c>
      <c r="F207">
        <f t="shared" si="310"/>
        <v>-2.0000000000000462</v>
      </c>
      <c r="G207">
        <f t="shared" si="310"/>
        <v>0.99999999999997868</v>
      </c>
      <c r="H207">
        <f t="shared" si="310"/>
        <v>0.99999999999997868</v>
      </c>
      <c r="I207">
        <f t="shared" si="310"/>
        <v>0</v>
      </c>
      <c r="J207">
        <f t="shared" si="310"/>
        <v>-1.0000000000000675</v>
      </c>
      <c r="K207">
        <f t="shared" si="310"/>
        <v>-1.9999999999999574</v>
      </c>
      <c r="L207">
        <f t="shared" si="310"/>
        <v>-3.0000000000000249</v>
      </c>
      <c r="M207">
        <f t="shared" si="310"/>
        <v>-3.0000000000000249</v>
      </c>
      <c r="N207">
        <f t="shared" si="310"/>
        <v>-3.0000000000000249</v>
      </c>
      <c r="O207" s="5">
        <f t="shared" si="308"/>
        <v>-5.8849610421068373E-3</v>
      </c>
      <c r="P207" s="5">
        <f t="shared" si="308"/>
        <v>-1.0056508844858507E-3</v>
      </c>
      <c r="Q207" s="5">
        <f t="shared" si="308"/>
        <v>4.4675382443394316E-3</v>
      </c>
      <c r="R207" s="5">
        <f t="shared" si="308"/>
        <v>1.0845988048041818E-3</v>
      </c>
      <c r="S207" s="5">
        <f t="shared" si="308"/>
        <v>-7.9805756292043277E-3</v>
      </c>
      <c r="U207" s="4">
        <v>45796</v>
      </c>
      <c r="V207">
        <f t="shared" si="286"/>
        <v>0</v>
      </c>
      <c r="W207">
        <f t="shared" si="287"/>
        <v>2222.9999999999527</v>
      </c>
      <c r="X207">
        <f t="shared" si="288"/>
        <v>-9179.9999999998035</v>
      </c>
      <c r="Y207">
        <f t="shared" si="289"/>
        <v>0</v>
      </c>
      <c r="Z207">
        <f t="shared" si="290"/>
        <v>-10870.000000000251</v>
      </c>
      <c r="AA207">
        <f t="shared" si="291"/>
        <v>-1999.9999999999573</v>
      </c>
      <c r="AB207">
        <f t="shared" si="292"/>
        <v>4563.9999999999027</v>
      </c>
      <c r="AC207">
        <f t="shared" si="293"/>
        <v>0</v>
      </c>
      <c r="AD207">
        <f t="shared" si="294"/>
        <v>100544.00000000678</v>
      </c>
      <c r="AE207">
        <f t="shared" si="295"/>
        <v>-1.9999999999999574</v>
      </c>
      <c r="AF207">
        <f t="shared" si="296"/>
        <v>-150969.00000000125</v>
      </c>
      <c r="AG207">
        <f t="shared" si="297"/>
        <v>-75969.000000000626</v>
      </c>
      <c r="AH207">
        <f t="shared" si="298"/>
        <v>-3.0000000000000249</v>
      </c>
      <c r="AI207">
        <f t="shared" si="299"/>
        <v>-0.58849610421068377</v>
      </c>
      <c r="AJ207">
        <f t="shared" si="300"/>
        <v>10056.508844858507</v>
      </c>
      <c r="AK207">
        <f t="shared" si="301"/>
        <v>44675.382443394315</v>
      </c>
      <c r="AL207">
        <f t="shared" si="302"/>
        <v>-27114.970120104546</v>
      </c>
      <c r="AM207" s="1">
        <f t="shared" si="303"/>
        <v>79805.756292043283</v>
      </c>
      <c r="AN207" s="1">
        <f t="shared" si="280"/>
        <v>-34239.91103590792</v>
      </c>
      <c r="AO207">
        <f t="shared" si="281"/>
        <v>-1.3369806236123929</v>
      </c>
      <c r="AP207">
        <f t="shared" si="282"/>
        <v>3.7009746277618931</v>
      </c>
    </row>
    <row r="208" spans="1:42" x14ac:dyDescent="0.25">
      <c r="A208" s="4">
        <v>45793</v>
      </c>
      <c r="B208">
        <f t="shared" ref="B208:N208" si="311">(B758-B757)*100</f>
        <v>0</v>
      </c>
      <c r="C208">
        <f t="shared" si="311"/>
        <v>0.99999999999997868</v>
      </c>
      <c r="D208">
        <f t="shared" si="311"/>
        <v>0.99999999999997868</v>
      </c>
      <c r="E208">
        <f t="shared" si="311"/>
        <v>0.99999999999997868</v>
      </c>
      <c r="F208">
        <f t="shared" si="311"/>
        <v>-0.99999999999997868</v>
      </c>
      <c r="G208">
        <f t="shared" si="311"/>
        <v>-3.0000000000000249</v>
      </c>
      <c r="H208">
        <f t="shared" si="311"/>
        <v>-2.0000000000000018</v>
      </c>
      <c r="I208">
        <f t="shared" si="311"/>
        <v>0</v>
      </c>
      <c r="J208">
        <f t="shared" si="311"/>
        <v>1.0000000000000675</v>
      </c>
      <c r="K208">
        <f t="shared" si="311"/>
        <v>0.99999999999997868</v>
      </c>
      <c r="L208">
        <f t="shared" si="311"/>
        <v>2.0000000000000462</v>
      </c>
      <c r="M208">
        <f t="shared" si="311"/>
        <v>0.99999999999997868</v>
      </c>
      <c r="N208">
        <f t="shared" si="311"/>
        <v>2.0000000000000462</v>
      </c>
      <c r="O208" s="5">
        <f t="shared" si="308"/>
        <v>1.0543423320486564E-2</v>
      </c>
      <c r="P208" s="5">
        <f t="shared" si="308"/>
        <v>-6.2625081660513983E-3</v>
      </c>
      <c r="Q208" s="5">
        <f t="shared" si="308"/>
        <v>8.7248898963441634E-4</v>
      </c>
      <c r="R208" s="5">
        <f t="shared" si="308"/>
        <v>0</v>
      </c>
      <c r="S208" s="5">
        <f t="shared" si="308"/>
        <v>-1.4469926121497812E-3</v>
      </c>
      <c r="U208" s="4">
        <v>45793</v>
      </c>
      <c r="V208">
        <f t="shared" si="286"/>
        <v>0</v>
      </c>
      <c r="W208">
        <f t="shared" si="287"/>
        <v>-2222.9999999999527</v>
      </c>
      <c r="X208">
        <f t="shared" si="288"/>
        <v>4589.9999999999018</v>
      </c>
      <c r="Y208">
        <f t="shared" si="289"/>
        <v>-3444.9999999999268</v>
      </c>
      <c r="Z208">
        <f t="shared" si="290"/>
        <v>-5434.9999999998845</v>
      </c>
      <c r="AA208">
        <f t="shared" si="291"/>
        <v>6000.00000000005</v>
      </c>
      <c r="AB208">
        <f t="shared" si="292"/>
        <v>-9128.0000000000073</v>
      </c>
      <c r="AC208">
        <f t="shared" si="293"/>
        <v>0</v>
      </c>
      <c r="AD208">
        <f t="shared" si="294"/>
        <v>-100544.00000000678</v>
      </c>
      <c r="AE208">
        <f t="shared" si="295"/>
        <v>0.99999999999997868</v>
      </c>
      <c r="AF208">
        <f t="shared" si="296"/>
        <v>100646.00000000233</v>
      </c>
      <c r="AG208">
        <f t="shared" si="297"/>
        <v>25322.999999999462</v>
      </c>
      <c r="AH208">
        <f t="shared" si="298"/>
        <v>2.0000000000000462</v>
      </c>
      <c r="AI208">
        <f t="shared" si="299"/>
        <v>1.0543423320486565</v>
      </c>
      <c r="AJ208">
        <f t="shared" si="300"/>
        <v>62625.081660513984</v>
      </c>
      <c r="AK208">
        <f t="shared" si="301"/>
        <v>8724.8898963441625</v>
      </c>
      <c r="AL208">
        <f t="shared" si="302"/>
        <v>0</v>
      </c>
      <c r="AM208" s="1">
        <f t="shared" si="303"/>
        <v>14469.926121497812</v>
      </c>
      <c r="AN208" s="1">
        <f t="shared" si="280"/>
        <v>101607.95202068319</v>
      </c>
      <c r="AO208">
        <f t="shared" si="281"/>
        <v>-1.1612473564183119</v>
      </c>
      <c r="AP208">
        <f t="shared" si="282"/>
        <v>3.7036619433808604</v>
      </c>
    </row>
    <row r="209" spans="1:42" x14ac:dyDescent="0.25">
      <c r="A209" s="4">
        <v>45792</v>
      </c>
      <c r="B209">
        <f t="shared" ref="B209:N209" si="312">(B759-B758)*100</f>
        <v>1.9999999999999574</v>
      </c>
      <c r="C209">
        <f t="shared" si="312"/>
        <v>1.0000000000000675</v>
      </c>
      <c r="D209">
        <f t="shared" si="312"/>
        <v>3.0000000000000249</v>
      </c>
      <c r="E209">
        <f t="shared" si="312"/>
        <v>1.0000000000000675</v>
      </c>
      <c r="F209">
        <f t="shared" si="312"/>
        <v>0.99999999999997868</v>
      </c>
      <c r="G209">
        <f t="shared" si="312"/>
        <v>4.0000000000000036</v>
      </c>
      <c r="H209">
        <f t="shared" si="312"/>
        <v>8.9999999999999858</v>
      </c>
      <c r="I209">
        <f t="shared" si="312"/>
        <v>9.9999999999999645</v>
      </c>
      <c r="J209">
        <f t="shared" si="312"/>
        <v>9.9999999999999645</v>
      </c>
      <c r="K209">
        <f t="shared" si="312"/>
        <v>9.9999999999999645</v>
      </c>
      <c r="L209">
        <f t="shared" si="312"/>
        <v>8.0000000000000071</v>
      </c>
      <c r="M209">
        <f t="shared" si="312"/>
        <v>7.0000000000000284</v>
      </c>
      <c r="N209">
        <f t="shared" si="312"/>
        <v>5.9999999999999609</v>
      </c>
      <c r="O209" s="5">
        <f t="shared" si="308"/>
        <v>4.0561511553751468E-3</v>
      </c>
      <c r="P209" s="5">
        <f t="shared" si="308"/>
        <v>6.6215531103669288E-3</v>
      </c>
      <c r="Q209" s="5">
        <f t="shared" si="308"/>
        <v>-7.9803793319254996E-4</v>
      </c>
      <c r="R209" s="5">
        <f t="shared" si="308"/>
        <v>3.5330924101012011E-3</v>
      </c>
      <c r="S209" s="5">
        <f t="shared" si="308"/>
        <v>5.8418349824690425E-3</v>
      </c>
      <c r="U209" s="4">
        <v>45792</v>
      </c>
      <c r="V209">
        <f t="shared" si="286"/>
        <v>-7999.999999999829</v>
      </c>
      <c r="W209">
        <f t="shared" si="287"/>
        <v>-2223.0000000001501</v>
      </c>
      <c r="X209">
        <f t="shared" si="288"/>
        <v>13770.000000000115</v>
      </c>
      <c r="Y209">
        <f t="shared" si="289"/>
        <v>-3445.0000000002324</v>
      </c>
      <c r="Z209">
        <f t="shared" si="290"/>
        <v>5434.9999999998845</v>
      </c>
      <c r="AA209">
        <f t="shared" si="291"/>
        <v>-8000.0000000000073</v>
      </c>
      <c r="AB209">
        <f t="shared" si="292"/>
        <v>41075.999999999935</v>
      </c>
      <c r="AC209">
        <f t="shared" si="293"/>
        <v>-22229.99999999992</v>
      </c>
      <c r="AD209">
        <f t="shared" si="294"/>
        <v>-1005439.9999999964</v>
      </c>
      <c r="AE209">
        <f t="shared" si="295"/>
        <v>9.9999999999999645</v>
      </c>
      <c r="AF209">
        <f t="shared" si="296"/>
        <v>402584.00000000035</v>
      </c>
      <c r="AG209">
        <f t="shared" si="297"/>
        <v>177261.00000000073</v>
      </c>
      <c r="AH209">
        <f t="shared" si="298"/>
        <v>5.9999999999999609</v>
      </c>
      <c r="AI209">
        <f t="shared" si="299"/>
        <v>0.40561511553751467</v>
      </c>
      <c r="AJ209">
        <f t="shared" si="300"/>
        <v>-66215.531103669287</v>
      </c>
      <c r="AK209">
        <f t="shared" si="301"/>
        <v>-7980.3793319254992</v>
      </c>
      <c r="AL209">
        <f t="shared" si="302"/>
        <v>-88327.31025253002</v>
      </c>
      <c r="AM209" s="1">
        <f t="shared" si="303"/>
        <v>-58418.349824690427</v>
      </c>
      <c r="AN209" s="1">
        <f t="shared" si="280"/>
        <v>-630137.16489769518</v>
      </c>
      <c r="AO209">
        <f t="shared" si="281"/>
        <v>-3.3525309406305368</v>
      </c>
      <c r="AP209">
        <f t="shared" si="282"/>
        <v>3.7075859961405633</v>
      </c>
    </row>
    <row r="210" spans="1:42" x14ac:dyDescent="0.25">
      <c r="A210" s="4">
        <v>45791</v>
      </c>
      <c r="B210">
        <f t="shared" ref="B210:N210" si="313">(B760-B759)*100</f>
        <v>0</v>
      </c>
      <c r="C210">
        <f t="shared" si="313"/>
        <v>-1.0000000000000675</v>
      </c>
      <c r="D210">
        <f t="shared" si="313"/>
        <v>0</v>
      </c>
      <c r="E210">
        <f t="shared" si="313"/>
        <v>0.99999999999997868</v>
      </c>
      <c r="F210">
        <f t="shared" si="313"/>
        <v>-0.99999999999997868</v>
      </c>
      <c r="G210">
        <f t="shared" si="313"/>
        <v>-2.9999999999999361</v>
      </c>
      <c r="H210">
        <f t="shared" si="313"/>
        <v>-3.0000000000000249</v>
      </c>
      <c r="I210">
        <f t="shared" si="313"/>
        <v>-4.9999999999999822</v>
      </c>
      <c r="J210">
        <f t="shared" si="313"/>
        <v>-4.9999999999999822</v>
      </c>
      <c r="K210">
        <f t="shared" si="313"/>
        <v>-4.9999999999999822</v>
      </c>
      <c r="L210">
        <f t="shared" si="313"/>
        <v>-4.0000000000000036</v>
      </c>
      <c r="M210">
        <f t="shared" si="313"/>
        <v>-3.0000000000000249</v>
      </c>
      <c r="N210">
        <f t="shared" si="313"/>
        <v>-2.9999999999999361</v>
      </c>
      <c r="O210" s="5">
        <f t="shared" si="308"/>
        <v>-2.883693122961647E-3</v>
      </c>
      <c r="P210" s="5">
        <f t="shared" si="308"/>
        <v>-1.024184253288212E-2</v>
      </c>
      <c r="Q210" s="5">
        <f t="shared" si="308"/>
        <v>-1.0843105592033956E-3</v>
      </c>
      <c r="R210" s="5">
        <f t="shared" si="308"/>
        <v>1.9076174200170792E-3</v>
      </c>
      <c r="S210" s="5">
        <f t="shared" si="308"/>
        <v>-1.7533997951169967E-4</v>
      </c>
      <c r="U210" s="4">
        <v>45791</v>
      </c>
      <c r="V210">
        <f t="shared" si="286"/>
        <v>0</v>
      </c>
      <c r="W210">
        <f t="shared" si="287"/>
        <v>2223.0000000001501</v>
      </c>
      <c r="X210">
        <f t="shared" si="288"/>
        <v>0</v>
      </c>
      <c r="Y210">
        <f t="shared" si="289"/>
        <v>-3444.9999999999268</v>
      </c>
      <c r="Z210">
        <f t="shared" si="290"/>
        <v>-5434.9999999998845</v>
      </c>
      <c r="AA210">
        <f t="shared" si="291"/>
        <v>5999.9999999998718</v>
      </c>
      <c r="AB210">
        <f t="shared" si="292"/>
        <v>-13692.000000000113</v>
      </c>
      <c r="AC210">
        <f t="shared" si="293"/>
        <v>11114.99999999996</v>
      </c>
      <c r="AD210">
        <f t="shared" si="294"/>
        <v>502719.9999999982</v>
      </c>
      <c r="AE210">
        <f t="shared" si="295"/>
        <v>-4.9999999999999822</v>
      </c>
      <c r="AF210">
        <f t="shared" si="296"/>
        <v>-201292.00000000017</v>
      </c>
      <c r="AG210">
        <f t="shared" si="297"/>
        <v>-75969.000000000626</v>
      </c>
      <c r="AH210">
        <f t="shared" si="298"/>
        <v>-2.9999999999999361</v>
      </c>
      <c r="AI210">
        <f t="shared" si="299"/>
        <v>-0.28836931229616469</v>
      </c>
      <c r="AJ210">
        <f t="shared" si="300"/>
        <v>102418.42532882119</v>
      </c>
      <c r="AK210">
        <f t="shared" si="301"/>
        <v>-10843.105592033957</v>
      </c>
      <c r="AL210">
        <f t="shared" si="302"/>
        <v>-47690.435500426982</v>
      </c>
      <c r="AM210" s="1">
        <f t="shared" si="303"/>
        <v>1753.3997951169968</v>
      </c>
      <c r="AN210" s="1">
        <f t="shared" si="280"/>
        <v>267854.99566216237</v>
      </c>
      <c r="AO210">
        <f t="shared" si="281"/>
        <v>1.2535773840917943</v>
      </c>
      <c r="AP210">
        <f t="shared" si="282"/>
        <v>3.7024449717112575</v>
      </c>
    </row>
    <row r="211" spans="1:42" x14ac:dyDescent="0.25">
      <c r="A211" s="4">
        <v>45790</v>
      </c>
      <c r="B211">
        <f t="shared" ref="B211:N211" si="314">(B761-B760)*100</f>
        <v>-0.99999999999997868</v>
      </c>
      <c r="C211">
        <f t="shared" si="314"/>
        <v>1.0000000000000675</v>
      </c>
      <c r="D211">
        <f t="shared" si="314"/>
        <v>0.99999999999997868</v>
      </c>
      <c r="E211">
        <f t="shared" si="314"/>
        <v>0</v>
      </c>
      <c r="F211">
        <f t="shared" si="314"/>
        <v>0</v>
      </c>
      <c r="G211">
        <f t="shared" si="314"/>
        <v>0</v>
      </c>
      <c r="H211">
        <f t="shared" si="314"/>
        <v>-3.9999999999999591</v>
      </c>
      <c r="I211">
        <f t="shared" si="314"/>
        <v>-2.9999999999999805</v>
      </c>
      <c r="J211">
        <f t="shared" si="314"/>
        <v>-3.0000000000000249</v>
      </c>
      <c r="K211">
        <f t="shared" si="314"/>
        <v>-3.0000000000000249</v>
      </c>
      <c r="L211">
        <f t="shared" si="314"/>
        <v>-4.0000000000000036</v>
      </c>
      <c r="M211">
        <f t="shared" si="314"/>
        <v>-4.9999999999999822</v>
      </c>
      <c r="N211">
        <f t="shared" si="314"/>
        <v>-5.0000000000000711</v>
      </c>
      <c r="O211" s="5">
        <f t="shared" si="308"/>
        <v>-9.9047485484572654E-3</v>
      </c>
      <c r="P211" s="5">
        <f t="shared" si="308"/>
        <v>-1.1888664778234176E-3</v>
      </c>
      <c r="Q211" s="5">
        <f t="shared" si="308"/>
        <v>8.4718238734897387E-3</v>
      </c>
      <c r="R211" s="5">
        <f t="shared" si="308"/>
        <v>2.1845994488393834E-3</v>
      </c>
      <c r="S211" s="5">
        <f t="shared" si="308"/>
        <v>-1.083697603218179E-2</v>
      </c>
      <c r="U211" s="4">
        <v>45790</v>
      </c>
      <c r="V211">
        <f t="shared" si="286"/>
        <v>3999.9999999999145</v>
      </c>
      <c r="W211">
        <f t="shared" si="287"/>
        <v>-2223.0000000001501</v>
      </c>
      <c r="X211">
        <f t="shared" si="288"/>
        <v>4589.9999999999018</v>
      </c>
      <c r="Y211">
        <f t="shared" si="289"/>
        <v>0</v>
      </c>
      <c r="Z211">
        <f t="shared" si="290"/>
        <v>0</v>
      </c>
      <c r="AA211">
        <f t="shared" si="291"/>
        <v>0</v>
      </c>
      <c r="AB211">
        <f t="shared" si="292"/>
        <v>-18255.999999999814</v>
      </c>
      <c r="AC211">
        <f t="shared" si="293"/>
        <v>6668.9999999999563</v>
      </c>
      <c r="AD211">
        <f t="shared" si="294"/>
        <v>301632.0000000025</v>
      </c>
      <c r="AE211">
        <f t="shared" si="295"/>
        <v>-3.0000000000000249</v>
      </c>
      <c r="AF211">
        <f t="shared" si="296"/>
        <v>-201292.00000000017</v>
      </c>
      <c r="AG211">
        <f t="shared" si="297"/>
        <v>-126614.99999999955</v>
      </c>
      <c r="AH211">
        <f t="shared" si="298"/>
        <v>-5.0000000000000711</v>
      </c>
      <c r="AI211">
        <f t="shared" si="299"/>
        <v>-0.9904748548457265</v>
      </c>
      <c r="AJ211">
        <f t="shared" si="300"/>
        <v>11888.664778234175</v>
      </c>
      <c r="AK211">
        <f t="shared" si="301"/>
        <v>84718.238734897386</v>
      </c>
      <c r="AL211">
        <f t="shared" si="302"/>
        <v>-54614.986220984581</v>
      </c>
      <c r="AM211" s="1">
        <f t="shared" si="303"/>
        <v>108369.7603218179</v>
      </c>
      <c r="AN211" s="1">
        <f t="shared" si="280"/>
        <v>118857.68713911265</v>
      </c>
      <c r="AO211">
        <f t="shared" si="281"/>
        <v>-9.1054789320058394E-2</v>
      </c>
      <c r="AP211">
        <f t="shared" si="282"/>
        <v>3.6281459986299449</v>
      </c>
    </row>
    <row r="212" spans="1:42" x14ac:dyDescent="0.25">
      <c r="A212" s="4">
        <v>45789</v>
      </c>
      <c r="B212">
        <f t="shared" ref="B212:N212" si="315">(B762-B761)*100</f>
        <v>-0.99999999999997868</v>
      </c>
      <c r="C212">
        <f t="shared" si="315"/>
        <v>-2.0000000000000462</v>
      </c>
      <c r="D212">
        <f t="shared" si="315"/>
        <v>-8.0000000000000071</v>
      </c>
      <c r="E212">
        <f t="shared" si="315"/>
        <v>-4.9999999999999822</v>
      </c>
      <c r="F212">
        <f t="shared" si="315"/>
        <v>-0.99999999999997868</v>
      </c>
      <c r="G212">
        <f t="shared" si="315"/>
        <v>-6.0000000000000497</v>
      </c>
      <c r="H212">
        <f t="shared" si="315"/>
        <v>-10.000000000000009</v>
      </c>
      <c r="I212">
        <f t="shared" si="315"/>
        <v>-12.000000000000011</v>
      </c>
      <c r="J212">
        <f t="shared" si="315"/>
        <v>-8.9999999999999858</v>
      </c>
      <c r="K212">
        <f t="shared" si="315"/>
        <v>-8.9999999999999858</v>
      </c>
      <c r="L212">
        <f t="shared" si="315"/>
        <v>-8.0000000000000071</v>
      </c>
      <c r="M212">
        <f t="shared" si="315"/>
        <v>-5.9999999999999609</v>
      </c>
      <c r="N212">
        <f t="shared" si="315"/>
        <v>-5.9999999999999609</v>
      </c>
      <c r="O212" s="5">
        <f t="shared" si="308"/>
        <v>5.4885557849340292E-3</v>
      </c>
      <c r="P212" s="5">
        <f t="shared" si="308"/>
        <v>4.7337166067919974E-6</v>
      </c>
      <c r="Q212" s="5">
        <f t="shared" si="308"/>
        <v>-8.4930731164861804E-3</v>
      </c>
      <c r="R212" s="5">
        <f t="shared" si="308"/>
        <v>1.6415872359518593E-3</v>
      </c>
      <c r="S212" s="5">
        <f t="shared" si="308"/>
        <v>7.0129386388886016E-3</v>
      </c>
      <c r="U212" s="4">
        <v>45789</v>
      </c>
      <c r="V212">
        <f t="shared" si="286"/>
        <v>3999.9999999999145</v>
      </c>
      <c r="W212">
        <f t="shared" si="287"/>
        <v>4446.0000000001028</v>
      </c>
      <c r="X212">
        <f t="shared" si="288"/>
        <v>-36720.000000000029</v>
      </c>
      <c r="Y212">
        <f t="shared" si="289"/>
        <v>17224.999999999938</v>
      </c>
      <c r="Z212">
        <f t="shared" si="290"/>
        <v>-5434.9999999998845</v>
      </c>
      <c r="AA212">
        <f t="shared" si="291"/>
        <v>12000.0000000001</v>
      </c>
      <c r="AB212">
        <f t="shared" si="292"/>
        <v>-45640.000000000044</v>
      </c>
      <c r="AC212">
        <f t="shared" si="293"/>
        <v>26676.000000000025</v>
      </c>
      <c r="AD212">
        <f t="shared" si="294"/>
        <v>904895.9999999986</v>
      </c>
      <c r="AE212">
        <f t="shared" si="295"/>
        <v>-8.9999999999999858</v>
      </c>
      <c r="AF212">
        <f t="shared" si="296"/>
        <v>-402584.00000000035</v>
      </c>
      <c r="AG212">
        <f t="shared" si="297"/>
        <v>-151937.99999999901</v>
      </c>
      <c r="AH212">
        <f t="shared" si="298"/>
        <v>-5.9999999999999609</v>
      </c>
      <c r="AI212">
        <f t="shared" si="299"/>
        <v>0.54885557849340294</v>
      </c>
      <c r="AJ212">
        <f t="shared" si="300"/>
        <v>-47.337166067919974</v>
      </c>
      <c r="AK212">
        <f t="shared" si="301"/>
        <v>-84930.731164861805</v>
      </c>
      <c r="AL212">
        <f t="shared" si="302"/>
        <v>-41039.680898796483</v>
      </c>
      <c r="AM212" s="1">
        <f t="shared" si="303"/>
        <v>-70129.386388886021</v>
      </c>
      <c r="AN212" s="1">
        <f t="shared" si="280"/>
        <v>130764.4132369656</v>
      </c>
      <c r="AO212">
        <f t="shared" si="281"/>
        <v>-2.5433174497231699</v>
      </c>
      <c r="AP212">
        <f t="shared" si="282"/>
        <v>3.5975801038393054</v>
      </c>
    </row>
    <row r="213" spans="1:42" x14ac:dyDescent="0.25">
      <c r="A213" s="4">
        <v>45786</v>
      </c>
      <c r="B213">
        <f t="shared" ref="B213:N213" si="316">(B763-B762)*100</f>
        <v>0</v>
      </c>
      <c r="C213">
        <f t="shared" si="316"/>
        <v>0.99999999999997868</v>
      </c>
      <c r="D213">
        <f t="shared" si="316"/>
        <v>0</v>
      </c>
      <c r="E213">
        <f t="shared" si="316"/>
        <v>0</v>
      </c>
      <c r="F213">
        <f t="shared" si="316"/>
        <v>0</v>
      </c>
      <c r="G213">
        <f t="shared" si="316"/>
        <v>0</v>
      </c>
      <c r="H213">
        <f t="shared" si="316"/>
        <v>2.0000000000000018</v>
      </c>
      <c r="I213">
        <f t="shared" si="316"/>
        <v>0</v>
      </c>
      <c r="J213">
        <f t="shared" si="316"/>
        <v>0</v>
      </c>
      <c r="K213">
        <f t="shared" si="316"/>
        <v>0</v>
      </c>
      <c r="L213">
        <f t="shared" si="316"/>
        <v>0</v>
      </c>
      <c r="M213">
        <f t="shared" si="316"/>
        <v>0</v>
      </c>
      <c r="N213">
        <f t="shared" si="316"/>
        <v>0</v>
      </c>
      <c r="O213" s="5">
        <f t="shared" si="308"/>
        <v>-6.1571226137359632E-3</v>
      </c>
      <c r="P213" s="5">
        <f t="shared" si="308"/>
        <v>-5.429023130500513E-3</v>
      </c>
      <c r="Q213" s="5">
        <f t="shared" si="308"/>
        <v>-4.4735215011605205E-3</v>
      </c>
      <c r="R213" s="5">
        <f t="shared" si="308"/>
        <v>5.4915019936751614E-3</v>
      </c>
      <c r="S213" s="5">
        <f t="shared" si="308"/>
        <v>-3.6098715753446588E-3</v>
      </c>
      <c r="U213" s="4">
        <v>45786</v>
      </c>
      <c r="V213">
        <f t="shared" si="286"/>
        <v>0</v>
      </c>
      <c r="W213">
        <f t="shared" si="287"/>
        <v>-2222.9999999999527</v>
      </c>
      <c r="X213">
        <f t="shared" si="288"/>
        <v>0</v>
      </c>
      <c r="Y213">
        <f t="shared" si="289"/>
        <v>0</v>
      </c>
      <c r="Z213">
        <f t="shared" si="290"/>
        <v>0</v>
      </c>
      <c r="AA213">
        <f t="shared" si="291"/>
        <v>0</v>
      </c>
      <c r="AB213">
        <f t="shared" si="292"/>
        <v>9128.0000000000073</v>
      </c>
      <c r="AC213">
        <f t="shared" si="293"/>
        <v>0</v>
      </c>
      <c r="AD213">
        <f t="shared" si="294"/>
        <v>0</v>
      </c>
      <c r="AE213">
        <f t="shared" si="295"/>
        <v>0</v>
      </c>
      <c r="AF213">
        <f t="shared" si="296"/>
        <v>0</v>
      </c>
      <c r="AG213">
        <f t="shared" si="297"/>
        <v>0</v>
      </c>
      <c r="AH213">
        <f t="shared" si="298"/>
        <v>0</v>
      </c>
      <c r="AI213">
        <f t="shared" si="299"/>
        <v>-0.61571226137359636</v>
      </c>
      <c r="AJ213">
        <f t="shared" si="300"/>
        <v>54290.231305005131</v>
      </c>
      <c r="AK213">
        <f t="shared" si="301"/>
        <v>-44735.215011605207</v>
      </c>
      <c r="AL213">
        <f t="shared" si="302"/>
        <v>-137287.54984187902</v>
      </c>
      <c r="AM213" s="1">
        <f t="shared" si="303"/>
        <v>36098.715753446588</v>
      </c>
      <c r="AN213" s="1">
        <f t="shared" si="280"/>
        <v>-84729.433507293841</v>
      </c>
      <c r="AO213">
        <f t="shared" si="281"/>
        <v>-1.1060975665211787</v>
      </c>
      <c r="AP213">
        <f t="shared" si="282"/>
        <v>3.5995862540155321</v>
      </c>
    </row>
    <row r="214" spans="1:42" x14ac:dyDescent="0.25">
      <c r="A214" s="4">
        <v>45785</v>
      </c>
      <c r="B214">
        <f t="shared" ref="B214:N214" si="317">(B764-B763)*100</f>
        <v>0</v>
      </c>
      <c r="C214">
        <f t="shared" si="317"/>
        <v>-1.9999999999999574</v>
      </c>
      <c r="D214">
        <f t="shared" si="317"/>
        <v>0</v>
      </c>
      <c r="E214">
        <f t="shared" si="317"/>
        <v>-1.0000000000000675</v>
      </c>
      <c r="F214">
        <f t="shared" si="317"/>
        <v>-1.0000000000000675</v>
      </c>
      <c r="G214">
        <f t="shared" si="317"/>
        <v>-4.9999999999999822</v>
      </c>
      <c r="H214">
        <f t="shared" si="317"/>
        <v>-12.000000000000011</v>
      </c>
      <c r="I214">
        <f t="shared" si="317"/>
        <v>-12.999999999999989</v>
      </c>
      <c r="J214">
        <f t="shared" si="317"/>
        <v>-12.999999999999989</v>
      </c>
      <c r="K214">
        <f t="shared" si="317"/>
        <v>-12.000000000000011</v>
      </c>
      <c r="L214">
        <f t="shared" si="317"/>
        <v>-11.000000000000032</v>
      </c>
      <c r="M214">
        <f t="shared" si="317"/>
        <v>-8.0000000000000071</v>
      </c>
      <c r="N214">
        <f t="shared" si="317"/>
        <v>-6.0000000000000497</v>
      </c>
      <c r="O214" s="5">
        <f t="shared" si="308"/>
        <v>-9.0083206781975417E-3</v>
      </c>
      <c r="P214" s="5">
        <f t="shared" si="308"/>
        <v>-8.2824605230618631E-3</v>
      </c>
      <c r="Q214" s="5">
        <f t="shared" si="308"/>
        <v>6.1216778004347851E-3</v>
      </c>
      <c r="R214" s="5">
        <f t="shared" si="308"/>
        <v>-3.2985186586650477E-3</v>
      </c>
      <c r="S214" s="5">
        <f t="shared" si="308"/>
        <v>-3.4591767733438785E-3</v>
      </c>
      <c r="U214" s="4">
        <v>45785</v>
      </c>
      <c r="V214">
        <f t="shared" si="286"/>
        <v>0</v>
      </c>
      <c r="W214">
        <f t="shared" si="287"/>
        <v>4445.9999999999054</v>
      </c>
      <c r="X214">
        <f t="shared" si="288"/>
        <v>0</v>
      </c>
      <c r="Y214">
        <f t="shared" si="289"/>
        <v>3445.0000000002324</v>
      </c>
      <c r="Z214">
        <f t="shared" si="290"/>
        <v>-5435.0000000003665</v>
      </c>
      <c r="AA214">
        <f t="shared" si="291"/>
        <v>9999.9999999999636</v>
      </c>
      <c r="AB214">
        <f t="shared" si="292"/>
        <v>-54768.000000000051</v>
      </c>
      <c r="AC214">
        <f t="shared" si="293"/>
        <v>28898.999999999975</v>
      </c>
      <c r="AD214">
        <f t="shared" si="294"/>
        <v>1307071.9999999988</v>
      </c>
      <c r="AE214">
        <f t="shared" si="295"/>
        <v>-12.000000000000011</v>
      </c>
      <c r="AF214">
        <f t="shared" si="296"/>
        <v>-553553.00000000163</v>
      </c>
      <c r="AG214">
        <f t="shared" si="297"/>
        <v>-202584.00000000017</v>
      </c>
      <c r="AH214">
        <f t="shared" si="298"/>
        <v>-6.0000000000000497</v>
      </c>
      <c r="AI214">
        <f t="shared" si="299"/>
        <v>-0.90083206781975422</v>
      </c>
      <c r="AJ214">
        <f t="shared" si="300"/>
        <v>82824.605230618632</v>
      </c>
      <c r="AK214">
        <f t="shared" si="301"/>
        <v>61216.778004347849</v>
      </c>
      <c r="AL214">
        <f t="shared" si="302"/>
        <v>82462.966466626196</v>
      </c>
      <c r="AM214" s="1">
        <f t="shared" si="303"/>
        <v>34591.767733438784</v>
      </c>
      <c r="AN214" s="1">
        <f t="shared" si="280"/>
        <v>798599.21660296025</v>
      </c>
      <c r="AO214">
        <f t="shared" si="281"/>
        <v>5.2611160790461415</v>
      </c>
      <c r="AP214">
        <f t="shared" si="282"/>
        <v>3.6577375290709919</v>
      </c>
    </row>
    <row r="215" spans="1:42" x14ac:dyDescent="0.25">
      <c r="A215" s="4">
        <v>45784</v>
      </c>
      <c r="B215">
        <f t="shared" ref="B215:N215" si="318">(B765-B764)*100</f>
        <v>0</v>
      </c>
      <c r="C215">
        <f t="shared" si="318"/>
        <v>0</v>
      </c>
      <c r="D215">
        <f t="shared" si="318"/>
        <v>-0.99999999999997868</v>
      </c>
      <c r="E215">
        <f t="shared" si="318"/>
        <v>-0.99999999999997868</v>
      </c>
      <c r="F215">
        <f t="shared" si="318"/>
        <v>-1.9999999999999574</v>
      </c>
      <c r="G215">
        <f t="shared" si="318"/>
        <v>-2.0000000000000018</v>
      </c>
      <c r="H215">
        <f t="shared" si="318"/>
        <v>0</v>
      </c>
      <c r="I215">
        <f t="shared" si="318"/>
        <v>0.99999999999997868</v>
      </c>
      <c r="J215">
        <f t="shared" si="318"/>
        <v>2.9999999999999805</v>
      </c>
      <c r="K215">
        <f t="shared" si="318"/>
        <v>4.0000000000000036</v>
      </c>
      <c r="L215">
        <f t="shared" si="318"/>
        <v>4.0000000000000036</v>
      </c>
      <c r="M215">
        <f t="shared" si="318"/>
        <v>4.0000000000000036</v>
      </c>
      <c r="N215">
        <f t="shared" si="318"/>
        <v>4.0000000000000036</v>
      </c>
      <c r="O215" s="5">
        <f t="shared" ref="O215:S224" si="319">LN(O764/O765)</f>
        <v>2.8713958207520198E-3</v>
      </c>
      <c r="P215" s="5">
        <f t="shared" si="319"/>
        <v>-5.2670427074570821E-3</v>
      </c>
      <c r="Q215" s="5">
        <f t="shared" si="319"/>
        <v>-5.4259649707421372E-4</v>
      </c>
      <c r="R215" s="5">
        <f t="shared" si="319"/>
        <v>-2.4667684154335108E-3</v>
      </c>
      <c r="S215" s="5">
        <f t="shared" si="319"/>
        <v>-2.7913059830011844E-3</v>
      </c>
      <c r="U215" s="4">
        <v>45784</v>
      </c>
      <c r="V215">
        <f t="shared" si="286"/>
        <v>0</v>
      </c>
      <c r="W215">
        <f t="shared" si="287"/>
        <v>0</v>
      </c>
      <c r="X215">
        <f t="shared" si="288"/>
        <v>-4589.9999999999018</v>
      </c>
      <c r="Y215">
        <f t="shared" si="289"/>
        <v>3444.9999999999268</v>
      </c>
      <c r="Z215">
        <f t="shared" si="290"/>
        <v>-10869.999999999769</v>
      </c>
      <c r="AA215">
        <f t="shared" si="291"/>
        <v>4000.0000000000036</v>
      </c>
      <c r="AB215">
        <f t="shared" si="292"/>
        <v>0</v>
      </c>
      <c r="AC215">
        <f t="shared" si="293"/>
        <v>-2222.9999999999527</v>
      </c>
      <c r="AD215">
        <f t="shared" si="294"/>
        <v>-301631.99999999802</v>
      </c>
      <c r="AE215">
        <f t="shared" si="295"/>
        <v>4.0000000000000036</v>
      </c>
      <c r="AF215">
        <f t="shared" si="296"/>
        <v>201292.00000000017</v>
      </c>
      <c r="AG215">
        <f t="shared" si="297"/>
        <v>101292.00000000009</v>
      </c>
      <c r="AH215">
        <f t="shared" si="298"/>
        <v>4.0000000000000036</v>
      </c>
      <c r="AI215">
        <f t="shared" si="299"/>
        <v>0.28713958207520196</v>
      </c>
      <c r="AJ215">
        <f t="shared" si="300"/>
        <v>52670.42707457082</v>
      </c>
      <c r="AK215">
        <f t="shared" si="301"/>
        <v>-5425.9649707421368</v>
      </c>
      <c r="AL215">
        <f t="shared" si="302"/>
        <v>61669.210385837767</v>
      </c>
      <c r="AM215" s="1">
        <f t="shared" si="303"/>
        <v>27913.059830011844</v>
      </c>
      <c r="AN215" s="1">
        <f t="shared" si="280"/>
        <v>127549.01945926291</v>
      </c>
      <c r="AO215">
        <f t="shared" si="281"/>
        <v>-2.4520385024088229</v>
      </c>
      <c r="AP215">
        <f t="shared" si="282"/>
        <v>3.2408440115837744</v>
      </c>
    </row>
    <row r="216" spans="1:42" x14ac:dyDescent="0.25">
      <c r="A216" s="4">
        <v>45783</v>
      </c>
      <c r="B216">
        <f t="shared" ref="B216:N216" si="320">(B766-B765)*100</f>
        <v>0.99999999999997868</v>
      </c>
      <c r="C216">
        <f t="shared" si="320"/>
        <v>0.99999999999997868</v>
      </c>
      <c r="D216">
        <f t="shared" si="320"/>
        <v>0</v>
      </c>
      <c r="E216">
        <f t="shared" si="320"/>
        <v>2.0000000000000462</v>
      </c>
      <c r="F216">
        <f t="shared" si="320"/>
        <v>1.9999999999999574</v>
      </c>
      <c r="G216">
        <f t="shared" si="320"/>
        <v>3.9999999999999591</v>
      </c>
      <c r="H216">
        <f t="shared" si="320"/>
        <v>5.0000000000000266</v>
      </c>
      <c r="I216">
        <f t="shared" si="320"/>
        <v>4.9999999999999822</v>
      </c>
      <c r="J216">
        <f t="shared" si="320"/>
        <v>5.0000000000000266</v>
      </c>
      <c r="K216">
        <f t="shared" si="320"/>
        <v>4.0000000000000036</v>
      </c>
      <c r="L216">
        <f t="shared" si="320"/>
        <v>6.0000000000000497</v>
      </c>
      <c r="M216">
        <f t="shared" si="320"/>
        <v>1.9999999999999574</v>
      </c>
      <c r="N216">
        <f t="shared" si="320"/>
        <v>2.0000000000000462</v>
      </c>
      <c r="O216" s="5">
        <f t="shared" si="319"/>
        <v>1.2134790669252519E-2</v>
      </c>
      <c r="P216" s="5">
        <f t="shared" si="319"/>
        <v>1.1037336359225754E-3</v>
      </c>
      <c r="Q216" s="5">
        <f t="shared" si="319"/>
        <v>-8.1865691685795139E-4</v>
      </c>
      <c r="R216" s="5">
        <f t="shared" si="319"/>
        <v>-3.006698998738427E-3</v>
      </c>
      <c r="S216" s="5">
        <f t="shared" si="319"/>
        <v>-4.8818690391156207E-4</v>
      </c>
      <c r="U216" s="4">
        <v>45783</v>
      </c>
      <c r="V216">
        <f t="shared" si="286"/>
        <v>-3999.9999999999145</v>
      </c>
      <c r="W216">
        <f t="shared" si="287"/>
        <v>-2222.9999999999527</v>
      </c>
      <c r="X216">
        <f t="shared" si="288"/>
        <v>0</v>
      </c>
      <c r="Y216">
        <f t="shared" si="289"/>
        <v>-6890.0000000001592</v>
      </c>
      <c r="Z216">
        <f t="shared" si="290"/>
        <v>10869.999999999769</v>
      </c>
      <c r="AA216">
        <f t="shared" si="291"/>
        <v>-7999.9999999999181</v>
      </c>
      <c r="AB216">
        <f t="shared" si="292"/>
        <v>22820.00000000012</v>
      </c>
      <c r="AC216">
        <f t="shared" si="293"/>
        <v>-11114.99999999996</v>
      </c>
      <c r="AD216">
        <f t="shared" si="294"/>
        <v>-502720.00000000268</v>
      </c>
      <c r="AE216">
        <f t="shared" si="295"/>
        <v>4.0000000000000036</v>
      </c>
      <c r="AF216">
        <f t="shared" si="296"/>
        <v>301938.0000000025</v>
      </c>
      <c r="AG216">
        <f t="shared" si="297"/>
        <v>50645.999999998923</v>
      </c>
      <c r="AH216">
        <f t="shared" si="298"/>
        <v>2.0000000000000462</v>
      </c>
      <c r="AI216">
        <f t="shared" si="299"/>
        <v>1.213479066925252</v>
      </c>
      <c r="AJ216">
        <f t="shared" si="300"/>
        <v>-11037.336359225754</v>
      </c>
      <c r="AK216">
        <f t="shared" si="301"/>
        <v>-8186.5691685795136</v>
      </c>
      <c r="AL216">
        <f t="shared" si="302"/>
        <v>75167.47496846068</v>
      </c>
      <c r="AM216" s="1">
        <f t="shared" si="303"/>
        <v>4881.8690391156206</v>
      </c>
      <c r="AN216" s="1">
        <f t="shared" si="280"/>
        <v>-87841.348041163277</v>
      </c>
      <c r="AO216">
        <f t="shared" si="281"/>
        <v>-0.75585493056489317</v>
      </c>
      <c r="AP216">
        <f t="shared" si="282"/>
        <v>3.3221804296735287</v>
      </c>
    </row>
    <row r="217" spans="1:42" x14ac:dyDescent="0.25">
      <c r="A217" s="4">
        <v>45782</v>
      </c>
      <c r="B217">
        <f t="shared" ref="B217:N217" si="321">(B767-B766)*100</f>
        <v>0</v>
      </c>
      <c r="C217">
        <f t="shared" si="321"/>
        <v>0</v>
      </c>
      <c r="D217">
        <f t="shared" si="321"/>
        <v>0</v>
      </c>
      <c r="E217">
        <f t="shared" si="321"/>
        <v>0.99999999999997868</v>
      </c>
      <c r="F217">
        <f t="shared" si="321"/>
        <v>-0.99999999999997868</v>
      </c>
      <c r="G217">
        <f t="shared" si="321"/>
        <v>-1.9999999999999574</v>
      </c>
      <c r="H217">
        <f t="shared" si="321"/>
        <v>0</v>
      </c>
      <c r="I217">
        <f t="shared" si="321"/>
        <v>4.0000000000000036</v>
      </c>
      <c r="J217">
        <f t="shared" si="321"/>
        <v>-3.0000000000000249</v>
      </c>
      <c r="K217">
        <f t="shared" si="321"/>
        <v>-2.9999999999999361</v>
      </c>
      <c r="L217">
        <f t="shared" si="321"/>
        <v>-3.0000000000000249</v>
      </c>
      <c r="M217">
        <f t="shared" si="321"/>
        <v>-3.0000000000000249</v>
      </c>
      <c r="N217">
        <f t="shared" si="321"/>
        <v>-4.0000000000000036</v>
      </c>
      <c r="O217" s="5">
        <f t="shared" si="319"/>
        <v>2.231906548778952E-3</v>
      </c>
      <c r="P217" s="5">
        <f t="shared" si="319"/>
        <v>1.2681202203099961E-2</v>
      </c>
      <c r="Q217" s="5">
        <f t="shared" si="319"/>
        <v>-1.5522661964830708E-2</v>
      </c>
      <c r="R217" s="5">
        <f t="shared" si="319"/>
        <v>4.1022893575731727E-3</v>
      </c>
      <c r="S217" s="5">
        <f t="shared" si="319"/>
        <v>3.6110959355976913E-3</v>
      </c>
      <c r="U217" s="4">
        <v>45782</v>
      </c>
      <c r="V217">
        <f t="shared" si="286"/>
        <v>0</v>
      </c>
      <c r="W217">
        <f t="shared" si="287"/>
        <v>0</v>
      </c>
      <c r="X217">
        <f t="shared" si="288"/>
        <v>0</v>
      </c>
      <c r="Y217">
        <f t="shared" si="289"/>
        <v>-3444.9999999999268</v>
      </c>
      <c r="Z217">
        <f t="shared" si="290"/>
        <v>-5434.9999999998845</v>
      </c>
      <c r="AA217">
        <f t="shared" si="291"/>
        <v>3999.9999999999145</v>
      </c>
      <c r="AB217">
        <f t="shared" si="292"/>
        <v>0</v>
      </c>
      <c r="AC217">
        <f t="shared" si="293"/>
        <v>-8892.0000000000073</v>
      </c>
      <c r="AD217">
        <f t="shared" si="294"/>
        <v>301632.0000000025</v>
      </c>
      <c r="AE217">
        <f t="shared" si="295"/>
        <v>-2.9999999999999361</v>
      </c>
      <c r="AF217">
        <f t="shared" si="296"/>
        <v>-150969.00000000125</v>
      </c>
      <c r="AG217">
        <f t="shared" si="297"/>
        <v>-75969.000000000626</v>
      </c>
      <c r="AH217">
        <f t="shared" si="298"/>
        <v>-4.0000000000000036</v>
      </c>
      <c r="AI217">
        <f t="shared" si="299"/>
        <v>0.22319065487789522</v>
      </c>
      <c r="AJ217">
        <f t="shared" si="300"/>
        <v>-126812.02203099961</v>
      </c>
      <c r="AK217">
        <f t="shared" si="301"/>
        <v>-155226.6196483071</v>
      </c>
      <c r="AL217">
        <f t="shared" si="302"/>
        <v>-102557.23393932932</v>
      </c>
      <c r="AM217" s="1">
        <f t="shared" si="303"/>
        <v>-36110.959355976913</v>
      </c>
      <c r="AN217" s="1">
        <f t="shared" si="280"/>
        <v>-359791.61178395728</v>
      </c>
      <c r="AO217">
        <f t="shared" si="281"/>
        <v>-1.5830957578208951</v>
      </c>
      <c r="AP217">
        <f t="shared" si="282"/>
        <v>3.318804481013709</v>
      </c>
    </row>
    <row r="218" spans="1:42" x14ac:dyDescent="0.25">
      <c r="A218" s="4">
        <v>45779</v>
      </c>
      <c r="B218">
        <f t="shared" ref="B218:N218" si="322">(B768-B767)*100</f>
        <v>0</v>
      </c>
      <c r="C218">
        <f t="shared" si="322"/>
        <v>0</v>
      </c>
      <c r="D218">
        <f t="shared" si="322"/>
        <v>-2.0000000000000462</v>
      </c>
      <c r="E218">
        <f t="shared" si="322"/>
        <v>-3.0000000000000249</v>
      </c>
      <c r="F218">
        <f t="shared" si="322"/>
        <v>-4.0000000000000036</v>
      </c>
      <c r="G218">
        <f t="shared" si="322"/>
        <v>-8.0000000000000071</v>
      </c>
      <c r="H218">
        <f t="shared" si="322"/>
        <v>-12.999999999999989</v>
      </c>
      <c r="I218">
        <f t="shared" si="322"/>
        <v>-12.999999999999989</v>
      </c>
      <c r="J218">
        <f t="shared" si="322"/>
        <v>-10.999999999999988</v>
      </c>
      <c r="K218">
        <f t="shared" si="322"/>
        <v>-9.0000000000000746</v>
      </c>
      <c r="L218">
        <f t="shared" si="322"/>
        <v>-8.0000000000000071</v>
      </c>
      <c r="M218">
        <f t="shared" si="322"/>
        <v>-5.9999999999999609</v>
      </c>
      <c r="N218">
        <f t="shared" si="322"/>
        <v>-4.9999999999999822</v>
      </c>
      <c r="O218" s="5">
        <f t="shared" si="319"/>
        <v>-3.7877492275047112E-3</v>
      </c>
      <c r="P218" s="5">
        <f t="shared" si="319"/>
        <v>9.7007740506260993E-3</v>
      </c>
      <c r="Q218" s="5">
        <f t="shared" si="319"/>
        <v>1.0783391973683578E-2</v>
      </c>
      <c r="R218" s="5">
        <f t="shared" si="319"/>
        <v>-3.2831766837885185E-3</v>
      </c>
      <c r="S218" s="5">
        <f t="shared" si="319"/>
        <v>-7.7017047015576949E-4</v>
      </c>
      <c r="U218" s="4">
        <v>45779</v>
      </c>
      <c r="V218">
        <f t="shared" si="286"/>
        <v>0</v>
      </c>
      <c r="W218">
        <f t="shared" si="287"/>
        <v>0</v>
      </c>
      <c r="X218">
        <f t="shared" si="288"/>
        <v>-9180.0000000002128</v>
      </c>
      <c r="Y218">
        <f t="shared" si="289"/>
        <v>10335.000000000085</v>
      </c>
      <c r="Z218">
        <f t="shared" si="290"/>
        <v>-21740.000000000018</v>
      </c>
      <c r="AA218">
        <f t="shared" si="291"/>
        <v>16000.000000000015</v>
      </c>
      <c r="AB218">
        <f t="shared" si="292"/>
        <v>-59331.999999999949</v>
      </c>
      <c r="AC218">
        <f t="shared" si="293"/>
        <v>28898.999999999975</v>
      </c>
      <c r="AD218">
        <f t="shared" si="294"/>
        <v>1105983.9999999988</v>
      </c>
      <c r="AE218">
        <f t="shared" si="295"/>
        <v>-9.0000000000000746</v>
      </c>
      <c r="AF218">
        <f t="shared" si="296"/>
        <v>-402584.00000000035</v>
      </c>
      <c r="AG218">
        <f t="shared" si="297"/>
        <v>-151937.99999999901</v>
      </c>
      <c r="AH218">
        <f t="shared" si="298"/>
        <v>-4.9999999999999822</v>
      </c>
      <c r="AI218">
        <f t="shared" si="299"/>
        <v>-0.37877492275047114</v>
      </c>
      <c r="AJ218">
        <f t="shared" si="300"/>
        <v>-97007.740506260991</v>
      </c>
      <c r="AK218">
        <f t="shared" si="301"/>
        <v>107833.91973683579</v>
      </c>
      <c r="AL218">
        <f t="shared" si="302"/>
        <v>82079.417094712961</v>
      </c>
      <c r="AM218" s="1">
        <f t="shared" si="303"/>
        <v>7701.7047015576945</v>
      </c>
      <c r="AN218" s="1">
        <f t="shared" si="280"/>
        <v>617036.92225192208</v>
      </c>
      <c r="AO218">
        <f t="shared" si="281"/>
        <v>0.97425912840851825</v>
      </c>
      <c r="AP218">
        <f t="shared" si="282"/>
        <v>3.3448247745833046</v>
      </c>
    </row>
    <row r="219" spans="1:42" x14ac:dyDescent="0.25">
      <c r="A219" s="4">
        <v>45778</v>
      </c>
      <c r="B219">
        <f t="shared" ref="B219:N219" si="323">(B769-B768)*100</f>
        <v>-3.0000000000000249</v>
      </c>
      <c r="C219">
        <f t="shared" si="323"/>
        <v>2.0000000000000462</v>
      </c>
      <c r="D219">
        <f t="shared" si="323"/>
        <v>0</v>
      </c>
      <c r="E219">
        <f t="shared" si="323"/>
        <v>-0.99999999999997868</v>
      </c>
      <c r="F219">
        <f t="shared" si="323"/>
        <v>-2.9999999999999361</v>
      </c>
      <c r="G219">
        <f t="shared" si="323"/>
        <v>-6.999999999999984</v>
      </c>
      <c r="H219">
        <f t="shared" si="323"/>
        <v>-10.000000000000009</v>
      </c>
      <c r="I219">
        <f t="shared" si="323"/>
        <v>-10.999999999999988</v>
      </c>
      <c r="J219">
        <f t="shared" si="323"/>
        <v>-8.9999999999999858</v>
      </c>
      <c r="K219">
        <f t="shared" si="323"/>
        <v>-8.9999999999999414</v>
      </c>
      <c r="L219">
        <f t="shared" si="323"/>
        <v>-8.0000000000000071</v>
      </c>
      <c r="M219">
        <f t="shared" si="323"/>
        <v>-7.0000000000000284</v>
      </c>
      <c r="N219">
        <f t="shared" si="323"/>
        <v>-8.0000000000000071</v>
      </c>
      <c r="O219" s="5">
        <f t="shared" si="319"/>
        <v>0</v>
      </c>
      <c r="P219" s="5">
        <f t="shared" si="319"/>
        <v>0</v>
      </c>
      <c r="Q219" s="5">
        <f t="shared" si="319"/>
        <v>0</v>
      </c>
      <c r="R219" s="5">
        <f t="shared" si="319"/>
        <v>0</v>
      </c>
      <c r="S219" s="5">
        <f t="shared" si="319"/>
        <v>0</v>
      </c>
      <c r="U219" s="4">
        <v>45778</v>
      </c>
      <c r="V219">
        <f t="shared" si="286"/>
        <v>12000.0000000001</v>
      </c>
      <c r="W219">
        <f t="shared" si="287"/>
        <v>-4446.0000000001028</v>
      </c>
      <c r="X219">
        <f t="shared" si="288"/>
        <v>0</v>
      </c>
      <c r="Y219">
        <f t="shared" si="289"/>
        <v>3444.9999999999268</v>
      </c>
      <c r="Z219">
        <f t="shared" si="290"/>
        <v>-16304.999999999653</v>
      </c>
      <c r="AA219">
        <f t="shared" si="291"/>
        <v>13999.999999999967</v>
      </c>
      <c r="AB219">
        <f t="shared" si="292"/>
        <v>-45640.000000000044</v>
      </c>
      <c r="AC219">
        <f t="shared" si="293"/>
        <v>24452.999999999971</v>
      </c>
      <c r="AD219">
        <f t="shared" si="294"/>
        <v>904895.9999999986</v>
      </c>
      <c r="AE219">
        <f t="shared" si="295"/>
        <v>-8.9999999999999414</v>
      </c>
      <c r="AF219">
        <f t="shared" si="296"/>
        <v>-402584.00000000035</v>
      </c>
      <c r="AG219">
        <f t="shared" si="297"/>
        <v>-177261.00000000073</v>
      </c>
      <c r="AH219">
        <f t="shared" si="298"/>
        <v>-8.0000000000000071</v>
      </c>
      <c r="AI219">
        <f t="shared" si="299"/>
        <v>0</v>
      </c>
      <c r="AJ219">
        <f t="shared" si="300"/>
        <v>0</v>
      </c>
      <c r="AK219">
        <f t="shared" si="301"/>
        <v>0</v>
      </c>
      <c r="AL219">
        <f t="shared" si="302"/>
        <v>0</v>
      </c>
      <c r="AM219" s="1">
        <f t="shared" si="303"/>
        <v>0</v>
      </c>
      <c r="AN219" s="1">
        <f t="shared" si="280"/>
        <v>312540.99999999767</v>
      </c>
      <c r="AO219">
        <f t="shared" si="281"/>
        <v>-1.8269272177156872</v>
      </c>
      <c r="AP219">
        <f t="shared" si="282"/>
        <v>3.2577819216439425</v>
      </c>
    </row>
    <row r="220" spans="1:42" x14ac:dyDescent="0.25">
      <c r="A220" s="4">
        <v>45777</v>
      </c>
      <c r="B220">
        <f t="shared" ref="B220:N220" si="324">(B770-B769)*100</f>
        <v>0</v>
      </c>
      <c r="C220">
        <f t="shared" si="324"/>
        <v>0</v>
      </c>
      <c r="D220">
        <f t="shared" si="324"/>
        <v>0</v>
      </c>
      <c r="E220">
        <f t="shared" si="324"/>
        <v>-7.0000000000000284</v>
      </c>
      <c r="F220">
        <f t="shared" si="324"/>
        <v>0.99999999999997868</v>
      </c>
      <c r="G220">
        <f t="shared" si="324"/>
        <v>4.0000000000000036</v>
      </c>
      <c r="H220">
        <f t="shared" si="324"/>
        <v>4.9999999999999822</v>
      </c>
      <c r="I220">
        <f t="shared" si="324"/>
        <v>6.999999999999984</v>
      </c>
      <c r="J220">
        <f t="shared" si="324"/>
        <v>4.9999999999999822</v>
      </c>
      <c r="K220">
        <f t="shared" si="324"/>
        <v>2.9999999999999805</v>
      </c>
      <c r="L220">
        <f t="shared" si="324"/>
        <v>2.0000000000000462</v>
      </c>
      <c r="M220">
        <f t="shared" si="324"/>
        <v>-1.9999999999999574</v>
      </c>
      <c r="N220">
        <f t="shared" si="324"/>
        <v>-2.0000000000000462</v>
      </c>
      <c r="O220" s="5">
        <f t="shared" si="319"/>
        <v>2.4940535971583926E-3</v>
      </c>
      <c r="P220" s="5">
        <f t="shared" si="319"/>
        <v>5.2419604633811194E-3</v>
      </c>
      <c r="Q220" s="5">
        <f t="shared" si="319"/>
        <v>8.3698496009729922E-3</v>
      </c>
      <c r="R220" s="5">
        <f t="shared" si="319"/>
        <v>-1.3648152794140727E-3</v>
      </c>
      <c r="S220" s="5">
        <f t="shared" si="319"/>
        <v>1.9444188309468062E-3</v>
      </c>
      <c r="U220" s="4">
        <v>45777</v>
      </c>
      <c r="V220">
        <f t="shared" si="286"/>
        <v>0</v>
      </c>
      <c r="W220">
        <f t="shared" si="287"/>
        <v>0</v>
      </c>
      <c r="X220">
        <f t="shared" si="288"/>
        <v>0</v>
      </c>
      <c r="Y220">
        <f t="shared" si="289"/>
        <v>24115.000000000098</v>
      </c>
      <c r="Z220">
        <f t="shared" si="290"/>
        <v>5434.9999999998845</v>
      </c>
      <c r="AA220">
        <f t="shared" si="291"/>
        <v>-8000.0000000000073</v>
      </c>
      <c r="AB220">
        <f t="shared" si="292"/>
        <v>22819.99999999992</v>
      </c>
      <c r="AC220">
        <f t="shared" si="293"/>
        <v>-15560.999999999964</v>
      </c>
      <c r="AD220">
        <f t="shared" si="294"/>
        <v>-502719.9999999982</v>
      </c>
      <c r="AE220">
        <f t="shared" si="295"/>
        <v>2.9999999999999805</v>
      </c>
      <c r="AF220">
        <f t="shared" si="296"/>
        <v>100646.00000000233</v>
      </c>
      <c r="AG220">
        <f t="shared" si="297"/>
        <v>-50645.999999998923</v>
      </c>
      <c r="AH220">
        <f t="shared" si="298"/>
        <v>-2.0000000000000462</v>
      </c>
      <c r="AI220">
        <f t="shared" si="299"/>
        <v>0.24940535971583927</v>
      </c>
      <c r="AJ220">
        <f t="shared" si="300"/>
        <v>-52419.604633811192</v>
      </c>
      <c r="AK220">
        <f t="shared" si="301"/>
        <v>83698.496009729919</v>
      </c>
      <c r="AL220">
        <f t="shared" si="302"/>
        <v>34120.381985351822</v>
      </c>
      <c r="AM220" s="1">
        <f t="shared" si="303"/>
        <v>-19444.188309468063</v>
      </c>
      <c r="AN220" s="1">
        <f t="shared" si="280"/>
        <v>-377954.66554283263</v>
      </c>
      <c r="AO220">
        <f t="shared" si="281"/>
        <v>-12.384723953795632</v>
      </c>
      <c r="AP220">
        <f t="shared" si="282"/>
        <v>3.2623581168185947</v>
      </c>
    </row>
    <row r="221" spans="1:42" x14ac:dyDescent="0.25">
      <c r="A221" s="4">
        <v>45776</v>
      </c>
      <c r="B221">
        <f t="shared" ref="B221:N221" si="325">(B771-B770)*100</f>
        <v>0</v>
      </c>
      <c r="C221">
        <f t="shared" si="325"/>
        <v>0.99999999999997868</v>
      </c>
      <c r="D221">
        <f t="shared" si="325"/>
        <v>1.0000000000000675</v>
      </c>
      <c r="E221">
        <f t="shared" si="325"/>
        <v>2.0000000000000462</v>
      </c>
      <c r="F221">
        <f t="shared" si="325"/>
        <v>1.9999999999999574</v>
      </c>
      <c r="G221">
        <f t="shared" si="325"/>
        <v>2.9999999999999805</v>
      </c>
      <c r="H221">
        <f t="shared" si="325"/>
        <v>2.0000000000000018</v>
      </c>
      <c r="I221">
        <f t="shared" si="325"/>
        <v>2.0000000000000018</v>
      </c>
      <c r="J221">
        <f t="shared" si="325"/>
        <v>4.0000000000000036</v>
      </c>
      <c r="K221">
        <f t="shared" si="325"/>
        <v>4.9999999999999822</v>
      </c>
      <c r="L221">
        <f t="shared" si="325"/>
        <v>4.0000000000000036</v>
      </c>
      <c r="M221">
        <f t="shared" si="325"/>
        <v>4.9999999999999822</v>
      </c>
      <c r="N221">
        <f t="shared" si="325"/>
        <v>5.0000000000000711</v>
      </c>
      <c r="O221" s="5">
        <f t="shared" si="319"/>
        <v>-3.7828614519040322E-3</v>
      </c>
      <c r="P221" s="5">
        <f t="shared" si="319"/>
        <v>-7.8775712065659188E-3</v>
      </c>
      <c r="Q221" s="5">
        <f t="shared" si="319"/>
        <v>8.5366119105187411E-4</v>
      </c>
      <c r="R221" s="5">
        <f t="shared" si="319"/>
        <v>-5.4540497670524846E-4</v>
      </c>
      <c r="S221" s="5">
        <f t="shared" si="319"/>
        <v>-1.4813339183582049E-4</v>
      </c>
      <c r="U221" s="4">
        <v>45776</v>
      </c>
      <c r="V221">
        <f t="shared" si="286"/>
        <v>0</v>
      </c>
      <c r="W221">
        <f t="shared" si="287"/>
        <v>-2222.9999999999527</v>
      </c>
      <c r="X221">
        <f t="shared" si="288"/>
        <v>4590.0000000003101</v>
      </c>
      <c r="Y221">
        <f t="shared" si="289"/>
        <v>-6890.0000000001592</v>
      </c>
      <c r="Z221">
        <f t="shared" si="290"/>
        <v>10869.999999999769</v>
      </c>
      <c r="AA221">
        <f t="shared" si="291"/>
        <v>-5999.9999999999609</v>
      </c>
      <c r="AB221">
        <f t="shared" si="292"/>
        <v>9128.0000000000073</v>
      </c>
      <c r="AC221">
        <f t="shared" si="293"/>
        <v>-4446.0000000000036</v>
      </c>
      <c r="AD221">
        <f t="shared" si="294"/>
        <v>-402176.00000000035</v>
      </c>
      <c r="AE221">
        <f t="shared" si="295"/>
        <v>4.9999999999999822</v>
      </c>
      <c r="AF221">
        <f t="shared" si="296"/>
        <v>201292.00000000017</v>
      </c>
      <c r="AG221">
        <f t="shared" si="297"/>
        <v>126614.99999999955</v>
      </c>
      <c r="AH221">
        <f t="shared" si="298"/>
        <v>5.0000000000000711</v>
      </c>
      <c r="AI221">
        <f t="shared" si="299"/>
        <v>-0.37828614519040321</v>
      </c>
      <c r="AJ221">
        <f t="shared" si="300"/>
        <v>78775.712065659187</v>
      </c>
      <c r="AK221">
        <f t="shared" si="301"/>
        <v>8536.6119105187408</v>
      </c>
      <c r="AL221">
        <f t="shared" si="302"/>
        <v>13635.124417631212</v>
      </c>
      <c r="AM221" s="1">
        <f t="shared" si="303"/>
        <v>1481.333918358205</v>
      </c>
      <c r="AN221" s="1">
        <f t="shared" si="280"/>
        <v>33198.404026021526</v>
      </c>
      <c r="AO221">
        <f t="shared" si="281"/>
        <v>-1.1038856450254486</v>
      </c>
      <c r="AP221">
        <f t="shared" si="282"/>
        <v>2.3970871905842932</v>
      </c>
    </row>
    <row r="222" spans="1:42" x14ac:dyDescent="0.25">
      <c r="A222" s="4">
        <v>45775</v>
      </c>
      <c r="B222">
        <f t="shared" ref="B222:N222" si="326">(B772-B771)*100</f>
        <v>-0.99999999999997868</v>
      </c>
      <c r="C222">
        <f t="shared" si="326"/>
        <v>-0.99999999999997868</v>
      </c>
      <c r="D222">
        <f t="shared" si="326"/>
        <v>0</v>
      </c>
      <c r="E222">
        <f t="shared" si="326"/>
        <v>0</v>
      </c>
      <c r="F222">
        <f t="shared" si="326"/>
        <v>0</v>
      </c>
      <c r="G222">
        <f t="shared" si="326"/>
        <v>3.0000000000000249</v>
      </c>
      <c r="H222">
        <f t="shared" si="326"/>
        <v>7.0000000000000284</v>
      </c>
      <c r="I222">
        <f t="shared" si="326"/>
        <v>8.9999999999999858</v>
      </c>
      <c r="J222">
        <f t="shared" si="326"/>
        <v>6.999999999999984</v>
      </c>
      <c r="K222">
        <f t="shared" si="326"/>
        <v>4.9999999999999822</v>
      </c>
      <c r="L222">
        <f t="shared" si="326"/>
        <v>5.9999999999999609</v>
      </c>
      <c r="M222">
        <f t="shared" si="326"/>
        <v>4.0000000000000036</v>
      </c>
      <c r="N222">
        <f t="shared" si="326"/>
        <v>4.9999999999999822</v>
      </c>
      <c r="O222" s="5">
        <f t="shared" si="319"/>
        <v>-2.9069531838633233E-3</v>
      </c>
      <c r="P222" s="5">
        <f t="shared" si="319"/>
        <v>-2.1339403288990602E-4</v>
      </c>
      <c r="Q222" s="5">
        <f t="shared" si="319"/>
        <v>-1.1416074430748025E-3</v>
      </c>
      <c r="R222" s="5">
        <f t="shared" si="319"/>
        <v>-2.7259097892657036E-4</v>
      </c>
      <c r="S222" s="5">
        <f t="shared" si="319"/>
        <v>2.8695158140139808E-3</v>
      </c>
      <c r="U222" s="4">
        <v>45775</v>
      </c>
      <c r="V222">
        <f t="shared" si="286"/>
        <v>3999.9999999999145</v>
      </c>
      <c r="W222">
        <f t="shared" si="287"/>
        <v>2222.9999999999527</v>
      </c>
      <c r="X222">
        <f t="shared" si="288"/>
        <v>0</v>
      </c>
      <c r="Y222">
        <f t="shared" si="289"/>
        <v>0</v>
      </c>
      <c r="Z222">
        <f t="shared" si="290"/>
        <v>0</v>
      </c>
      <c r="AA222">
        <f t="shared" si="291"/>
        <v>-6000.00000000005</v>
      </c>
      <c r="AB222">
        <f t="shared" si="292"/>
        <v>31948.000000000131</v>
      </c>
      <c r="AC222">
        <f t="shared" si="293"/>
        <v>-20006.999999999967</v>
      </c>
      <c r="AD222">
        <f t="shared" si="294"/>
        <v>-703807.99999999837</v>
      </c>
      <c r="AE222">
        <f t="shared" si="295"/>
        <v>4.9999999999999822</v>
      </c>
      <c r="AF222">
        <f t="shared" si="296"/>
        <v>301937.99999999802</v>
      </c>
      <c r="AG222">
        <f t="shared" si="297"/>
        <v>101292.00000000009</v>
      </c>
      <c r="AH222">
        <f t="shared" si="298"/>
        <v>4.9999999999999822</v>
      </c>
      <c r="AI222">
        <f t="shared" si="299"/>
        <v>-0.29069531838633234</v>
      </c>
      <c r="AJ222">
        <f t="shared" si="300"/>
        <v>2133.9403288990602</v>
      </c>
      <c r="AK222">
        <f t="shared" si="301"/>
        <v>-11416.074430748025</v>
      </c>
      <c r="AL222">
        <f t="shared" si="302"/>
        <v>6814.7744731642588</v>
      </c>
      <c r="AM222" s="1">
        <f t="shared" si="303"/>
        <v>-28695.158140139807</v>
      </c>
      <c r="AN222" s="1">
        <f t="shared" si="280"/>
        <v>-319566.80846414313</v>
      </c>
      <c r="AO222">
        <f t="shared" si="281"/>
        <v>-4.2267350264987336</v>
      </c>
      <c r="AP222">
        <f t="shared" si="282"/>
        <v>2.4305318663307314</v>
      </c>
    </row>
    <row r="223" spans="1:42" x14ac:dyDescent="0.25">
      <c r="A223" s="4">
        <v>45772</v>
      </c>
      <c r="B223">
        <f t="shared" ref="B223:N223" si="327">(B773-B772)*100</f>
        <v>0</v>
      </c>
      <c r="C223">
        <f t="shared" si="327"/>
        <v>0.99999999999997868</v>
      </c>
      <c r="D223">
        <f t="shared" si="327"/>
        <v>0</v>
      </c>
      <c r="E223">
        <f t="shared" si="327"/>
        <v>0</v>
      </c>
      <c r="F223">
        <f t="shared" si="327"/>
        <v>0</v>
      </c>
      <c r="G223">
        <f t="shared" si="327"/>
        <v>2.0000000000000018</v>
      </c>
      <c r="H223">
        <f t="shared" si="327"/>
        <v>2.9999999999999805</v>
      </c>
      <c r="I223">
        <f t="shared" si="327"/>
        <v>4.0000000000000036</v>
      </c>
      <c r="J223">
        <f t="shared" si="327"/>
        <v>3.0000000000000249</v>
      </c>
      <c r="K223">
        <f t="shared" si="327"/>
        <v>5.0000000000000711</v>
      </c>
      <c r="L223">
        <f t="shared" si="327"/>
        <v>3.0000000000000249</v>
      </c>
      <c r="M223">
        <f t="shared" si="327"/>
        <v>4.0000000000000036</v>
      </c>
      <c r="N223">
        <f t="shared" si="327"/>
        <v>2.9999999999999361</v>
      </c>
      <c r="O223" s="5">
        <f t="shared" si="319"/>
        <v>1.9017773257287917E-3</v>
      </c>
      <c r="P223" s="5">
        <f t="shared" si="319"/>
        <v>-1.084660480696059E-2</v>
      </c>
      <c r="Q223" s="5">
        <f t="shared" si="319"/>
        <v>-2.2390088747627725E-4</v>
      </c>
      <c r="R223" s="5">
        <f t="shared" si="319"/>
        <v>-5.4495914155221659E-4</v>
      </c>
      <c r="S223" s="5">
        <f t="shared" si="319"/>
        <v>-2.997199404037094E-3</v>
      </c>
      <c r="U223" s="4">
        <v>45772</v>
      </c>
      <c r="V223">
        <f t="shared" si="286"/>
        <v>0</v>
      </c>
      <c r="W223">
        <f t="shared" si="287"/>
        <v>-2222.9999999999527</v>
      </c>
      <c r="X223">
        <f t="shared" si="288"/>
        <v>0</v>
      </c>
      <c r="Y223">
        <f t="shared" si="289"/>
        <v>0</v>
      </c>
      <c r="Z223">
        <f t="shared" si="290"/>
        <v>0</v>
      </c>
      <c r="AA223">
        <f t="shared" si="291"/>
        <v>-4000.0000000000036</v>
      </c>
      <c r="AB223">
        <f t="shared" si="292"/>
        <v>13691.999999999911</v>
      </c>
      <c r="AC223">
        <f t="shared" si="293"/>
        <v>-8892.0000000000073</v>
      </c>
      <c r="AD223">
        <f t="shared" si="294"/>
        <v>-301632.0000000025</v>
      </c>
      <c r="AE223">
        <f t="shared" si="295"/>
        <v>5.0000000000000711</v>
      </c>
      <c r="AF223">
        <f t="shared" si="296"/>
        <v>150969.00000000125</v>
      </c>
      <c r="AG223">
        <f t="shared" si="297"/>
        <v>101292.00000000009</v>
      </c>
      <c r="AH223">
        <f t="shared" si="298"/>
        <v>2.9999999999999361</v>
      </c>
      <c r="AI223">
        <f t="shared" si="299"/>
        <v>0.19017773257287918</v>
      </c>
      <c r="AJ223">
        <f t="shared" si="300"/>
        <v>108466.04806960589</v>
      </c>
      <c r="AK223">
        <f t="shared" si="301"/>
        <v>-2239.0088747627724</v>
      </c>
      <c r="AL223">
        <f t="shared" si="302"/>
        <v>13623.978538805415</v>
      </c>
      <c r="AM223" s="1">
        <f t="shared" si="303"/>
        <v>29971.994040370941</v>
      </c>
      <c r="AN223" s="1">
        <f t="shared" si="280"/>
        <v>99037.201951750816</v>
      </c>
      <c r="AO223">
        <f t="shared" si="281"/>
        <v>-1.5128016278448566</v>
      </c>
      <c r="AP223">
        <f t="shared" si="282"/>
        <v>2.4181808950768162</v>
      </c>
    </row>
    <row r="224" spans="1:42" x14ac:dyDescent="0.25">
      <c r="A224" s="4">
        <v>45771</v>
      </c>
      <c r="B224">
        <f t="shared" ref="B224:N224" si="328">(B774-B773)*100</f>
        <v>-0.99999999999997868</v>
      </c>
      <c r="C224">
        <f t="shared" si="328"/>
        <v>-3.0000000000000249</v>
      </c>
      <c r="D224">
        <f t="shared" si="328"/>
        <v>0.99999999999997868</v>
      </c>
      <c r="E224">
        <f t="shared" si="328"/>
        <v>0.99999999999997868</v>
      </c>
      <c r="F224">
        <f t="shared" si="328"/>
        <v>0</v>
      </c>
      <c r="G224">
        <f t="shared" si="328"/>
        <v>3.9999999999999591</v>
      </c>
      <c r="H224">
        <f t="shared" si="328"/>
        <v>4.0000000000000036</v>
      </c>
      <c r="I224">
        <f t="shared" si="328"/>
        <v>7.0000000000000284</v>
      </c>
      <c r="J224">
        <f t="shared" si="328"/>
        <v>8.9999999999999858</v>
      </c>
      <c r="K224">
        <f t="shared" si="328"/>
        <v>8.9999999999999858</v>
      </c>
      <c r="L224">
        <f t="shared" si="328"/>
        <v>8.0000000000000071</v>
      </c>
      <c r="M224">
        <f t="shared" si="328"/>
        <v>7.0000000000000284</v>
      </c>
      <c r="N224">
        <f t="shared" si="328"/>
        <v>6.0000000000000497</v>
      </c>
      <c r="O224" s="5">
        <f t="shared" si="319"/>
        <v>-2.4997372450584129E-3</v>
      </c>
      <c r="P224" s="5">
        <f t="shared" si="319"/>
        <v>-9.511377320614807E-3</v>
      </c>
      <c r="Q224" s="5">
        <f t="shared" si="319"/>
        <v>-1.2732818230807371E-2</v>
      </c>
      <c r="R224" s="5">
        <f t="shared" si="319"/>
        <v>-4.8913140998413894E-3</v>
      </c>
      <c r="S224" s="5">
        <f t="shared" si="319"/>
        <v>-3.5329150638439494E-3</v>
      </c>
      <c r="U224" s="4">
        <v>45771</v>
      </c>
      <c r="V224">
        <f t="shared" si="286"/>
        <v>3999.9999999999145</v>
      </c>
      <c r="W224">
        <f t="shared" si="287"/>
        <v>6669.0000000000555</v>
      </c>
      <c r="X224">
        <f t="shared" si="288"/>
        <v>4589.9999999999018</v>
      </c>
      <c r="Y224">
        <f t="shared" si="289"/>
        <v>-3444.9999999999268</v>
      </c>
      <c r="Z224">
        <f t="shared" si="290"/>
        <v>0</v>
      </c>
      <c r="AA224">
        <f t="shared" si="291"/>
        <v>-7999.9999999999181</v>
      </c>
      <c r="AB224">
        <f t="shared" si="292"/>
        <v>18256.000000000015</v>
      </c>
      <c r="AC224">
        <f t="shared" si="293"/>
        <v>-15561.000000000064</v>
      </c>
      <c r="AD224">
        <f t="shared" si="294"/>
        <v>-904895.9999999986</v>
      </c>
      <c r="AE224">
        <f t="shared" si="295"/>
        <v>8.9999999999999858</v>
      </c>
      <c r="AF224">
        <f t="shared" si="296"/>
        <v>402584.00000000035</v>
      </c>
      <c r="AG224">
        <f t="shared" si="297"/>
        <v>177261.00000000073</v>
      </c>
      <c r="AH224">
        <f t="shared" si="298"/>
        <v>6.0000000000000497</v>
      </c>
      <c r="AI224">
        <f t="shared" si="299"/>
        <v>-0.24997372450584129</v>
      </c>
      <c r="AJ224">
        <f t="shared" si="300"/>
        <v>95113.773206148064</v>
      </c>
      <c r="AK224">
        <f t="shared" si="301"/>
        <v>-127328.18230807371</v>
      </c>
      <c r="AL224">
        <f t="shared" si="302"/>
        <v>122282.85249603474</v>
      </c>
      <c r="AM224" s="1">
        <f t="shared" si="303"/>
        <v>35329.150638439496</v>
      </c>
      <c r="AN224" s="1">
        <f t="shared" si="280"/>
        <v>-193129.65594117346</v>
      </c>
      <c r="AO224">
        <f t="shared" si="281"/>
        <v>-1.7753035986499919</v>
      </c>
      <c r="AP224">
        <f t="shared" si="282"/>
        <v>2.506083265654429</v>
      </c>
    </row>
    <row r="225" spans="1:42" x14ac:dyDescent="0.25">
      <c r="A225" s="4">
        <v>45770</v>
      </c>
      <c r="B225">
        <f t="shared" ref="B225:N225" si="329">(B775-B774)*100</f>
        <v>0</v>
      </c>
      <c r="C225">
        <f t="shared" si="329"/>
        <v>0.99999999999997868</v>
      </c>
      <c r="D225">
        <f t="shared" si="329"/>
        <v>0</v>
      </c>
      <c r="E225">
        <f t="shared" si="329"/>
        <v>0</v>
      </c>
      <c r="F225">
        <f t="shared" si="329"/>
        <v>-0.99999999999997868</v>
      </c>
      <c r="G225">
        <f t="shared" si="329"/>
        <v>-2.9999999999999805</v>
      </c>
      <c r="H225">
        <f t="shared" si="329"/>
        <v>-5.0000000000000266</v>
      </c>
      <c r="I225">
        <f t="shared" si="329"/>
        <v>-5.0000000000000266</v>
      </c>
      <c r="J225">
        <f t="shared" si="329"/>
        <v>-2.0000000000000018</v>
      </c>
      <c r="K225">
        <f t="shared" si="329"/>
        <v>-0.99999999999997868</v>
      </c>
      <c r="L225">
        <f t="shared" si="329"/>
        <v>0.99999999999997868</v>
      </c>
      <c r="M225">
        <f t="shared" si="329"/>
        <v>4.0000000000000036</v>
      </c>
      <c r="N225">
        <f t="shared" si="329"/>
        <v>4.9999999999999822</v>
      </c>
      <c r="O225" s="5">
        <f t="shared" ref="O225:S234" si="330">LN(O774/O775)</f>
        <v>-1.0772159774049474E-2</v>
      </c>
      <c r="P225" s="5">
        <f t="shared" si="330"/>
        <v>2.9662394157061044E-3</v>
      </c>
      <c r="Q225" s="5">
        <f t="shared" si="330"/>
        <v>-1.1615990970104396E-2</v>
      </c>
      <c r="R225" s="5">
        <f t="shared" si="330"/>
        <v>-2.1662613399562737E-3</v>
      </c>
      <c r="S225" s="5">
        <f t="shared" si="330"/>
        <v>-1.4248203732688476E-4</v>
      </c>
      <c r="U225" s="4">
        <v>45770</v>
      </c>
      <c r="V225">
        <f t="shared" si="286"/>
        <v>0</v>
      </c>
      <c r="W225">
        <f t="shared" si="287"/>
        <v>-2222.9999999999527</v>
      </c>
      <c r="X225">
        <f t="shared" si="288"/>
        <v>0</v>
      </c>
      <c r="Y225">
        <f t="shared" si="289"/>
        <v>0</v>
      </c>
      <c r="Z225">
        <f t="shared" si="290"/>
        <v>-5434.9999999998845</v>
      </c>
      <c r="AA225">
        <f t="shared" si="291"/>
        <v>5999.9999999999609</v>
      </c>
      <c r="AB225">
        <f t="shared" si="292"/>
        <v>-22820.00000000012</v>
      </c>
      <c r="AC225">
        <f t="shared" si="293"/>
        <v>11115.00000000006</v>
      </c>
      <c r="AD225">
        <f t="shared" si="294"/>
        <v>201088.00000000017</v>
      </c>
      <c r="AE225">
        <f t="shared" si="295"/>
        <v>-0.99999999999997868</v>
      </c>
      <c r="AF225">
        <f t="shared" si="296"/>
        <v>50322.99999999893</v>
      </c>
      <c r="AG225">
        <f t="shared" si="297"/>
        <v>101292.00000000009</v>
      </c>
      <c r="AH225">
        <f t="shared" si="298"/>
        <v>4.9999999999999822</v>
      </c>
      <c r="AI225">
        <f t="shared" si="299"/>
        <v>-1.0772159774049475</v>
      </c>
      <c r="AJ225">
        <f t="shared" si="300"/>
        <v>-29662.394157061044</v>
      </c>
      <c r="AK225">
        <f t="shared" si="301"/>
        <v>-116159.90970104396</v>
      </c>
      <c r="AL225">
        <f t="shared" si="302"/>
        <v>54156.533498906843</v>
      </c>
      <c r="AM225" s="1">
        <f t="shared" si="303"/>
        <v>1424.8203732688476</v>
      </c>
      <c r="AN225" s="1">
        <f t="shared" si="280"/>
        <v>249101.97279809249</v>
      </c>
      <c r="AO225">
        <f t="shared" si="281"/>
        <v>-2.6884940994102546E-2</v>
      </c>
      <c r="AP225">
        <f t="shared" si="282"/>
        <v>2.5073456039419137</v>
      </c>
    </row>
    <row r="226" spans="1:42" x14ac:dyDescent="0.25">
      <c r="A226" s="4">
        <v>45769</v>
      </c>
      <c r="B226">
        <f t="shared" ref="B226:N226" si="331">(B776-B775)*100</f>
        <v>1.9999999999999574</v>
      </c>
      <c r="C226">
        <f t="shared" si="331"/>
        <v>2.0000000000000462</v>
      </c>
      <c r="D226">
        <f t="shared" si="331"/>
        <v>0.99999999999997868</v>
      </c>
      <c r="E226">
        <f t="shared" si="331"/>
        <v>0</v>
      </c>
      <c r="F226">
        <f t="shared" si="331"/>
        <v>0</v>
      </c>
      <c r="G226">
        <f t="shared" si="331"/>
        <v>-2.9999999999999805</v>
      </c>
      <c r="H226">
        <f t="shared" si="331"/>
        <v>-0.99999999999997868</v>
      </c>
      <c r="I226">
        <f t="shared" si="331"/>
        <v>-4.9999999999999822</v>
      </c>
      <c r="J226">
        <f t="shared" si="331"/>
        <v>-0.99999999999997868</v>
      </c>
      <c r="K226">
        <f t="shared" si="331"/>
        <v>0</v>
      </c>
      <c r="L226">
        <f t="shared" si="331"/>
        <v>0.99999999999997868</v>
      </c>
      <c r="M226">
        <f t="shared" si="331"/>
        <v>4.0000000000000036</v>
      </c>
      <c r="N226">
        <f t="shared" si="331"/>
        <v>3.0000000000000249</v>
      </c>
      <c r="O226" s="5">
        <f t="shared" si="330"/>
        <v>-1.8320360047104821E-2</v>
      </c>
      <c r="P226" s="5">
        <f t="shared" si="330"/>
        <v>2.0991261352181958E-3</v>
      </c>
      <c r="Q226" s="5">
        <f t="shared" si="330"/>
        <v>-7.8452095510602015E-3</v>
      </c>
      <c r="R226" s="5">
        <f t="shared" si="330"/>
        <v>-2.7012442141003371E-3</v>
      </c>
      <c r="S226" s="5">
        <f t="shared" si="330"/>
        <v>-3.1041173498161201E-3</v>
      </c>
      <c r="U226" s="4">
        <v>45769</v>
      </c>
      <c r="V226">
        <f t="shared" si="286"/>
        <v>-7999.999999999829</v>
      </c>
      <c r="W226">
        <f t="shared" si="287"/>
        <v>-4446.0000000001028</v>
      </c>
      <c r="X226">
        <f t="shared" si="288"/>
        <v>4589.9999999999018</v>
      </c>
      <c r="Y226">
        <f t="shared" si="289"/>
        <v>0</v>
      </c>
      <c r="Z226">
        <f t="shared" si="290"/>
        <v>0</v>
      </c>
      <c r="AA226">
        <f t="shared" si="291"/>
        <v>5999.9999999999609</v>
      </c>
      <c r="AB226">
        <f t="shared" si="292"/>
        <v>-4563.9999999999027</v>
      </c>
      <c r="AC226">
        <f t="shared" si="293"/>
        <v>11114.99999999996</v>
      </c>
      <c r="AD226">
        <f t="shared" si="294"/>
        <v>100543.99999999786</v>
      </c>
      <c r="AE226">
        <f t="shared" si="295"/>
        <v>0</v>
      </c>
      <c r="AF226">
        <f t="shared" si="296"/>
        <v>50322.99999999893</v>
      </c>
      <c r="AG226">
        <f t="shared" si="297"/>
        <v>101292.00000000009</v>
      </c>
      <c r="AH226">
        <f t="shared" si="298"/>
        <v>3.0000000000000249</v>
      </c>
      <c r="AI226">
        <f t="shared" si="299"/>
        <v>-1.832036004710482</v>
      </c>
      <c r="AJ226">
        <f t="shared" si="300"/>
        <v>-20991.261352181959</v>
      </c>
      <c r="AK226">
        <f t="shared" si="301"/>
        <v>-78452.095510602012</v>
      </c>
      <c r="AL226">
        <f t="shared" si="302"/>
        <v>67531.105352508428</v>
      </c>
      <c r="AM226" s="1">
        <f t="shared" si="303"/>
        <v>31041.173498161199</v>
      </c>
      <c r="AN226" s="1">
        <f t="shared" si="280"/>
        <v>255984.08995187777</v>
      </c>
      <c r="AO226">
        <f t="shared" si="281"/>
        <v>-2.2407133003952233</v>
      </c>
      <c r="AP226">
        <f t="shared" si="282"/>
        <v>2.4842125902583501</v>
      </c>
    </row>
    <row r="227" spans="1:42" x14ac:dyDescent="0.25">
      <c r="A227" s="4">
        <v>45768</v>
      </c>
      <c r="B227">
        <f t="shared" ref="B227:N227" si="332">(B777-B776)*100</f>
        <v>1.0000000000000675</v>
      </c>
      <c r="C227">
        <f t="shared" si="332"/>
        <v>0.99999999999997868</v>
      </c>
      <c r="D227">
        <f t="shared" si="332"/>
        <v>0</v>
      </c>
      <c r="E227">
        <f t="shared" si="332"/>
        <v>1.9999999999999574</v>
      </c>
      <c r="F227">
        <f t="shared" si="332"/>
        <v>0.99999999999997868</v>
      </c>
      <c r="G227">
        <f t="shared" si="332"/>
        <v>4.0000000000000036</v>
      </c>
      <c r="H227">
        <f t="shared" si="332"/>
        <v>6.0000000000000053</v>
      </c>
      <c r="I227">
        <f t="shared" si="332"/>
        <v>4.9999999999999822</v>
      </c>
      <c r="J227">
        <f t="shared" si="332"/>
        <v>-2.0000000000000018</v>
      </c>
      <c r="K227">
        <f t="shared" si="332"/>
        <v>-6.0000000000000497</v>
      </c>
      <c r="L227">
        <f t="shared" si="332"/>
        <v>-8.0000000000000071</v>
      </c>
      <c r="M227">
        <f t="shared" si="332"/>
        <v>-12.000000000000011</v>
      </c>
      <c r="N227">
        <f t="shared" si="332"/>
        <v>-11.000000000000032</v>
      </c>
      <c r="O227" s="5">
        <f t="shared" si="330"/>
        <v>0</v>
      </c>
      <c r="P227" s="5">
        <f t="shared" si="330"/>
        <v>-4.4263322123043458E-3</v>
      </c>
      <c r="Q227" s="5">
        <f t="shared" si="330"/>
        <v>-5.3665233441677312E-4</v>
      </c>
      <c r="R227" s="5">
        <f t="shared" si="330"/>
        <v>-5.3806963285261871E-3</v>
      </c>
      <c r="S227" s="5">
        <f t="shared" si="330"/>
        <v>-1.2506369482708082E-2</v>
      </c>
      <c r="U227" s="4">
        <v>45768</v>
      </c>
      <c r="V227">
        <f t="shared" si="286"/>
        <v>-4000.0000000002701</v>
      </c>
      <c r="W227">
        <f t="shared" si="287"/>
        <v>-2222.9999999999527</v>
      </c>
      <c r="X227">
        <f t="shared" si="288"/>
        <v>0</v>
      </c>
      <c r="Y227">
        <f t="shared" si="289"/>
        <v>-6889.9999999998536</v>
      </c>
      <c r="Z227">
        <f t="shared" si="290"/>
        <v>5434.9999999998845</v>
      </c>
      <c r="AA227">
        <f t="shared" si="291"/>
        <v>-8000.0000000000073</v>
      </c>
      <c r="AB227">
        <f t="shared" si="292"/>
        <v>27384.000000000025</v>
      </c>
      <c r="AC227">
        <f t="shared" si="293"/>
        <v>-11114.99999999996</v>
      </c>
      <c r="AD227">
        <f t="shared" si="294"/>
        <v>201088.00000000017</v>
      </c>
      <c r="AE227">
        <f t="shared" si="295"/>
        <v>-6.0000000000000497</v>
      </c>
      <c r="AF227">
        <f t="shared" si="296"/>
        <v>-402584.00000000035</v>
      </c>
      <c r="AG227">
        <f t="shared" si="297"/>
        <v>-303876.00000000029</v>
      </c>
      <c r="AH227">
        <f t="shared" si="298"/>
        <v>-11.000000000000032</v>
      </c>
      <c r="AI227">
        <f t="shared" si="299"/>
        <v>0</v>
      </c>
      <c r="AJ227">
        <f t="shared" si="300"/>
        <v>44263.322123043457</v>
      </c>
      <c r="AK227">
        <f t="shared" si="301"/>
        <v>-5366.523344167731</v>
      </c>
      <c r="AL227">
        <f t="shared" si="302"/>
        <v>134517.40821315467</v>
      </c>
      <c r="AM227" s="1">
        <f t="shared" si="303"/>
        <v>125063.69482708082</v>
      </c>
      <c r="AN227" s="1">
        <f t="shared" si="280"/>
        <v>-206320.09818088938</v>
      </c>
      <c r="AO227">
        <f t="shared" si="281"/>
        <v>-10.619549523540149</v>
      </c>
      <c r="AP227">
        <f t="shared" si="282"/>
        <v>2.6082102674535217</v>
      </c>
    </row>
    <row r="228" spans="1:42" x14ac:dyDescent="0.25">
      <c r="A228" s="4">
        <v>45765</v>
      </c>
      <c r="B228">
        <f t="shared" ref="B228:N228" si="333">(B778-B777)*100</f>
        <v>-1.0000000000000675</v>
      </c>
      <c r="C228">
        <f t="shared" si="333"/>
        <v>-3.0000000000000249</v>
      </c>
      <c r="D228">
        <f t="shared" si="333"/>
        <v>-0.99999999999997868</v>
      </c>
      <c r="E228">
        <f t="shared" si="333"/>
        <v>-0.99999999999997868</v>
      </c>
      <c r="F228">
        <f t="shared" si="333"/>
        <v>-1.9999999999999574</v>
      </c>
      <c r="G228">
        <f t="shared" si="333"/>
        <v>-3.0000000000000249</v>
      </c>
      <c r="H228">
        <f t="shared" si="333"/>
        <v>-4.0000000000000036</v>
      </c>
      <c r="I228">
        <f t="shared" si="333"/>
        <v>-4.9999999999999822</v>
      </c>
      <c r="J228">
        <f t="shared" si="333"/>
        <v>-4.0000000000000036</v>
      </c>
      <c r="K228">
        <f t="shared" si="333"/>
        <v>-4.9999999999999822</v>
      </c>
      <c r="L228">
        <f t="shared" si="333"/>
        <v>-4.9999999999999822</v>
      </c>
      <c r="M228">
        <f t="shared" si="333"/>
        <v>-5.0000000000000711</v>
      </c>
      <c r="N228">
        <f t="shared" si="333"/>
        <v>-5.9999999999999609</v>
      </c>
      <c r="O228" s="5">
        <f t="shared" si="330"/>
        <v>0</v>
      </c>
      <c r="P228" s="5">
        <f t="shared" si="330"/>
        <v>0</v>
      </c>
      <c r="Q228" s="5">
        <f t="shared" si="330"/>
        <v>0</v>
      </c>
      <c r="R228" s="5">
        <f t="shared" si="330"/>
        <v>0</v>
      </c>
      <c r="S228" s="5">
        <f t="shared" si="330"/>
        <v>0</v>
      </c>
      <c r="U228" s="4">
        <v>45765</v>
      </c>
      <c r="V228">
        <f t="shared" si="286"/>
        <v>4000.0000000002701</v>
      </c>
      <c r="W228">
        <f t="shared" si="287"/>
        <v>6669.0000000000555</v>
      </c>
      <c r="X228">
        <f t="shared" si="288"/>
        <v>-4589.9999999999018</v>
      </c>
      <c r="Y228">
        <f t="shared" si="289"/>
        <v>3444.9999999999268</v>
      </c>
      <c r="Z228">
        <f t="shared" si="290"/>
        <v>-10869.999999999769</v>
      </c>
      <c r="AA228">
        <f t="shared" si="291"/>
        <v>6000.00000000005</v>
      </c>
      <c r="AB228">
        <f t="shared" si="292"/>
        <v>-18256.000000000015</v>
      </c>
      <c r="AC228">
        <f t="shared" si="293"/>
        <v>11114.99999999996</v>
      </c>
      <c r="AD228">
        <f t="shared" si="294"/>
        <v>402176.00000000035</v>
      </c>
      <c r="AE228">
        <f t="shared" si="295"/>
        <v>-4.9999999999999822</v>
      </c>
      <c r="AF228">
        <f t="shared" si="296"/>
        <v>-251614.9999999991</v>
      </c>
      <c r="AG228">
        <f t="shared" si="297"/>
        <v>-126615.0000000018</v>
      </c>
      <c r="AH228">
        <f t="shared" si="298"/>
        <v>-5.9999999999999609</v>
      </c>
      <c r="AI228">
        <f t="shared" si="299"/>
        <v>0</v>
      </c>
      <c r="AJ228">
        <f t="shared" si="300"/>
        <v>0</v>
      </c>
      <c r="AK228">
        <f t="shared" si="301"/>
        <v>0</v>
      </c>
      <c r="AL228">
        <f t="shared" si="302"/>
        <v>0</v>
      </c>
      <c r="AM228" s="1">
        <f t="shared" si="303"/>
        <v>0</v>
      </c>
      <c r="AN228" s="1">
        <f t="shared" si="280"/>
        <v>21448.000000000029</v>
      </c>
      <c r="AO228">
        <f t="shared" si="281"/>
        <v>-1.0910766189763301</v>
      </c>
      <c r="AP228">
        <f t="shared" si="282"/>
        <v>1.6682609572847469</v>
      </c>
    </row>
    <row r="229" spans="1:42" x14ac:dyDescent="0.25">
      <c r="A229" s="4">
        <v>45764</v>
      </c>
      <c r="B229">
        <f t="shared" ref="B229:N229" si="334">(B779-B778)*100</f>
        <v>0</v>
      </c>
      <c r="C229">
        <f t="shared" si="334"/>
        <v>1.0000000000000675</v>
      </c>
      <c r="D229">
        <f t="shared" si="334"/>
        <v>0</v>
      </c>
      <c r="E229">
        <f t="shared" si="334"/>
        <v>-1.9999999999999574</v>
      </c>
      <c r="F229">
        <f t="shared" si="334"/>
        <v>0.99999999999997868</v>
      </c>
      <c r="G229">
        <f t="shared" si="334"/>
        <v>3.0000000000000249</v>
      </c>
      <c r="H229">
        <f t="shared" si="334"/>
        <v>6.999999999999984</v>
      </c>
      <c r="I229">
        <f t="shared" si="334"/>
        <v>8.0000000000000071</v>
      </c>
      <c r="J229">
        <f t="shared" si="334"/>
        <v>6.999999999999984</v>
      </c>
      <c r="K229">
        <f t="shared" si="334"/>
        <v>7.0000000000000284</v>
      </c>
      <c r="L229">
        <f t="shared" si="334"/>
        <v>5.9999999999999609</v>
      </c>
      <c r="M229">
        <f t="shared" si="334"/>
        <v>5.0000000000000711</v>
      </c>
      <c r="N229">
        <f t="shared" si="334"/>
        <v>4.9999999999999822</v>
      </c>
      <c r="O229" s="5">
        <f t="shared" si="330"/>
        <v>-4.2433239938344594E-3</v>
      </c>
      <c r="P229" s="5">
        <f t="shared" si="330"/>
        <v>0</v>
      </c>
      <c r="Q229" s="5">
        <f t="shared" si="330"/>
        <v>2.1483394788173495E-3</v>
      </c>
      <c r="R229" s="5">
        <f t="shared" si="330"/>
        <v>0</v>
      </c>
      <c r="S229" s="5">
        <f t="shared" si="330"/>
        <v>0</v>
      </c>
      <c r="U229" s="4">
        <v>45764</v>
      </c>
      <c r="V229">
        <f t="shared" si="286"/>
        <v>0</v>
      </c>
      <c r="W229">
        <f t="shared" si="287"/>
        <v>-2223.0000000001501</v>
      </c>
      <c r="X229">
        <f t="shared" si="288"/>
        <v>0</v>
      </c>
      <c r="Y229">
        <f t="shared" si="289"/>
        <v>6889.9999999998536</v>
      </c>
      <c r="Z229">
        <f t="shared" si="290"/>
        <v>5434.9999999998845</v>
      </c>
      <c r="AA229">
        <f t="shared" si="291"/>
        <v>-6000.00000000005</v>
      </c>
      <c r="AB229">
        <f t="shared" si="292"/>
        <v>31947.999999999927</v>
      </c>
      <c r="AC229">
        <f t="shared" si="293"/>
        <v>-17784.000000000015</v>
      </c>
      <c r="AD229">
        <f t="shared" si="294"/>
        <v>-703807.99999999837</v>
      </c>
      <c r="AE229">
        <f t="shared" si="295"/>
        <v>7.0000000000000284</v>
      </c>
      <c r="AF229">
        <f t="shared" si="296"/>
        <v>301937.99999999802</v>
      </c>
      <c r="AG229">
        <f t="shared" si="297"/>
        <v>126615.0000000018</v>
      </c>
      <c r="AH229">
        <f t="shared" si="298"/>
        <v>4.9999999999999822</v>
      </c>
      <c r="AI229">
        <f t="shared" si="299"/>
        <v>-0.42433239938344591</v>
      </c>
      <c r="AJ229">
        <f t="shared" si="300"/>
        <v>0</v>
      </c>
      <c r="AK229">
        <f t="shared" si="301"/>
        <v>21483.394788173493</v>
      </c>
      <c r="AL229">
        <f t="shared" si="302"/>
        <v>0</v>
      </c>
      <c r="AM229" s="1">
        <f t="shared" si="303"/>
        <v>0</v>
      </c>
      <c r="AN229" s="1">
        <f t="shared" si="280"/>
        <v>-235494.02954422502</v>
      </c>
      <c r="AO229">
        <f t="shared" si="281"/>
        <v>-3.251319241847797</v>
      </c>
      <c r="AP229">
        <f t="shared" si="282"/>
        <v>1.678706425922093</v>
      </c>
    </row>
    <row r="230" spans="1:42" x14ac:dyDescent="0.25">
      <c r="A230" s="4">
        <v>45763</v>
      </c>
      <c r="B230">
        <f t="shared" ref="B230:N230" si="335">(B780-B779)*100</f>
        <v>-0.99999999999997868</v>
      </c>
      <c r="C230">
        <f t="shared" si="335"/>
        <v>0.99999999999997868</v>
      </c>
      <c r="D230">
        <f t="shared" si="335"/>
        <v>0</v>
      </c>
      <c r="E230">
        <f t="shared" si="335"/>
        <v>1.9999999999999574</v>
      </c>
      <c r="F230">
        <f t="shared" si="335"/>
        <v>0</v>
      </c>
      <c r="G230">
        <f t="shared" si="335"/>
        <v>0</v>
      </c>
      <c r="H230">
        <f t="shared" si="335"/>
        <v>0</v>
      </c>
      <c r="I230">
        <f t="shared" si="335"/>
        <v>2.0000000000000018</v>
      </c>
      <c r="J230">
        <f t="shared" si="335"/>
        <v>3.9999999999999591</v>
      </c>
      <c r="K230">
        <f t="shared" si="335"/>
        <v>4.9999999999999822</v>
      </c>
      <c r="L230">
        <f t="shared" si="335"/>
        <v>3.0000000000000249</v>
      </c>
      <c r="M230">
        <f t="shared" si="335"/>
        <v>1.9999999999999574</v>
      </c>
      <c r="N230">
        <f t="shared" si="335"/>
        <v>0.99999999999997868</v>
      </c>
      <c r="O230" s="5">
        <f t="shared" si="330"/>
        <v>1.7190176900734899E-3</v>
      </c>
      <c r="P230" s="5">
        <f t="shared" si="330"/>
        <v>-1.2933205676889777E-2</v>
      </c>
      <c r="Q230" s="5">
        <f t="shared" si="330"/>
        <v>1.1173069928448083E-3</v>
      </c>
      <c r="R230" s="5">
        <f t="shared" si="330"/>
        <v>-3.7493348688878115E-3</v>
      </c>
      <c r="S230" s="5">
        <f t="shared" si="330"/>
        <v>-8.0478011149546294E-3</v>
      </c>
      <c r="U230" s="4">
        <v>45763</v>
      </c>
      <c r="V230">
        <f t="shared" si="286"/>
        <v>3999.9999999999145</v>
      </c>
      <c r="W230">
        <f t="shared" si="287"/>
        <v>-2222.9999999999527</v>
      </c>
      <c r="X230">
        <f t="shared" si="288"/>
        <v>0</v>
      </c>
      <c r="Y230">
        <f t="shared" si="289"/>
        <v>-6889.9999999998536</v>
      </c>
      <c r="Z230">
        <f t="shared" si="290"/>
        <v>0</v>
      </c>
      <c r="AA230">
        <f t="shared" si="291"/>
        <v>0</v>
      </c>
      <c r="AB230">
        <f t="shared" si="292"/>
        <v>0</v>
      </c>
      <c r="AC230">
        <f t="shared" si="293"/>
        <v>-4446.0000000000036</v>
      </c>
      <c r="AD230">
        <f t="shared" si="294"/>
        <v>-402175.99999999587</v>
      </c>
      <c r="AE230">
        <f t="shared" si="295"/>
        <v>4.9999999999999822</v>
      </c>
      <c r="AF230">
        <f t="shared" si="296"/>
        <v>150969.00000000125</v>
      </c>
      <c r="AG230">
        <f t="shared" si="297"/>
        <v>50645.999999998923</v>
      </c>
      <c r="AH230">
        <f t="shared" si="298"/>
        <v>0.99999999999997868</v>
      </c>
      <c r="AI230">
        <f t="shared" si="299"/>
        <v>0.17190176900734899</v>
      </c>
      <c r="AJ230">
        <f t="shared" si="300"/>
        <v>129332.05676889776</v>
      </c>
      <c r="AK230">
        <f t="shared" si="301"/>
        <v>11173.069928448083</v>
      </c>
      <c r="AL230">
        <f t="shared" si="302"/>
        <v>93733.371722195283</v>
      </c>
      <c r="AM230" s="1">
        <f t="shared" si="303"/>
        <v>80478.011149546292</v>
      </c>
      <c r="AN230" s="1">
        <f t="shared" si="280"/>
        <v>104602.68147086084</v>
      </c>
      <c r="AO230">
        <f t="shared" si="281"/>
        <v>-1.1152950529185788</v>
      </c>
      <c r="AP230">
        <f t="shared" si="282"/>
        <v>1.7628292099133422</v>
      </c>
    </row>
    <row r="231" spans="1:42" x14ac:dyDescent="0.25">
      <c r="A231" s="4">
        <v>45762</v>
      </c>
      <c r="B231">
        <f t="shared" ref="B231:N231" si="336">(B781-B780)*100</f>
        <v>3.0000000000000249</v>
      </c>
      <c r="C231">
        <f t="shared" si="336"/>
        <v>0.99999999999997868</v>
      </c>
      <c r="D231">
        <f t="shared" si="336"/>
        <v>0.99999999999997868</v>
      </c>
      <c r="E231">
        <f t="shared" si="336"/>
        <v>0.99999999999997868</v>
      </c>
      <c r="F231">
        <f t="shared" si="336"/>
        <v>0</v>
      </c>
      <c r="G231">
        <f t="shared" si="336"/>
        <v>4.9999999999999822</v>
      </c>
      <c r="H231">
        <f t="shared" si="336"/>
        <v>12.000000000000011</v>
      </c>
      <c r="I231">
        <f t="shared" si="336"/>
        <v>10.999999999999988</v>
      </c>
      <c r="J231">
        <f t="shared" si="336"/>
        <v>13.000000000000078</v>
      </c>
      <c r="K231">
        <f t="shared" si="336"/>
        <v>12.000000000000011</v>
      </c>
      <c r="L231">
        <f t="shared" si="336"/>
        <v>10.000000000000053</v>
      </c>
      <c r="M231">
        <f t="shared" si="336"/>
        <v>7.0000000000000284</v>
      </c>
      <c r="N231">
        <f t="shared" si="336"/>
        <v>4.9999999999999822</v>
      </c>
      <c r="O231" s="5">
        <f t="shared" si="330"/>
        <v>4.8153363882520415E-3</v>
      </c>
      <c r="P231" s="5">
        <f t="shared" si="330"/>
        <v>1.3398213822911365E-2</v>
      </c>
      <c r="Q231" s="5">
        <f t="shared" si="330"/>
        <v>-1.236539498543446E-2</v>
      </c>
      <c r="R231" s="5">
        <f t="shared" si="330"/>
        <v>8.0224633263804726E-4</v>
      </c>
      <c r="S231" s="5">
        <f t="shared" si="330"/>
        <v>1.0242031004895097E-3</v>
      </c>
      <c r="U231" s="4">
        <v>45762</v>
      </c>
      <c r="V231">
        <f t="shared" si="286"/>
        <v>-12000.0000000001</v>
      </c>
      <c r="W231">
        <f t="shared" si="287"/>
        <v>-2222.9999999999527</v>
      </c>
      <c r="X231">
        <f t="shared" si="288"/>
        <v>4589.9999999999018</v>
      </c>
      <c r="Y231">
        <f t="shared" si="289"/>
        <v>-3444.9999999999268</v>
      </c>
      <c r="Z231">
        <f t="shared" si="290"/>
        <v>0</v>
      </c>
      <c r="AA231">
        <f t="shared" si="291"/>
        <v>-9999.9999999999636</v>
      </c>
      <c r="AB231">
        <f t="shared" si="292"/>
        <v>54768.000000000051</v>
      </c>
      <c r="AC231">
        <f t="shared" si="293"/>
        <v>-24452.999999999971</v>
      </c>
      <c r="AD231">
        <f t="shared" si="294"/>
        <v>-1307072.0000000079</v>
      </c>
      <c r="AE231">
        <f t="shared" si="295"/>
        <v>12.000000000000011</v>
      </c>
      <c r="AF231">
        <f t="shared" si="296"/>
        <v>503230.00000000268</v>
      </c>
      <c r="AG231">
        <f t="shared" si="297"/>
        <v>177261.00000000073</v>
      </c>
      <c r="AH231">
        <f t="shared" si="298"/>
        <v>4.9999999999999822</v>
      </c>
      <c r="AI231">
        <f t="shared" si="299"/>
        <v>0.48153363882520417</v>
      </c>
      <c r="AJ231">
        <f t="shared" si="300"/>
        <v>-133982.13822911365</v>
      </c>
      <c r="AK231">
        <f t="shared" si="301"/>
        <v>-123653.9498543446</v>
      </c>
      <c r="AL231">
        <f t="shared" si="302"/>
        <v>-20056.158315951183</v>
      </c>
      <c r="AM231" s="1">
        <f t="shared" si="303"/>
        <v>-10242.031004895098</v>
      </c>
      <c r="AN231" s="1">
        <f t="shared" si="280"/>
        <v>-907260.79587067035</v>
      </c>
      <c r="AO231">
        <f t="shared" si="281"/>
        <v>-2.7281294523790942</v>
      </c>
      <c r="AP231">
        <f t="shared" si="282"/>
        <v>1.7671872068447174</v>
      </c>
    </row>
    <row r="232" spans="1:42" x14ac:dyDescent="0.25">
      <c r="A232" s="4">
        <v>45761</v>
      </c>
      <c r="B232">
        <f t="shared" ref="B232:N232" si="337">(B782-B781)*100</f>
        <v>-0.99999999999997868</v>
      </c>
      <c r="C232">
        <f t="shared" si="337"/>
        <v>0.99999999999997868</v>
      </c>
      <c r="D232">
        <f t="shared" si="337"/>
        <v>0</v>
      </c>
      <c r="E232">
        <f t="shared" si="337"/>
        <v>-1.9999999999999574</v>
      </c>
      <c r="F232">
        <f t="shared" si="337"/>
        <v>-4.0000000000000036</v>
      </c>
      <c r="G232">
        <f t="shared" si="337"/>
        <v>-6.999999999999984</v>
      </c>
      <c r="H232">
        <f t="shared" si="337"/>
        <v>-12.000000000000011</v>
      </c>
      <c r="I232">
        <f t="shared" si="337"/>
        <v>-12.999999999999989</v>
      </c>
      <c r="J232">
        <f t="shared" si="337"/>
        <v>-11.000000000000032</v>
      </c>
      <c r="K232">
        <f t="shared" si="337"/>
        <v>-11.000000000000032</v>
      </c>
      <c r="L232">
        <f t="shared" si="337"/>
        <v>-8.0000000000000071</v>
      </c>
      <c r="M232">
        <f t="shared" si="337"/>
        <v>-0.99999999999997868</v>
      </c>
      <c r="N232">
        <f t="shared" si="337"/>
        <v>1.0000000000000675</v>
      </c>
      <c r="O232" s="5">
        <f t="shared" si="330"/>
        <v>-5.3262442826740941E-3</v>
      </c>
      <c r="P232" s="5">
        <f t="shared" si="330"/>
        <v>5.8309203107931437E-3</v>
      </c>
      <c r="Q232" s="5">
        <f t="shared" si="330"/>
        <v>-1.1062307151566513E-2</v>
      </c>
      <c r="R232" s="5">
        <f t="shared" si="330"/>
        <v>2.1424753776468318E-3</v>
      </c>
      <c r="S232" s="5">
        <f t="shared" si="330"/>
        <v>-9.4365544645494889E-3</v>
      </c>
      <c r="U232" s="4">
        <v>45761</v>
      </c>
      <c r="V232">
        <f t="shared" si="286"/>
        <v>3999.9999999999145</v>
      </c>
      <c r="W232">
        <f t="shared" si="287"/>
        <v>-2222.9999999999527</v>
      </c>
      <c r="X232">
        <f t="shared" si="288"/>
        <v>0</v>
      </c>
      <c r="Y232">
        <f t="shared" si="289"/>
        <v>6889.9999999998536</v>
      </c>
      <c r="Z232">
        <f t="shared" si="290"/>
        <v>-21740.000000000018</v>
      </c>
      <c r="AA232">
        <f t="shared" si="291"/>
        <v>13999.999999999967</v>
      </c>
      <c r="AB232">
        <f t="shared" si="292"/>
        <v>-54768.000000000051</v>
      </c>
      <c r="AC232">
        <f t="shared" si="293"/>
        <v>28898.999999999975</v>
      </c>
      <c r="AD232">
        <f t="shared" si="294"/>
        <v>1105984.0000000033</v>
      </c>
      <c r="AE232">
        <f t="shared" si="295"/>
        <v>-11.000000000000032</v>
      </c>
      <c r="AF232">
        <f t="shared" si="296"/>
        <v>-402584.00000000035</v>
      </c>
      <c r="AG232">
        <f t="shared" si="297"/>
        <v>-25322.999999999462</v>
      </c>
      <c r="AH232">
        <f t="shared" si="298"/>
        <v>1.0000000000000675</v>
      </c>
      <c r="AI232">
        <f t="shared" si="299"/>
        <v>-0.53262442826740941</v>
      </c>
      <c r="AJ232">
        <f t="shared" si="300"/>
        <v>-58309.20310793144</v>
      </c>
      <c r="AK232">
        <f t="shared" si="301"/>
        <v>-110623.07151566513</v>
      </c>
      <c r="AL232">
        <f t="shared" si="302"/>
        <v>-53561.884441170798</v>
      </c>
      <c r="AM232" s="1">
        <f t="shared" si="303"/>
        <v>94365.544645494883</v>
      </c>
      <c r="AN232" s="1">
        <f t="shared" si="280"/>
        <v>524995.85295630246</v>
      </c>
      <c r="AO232">
        <f t="shared" si="281"/>
        <v>-1.7903156982420176</v>
      </c>
      <c r="AP232">
        <f t="shared" si="282"/>
        <v>4.879630987317876</v>
      </c>
    </row>
    <row r="233" spans="1:42" x14ac:dyDescent="0.25">
      <c r="A233" s="4">
        <v>45758</v>
      </c>
      <c r="B233">
        <f t="shared" ref="B233:N233" si="338">(B783-B782)*100</f>
        <v>0</v>
      </c>
      <c r="C233">
        <f t="shared" si="338"/>
        <v>-1.9999999999999574</v>
      </c>
      <c r="D233">
        <f t="shared" si="338"/>
        <v>0.99999999999997868</v>
      </c>
      <c r="E233">
        <f t="shared" si="338"/>
        <v>3.0000000000000249</v>
      </c>
      <c r="F233">
        <f t="shared" si="338"/>
        <v>6.0000000000000497</v>
      </c>
      <c r="G233">
        <f t="shared" si="338"/>
        <v>6.0000000000000053</v>
      </c>
      <c r="H233">
        <f t="shared" si="338"/>
        <v>7.0000000000000284</v>
      </c>
      <c r="I233">
        <f t="shared" si="338"/>
        <v>6.0000000000000053</v>
      </c>
      <c r="J233">
        <f t="shared" si="338"/>
        <v>1.9999999999999574</v>
      </c>
      <c r="K233">
        <f t="shared" si="338"/>
        <v>-0.99999999999997868</v>
      </c>
      <c r="L233">
        <f t="shared" si="338"/>
        <v>-6.0000000000000497</v>
      </c>
      <c r="M233">
        <f t="shared" si="338"/>
        <v>-12.000000000000011</v>
      </c>
      <c r="N233">
        <f t="shared" si="338"/>
        <v>-14.000000000000057</v>
      </c>
      <c r="O233" s="5">
        <f t="shared" si="330"/>
        <v>-6.4151739789981548E-3</v>
      </c>
      <c r="P233" s="5">
        <f t="shared" si="330"/>
        <v>-1.4398762464505676E-2</v>
      </c>
      <c r="Q233" s="5">
        <f t="shared" si="330"/>
        <v>-1.1101281439874393E-2</v>
      </c>
      <c r="R233" s="5">
        <f t="shared" si="330"/>
        <v>0</v>
      </c>
      <c r="S233" s="5">
        <f t="shared" si="330"/>
        <v>-7.1735579430071156E-3</v>
      </c>
      <c r="U233" s="4">
        <v>45758</v>
      </c>
      <c r="V233">
        <f t="shared" si="286"/>
        <v>0</v>
      </c>
      <c r="W233">
        <f t="shared" si="287"/>
        <v>4445.9999999999054</v>
      </c>
      <c r="X233">
        <f t="shared" si="288"/>
        <v>4589.9999999999018</v>
      </c>
      <c r="Y233">
        <f t="shared" si="289"/>
        <v>-10335.000000000085</v>
      </c>
      <c r="Z233">
        <f t="shared" si="290"/>
        <v>32610.000000000269</v>
      </c>
      <c r="AA233">
        <f t="shared" si="291"/>
        <v>-12000.000000000011</v>
      </c>
      <c r="AB233">
        <f t="shared" si="292"/>
        <v>31948.000000000131</v>
      </c>
      <c r="AC233">
        <f t="shared" si="293"/>
        <v>-13338.000000000013</v>
      </c>
      <c r="AD233">
        <f t="shared" si="294"/>
        <v>-201087.99999999572</v>
      </c>
      <c r="AE233">
        <f t="shared" si="295"/>
        <v>-0.99999999999997868</v>
      </c>
      <c r="AF233">
        <f t="shared" si="296"/>
        <v>-301938.0000000025</v>
      </c>
      <c r="AG233">
        <f t="shared" si="297"/>
        <v>-303876.00000000029</v>
      </c>
      <c r="AH233">
        <f t="shared" si="298"/>
        <v>-14.000000000000057</v>
      </c>
      <c r="AI233">
        <f t="shared" si="299"/>
        <v>-0.64151739789981543</v>
      </c>
      <c r="AJ233">
        <f t="shared" si="300"/>
        <v>143987.62464505676</v>
      </c>
      <c r="AK233">
        <f t="shared" si="301"/>
        <v>-111012.81439874393</v>
      </c>
      <c r="AL233">
        <f t="shared" si="302"/>
        <v>0</v>
      </c>
      <c r="AM233" s="1">
        <f t="shared" si="303"/>
        <v>71735.579430071157</v>
      </c>
      <c r="AN233" s="1">
        <f t="shared" si="280"/>
        <v>-664286.25184101227</v>
      </c>
      <c r="AO233">
        <f t="shared" si="281"/>
        <v>-1.6520270500840193</v>
      </c>
      <c r="AP233">
        <f t="shared" si="282"/>
        <v>4.8851289231705151</v>
      </c>
    </row>
    <row r="234" spans="1:42" x14ac:dyDescent="0.25">
      <c r="A234" s="4">
        <v>45757</v>
      </c>
      <c r="B234">
        <f t="shared" ref="B234:N234" si="339">(B784-B783)*100</f>
        <v>0</v>
      </c>
      <c r="C234">
        <f t="shared" si="339"/>
        <v>0</v>
      </c>
      <c r="D234">
        <f t="shared" si="339"/>
        <v>-4.0000000000000036</v>
      </c>
      <c r="E234">
        <f t="shared" si="339"/>
        <v>-6.0000000000000497</v>
      </c>
      <c r="F234">
        <f t="shared" si="339"/>
        <v>-9.0000000000000746</v>
      </c>
      <c r="G234">
        <f t="shared" si="339"/>
        <v>-20.000000000000018</v>
      </c>
      <c r="H234">
        <f t="shared" si="339"/>
        <v>-20.000000000000018</v>
      </c>
      <c r="I234">
        <f t="shared" si="339"/>
        <v>-20.000000000000018</v>
      </c>
      <c r="J234">
        <f t="shared" si="339"/>
        <v>-17.999999999999972</v>
      </c>
      <c r="K234">
        <f t="shared" si="339"/>
        <v>-15.000000000000036</v>
      </c>
      <c r="L234">
        <f t="shared" si="339"/>
        <v>-8.0000000000000071</v>
      </c>
      <c r="M234">
        <f t="shared" si="339"/>
        <v>-2.0000000000000462</v>
      </c>
      <c r="N234">
        <f t="shared" si="339"/>
        <v>-0.99999999999997868</v>
      </c>
      <c r="O234" s="5">
        <f t="shared" si="330"/>
        <v>-2.4893946344655339E-2</v>
      </c>
      <c r="P234" s="5">
        <f t="shared" si="330"/>
        <v>3.9274625972102626E-3</v>
      </c>
      <c r="Q234" s="5">
        <f t="shared" si="330"/>
        <v>6.1387423831771584E-3</v>
      </c>
      <c r="R234" s="5">
        <f t="shared" si="330"/>
        <v>9.1570798762864551E-3</v>
      </c>
      <c r="S234" s="5">
        <f t="shared" si="330"/>
        <v>7.750263491667215E-3</v>
      </c>
      <c r="U234" s="4">
        <v>45757</v>
      </c>
      <c r="V234">
        <f t="shared" si="286"/>
        <v>0</v>
      </c>
      <c r="W234">
        <f t="shared" si="287"/>
        <v>0</v>
      </c>
      <c r="X234">
        <f t="shared" si="288"/>
        <v>-18360.000000000015</v>
      </c>
      <c r="Y234">
        <f t="shared" si="289"/>
        <v>20670.000000000171</v>
      </c>
      <c r="Z234">
        <f t="shared" si="290"/>
        <v>-48915.000000000407</v>
      </c>
      <c r="AA234">
        <f t="shared" si="291"/>
        <v>40000.000000000036</v>
      </c>
      <c r="AB234">
        <f t="shared" si="292"/>
        <v>-91280.000000000087</v>
      </c>
      <c r="AC234">
        <f t="shared" si="293"/>
        <v>44460.000000000036</v>
      </c>
      <c r="AD234">
        <f t="shared" si="294"/>
        <v>1809791.9999999972</v>
      </c>
      <c r="AE234">
        <f t="shared" si="295"/>
        <v>-15.000000000000036</v>
      </c>
      <c r="AF234">
        <f t="shared" si="296"/>
        <v>-402584.00000000035</v>
      </c>
      <c r="AG234">
        <f t="shared" si="297"/>
        <v>-50646.000000001171</v>
      </c>
      <c r="AH234">
        <f t="shared" si="298"/>
        <v>-0.99999999999997868</v>
      </c>
      <c r="AI234">
        <f t="shared" si="299"/>
        <v>-2.4893946344655338</v>
      </c>
      <c r="AJ234">
        <f t="shared" si="300"/>
        <v>-39274.625972102629</v>
      </c>
      <c r="AK234">
        <f t="shared" si="301"/>
        <v>61387.423831771586</v>
      </c>
      <c r="AL234">
        <f t="shared" si="302"/>
        <v>-228926.99690716137</v>
      </c>
      <c r="AM234" s="1">
        <f t="shared" si="303"/>
        <v>-77502.634916672148</v>
      </c>
      <c r="AN234" s="1">
        <f t="shared" si="280"/>
        <v>1018801.6766411966</v>
      </c>
      <c r="AO234">
        <f t="shared" si="281"/>
        <v>0.91057353689324372</v>
      </c>
      <c r="AP234">
        <f t="shared" si="282"/>
        <v>4.9042297311884822</v>
      </c>
    </row>
    <row r="235" spans="1:42" x14ac:dyDescent="0.25">
      <c r="A235" s="4">
        <v>45756</v>
      </c>
      <c r="B235">
        <f t="shared" ref="B235:N235" si="340">(B785-B784)*100</f>
        <v>0</v>
      </c>
      <c r="C235">
        <f t="shared" si="340"/>
        <v>-0.99999999999997868</v>
      </c>
      <c r="D235">
        <f t="shared" si="340"/>
        <v>-1.9999999999999574</v>
      </c>
      <c r="E235">
        <f t="shared" si="340"/>
        <v>-1.9999999999999574</v>
      </c>
      <c r="F235">
        <f t="shared" si="340"/>
        <v>0</v>
      </c>
      <c r="G235">
        <f t="shared" si="340"/>
        <v>2.9999999999999805</v>
      </c>
      <c r="H235">
        <f t="shared" si="340"/>
        <v>2.0000000000000018</v>
      </c>
      <c r="I235">
        <f t="shared" si="340"/>
        <v>1.0000000000000231</v>
      </c>
      <c r="J235">
        <f t="shared" si="340"/>
        <v>-6.0000000000000053</v>
      </c>
      <c r="K235">
        <f t="shared" si="340"/>
        <v>-7.9999999999999627</v>
      </c>
      <c r="L235">
        <f t="shared" si="340"/>
        <v>-10.999999999999943</v>
      </c>
      <c r="M235">
        <f t="shared" si="340"/>
        <v>-14.999999999999947</v>
      </c>
      <c r="N235">
        <f t="shared" si="340"/>
        <v>-12.999999999999989</v>
      </c>
      <c r="O235" s="5">
        <f t="shared" ref="O235:S244" si="341">LN(O784/O785)</f>
        <v>2.0623068713246435E-2</v>
      </c>
      <c r="P235" s="5">
        <f t="shared" si="341"/>
        <v>-2.446675149398507E-2</v>
      </c>
      <c r="Q235" s="5">
        <f t="shared" si="341"/>
        <v>3.2349605197891386E-3</v>
      </c>
      <c r="R235" s="5">
        <f t="shared" si="341"/>
        <v>-1.3170463189745008E-2</v>
      </c>
      <c r="S235" s="5">
        <f t="shared" si="341"/>
        <v>-2.5628013393409865E-2</v>
      </c>
      <c r="U235" s="4">
        <v>45756</v>
      </c>
      <c r="V235">
        <f t="shared" si="286"/>
        <v>0</v>
      </c>
      <c r="W235">
        <f t="shared" si="287"/>
        <v>2222.9999999999527</v>
      </c>
      <c r="X235">
        <f t="shared" si="288"/>
        <v>-9179.9999999998035</v>
      </c>
      <c r="Y235">
        <f t="shared" si="289"/>
        <v>6889.9999999998536</v>
      </c>
      <c r="Z235">
        <f t="shared" si="290"/>
        <v>0</v>
      </c>
      <c r="AA235">
        <f t="shared" si="291"/>
        <v>-5999.9999999999609</v>
      </c>
      <c r="AB235">
        <f t="shared" si="292"/>
        <v>9128.0000000000073</v>
      </c>
      <c r="AC235">
        <f t="shared" si="293"/>
        <v>-2223.0000000000514</v>
      </c>
      <c r="AD235">
        <f t="shared" si="294"/>
        <v>603264.00000000058</v>
      </c>
      <c r="AE235">
        <f t="shared" si="295"/>
        <v>-7.9999999999999627</v>
      </c>
      <c r="AF235">
        <f t="shared" si="296"/>
        <v>-553552.99999999709</v>
      </c>
      <c r="AG235">
        <f t="shared" si="297"/>
        <v>-379844.99999999866</v>
      </c>
      <c r="AH235">
        <f t="shared" si="298"/>
        <v>-12.999999999999989</v>
      </c>
      <c r="AI235">
        <f t="shared" si="299"/>
        <v>2.0623068713246435</v>
      </c>
      <c r="AJ235">
        <f t="shared" si="300"/>
        <v>244667.51493985069</v>
      </c>
      <c r="AK235">
        <f t="shared" si="301"/>
        <v>32349.605197891386</v>
      </c>
      <c r="AL235">
        <f t="shared" si="302"/>
        <v>329261.57974362519</v>
      </c>
      <c r="AM235" s="1">
        <f t="shared" si="303"/>
        <v>256280.13393409865</v>
      </c>
      <c r="AN235" s="1">
        <f t="shared" si="280"/>
        <v>533243.89612234209</v>
      </c>
      <c r="AO235">
        <f t="shared" si="281"/>
        <v>-2.6999111208464326</v>
      </c>
      <c r="AP235">
        <f t="shared" si="282"/>
        <v>4.8525798370371112</v>
      </c>
    </row>
    <row r="236" spans="1:42" x14ac:dyDescent="0.25">
      <c r="A236" s="4">
        <v>45755</v>
      </c>
      <c r="B236">
        <f t="shared" ref="B236:N236" si="342">(B786-B785)*100</f>
        <v>0</v>
      </c>
      <c r="C236">
        <f t="shared" si="342"/>
        <v>0</v>
      </c>
      <c r="D236">
        <f t="shared" si="342"/>
        <v>-0.99999999999997868</v>
      </c>
      <c r="E236">
        <f t="shared" si="342"/>
        <v>-3.0000000000000249</v>
      </c>
      <c r="F236">
        <f t="shared" si="342"/>
        <v>0</v>
      </c>
      <c r="G236">
        <f t="shared" si="342"/>
        <v>0</v>
      </c>
      <c r="H236">
        <f t="shared" si="342"/>
        <v>-4.9999999999999822</v>
      </c>
      <c r="I236">
        <f t="shared" si="342"/>
        <v>-6.0000000000000053</v>
      </c>
      <c r="J236">
        <f t="shared" si="342"/>
        <v>-9.9999999999999645</v>
      </c>
      <c r="K236">
        <f t="shared" si="342"/>
        <v>-13.000000000000034</v>
      </c>
      <c r="L236">
        <f t="shared" si="342"/>
        <v>-14.000000000000057</v>
      </c>
      <c r="M236">
        <f t="shared" si="342"/>
        <v>-16.999999999999993</v>
      </c>
      <c r="N236">
        <f t="shared" si="342"/>
        <v>-16.999999999999993</v>
      </c>
      <c r="O236" s="5">
        <f t="shared" si="341"/>
        <v>8.3052600634268559E-3</v>
      </c>
      <c r="P236" s="5">
        <f t="shared" si="341"/>
        <v>9.3045037543074728E-3</v>
      </c>
      <c r="Q236" s="5">
        <f t="shared" si="341"/>
        <v>1.5113432854195152E-2</v>
      </c>
      <c r="R236" s="5">
        <f t="shared" si="341"/>
        <v>7.2357276699304739E-3</v>
      </c>
      <c r="S236" s="5">
        <f t="shared" si="341"/>
        <v>5.7546210106062794E-3</v>
      </c>
      <c r="U236" s="4">
        <v>45755</v>
      </c>
      <c r="V236">
        <f t="shared" si="286"/>
        <v>0</v>
      </c>
      <c r="W236">
        <f t="shared" si="287"/>
        <v>0</v>
      </c>
      <c r="X236">
        <f t="shared" si="288"/>
        <v>-4589.9999999999018</v>
      </c>
      <c r="Y236">
        <f t="shared" si="289"/>
        <v>10335.000000000085</v>
      </c>
      <c r="Z236">
        <f t="shared" si="290"/>
        <v>0</v>
      </c>
      <c r="AA236">
        <f t="shared" si="291"/>
        <v>0</v>
      </c>
      <c r="AB236">
        <f t="shared" si="292"/>
        <v>-22819.99999999992</v>
      </c>
      <c r="AC236">
        <f t="shared" si="293"/>
        <v>13338.000000000013</v>
      </c>
      <c r="AD236">
        <f t="shared" si="294"/>
        <v>1005439.9999999964</v>
      </c>
      <c r="AE236">
        <f t="shared" si="295"/>
        <v>-13.000000000000034</v>
      </c>
      <c r="AF236">
        <f t="shared" si="296"/>
        <v>-704522.00000000291</v>
      </c>
      <c r="AG236">
        <f t="shared" si="297"/>
        <v>-430490.99999999983</v>
      </c>
      <c r="AH236">
        <f t="shared" si="298"/>
        <v>-16.999999999999993</v>
      </c>
      <c r="AI236">
        <f t="shared" si="299"/>
        <v>0.83052600634268559</v>
      </c>
      <c r="AJ236">
        <f t="shared" si="300"/>
        <v>-93045.037543074723</v>
      </c>
      <c r="AK236">
        <f t="shared" si="301"/>
        <v>151134.32854195152</v>
      </c>
      <c r="AL236">
        <f t="shared" si="302"/>
        <v>-180893.19174826186</v>
      </c>
      <c r="AM236" s="1">
        <f t="shared" si="303"/>
        <v>-57546.210106062797</v>
      </c>
      <c r="AN236" s="1">
        <f t="shared" si="280"/>
        <v>-313689.28032944765</v>
      </c>
      <c r="AO236">
        <f t="shared" si="281"/>
        <v>0.82395311372296587</v>
      </c>
      <c r="AP236">
        <f t="shared" si="282"/>
        <v>4.8729410275648544</v>
      </c>
    </row>
    <row r="237" spans="1:42" x14ac:dyDescent="0.25">
      <c r="A237" s="4">
        <v>45754</v>
      </c>
      <c r="B237">
        <f t="shared" ref="B237:N237" si="343">(B787-B786)*100</f>
        <v>0</v>
      </c>
      <c r="C237">
        <f t="shared" si="343"/>
        <v>1.9999999999999574</v>
      </c>
      <c r="D237">
        <f t="shared" si="343"/>
        <v>2.9999999999999361</v>
      </c>
      <c r="E237">
        <f t="shared" si="343"/>
        <v>4.0000000000000036</v>
      </c>
      <c r="F237">
        <f t="shared" si="343"/>
        <v>6.0000000000000497</v>
      </c>
      <c r="G237">
        <f t="shared" si="343"/>
        <v>6.0000000000000053</v>
      </c>
      <c r="H237">
        <f t="shared" si="343"/>
        <v>2.9999999999999805</v>
      </c>
      <c r="I237">
        <f t="shared" si="343"/>
        <v>2.0000000000000018</v>
      </c>
      <c r="J237">
        <f t="shared" si="343"/>
        <v>2.9999999999999805</v>
      </c>
      <c r="K237">
        <f t="shared" si="343"/>
        <v>4.0000000000000036</v>
      </c>
      <c r="L237">
        <f t="shared" si="343"/>
        <v>4.9999999999999822</v>
      </c>
      <c r="M237">
        <f t="shared" si="343"/>
        <v>6.9999999999999396</v>
      </c>
      <c r="N237">
        <f t="shared" si="343"/>
        <v>8.0000000000000071</v>
      </c>
      <c r="O237" s="5">
        <f t="shared" si="341"/>
        <v>1.8860719568126707E-2</v>
      </c>
      <c r="P237" s="5">
        <f t="shared" si="341"/>
        <v>2.6312140372070941E-2</v>
      </c>
      <c r="Q237" s="5">
        <f t="shared" si="341"/>
        <v>3.0412089882863258E-2</v>
      </c>
      <c r="R237" s="5">
        <f t="shared" si="341"/>
        <v>1.0273137118412571E-2</v>
      </c>
      <c r="S237" s="5">
        <f t="shared" si="341"/>
        <v>1.0881214619164768E-2</v>
      </c>
      <c r="U237" s="4">
        <v>45754</v>
      </c>
      <c r="V237">
        <f t="shared" si="286"/>
        <v>0</v>
      </c>
      <c r="W237">
        <f t="shared" si="287"/>
        <v>-4445.9999999999054</v>
      </c>
      <c r="X237">
        <f t="shared" si="288"/>
        <v>13769.999999999707</v>
      </c>
      <c r="Y237">
        <f t="shared" si="289"/>
        <v>-13780.000000000013</v>
      </c>
      <c r="Z237">
        <f t="shared" si="290"/>
        <v>32610.000000000269</v>
      </c>
      <c r="AA237">
        <f t="shared" si="291"/>
        <v>-12000.000000000011</v>
      </c>
      <c r="AB237">
        <f t="shared" si="292"/>
        <v>13691.999999999911</v>
      </c>
      <c r="AC237">
        <f t="shared" si="293"/>
        <v>-4446.0000000000036</v>
      </c>
      <c r="AD237">
        <f t="shared" si="294"/>
        <v>-301631.99999999802</v>
      </c>
      <c r="AE237">
        <f t="shared" si="295"/>
        <v>4.0000000000000036</v>
      </c>
      <c r="AF237">
        <f t="shared" si="296"/>
        <v>251614.9999999991</v>
      </c>
      <c r="AG237">
        <f t="shared" si="297"/>
        <v>177260.99999999846</v>
      </c>
      <c r="AH237">
        <f t="shared" si="298"/>
        <v>8.0000000000000071</v>
      </c>
      <c r="AI237">
        <f t="shared" si="299"/>
        <v>1.8860719568126707</v>
      </c>
      <c r="AJ237">
        <f t="shared" si="300"/>
        <v>-263121.40372070944</v>
      </c>
      <c r="AK237">
        <f t="shared" si="301"/>
        <v>304120.89882863261</v>
      </c>
      <c r="AL237">
        <f t="shared" si="302"/>
        <v>-256828.42796031429</v>
      </c>
      <c r="AM237" s="1">
        <f t="shared" si="303"/>
        <v>-108812.14619164768</v>
      </c>
      <c r="AN237" s="1">
        <f t="shared" si="280"/>
        <v>-171983.19297208253</v>
      </c>
      <c r="AO237">
        <f t="shared" si="281"/>
        <v>-0.90140396036541859</v>
      </c>
      <c r="AP237">
        <f t="shared" si="282"/>
        <v>4.8373248976605892</v>
      </c>
    </row>
    <row r="238" spans="1:42" x14ac:dyDescent="0.25">
      <c r="A238" s="4">
        <v>45751</v>
      </c>
      <c r="B238">
        <f t="shared" ref="B238:N238" si="344">(B788-B787)*100</f>
        <v>1.9999999999999574</v>
      </c>
      <c r="C238">
        <f t="shared" si="344"/>
        <v>-4.0000000000000036</v>
      </c>
      <c r="D238">
        <f t="shared" si="344"/>
        <v>1.0000000000000675</v>
      </c>
      <c r="E238">
        <f t="shared" si="344"/>
        <v>3.0000000000000249</v>
      </c>
      <c r="F238">
        <f t="shared" si="344"/>
        <v>4.0000000000000036</v>
      </c>
      <c r="G238">
        <f t="shared" si="344"/>
        <v>12.000000000000011</v>
      </c>
      <c r="H238">
        <f t="shared" si="344"/>
        <v>20.000000000000018</v>
      </c>
      <c r="I238">
        <f t="shared" si="344"/>
        <v>20.999999999999996</v>
      </c>
      <c r="J238">
        <f t="shared" si="344"/>
        <v>20.000000000000018</v>
      </c>
      <c r="K238">
        <f t="shared" si="344"/>
        <v>19.000000000000039</v>
      </c>
      <c r="L238">
        <f t="shared" si="344"/>
        <v>14.000000000000057</v>
      </c>
      <c r="M238">
        <f t="shared" si="344"/>
        <v>7.0000000000000284</v>
      </c>
      <c r="N238">
        <f t="shared" si="344"/>
        <v>4.9999999999999822</v>
      </c>
      <c r="O238" s="5">
        <f t="shared" si="341"/>
        <v>3.00360338330487E-2</v>
      </c>
      <c r="P238" s="5">
        <f t="shared" si="341"/>
        <v>2.7191577538679883E-2</v>
      </c>
      <c r="Q238" s="5">
        <f t="shared" si="341"/>
        <v>-3.4169679210620352E-3</v>
      </c>
      <c r="R238" s="5">
        <f t="shared" si="341"/>
        <v>3.5388630916506599E-3</v>
      </c>
      <c r="S238" s="5">
        <f t="shared" si="341"/>
        <v>2.5817848411509643E-2</v>
      </c>
      <c r="U238" s="4">
        <v>45751</v>
      </c>
      <c r="V238">
        <f t="shared" si="286"/>
        <v>-7999.999999999829</v>
      </c>
      <c r="W238">
        <f t="shared" si="287"/>
        <v>8892.0000000000073</v>
      </c>
      <c r="X238">
        <f t="shared" si="288"/>
        <v>4590.0000000003101</v>
      </c>
      <c r="Y238">
        <f t="shared" si="289"/>
        <v>-10335.000000000085</v>
      </c>
      <c r="Z238">
        <f t="shared" si="290"/>
        <v>21740.000000000018</v>
      </c>
      <c r="AA238">
        <f t="shared" si="291"/>
        <v>-24000.000000000022</v>
      </c>
      <c r="AB238">
        <f t="shared" si="292"/>
        <v>91280.000000000087</v>
      </c>
      <c r="AC238">
        <f t="shared" si="293"/>
        <v>-46682.999999999993</v>
      </c>
      <c r="AD238">
        <f t="shared" si="294"/>
        <v>-2010880.0000000019</v>
      </c>
      <c r="AE238">
        <f t="shared" si="295"/>
        <v>19.000000000000039</v>
      </c>
      <c r="AF238">
        <f t="shared" si="296"/>
        <v>704522.00000000291</v>
      </c>
      <c r="AG238">
        <f t="shared" si="297"/>
        <v>177261.00000000073</v>
      </c>
      <c r="AH238">
        <f t="shared" si="298"/>
        <v>4.9999999999999822</v>
      </c>
      <c r="AI238">
        <f t="shared" si="299"/>
        <v>3.0036033833048701</v>
      </c>
      <c r="AJ238">
        <f t="shared" si="300"/>
        <v>-271915.77538679884</v>
      </c>
      <c r="AK238">
        <f t="shared" si="301"/>
        <v>-34169.67921062035</v>
      </c>
      <c r="AL238">
        <f t="shared" si="302"/>
        <v>-88471.577291266498</v>
      </c>
      <c r="AM238" s="1">
        <f t="shared" si="303"/>
        <v>-258178.48411509642</v>
      </c>
      <c r="AN238" s="1">
        <f t="shared" si="280"/>
        <v>-1744321.5124003969</v>
      </c>
      <c r="AO238">
        <f t="shared" si="281"/>
        <v>-4.4923232872186869</v>
      </c>
      <c r="AP238">
        <f t="shared" si="282"/>
        <v>4.8343203933115522</v>
      </c>
    </row>
    <row r="239" spans="1:42" x14ac:dyDescent="0.25">
      <c r="A239" s="4">
        <v>45750</v>
      </c>
      <c r="B239">
        <f t="shared" ref="B239:N239" si="345">(B789-B788)*100</f>
        <v>0</v>
      </c>
      <c r="C239">
        <f t="shared" si="345"/>
        <v>0.99999999999997868</v>
      </c>
      <c r="D239">
        <f t="shared" si="345"/>
        <v>0</v>
      </c>
      <c r="E239">
        <f t="shared" si="345"/>
        <v>-2.0000000000000462</v>
      </c>
      <c r="F239">
        <f t="shared" si="345"/>
        <v>-0.99999999999997868</v>
      </c>
      <c r="G239">
        <f t="shared" si="345"/>
        <v>-3.0000000000000249</v>
      </c>
      <c r="H239">
        <f t="shared" si="345"/>
        <v>-4.0000000000000036</v>
      </c>
      <c r="I239">
        <f t="shared" si="345"/>
        <v>-4.0000000000000036</v>
      </c>
      <c r="J239">
        <f t="shared" si="345"/>
        <v>-4.0000000000000036</v>
      </c>
      <c r="K239">
        <f t="shared" si="345"/>
        <v>-4.0000000000000036</v>
      </c>
      <c r="L239">
        <f t="shared" si="345"/>
        <v>-3.0000000000000249</v>
      </c>
      <c r="M239">
        <f t="shared" si="345"/>
        <v>-2.0000000000000462</v>
      </c>
      <c r="N239">
        <f t="shared" si="345"/>
        <v>-2.0000000000000462</v>
      </c>
      <c r="O239" s="5">
        <f t="shared" si="341"/>
        <v>-1.5152743788525696E-2</v>
      </c>
      <c r="P239" s="5">
        <f t="shared" si="341"/>
        <v>8.422066310250192E-4</v>
      </c>
      <c r="Q239" s="5">
        <f t="shared" si="341"/>
        <v>3.7445128689682031E-3</v>
      </c>
      <c r="R239" s="5">
        <f t="shared" si="341"/>
        <v>-8.1777297729001143E-4</v>
      </c>
      <c r="S239" s="5">
        <f t="shared" si="341"/>
        <v>-2.5358422099806564E-2</v>
      </c>
      <c r="U239" s="4">
        <v>45750</v>
      </c>
      <c r="V239">
        <f t="shared" si="286"/>
        <v>0</v>
      </c>
      <c r="W239">
        <f t="shared" si="287"/>
        <v>-2222.9999999999527</v>
      </c>
      <c r="X239">
        <f t="shared" si="288"/>
        <v>0</v>
      </c>
      <c r="Y239">
        <f t="shared" si="289"/>
        <v>6890.0000000001592</v>
      </c>
      <c r="Z239">
        <f t="shared" si="290"/>
        <v>-5434.9999999998845</v>
      </c>
      <c r="AA239">
        <f t="shared" si="291"/>
        <v>6000.00000000005</v>
      </c>
      <c r="AB239">
        <f t="shared" si="292"/>
        <v>-18256.000000000015</v>
      </c>
      <c r="AC239">
        <f t="shared" si="293"/>
        <v>8892.0000000000073</v>
      </c>
      <c r="AD239">
        <f t="shared" si="294"/>
        <v>402176.00000000035</v>
      </c>
      <c r="AE239">
        <f t="shared" si="295"/>
        <v>-4.0000000000000036</v>
      </c>
      <c r="AF239">
        <f t="shared" si="296"/>
        <v>-150969.00000000125</v>
      </c>
      <c r="AG239">
        <f t="shared" si="297"/>
        <v>-50646.000000001171</v>
      </c>
      <c r="AH239">
        <f t="shared" si="298"/>
        <v>-2.0000000000000462</v>
      </c>
      <c r="AI239">
        <f t="shared" si="299"/>
        <v>-1.5152743788525695</v>
      </c>
      <c r="AJ239">
        <f t="shared" si="300"/>
        <v>-8422.0663102501912</v>
      </c>
      <c r="AK239">
        <f t="shared" si="301"/>
        <v>37445.128689682031</v>
      </c>
      <c r="AL239">
        <f t="shared" si="302"/>
        <v>20444.324432250287</v>
      </c>
      <c r="AM239" s="1">
        <f t="shared" si="303"/>
        <v>253584.22099806563</v>
      </c>
      <c r="AN239" s="1">
        <f t="shared" si="280"/>
        <v>499473.09253536718</v>
      </c>
      <c r="AO239">
        <f t="shared" si="281"/>
        <v>-3.8354702001450791</v>
      </c>
      <c r="AP239">
        <f t="shared" si="282"/>
        <v>4.8296175380851585</v>
      </c>
    </row>
    <row r="240" spans="1:42" x14ac:dyDescent="0.25">
      <c r="A240" s="4">
        <v>45749</v>
      </c>
      <c r="B240">
        <f t="shared" ref="B240:N240" si="346">(B790-B789)*100</f>
        <v>0</v>
      </c>
      <c r="C240">
        <f t="shared" si="346"/>
        <v>0</v>
      </c>
      <c r="D240">
        <f t="shared" si="346"/>
        <v>0</v>
      </c>
      <c r="E240">
        <f t="shared" si="346"/>
        <v>0.99999999999997868</v>
      </c>
      <c r="F240">
        <f t="shared" si="346"/>
        <v>0</v>
      </c>
      <c r="G240">
        <f t="shared" si="346"/>
        <v>2.0000000000000462</v>
      </c>
      <c r="H240">
        <f t="shared" si="346"/>
        <v>2.0000000000000018</v>
      </c>
      <c r="I240">
        <f t="shared" si="346"/>
        <v>4.0000000000000036</v>
      </c>
      <c r="J240">
        <f t="shared" si="346"/>
        <v>4.9999999999999822</v>
      </c>
      <c r="K240">
        <f t="shared" si="346"/>
        <v>5.9999999999999609</v>
      </c>
      <c r="L240">
        <f t="shared" si="346"/>
        <v>6.0000000000000497</v>
      </c>
      <c r="M240">
        <f t="shared" si="346"/>
        <v>6.0000000000000497</v>
      </c>
      <c r="N240">
        <f t="shared" si="346"/>
        <v>7.0000000000000284</v>
      </c>
      <c r="O240" s="5">
        <f t="shared" si="341"/>
        <v>-2.2374612843235552E-3</v>
      </c>
      <c r="P240" s="5">
        <f t="shared" si="341"/>
        <v>1.5780378992190812E-3</v>
      </c>
      <c r="Q240" s="5">
        <f t="shared" si="341"/>
        <v>-7.1498448685443344E-3</v>
      </c>
      <c r="R240" s="5">
        <f t="shared" si="341"/>
        <v>-1.0893247264549934E-3</v>
      </c>
      <c r="S240" s="5">
        <f t="shared" si="341"/>
        <v>6.0065836031405907E-3</v>
      </c>
      <c r="U240" s="4">
        <v>45749</v>
      </c>
      <c r="V240">
        <f t="shared" si="286"/>
        <v>0</v>
      </c>
      <c r="W240">
        <f t="shared" si="287"/>
        <v>0</v>
      </c>
      <c r="X240">
        <f t="shared" si="288"/>
        <v>0</v>
      </c>
      <c r="Y240">
        <f t="shared" si="289"/>
        <v>-3444.9999999999268</v>
      </c>
      <c r="Z240">
        <f t="shared" si="290"/>
        <v>0</v>
      </c>
      <c r="AA240">
        <f t="shared" si="291"/>
        <v>-4000.0000000000923</v>
      </c>
      <c r="AB240">
        <f t="shared" si="292"/>
        <v>9128.0000000000073</v>
      </c>
      <c r="AC240">
        <f t="shared" si="293"/>
        <v>-8892.0000000000073</v>
      </c>
      <c r="AD240">
        <f t="shared" si="294"/>
        <v>-502719.9999999982</v>
      </c>
      <c r="AE240">
        <f t="shared" si="295"/>
        <v>5.9999999999999609</v>
      </c>
      <c r="AF240">
        <f t="shared" si="296"/>
        <v>301938.0000000025</v>
      </c>
      <c r="AG240">
        <f t="shared" si="297"/>
        <v>151938.00000000125</v>
      </c>
      <c r="AH240">
        <f t="shared" si="298"/>
        <v>7.0000000000000284</v>
      </c>
      <c r="AI240">
        <f t="shared" si="299"/>
        <v>-0.22374612843235553</v>
      </c>
      <c r="AJ240">
        <f t="shared" si="300"/>
        <v>-15780.378992190812</v>
      </c>
      <c r="AK240">
        <f t="shared" si="301"/>
        <v>-71498.448685443349</v>
      </c>
      <c r="AL240">
        <f t="shared" si="302"/>
        <v>27233.118161374834</v>
      </c>
      <c r="AM240" s="1">
        <f t="shared" si="303"/>
        <v>-60065.83603140591</v>
      </c>
      <c r="AN240" s="1">
        <f t="shared" si="280"/>
        <v>-176151.76929378812</v>
      </c>
      <c r="AO240">
        <f t="shared" si="281"/>
        <v>-1.5423778157083838</v>
      </c>
      <c r="AP240">
        <f t="shared" si="282"/>
        <v>4.8329480675656651</v>
      </c>
    </row>
    <row r="241" spans="1:42" x14ac:dyDescent="0.25">
      <c r="A241" s="4">
        <v>45748</v>
      </c>
      <c r="B241">
        <f t="shared" ref="B241:N241" si="347">(B791-B790)*100</f>
        <v>0</v>
      </c>
      <c r="C241">
        <f t="shared" si="347"/>
        <v>0</v>
      </c>
      <c r="D241">
        <f t="shared" si="347"/>
        <v>0.99999999999997868</v>
      </c>
      <c r="E241">
        <f t="shared" si="347"/>
        <v>-0.99999999999997868</v>
      </c>
      <c r="F241">
        <f t="shared" si="347"/>
        <v>2.9999999999999361</v>
      </c>
      <c r="G241">
        <f t="shared" si="347"/>
        <v>0.99999999999997868</v>
      </c>
      <c r="H241">
        <f t="shared" si="347"/>
        <v>0</v>
      </c>
      <c r="I241">
        <f t="shared" si="347"/>
        <v>2.0000000000000018</v>
      </c>
      <c r="J241">
        <f t="shared" si="347"/>
        <v>2.0000000000000018</v>
      </c>
      <c r="K241">
        <f t="shared" si="347"/>
        <v>2.0000000000000462</v>
      </c>
      <c r="L241">
        <f t="shared" si="347"/>
        <v>3.9999999999999147</v>
      </c>
      <c r="M241">
        <f t="shared" si="347"/>
        <v>3.0000000000000249</v>
      </c>
      <c r="N241">
        <f t="shared" si="347"/>
        <v>4.9999999999999822</v>
      </c>
      <c r="O241" s="5">
        <f t="shared" si="341"/>
        <v>-6.4822402806063752E-3</v>
      </c>
      <c r="P241" s="5">
        <f t="shared" si="341"/>
        <v>-8.1285154146893204E-3</v>
      </c>
      <c r="Q241" s="5">
        <f t="shared" si="341"/>
        <v>7.340081502352218E-3</v>
      </c>
      <c r="R241" s="5">
        <f t="shared" si="341"/>
        <v>-5.4421770050680615E-4</v>
      </c>
      <c r="S241" s="5">
        <f t="shared" si="341"/>
        <v>-6.241210644983391E-3</v>
      </c>
      <c r="U241" s="4">
        <v>45748</v>
      </c>
      <c r="V241">
        <f t="shared" si="286"/>
        <v>0</v>
      </c>
      <c r="W241">
        <f t="shared" si="287"/>
        <v>0</v>
      </c>
      <c r="X241">
        <f t="shared" si="288"/>
        <v>4589.9999999999018</v>
      </c>
      <c r="Y241">
        <f t="shared" si="289"/>
        <v>3444.9999999999268</v>
      </c>
      <c r="Z241">
        <f t="shared" si="290"/>
        <v>16304.999999999653</v>
      </c>
      <c r="AA241">
        <f t="shared" si="291"/>
        <v>-1999.9999999999573</v>
      </c>
      <c r="AB241">
        <f t="shared" si="292"/>
        <v>0</v>
      </c>
      <c r="AC241">
        <f t="shared" si="293"/>
        <v>-4446.0000000000036</v>
      </c>
      <c r="AD241">
        <f t="shared" si="294"/>
        <v>-201088.00000000017</v>
      </c>
      <c r="AE241">
        <f t="shared" si="295"/>
        <v>2.0000000000000462</v>
      </c>
      <c r="AF241">
        <f t="shared" si="296"/>
        <v>201291.99999999572</v>
      </c>
      <c r="AG241">
        <f t="shared" si="297"/>
        <v>75969.000000000626</v>
      </c>
      <c r="AH241">
        <f t="shared" si="298"/>
        <v>4.9999999999999822</v>
      </c>
      <c r="AI241">
        <f t="shared" si="299"/>
        <v>-0.6482240280606375</v>
      </c>
      <c r="AJ241">
        <f t="shared" si="300"/>
        <v>81285.154146893197</v>
      </c>
      <c r="AK241">
        <f t="shared" si="301"/>
        <v>73400.815023522184</v>
      </c>
      <c r="AL241">
        <f t="shared" si="302"/>
        <v>13605.442512670154</v>
      </c>
      <c r="AM241" s="1">
        <f t="shared" si="303"/>
        <v>62412.106449833911</v>
      </c>
      <c r="AN241" s="1">
        <f t="shared" si="280"/>
        <v>324776.86990888708</v>
      </c>
      <c r="AO241">
        <f t="shared" si="281"/>
        <v>-2.3295123409153353</v>
      </c>
      <c r="AP241">
        <f t="shared" si="282"/>
        <v>4.8511248109881953</v>
      </c>
    </row>
    <row r="242" spans="1:42" x14ac:dyDescent="0.25">
      <c r="A242" s="4">
        <v>45747</v>
      </c>
      <c r="B242">
        <f t="shared" ref="B242:N242" si="348">(B792-B791)*100</f>
        <v>-0.99999999999997868</v>
      </c>
      <c r="C242">
        <f t="shared" si="348"/>
        <v>1.0000000000000675</v>
      </c>
      <c r="D242">
        <f t="shared" si="348"/>
        <v>0</v>
      </c>
      <c r="E242">
        <f t="shared" si="348"/>
        <v>0.99999999999997868</v>
      </c>
      <c r="F242">
        <f t="shared" si="348"/>
        <v>0.99999999999997868</v>
      </c>
      <c r="G242">
        <f t="shared" si="348"/>
        <v>5.9999999999999609</v>
      </c>
      <c r="H242">
        <f t="shared" si="348"/>
        <v>8.0000000000000071</v>
      </c>
      <c r="I242">
        <f t="shared" si="348"/>
        <v>8.9999999999999858</v>
      </c>
      <c r="J242">
        <f t="shared" si="348"/>
        <v>10.999999999999988</v>
      </c>
      <c r="K242">
        <f t="shared" si="348"/>
        <v>12.000000000000011</v>
      </c>
      <c r="L242">
        <f t="shared" si="348"/>
        <v>11.000000000000032</v>
      </c>
      <c r="M242">
        <f t="shared" si="348"/>
        <v>9.9999999999999645</v>
      </c>
      <c r="N242">
        <f t="shared" si="348"/>
        <v>9.0000000000000746</v>
      </c>
      <c r="O242" s="5">
        <f t="shared" si="341"/>
        <v>-4.1364027137684957E-3</v>
      </c>
      <c r="P242" s="5">
        <f t="shared" si="341"/>
        <v>-4.4623223199317845E-3</v>
      </c>
      <c r="Q242" s="5">
        <f t="shared" si="341"/>
        <v>1.528373335103086E-2</v>
      </c>
      <c r="R242" s="5">
        <f t="shared" si="341"/>
        <v>5.1820653261964124E-3</v>
      </c>
      <c r="S242" s="5">
        <f t="shared" si="341"/>
        <v>2.1283214116564948E-3</v>
      </c>
      <c r="U242" s="4">
        <v>45747</v>
      </c>
      <c r="V242">
        <f t="shared" si="286"/>
        <v>3999.9999999999145</v>
      </c>
      <c r="W242">
        <f t="shared" si="287"/>
        <v>-2223.0000000001501</v>
      </c>
      <c r="X242">
        <f t="shared" si="288"/>
        <v>0</v>
      </c>
      <c r="Y242">
        <f t="shared" si="289"/>
        <v>-3444.9999999999268</v>
      </c>
      <c r="Z242">
        <f t="shared" si="290"/>
        <v>5434.9999999998845</v>
      </c>
      <c r="AA242">
        <f t="shared" si="291"/>
        <v>-11999.999999999922</v>
      </c>
      <c r="AB242">
        <f t="shared" si="292"/>
        <v>36512.000000000029</v>
      </c>
      <c r="AC242">
        <f t="shared" si="293"/>
        <v>-20006.999999999967</v>
      </c>
      <c r="AD242">
        <f t="shared" si="294"/>
        <v>-1105983.9999999988</v>
      </c>
      <c r="AE242">
        <f t="shared" si="295"/>
        <v>12.000000000000011</v>
      </c>
      <c r="AF242">
        <f t="shared" si="296"/>
        <v>553553.00000000163</v>
      </c>
      <c r="AG242">
        <f t="shared" si="297"/>
        <v>253229.9999999991</v>
      </c>
      <c r="AH242">
        <f t="shared" si="298"/>
        <v>9.0000000000000746</v>
      </c>
      <c r="AI242">
        <f t="shared" si="299"/>
        <v>-0.41364027137684956</v>
      </c>
      <c r="AJ242">
        <f t="shared" si="300"/>
        <v>44623.223199317843</v>
      </c>
      <c r="AK242">
        <f t="shared" si="301"/>
        <v>152837.33351030858</v>
      </c>
      <c r="AL242">
        <f t="shared" si="302"/>
        <v>-129551.63315491031</v>
      </c>
      <c r="AM242" s="1">
        <f t="shared" si="303"/>
        <v>-21283.214116564948</v>
      </c>
      <c r="AN242" s="1">
        <f t="shared" si="280"/>
        <v>-244282.70420211856</v>
      </c>
      <c r="AO242">
        <f t="shared" si="281"/>
        <v>-0.10644735298477048</v>
      </c>
      <c r="AP242">
        <f t="shared" si="282"/>
        <v>4.884137877406113</v>
      </c>
    </row>
    <row r="243" spans="1:42" x14ac:dyDescent="0.25">
      <c r="A243" s="4">
        <v>45744</v>
      </c>
      <c r="B243">
        <f t="shared" ref="B243:N243" si="349">(B793-B792)*100</f>
        <v>-0.99999999999997868</v>
      </c>
      <c r="C243">
        <f t="shared" si="349"/>
        <v>-3.0000000000000249</v>
      </c>
      <c r="D243">
        <f t="shared" si="349"/>
        <v>0</v>
      </c>
      <c r="E243">
        <f t="shared" si="349"/>
        <v>0</v>
      </c>
      <c r="F243">
        <f t="shared" si="349"/>
        <v>-0.99999999999997868</v>
      </c>
      <c r="G243">
        <f t="shared" si="349"/>
        <v>0</v>
      </c>
      <c r="H243">
        <f t="shared" si="349"/>
        <v>0.99999999999997868</v>
      </c>
      <c r="I243">
        <f t="shared" si="349"/>
        <v>0.99999999999997868</v>
      </c>
      <c r="J243">
        <f t="shared" si="349"/>
        <v>-0.99999999999997868</v>
      </c>
      <c r="K243">
        <f t="shared" si="349"/>
        <v>-1.0000000000000675</v>
      </c>
      <c r="L243">
        <f t="shared" si="349"/>
        <v>-3.0000000000000249</v>
      </c>
      <c r="M243">
        <f t="shared" si="349"/>
        <v>-4.0000000000000036</v>
      </c>
      <c r="N243">
        <f t="shared" si="349"/>
        <v>-4.0000000000000036</v>
      </c>
      <c r="O243" s="5">
        <f t="shared" si="341"/>
        <v>3.2311889693037534E-3</v>
      </c>
      <c r="P243" s="5">
        <f t="shared" si="341"/>
        <v>6.6889881507967101E-3</v>
      </c>
      <c r="Q243" s="5">
        <f t="shared" si="341"/>
        <v>1.1626217866447824E-2</v>
      </c>
      <c r="R243" s="5">
        <f t="shared" si="341"/>
        <v>4.9342205372214778E-3</v>
      </c>
      <c r="S243" s="5">
        <f t="shared" si="341"/>
        <v>5.525377933255614E-3</v>
      </c>
      <c r="U243" s="4">
        <v>45744</v>
      </c>
      <c r="V243">
        <f t="shared" si="286"/>
        <v>3999.9999999999145</v>
      </c>
      <c r="W243">
        <f t="shared" si="287"/>
        <v>6669.0000000000555</v>
      </c>
      <c r="X243">
        <f t="shared" si="288"/>
        <v>0</v>
      </c>
      <c r="Y243">
        <f t="shared" si="289"/>
        <v>0</v>
      </c>
      <c r="Z243">
        <f t="shared" si="290"/>
        <v>-5434.9999999998845</v>
      </c>
      <c r="AA243">
        <f t="shared" si="291"/>
        <v>0</v>
      </c>
      <c r="AB243">
        <f t="shared" si="292"/>
        <v>4563.9999999999027</v>
      </c>
      <c r="AC243">
        <f t="shared" si="293"/>
        <v>-2222.9999999999527</v>
      </c>
      <c r="AD243">
        <f t="shared" si="294"/>
        <v>100543.99999999786</v>
      </c>
      <c r="AE243">
        <f t="shared" si="295"/>
        <v>-1.0000000000000675</v>
      </c>
      <c r="AF243">
        <f t="shared" si="296"/>
        <v>-150969.00000000125</v>
      </c>
      <c r="AG243">
        <f t="shared" si="297"/>
        <v>-101292.00000000009</v>
      </c>
      <c r="AH243">
        <f t="shared" si="298"/>
        <v>-4.0000000000000036</v>
      </c>
      <c r="AI243">
        <f t="shared" si="299"/>
        <v>0.32311889693037532</v>
      </c>
      <c r="AJ243">
        <f t="shared" si="300"/>
        <v>-66889.881507967104</v>
      </c>
      <c r="AK243">
        <f t="shared" si="301"/>
        <v>116262.17866447824</v>
      </c>
      <c r="AL243">
        <f t="shared" si="302"/>
        <v>-123355.51343053694</v>
      </c>
      <c r="AM243" s="1">
        <f t="shared" si="303"/>
        <v>-55253.779332556143</v>
      </c>
      <c r="AN243" s="1">
        <f t="shared" si="280"/>
        <v>-273383.67248768843</v>
      </c>
      <c r="AO243">
        <f t="shared" si="281"/>
        <v>-0.2903855428900195</v>
      </c>
      <c r="AP243">
        <f t="shared" si="282"/>
        <v>4.8731365933178461</v>
      </c>
    </row>
    <row r="244" spans="1:42" x14ac:dyDescent="0.25">
      <c r="A244" s="4">
        <v>45743</v>
      </c>
      <c r="B244">
        <f t="shared" ref="B244:N244" si="350">(B794-B793)*100</f>
        <v>0</v>
      </c>
      <c r="C244">
        <f t="shared" si="350"/>
        <v>0</v>
      </c>
      <c r="D244">
        <f t="shared" si="350"/>
        <v>0</v>
      </c>
      <c r="E244">
        <f t="shared" si="350"/>
        <v>-0.99999999999997868</v>
      </c>
      <c r="F244">
        <f t="shared" si="350"/>
        <v>0</v>
      </c>
      <c r="G244">
        <f t="shared" si="350"/>
        <v>-0.99999999999997868</v>
      </c>
      <c r="H244">
        <f t="shared" si="350"/>
        <v>-2.0000000000000018</v>
      </c>
      <c r="I244">
        <f t="shared" si="350"/>
        <v>-2.9999999999999805</v>
      </c>
      <c r="J244">
        <f t="shared" si="350"/>
        <v>-0.99999999999997868</v>
      </c>
      <c r="K244">
        <f t="shared" si="350"/>
        <v>-2.9999999999999361</v>
      </c>
      <c r="L244">
        <f t="shared" si="350"/>
        <v>-4.0000000000000036</v>
      </c>
      <c r="M244">
        <f t="shared" si="350"/>
        <v>-4.0000000000000036</v>
      </c>
      <c r="N244">
        <f t="shared" si="350"/>
        <v>-4.0000000000000036</v>
      </c>
      <c r="O244" s="5">
        <f t="shared" si="341"/>
        <v>3.0671128726620298E-3</v>
      </c>
      <c r="P244" s="5">
        <f t="shared" si="341"/>
        <v>1.0118130165584686E-2</v>
      </c>
      <c r="Q244" s="5">
        <f t="shared" si="341"/>
        <v>1.1516107525106089E-3</v>
      </c>
      <c r="R244" s="5">
        <f t="shared" si="341"/>
        <v>5.4975262517081586E-4</v>
      </c>
      <c r="S244" s="5">
        <f t="shared" si="341"/>
        <v>8.2786924333257302E-3</v>
      </c>
      <c r="U244" s="4">
        <v>45743</v>
      </c>
      <c r="V244">
        <f t="shared" si="286"/>
        <v>0</v>
      </c>
      <c r="W244">
        <f t="shared" si="287"/>
        <v>0</v>
      </c>
      <c r="X244">
        <f t="shared" si="288"/>
        <v>0</v>
      </c>
      <c r="Y244">
        <f t="shared" si="289"/>
        <v>3444.9999999999268</v>
      </c>
      <c r="Z244">
        <f t="shared" si="290"/>
        <v>0</v>
      </c>
      <c r="AA244">
        <f t="shared" si="291"/>
        <v>1999.9999999999573</v>
      </c>
      <c r="AB244">
        <f t="shared" si="292"/>
        <v>-9128.0000000000073</v>
      </c>
      <c r="AC244">
        <f t="shared" si="293"/>
        <v>6668.9999999999563</v>
      </c>
      <c r="AD244">
        <f t="shared" si="294"/>
        <v>100543.99999999786</v>
      </c>
      <c r="AE244">
        <f t="shared" si="295"/>
        <v>-2.9999999999999361</v>
      </c>
      <c r="AF244">
        <f t="shared" si="296"/>
        <v>-201292.00000000017</v>
      </c>
      <c r="AG244">
        <f t="shared" si="297"/>
        <v>-101292.00000000009</v>
      </c>
      <c r="AH244">
        <f t="shared" si="298"/>
        <v>-4.0000000000000036</v>
      </c>
      <c r="AI244">
        <f t="shared" si="299"/>
        <v>0.306711287266203</v>
      </c>
      <c r="AJ244">
        <f t="shared" si="300"/>
        <v>-101181.30165584687</v>
      </c>
      <c r="AK244">
        <f t="shared" si="301"/>
        <v>11516.107525106088</v>
      </c>
      <c r="AL244">
        <f t="shared" si="302"/>
        <v>-13743.815629270397</v>
      </c>
      <c r="AM244" s="1">
        <f t="shared" si="303"/>
        <v>-82786.924333257295</v>
      </c>
      <c r="AN244" s="1">
        <f t="shared" si="280"/>
        <v>-385256.62738198374</v>
      </c>
      <c r="AO244">
        <f t="shared" si="281"/>
        <v>1.0226076771541899</v>
      </c>
      <c r="AP244">
        <f t="shared" si="282"/>
        <v>4.9037823216506631</v>
      </c>
    </row>
    <row r="245" spans="1:42" x14ac:dyDescent="0.25">
      <c r="A245" s="4">
        <v>45742</v>
      </c>
      <c r="B245">
        <f t="shared" ref="B245:N245" si="351">(B795-B794)*100</f>
        <v>-1.0000000000000675</v>
      </c>
      <c r="C245">
        <f t="shared" si="351"/>
        <v>0.99999999999997868</v>
      </c>
      <c r="D245">
        <f t="shared" si="351"/>
        <v>0</v>
      </c>
      <c r="E245">
        <f t="shared" si="351"/>
        <v>0</v>
      </c>
      <c r="F245">
        <f t="shared" si="351"/>
        <v>0.99999999999997868</v>
      </c>
      <c r="G245">
        <f t="shared" si="351"/>
        <v>2.0000000000000462</v>
      </c>
      <c r="H245">
        <f t="shared" si="351"/>
        <v>8.0000000000000071</v>
      </c>
      <c r="I245">
        <f t="shared" si="351"/>
        <v>2.9999999999999805</v>
      </c>
      <c r="J245">
        <f t="shared" si="351"/>
        <v>1.9999999999999574</v>
      </c>
      <c r="K245">
        <f t="shared" si="351"/>
        <v>2.9999999999999361</v>
      </c>
      <c r="L245">
        <f t="shared" si="351"/>
        <v>3.0000000000000249</v>
      </c>
      <c r="M245">
        <f t="shared" si="351"/>
        <v>0.99999999999997868</v>
      </c>
      <c r="N245">
        <f t="shared" si="351"/>
        <v>0.99999999999997868</v>
      </c>
      <c r="O245" s="5">
        <f t="shared" ref="O245:S254" si="352">LN(O794/O795)</f>
        <v>5.3550931235119316E-3</v>
      </c>
      <c r="P245" s="5">
        <f t="shared" si="352"/>
        <v>6.0716640685497736E-3</v>
      </c>
      <c r="Q245" s="5">
        <f t="shared" si="352"/>
        <v>-7.0301914932913096E-3</v>
      </c>
      <c r="R245" s="5">
        <f t="shared" si="352"/>
        <v>1.3757052658050634E-3</v>
      </c>
      <c r="S245" s="5">
        <f t="shared" si="352"/>
        <v>3.3327560880214505E-3</v>
      </c>
      <c r="U245" s="4">
        <v>45742</v>
      </c>
      <c r="V245">
        <f t="shared" si="286"/>
        <v>4000.0000000002701</v>
      </c>
      <c r="W245">
        <f t="shared" si="287"/>
        <v>-2222.9999999999527</v>
      </c>
      <c r="X245">
        <f t="shared" si="288"/>
        <v>0</v>
      </c>
      <c r="Y245">
        <f t="shared" si="289"/>
        <v>0</v>
      </c>
      <c r="Z245">
        <f t="shared" si="290"/>
        <v>5434.9999999998845</v>
      </c>
      <c r="AA245">
        <f t="shared" si="291"/>
        <v>-4000.0000000000923</v>
      </c>
      <c r="AB245">
        <f t="shared" si="292"/>
        <v>36512.000000000029</v>
      </c>
      <c r="AC245">
        <f t="shared" si="293"/>
        <v>-6668.9999999999563</v>
      </c>
      <c r="AD245">
        <f t="shared" si="294"/>
        <v>-201087.99999999572</v>
      </c>
      <c r="AE245">
        <f t="shared" si="295"/>
        <v>2.9999999999999361</v>
      </c>
      <c r="AF245">
        <f t="shared" si="296"/>
        <v>150969.00000000125</v>
      </c>
      <c r="AG245">
        <f t="shared" si="297"/>
        <v>25322.999999999462</v>
      </c>
      <c r="AH245">
        <f t="shared" si="298"/>
        <v>0.99999999999997868</v>
      </c>
      <c r="AI245">
        <f t="shared" si="299"/>
        <v>0.53550931235119315</v>
      </c>
      <c r="AJ245">
        <f t="shared" si="300"/>
        <v>-60716.640685497732</v>
      </c>
      <c r="AK245">
        <f t="shared" si="301"/>
        <v>-70301.914932913089</v>
      </c>
      <c r="AL245">
        <f t="shared" si="302"/>
        <v>-34392.631645126581</v>
      </c>
      <c r="AM245" s="1">
        <f t="shared" si="303"/>
        <v>-33327.560880214507</v>
      </c>
      <c r="AN245" s="1">
        <f t="shared" si="280"/>
        <v>-190475.2126344344</v>
      </c>
      <c r="AO245">
        <f t="shared" si="281"/>
        <v>-1.5132136486650856</v>
      </c>
      <c r="AP245">
        <f t="shared" si="282"/>
        <v>4.8908576084675692</v>
      </c>
    </row>
    <row r="246" spans="1:42" x14ac:dyDescent="0.25">
      <c r="A246" s="4">
        <v>45741</v>
      </c>
      <c r="B246">
        <f t="shared" ref="B246:N246" si="353">(B796-B795)*100</f>
        <v>1.0000000000000675</v>
      </c>
      <c r="C246">
        <f t="shared" si="353"/>
        <v>-0.99999999999997868</v>
      </c>
      <c r="D246">
        <f t="shared" si="353"/>
        <v>0</v>
      </c>
      <c r="E246">
        <f t="shared" si="353"/>
        <v>-0.99999999999997868</v>
      </c>
      <c r="F246">
        <f t="shared" si="353"/>
        <v>-0.99999999999997868</v>
      </c>
      <c r="G246">
        <f t="shared" si="353"/>
        <v>-7.0000000000000284</v>
      </c>
      <c r="H246">
        <f t="shared" si="353"/>
        <v>-10.000000000000009</v>
      </c>
      <c r="I246">
        <f t="shared" si="353"/>
        <v>-8.9999999999999858</v>
      </c>
      <c r="J246">
        <f t="shared" si="353"/>
        <v>-8.9999999999999858</v>
      </c>
      <c r="K246">
        <f t="shared" si="353"/>
        <v>-9.9999999999999645</v>
      </c>
      <c r="L246">
        <f t="shared" si="353"/>
        <v>-8.9999999999999858</v>
      </c>
      <c r="M246">
        <f t="shared" si="353"/>
        <v>-8.0000000000000071</v>
      </c>
      <c r="N246">
        <f t="shared" si="353"/>
        <v>-7.0000000000000284</v>
      </c>
      <c r="O246" s="5">
        <f t="shared" si="352"/>
        <v>-7.1860365706211907E-3</v>
      </c>
      <c r="P246" s="5">
        <f t="shared" si="352"/>
        <v>-9.4557620527904417E-3</v>
      </c>
      <c r="Q246" s="5">
        <f t="shared" si="352"/>
        <v>-6.1661167630831602E-3</v>
      </c>
      <c r="R246" s="5">
        <f t="shared" si="352"/>
        <v>-4.3956114730381093E-3</v>
      </c>
      <c r="S246" s="5">
        <f t="shared" si="352"/>
        <v>5.6318795768002408E-4</v>
      </c>
      <c r="U246" s="4">
        <v>45741</v>
      </c>
      <c r="V246">
        <f t="shared" si="286"/>
        <v>-4000.0000000002701</v>
      </c>
      <c r="W246">
        <f t="shared" si="287"/>
        <v>2222.9999999999527</v>
      </c>
      <c r="X246">
        <f t="shared" si="288"/>
        <v>0</v>
      </c>
      <c r="Y246">
        <f t="shared" si="289"/>
        <v>3444.9999999999268</v>
      </c>
      <c r="Z246">
        <f t="shared" si="290"/>
        <v>-5434.9999999998845</v>
      </c>
      <c r="AA246">
        <f t="shared" si="291"/>
        <v>14000.000000000056</v>
      </c>
      <c r="AB246">
        <f t="shared" si="292"/>
        <v>-45640.000000000044</v>
      </c>
      <c r="AC246">
        <f t="shared" si="293"/>
        <v>20006.999999999967</v>
      </c>
      <c r="AD246">
        <f t="shared" si="294"/>
        <v>904895.9999999986</v>
      </c>
      <c r="AE246">
        <f t="shared" si="295"/>
        <v>-9.9999999999999645</v>
      </c>
      <c r="AF246">
        <f t="shared" si="296"/>
        <v>-452906.9999999993</v>
      </c>
      <c r="AG246">
        <f t="shared" si="297"/>
        <v>-202584.00000000017</v>
      </c>
      <c r="AH246">
        <f t="shared" si="298"/>
        <v>-7.0000000000000284</v>
      </c>
      <c r="AI246">
        <f t="shared" si="299"/>
        <v>-0.71860365706211904</v>
      </c>
      <c r="AJ246">
        <f t="shared" si="300"/>
        <v>94557.620527904422</v>
      </c>
      <c r="AK246">
        <f t="shared" si="301"/>
        <v>-61661.167630831602</v>
      </c>
      <c r="AL246">
        <f t="shared" si="302"/>
        <v>109890.28682595273</v>
      </c>
      <c r="AM246" s="1">
        <f t="shared" si="303"/>
        <v>-5631.879576800241</v>
      </c>
      <c r="AN246" s="1">
        <f t="shared" si="280"/>
        <v>371142.141542567</v>
      </c>
      <c r="AO246">
        <f t="shared" si="281"/>
        <v>-3.1379048574904229</v>
      </c>
      <c r="AP246">
        <f t="shared" si="282"/>
        <v>4.9018813157716066</v>
      </c>
    </row>
    <row r="247" spans="1:42" x14ac:dyDescent="0.25">
      <c r="A247" s="4">
        <v>45740</v>
      </c>
      <c r="B247">
        <f t="shared" ref="B247:N247" si="354">(B797-B796)*100</f>
        <v>0</v>
      </c>
      <c r="C247">
        <f t="shared" si="354"/>
        <v>0.99999999999997868</v>
      </c>
      <c r="D247">
        <f t="shared" si="354"/>
        <v>0</v>
      </c>
      <c r="E247">
        <f t="shared" si="354"/>
        <v>0</v>
      </c>
      <c r="F247">
        <f t="shared" si="354"/>
        <v>0.99999999999997868</v>
      </c>
      <c r="G247">
        <f t="shared" si="354"/>
        <v>1.9999999999999574</v>
      </c>
      <c r="H247">
        <f t="shared" si="354"/>
        <v>1.0000000000000231</v>
      </c>
      <c r="I247">
        <f t="shared" si="354"/>
        <v>1.0000000000000231</v>
      </c>
      <c r="J247">
        <f t="shared" si="354"/>
        <v>0.99999999999997868</v>
      </c>
      <c r="K247">
        <f t="shared" si="354"/>
        <v>0</v>
      </c>
      <c r="L247">
        <f t="shared" si="354"/>
        <v>-0.99999999999997868</v>
      </c>
      <c r="M247">
        <f t="shared" si="354"/>
        <v>-2.9999999999999361</v>
      </c>
      <c r="N247">
        <f t="shared" si="354"/>
        <v>-4.0000000000000036</v>
      </c>
      <c r="O247" s="5">
        <f t="shared" si="352"/>
        <v>2.8262898486860464E-3</v>
      </c>
      <c r="P247" s="5">
        <f t="shared" si="352"/>
        <v>0</v>
      </c>
      <c r="Q247" s="5">
        <f t="shared" si="352"/>
        <v>6.4468094280517767E-3</v>
      </c>
      <c r="R247" s="5">
        <f t="shared" si="352"/>
        <v>4.1203189730200703E-3</v>
      </c>
      <c r="S247" s="5">
        <f t="shared" si="352"/>
        <v>-9.0225728208824831E-3</v>
      </c>
      <c r="U247" s="4">
        <v>45740</v>
      </c>
      <c r="V247">
        <f t="shared" si="286"/>
        <v>0</v>
      </c>
      <c r="W247">
        <f t="shared" si="287"/>
        <v>-2222.9999999999527</v>
      </c>
      <c r="X247">
        <f t="shared" si="288"/>
        <v>0</v>
      </c>
      <c r="Y247">
        <f t="shared" si="289"/>
        <v>0</v>
      </c>
      <c r="Z247">
        <f t="shared" si="290"/>
        <v>5434.9999999998845</v>
      </c>
      <c r="AA247">
        <f t="shared" si="291"/>
        <v>-3999.9999999999145</v>
      </c>
      <c r="AB247">
        <f t="shared" si="292"/>
        <v>4564.0000000001055</v>
      </c>
      <c r="AC247">
        <f t="shared" si="293"/>
        <v>-2223.0000000000514</v>
      </c>
      <c r="AD247">
        <f t="shared" si="294"/>
        <v>-100543.99999999786</v>
      </c>
      <c r="AE247">
        <f t="shared" si="295"/>
        <v>0</v>
      </c>
      <c r="AF247">
        <f t="shared" si="296"/>
        <v>-50322.99999999893</v>
      </c>
      <c r="AG247">
        <f t="shared" si="297"/>
        <v>-75968.999999998385</v>
      </c>
      <c r="AH247">
        <f t="shared" si="298"/>
        <v>-4.0000000000000036</v>
      </c>
      <c r="AI247">
        <f t="shared" si="299"/>
        <v>0.28262898486860466</v>
      </c>
      <c r="AJ247">
        <f t="shared" si="300"/>
        <v>0</v>
      </c>
      <c r="AK247">
        <f t="shared" si="301"/>
        <v>64468.094280517769</v>
      </c>
      <c r="AL247">
        <f t="shared" si="302"/>
        <v>-103007.97432550175</v>
      </c>
      <c r="AM247" s="1">
        <f t="shared" si="303"/>
        <v>90225.728208824832</v>
      </c>
      <c r="AN247" s="1">
        <f t="shared" si="280"/>
        <v>-173600.86920716939</v>
      </c>
      <c r="AO247">
        <f t="shared" si="281"/>
        <v>1.6313764817679131</v>
      </c>
      <c r="AP247">
        <f t="shared" si="282"/>
        <v>4.9113363280621387</v>
      </c>
    </row>
    <row r="248" spans="1:42" x14ac:dyDescent="0.25">
      <c r="A248" s="4">
        <v>45737</v>
      </c>
      <c r="B248">
        <f t="shared" ref="B248:N248" si="355">(B798-B797)*100</f>
        <v>0.99999999999997868</v>
      </c>
      <c r="C248">
        <f t="shared" si="355"/>
        <v>-1.9999999999999574</v>
      </c>
      <c r="D248">
        <f t="shared" si="355"/>
        <v>0</v>
      </c>
      <c r="E248">
        <f t="shared" si="355"/>
        <v>0.99999999999997868</v>
      </c>
      <c r="F248">
        <f t="shared" si="355"/>
        <v>2.0000000000000462</v>
      </c>
      <c r="G248">
        <f t="shared" si="355"/>
        <v>4.0000000000000036</v>
      </c>
      <c r="H248">
        <f t="shared" si="355"/>
        <v>4.0000000000000036</v>
      </c>
      <c r="I248">
        <f t="shared" si="355"/>
        <v>2.0000000000000018</v>
      </c>
      <c r="J248">
        <f t="shared" si="355"/>
        <v>2.0000000000000462</v>
      </c>
      <c r="K248">
        <f t="shared" si="355"/>
        <v>1.9999999999999574</v>
      </c>
      <c r="L248">
        <f t="shared" si="355"/>
        <v>0.99999999999997868</v>
      </c>
      <c r="M248">
        <f t="shared" si="355"/>
        <v>0.99999999999997868</v>
      </c>
      <c r="N248">
        <f t="shared" si="355"/>
        <v>0.99999999999997868</v>
      </c>
      <c r="O248" s="5">
        <f t="shared" si="352"/>
        <v>1.0767429673636638E-2</v>
      </c>
      <c r="P248" s="5">
        <f t="shared" si="352"/>
        <v>-6.2545308535281287E-3</v>
      </c>
      <c r="Q248" s="5">
        <f t="shared" si="352"/>
        <v>9.1002900375858811E-3</v>
      </c>
      <c r="R248" s="5">
        <f t="shared" si="352"/>
        <v>2.4803650583319248E-3</v>
      </c>
      <c r="S248" s="5">
        <f t="shared" si="352"/>
        <v>4.5755565285734746E-3</v>
      </c>
      <c r="U248" s="4">
        <v>45737</v>
      </c>
      <c r="V248">
        <f t="shared" si="286"/>
        <v>-3999.9999999999145</v>
      </c>
      <c r="W248">
        <f t="shared" si="287"/>
        <v>4445.9999999999054</v>
      </c>
      <c r="X248">
        <f t="shared" si="288"/>
        <v>0</v>
      </c>
      <c r="Y248">
        <f t="shared" si="289"/>
        <v>-3444.9999999999268</v>
      </c>
      <c r="Z248">
        <f t="shared" si="290"/>
        <v>10870.000000000251</v>
      </c>
      <c r="AA248">
        <f t="shared" si="291"/>
        <v>-8000.0000000000073</v>
      </c>
      <c r="AB248">
        <f t="shared" si="292"/>
        <v>18256.000000000015</v>
      </c>
      <c r="AC248">
        <f t="shared" si="293"/>
        <v>-4446.0000000000036</v>
      </c>
      <c r="AD248">
        <f t="shared" si="294"/>
        <v>-201088.00000000466</v>
      </c>
      <c r="AE248">
        <f t="shared" si="295"/>
        <v>1.9999999999999574</v>
      </c>
      <c r="AF248">
        <f t="shared" si="296"/>
        <v>50322.99999999893</v>
      </c>
      <c r="AG248">
        <f t="shared" si="297"/>
        <v>25322.999999999462</v>
      </c>
      <c r="AH248">
        <f t="shared" si="298"/>
        <v>0.99999999999997868</v>
      </c>
      <c r="AI248">
        <f t="shared" si="299"/>
        <v>1.0767429673636637</v>
      </c>
      <c r="AJ248">
        <f t="shared" si="300"/>
        <v>62545.308535281285</v>
      </c>
      <c r="AK248">
        <f t="shared" si="301"/>
        <v>91002.900375858808</v>
      </c>
      <c r="AL248">
        <f t="shared" si="302"/>
        <v>-62009.126458298117</v>
      </c>
      <c r="AM248" s="1">
        <f t="shared" si="303"/>
        <v>-45755.565285734745</v>
      </c>
      <c r="AN248" s="1">
        <f t="shared" si="280"/>
        <v>-65973.406089931363</v>
      </c>
      <c r="AO248">
        <f t="shared" si="281"/>
        <v>-0.6934899966673953</v>
      </c>
      <c r="AP248">
        <f t="shared" si="282"/>
        <v>4.8500863348158818</v>
      </c>
    </row>
    <row r="249" spans="1:42" x14ac:dyDescent="0.25">
      <c r="A249" s="4">
        <v>45736</v>
      </c>
      <c r="B249">
        <f t="shared" ref="B249:N249" si="356">(B799-B798)*100</f>
        <v>0</v>
      </c>
      <c r="C249">
        <f t="shared" si="356"/>
        <v>0.99999999999997868</v>
      </c>
      <c r="D249">
        <f t="shared" si="356"/>
        <v>0.99999999999997868</v>
      </c>
      <c r="E249">
        <f t="shared" si="356"/>
        <v>-0.99999999999997868</v>
      </c>
      <c r="F249">
        <f t="shared" si="356"/>
        <v>0</v>
      </c>
      <c r="G249">
        <f t="shared" si="356"/>
        <v>3.0000000000000249</v>
      </c>
      <c r="H249">
        <f t="shared" si="356"/>
        <v>4.9999999999999822</v>
      </c>
      <c r="I249">
        <f t="shared" si="356"/>
        <v>5.9999999999999609</v>
      </c>
      <c r="J249">
        <f t="shared" si="356"/>
        <v>4.0000000000000036</v>
      </c>
      <c r="K249">
        <f t="shared" si="356"/>
        <v>4.0000000000000036</v>
      </c>
      <c r="L249">
        <f t="shared" si="356"/>
        <v>4.0000000000000036</v>
      </c>
      <c r="M249">
        <f t="shared" si="356"/>
        <v>3.0000000000000249</v>
      </c>
      <c r="N249">
        <f t="shared" si="356"/>
        <v>2.0000000000000462</v>
      </c>
      <c r="O249" s="5">
        <f t="shared" si="352"/>
        <v>-5.1201018076683295E-4</v>
      </c>
      <c r="P249" s="5">
        <f t="shared" si="352"/>
        <v>1.6008009821663833E-3</v>
      </c>
      <c r="Q249" s="5">
        <f t="shared" si="352"/>
        <v>-2.2879181678799734E-4</v>
      </c>
      <c r="R249" s="5">
        <f t="shared" si="352"/>
        <v>1.3806435991275908E-3</v>
      </c>
      <c r="S249" s="5">
        <f t="shared" si="352"/>
        <v>4.6813560411423554E-3</v>
      </c>
      <c r="U249" s="4">
        <v>45736</v>
      </c>
      <c r="V249">
        <f t="shared" si="286"/>
        <v>0</v>
      </c>
      <c r="W249">
        <f t="shared" si="287"/>
        <v>-2222.9999999999527</v>
      </c>
      <c r="X249">
        <f t="shared" si="288"/>
        <v>4589.9999999999018</v>
      </c>
      <c r="Y249">
        <f t="shared" si="289"/>
        <v>3444.9999999999268</v>
      </c>
      <c r="Z249">
        <f t="shared" si="290"/>
        <v>0</v>
      </c>
      <c r="AA249">
        <f t="shared" si="291"/>
        <v>-6000.00000000005</v>
      </c>
      <c r="AB249">
        <f t="shared" si="292"/>
        <v>22819.99999999992</v>
      </c>
      <c r="AC249">
        <f t="shared" si="293"/>
        <v>-13337.999999999913</v>
      </c>
      <c r="AD249">
        <f t="shared" si="294"/>
        <v>-402176.00000000035</v>
      </c>
      <c r="AE249">
        <f t="shared" si="295"/>
        <v>4.0000000000000036</v>
      </c>
      <c r="AF249">
        <f t="shared" si="296"/>
        <v>201292.00000000017</v>
      </c>
      <c r="AG249">
        <f t="shared" si="297"/>
        <v>75969.000000000626</v>
      </c>
      <c r="AH249">
        <f t="shared" si="298"/>
        <v>2.0000000000000462</v>
      </c>
      <c r="AI249">
        <f t="shared" si="299"/>
        <v>-5.1201018076683293E-2</v>
      </c>
      <c r="AJ249">
        <f t="shared" si="300"/>
        <v>-16008.009821663833</v>
      </c>
      <c r="AK249">
        <f t="shared" si="301"/>
        <v>-2287.9181678799732</v>
      </c>
      <c r="AL249">
        <f t="shared" si="302"/>
        <v>-34516.089978189768</v>
      </c>
      <c r="AM249" s="1">
        <f t="shared" si="303"/>
        <v>-46813.560411423554</v>
      </c>
      <c r="AN249" s="1">
        <f t="shared" si="280"/>
        <v>-215240.62958017495</v>
      </c>
      <c r="AO249">
        <f t="shared" si="281"/>
        <v>-0.47884631948113787</v>
      </c>
      <c r="AP249">
        <f t="shared" si="282"/>
        <v>4.9398693447624815</v>
      </c>
    </row>
    <row r="250" spans="1:42" x14ac:dyDescent="0.25">
      <c r="A250" s="4">
        <v>45735</v>
      </c>
      <c r="B250">
        <f t="shared" ref="B250:N250" si="357">(B800-B799)*100</f>
        <v>0</v>
      </c>
      <c r="C250">
        <f t="shared" si="357"/>
        <v>0</v>
      </c>
      <c r="D250">
        <f t="shared" si="357"/>
        <v>0</v>
      </c>
      <c r="E250">
        <f t="shared" si="357"/>
        <v>0.99999999999997868</v>
      </c>
      <c r="F250">
        <f t="shared" si="357"/>
        <v>0</v>
      </c>
      <c r="G250">
        <f t="shared" si="357"/>
        <v>-1.9999999999999574</v>
      </c>
      <c r="H250">
        <f t="shared" si="357"/>
        <v>1.9999999999999574</v>
      </c>
      <c r="I250">
        <f t="shared" si="357"/>
        <v>2.0000000000000462</v>
      </c>
      <c r="J250">
        <f t="shared" si="357"/>
        <v>4.0000000000000036</v>
      </c>
      <c r="K250">
        <f t="shared" si="357"/>
        <v>3.0000000000000249</v>
      </c>
      <c r="L250">
        <f t="shared" si="357"/>
        <v>1.9999999999999574</v>
      </c>
      <c r="M250">
        <f t="shared" si="357"/>
        <v>2.9999999999999361</v>
      </c>
      <c r="N250">
        <f t="shared" si="357"/>
        <v>1.9999999999999574</v>
      </c>
      <c r="O250" s="5">
        <f t="shared" si="352"/>
        <v>-3.4360359083553354E-3</v>
      </c>
      <c r="P250" s="5">
        <f t="shared" si="352"/>
        <v>1.0947626222945948E-2</v>
      </c>
      <c r="Q250" s="5">
        <f t="shared" si="352"/>
        <v>-5.8111596278634181E-3</v>
      </c>
      <c r="R250" s="5">
        <f t="shared" si="352"/>
        <v>-1.3806435991274362E-3</v>
      </c>
      <c r="S250" s="5">
        <f t="shared" si="352"/>
        <v>5.9616869247115407E-3</v>
      </c>
      <c r="U250" s="4">
        <v>45735</v>
      </c>
      <c r="V250">
        <f t="shared" si="286"/>
        <v>0</v>
      </c>
      <c r="W250">
        <f t="shared" si="287"/>
        <v>0</v>
      </c>
      <c r="X250">
        <f t="shared" si="288"/>
        <v>0</v>
      </c>
      <c r="Y250">
        <f t="shared" si="289"/>
        <v>-3444.9999999999268</v>
      </c>
      <c r="Z250">
        <f t="shared" si="290"/>
        <v>0</v>
      </c>
      <c r="AA250">
        <f t="shared" si="291"/>
        <v>3999.9999999999145</v>
      </c>
      <c r="AB250">
        <f t="shared" si="292"/>
        <v>9127.9999999998054</v>
      </c>
      <c r="AC250">
        <f t="shared" si="293"/>
        <v>-4446.0000000001028</v>
      </c>
      <c r="AD250">
        <f t="shared" si="294"/>
        <v>-402176.00000000035</v>
      </c>
      <c r="AE250">
        <f t="shared" si="295"/>
        <v>3.0000000000000249</v>
      </c>
      <c r="AF250">
        <f t="shared" si="296"/>
        <v>100645.99999999786</v>
      </c>
      <c r="AG250">
        <f t="shared" si="297"/>
        <v>75968.999999998385</v>
      </c>
      <c r="AH250">
        <f t="shared" si="298"/>
        <v>1.9999999999999574</v>
      </c>
      <c r="AI250">
        <f t="shared" si="299"/>
        <v>-0.34360359083553355</v>
      </c>
      <c r="AJ250">
        <f t="shared" si="300"/>
        <v>-109476.26222945948</v>
      </c>
      <c r="AK250">
        <f t="shared" si="301"/>
        <v>-58111.596278634184</v>
      </c>
      <c r="AL250">
        <f t="shared" si="302"/>
        <v>34516.089978185904</v>
      </c>
      <c r="AM250" s="1">
        <f t="shared" si="303"/>
        <v>-59616.869247115406</v>
      </c>
      <c r="AN250" s="1">
        <f t="shared" si="280"/>
        <v>-413007.98138061841</v>
      </c>
      <c r="AO250">
        <f t="shared" si="281"/>
        <v>-4.4241877065890352</v>
      </c>
      <c r="AP250">
        <f t="shared" si="282"/>
        <v>4.9372658791077484</v>
      </c>
    </row>
    <row r="251" spans="1:42" x14ac:dyDescent="0.25">
      <c r="A251" s="4">
        <v>45734</v>
      </c>
      <c r="B251">
        <f t="shared" ref="B251:N251" si="358">(B801-B800)*100</f>
        <v>0</v>
      </c>
      <c r="C251">
        <f t="shared" si="358"/>
        <v>0</v>
      </c>
      <c r="D251">
        <f t="shared" si="358"/>
        <v>-0.99999999999997868</v>
      </c>
      <c r="E251">
        <f t="shared" si="358"/>
        <v>0</v>
      </c>
      <c r="F251">
        <f t="shared" si="358"/>
        <v>0</v>
      </c>
      <c r="G251">
        <f t="shared" si="358"/>
        <v>-2.0000000000000462</v>
      </c>
      <c r="H251">
        <f t="shared" si="358"/>
        <v>-4.0000000000000036</v>
      </c>
      <c r="I251">
        <f t="shared" si="358"/>
        <v>-3.0000000000000249</v>
      </c>
      <c r="J251">
        <f t="shared" si="358"/>
        <v>-2.0000000000000462</v>
      </c>
      <c r="K251">
        <f t="shared" si="358"/>
        <v>-0.99999999999997868</v>
      </c>
      <c r="L251">
        <f t="shared" si="358"/>
        <v>0</v>
      </c>
      <c r="M251">
        <f t="shared" si="358"/>
        <v>1.0000000000000675</v>
      </c>
      <c r="N251">
        <f t="shared" si="358"/>
        <v>2.0000000000000462</v>
      </c>
      <c r="O251" s="5">
        <f t="shared" si="352"/>
        <v>-4.0376432916529627E-3</v>
      </c>
      <c r="P251" s="5">
        <f t="shared" si="352"/>
        <v>1.0766837003073699E-2</v>
      </c>
      <c r="Q251" s="5">
        <f t="shared" si="352"/>
        <v>-9.7431362226714068E-3</v>
      </c>
      <c r="R251" s="5">
        <f t="shared" si="352"/>
        <v>-4.6799810125635185E-3</v>
      </c>
      <c r="S251" s="5">
        <f t="shared" si="352"/>
        <v>5.519511613183986E-4</v>
      </c>
      <c r="U251" s="4">
        <v>45734</v>
      </c>
      <c r="V251">
        <f t="shared" si="286"/>
        <v>0</v>
      </c>
      <c r="W251">
        <f t="shared" si="287"/>
        <v>0</v>
      </c>
      <c r="X251">
        <f t="shared" si="288"/>
        <v>-4589.9999999999018</v>
      </c>
      <c r="Y251">
        <f t="shared" si="289"/>
        <v>0</v>
      </c>
      <c r="Z251">
        <f t="shared" si="290"/>
        <v>0</v>
      </c>
      <c r="AA251">
        <f t="shared" si="291"/>
        <v>4000.0000000000923</v>
      </c>
      <c r="AB251">
        <f t="shared" si="292"/>
        <v>-18256.000000000015</v>
      </c>
      <c r="AC251">
        <f t="shared" si="293"/>
        <v>6669.0000000000555</v>
      </c>
      <c r="AD251">
        <f t="shared" si="294"/>
        <v>201088.00000000466</v>
      </c>
      <c r="AE251">
        <f t="shared" si="295"/>
        <v>-0.99999999999997868</v>
      </c>
      <c r="AF251">
        <f t="shared" si="296"/>
        <v>0</v>
      </c>
      <c r="AG251">
        <f t="shared" si="297"/>
        <v>25323.00000000171</v>
      </c>
      <c r="AH251">
        <f t="shared" si="298"/>
        <v>2.0000000000000462</v>
      </c>
      <c r="AI251">
        <f t="shared" si="299"/>
        <v>-0.40376432916529625</v>
      </c>
      <c r="AJ251">
        <f t="shared" si="300"/>
        <v>-107668.37003073699</v>
      </c>
      <c r="AK251">
        <f t="shared" si="301"/>
        <v>-97431.362226714074</v>
      </c>
      <c r="AL251">
        <f t="shared" si="302"/>
        <v>116999.52531408796</v>
      </c>
      <c r="AM251" s="1">
        <f t="shared" si="303"/>
        <v>-5519.5116131839859</v>
      </c>
      <c r="AN251" s="1">
        <f t="shared" si="280"/>
        <v>120614.87767913037</v>
      </c>
      <c r="AO251">
        <f t="shared" si="281"/>
        <v>-0.77049640576601131</v>
      </c>
      <c r="AP251">
        <f t="shared" si="282"/>
        <v>4.9193831525396723</v>
      </c>
    </row>
    <row r="252" spans="1:42" x14ac:dyDescent="0.25">
      <c r="A252" s="4">
        <v>45733</v>
      </c>
      <c r="B252">
        <f t="shared" ref="B252:N252" si="359">(B802-B801)*100</f>
        <v>0</v>
      </c>
      <c r="C252">
        <f t="shared" si="359"/>
        <v>0.99999999999997868</v>
      </c>
      <c r="D252">
        <f t="shared" si="359"/>
        <v>0.99999999999997868</v>
      </c>
      <c r="E252">
        <f t="shared" si="359"/>
        <v>-1.9999999999999574</v>
      </c>
      <c r="F252">
        <f t="shared" si="359"/>
        <v>-2.0000000000000462</v>
      </c>
      <c r="G252">
        <f t="shared" si="359"/>
        <v>-5.9999999999999609</v>
      </c>
      <c r="H252">
        <f t="shared" si="359"/>
        <v>-7.9999999999999627</v>
      </c>
      <c r="I252">
        <f t="shared" si="359"/>
        <v>-6.999999999999984</v>
      </c>
      <c r="J252">
        <f t="shared" si="359"/>
        <v>-7.0000000000000284</v>
      </c>
      <c r="K252">
        <f t="shared" si="359"/>
        <v>-4.9999999999999822</v>
      </c>
      <c r="L252">
        <f t="shared" si="359"/>
        <v>-4.0000000000000036</v>
      </c>
      <c r="M252">
        <f t="shared" si="359"/>
        <v>-2.0000000000000462</v>
      </c>
      <c r="N252">
        <f t="shared" si="359"/>
        <v>-3.0000000000000249</v>
      </c>
      <c r="O252" s="5">
        <f t="shared" si="352"/>
        <v>-5.8867369437975679E-3</v>
      </c>
      <c r="P252" s="5">
        <f t="shared" si="352"/>
        <v>-6.5203394523856645E-3</v>
      </c>
      <c r="Q252" s="5">
        <f t="shared" si="352"/>
        <v>-8.3736123915613431E-3</v>
      </c>
      <c r="R252" s="5">
        <f t="shared" si="352"/>
        <v>-4.1112843986072321E-3</v>
      </c>
      <c r="S252" s="5">
        <f t="shared" si="352"/>
        <v>0</v>
      </c>
      <c r="U252" s="4">
        <v>45733</v>
      </c>
      <c r="V252">
        <f t="shared" si="286"/>
        <v>0</v>
      </c>
      <c r="W252">
        <f t="shared" si="287"/>
        <v>-2222.9999999999527</v>
      </c>
      <c r="X252">
        <f t="shared" si="288"/>
        <v>4589.9999999999018</v>
      </c>
      <c r="Y252">
        <f t="shared" si="289"/>
        <v>6889.9999999998536</v>
      </c>
      <c r="Z252">
        <f t="shared" si="290"/>
        <v>-10870.000000000251</v>
      </c>
      <c r="AA252">
        <f t="shared" si="291"/>
        <v>11999.999999999922</v>
      </c>
      <c r="AB252">
        <f t="shared" si="292"/>
        <v>-36511.999999999833</v>
      </c>
      <c r="AC252">
        <f t="shared" si="293"/>
        <v>15560.999999999964</v>
      </c>
      <c r="AD252">
        <f t="shared" si="294"/>
        <v>703808.00000000291</v>
      </c>
      <c r="AE252">
        <f t="shared" si="295"/>
        <v>-4.9999999999999822</v>
      </c>
      <c r="AF252">
        <f t="shared" si="296"/>
        <v>-201292.00000000017</v>
      </c>
      <c r="AG252">
        <f t="shared" si="297"/>
        <v>-50646.000000001171</v>
      </c>
      <c r="AH252">
        <f t="shared" si="298"/>
        <v>-3.0000000000000249</v>
      </c>
      <c r="AI252">
        <f t="shared" si="299"/>
        <v>-0.58867369437975681</v>
      </c>
      <c r="AJ252">
        <f t="shared" si="300"/>
        <v>65203.394523856645</v>
      </c>
      <c r="AK252">
        <f t="shared" si="301"/>
        <v>-83736.123915613425</v>
      </c>
      <c r="AL252">
        <f t="shared" si="302"/>
        <v>102782.1099651808</v>
      </c>
      <c r="AM252" s="1">
        <f t="shared" si="303"/>
        <v>0</v>
      </c>
      <c r="AN252" s="1">
        <f t="shared" si="280"/>
        <v>525546.79189973092</v>
      </c>
      <c r="AO252">
        <f t="shared" si="281"/>
        <v>-22.20478044731847</v>
      </c>
      <c r="AP252">
        <f t="shared" si="282"/>
        <v>4.9169052993730595</v>
      </c>
    </row>
    <row r="253" spans="1:42" x14ac:dyDescent="0.25">
      <c r="A253" s="4">
        <v>45730</v>
      </c>
      <c r="B253">
        <f t="shared" ref="B253:N253" si="360">(B803-B802)*100</f>
        <v>-0.99999999999997868</v>
      </c>
      <c r="C253">
        <f t="shared" si="360"/>
        <v>0</v>
      </c>
      <c r="D253">
        <f t="shared" si="360"/>
        <v>0.99999999999997868</v>
      </c>
      <c r="E253">
        <f t="shared" si="360"/>
        <v>1.9999999999999574</v>
      </c>
      <c r="F253">
        <f t="shared" si="360"/>
        <v>0</v>
      </c>
      <c r="G253">
        <f t="shared" si="360"/>
        <v>4.0000000000000036</v>
      </c>
      <c r="H253">
        <f t="shared" si="360"/>
        <v>6.999999999999984</v>
      </c>
      <c r="I253">
        <f t="shared" si="360"/>
        <v>4.9999999999999822</v>
      </c>
      <c r="J253">
        <f t="shared" si="360"/>
        <v>7.0000000000000284</v>
      </c>
      <c r="K253">
        <f t="shared" si="360"/>
        <v>4.9999999999999822</v>
      </c>
      <c r="L253">
        <f t="shared" si="360"/>
        <v>5.0000000000000711</v>
      </c>
      <c r="M253">
        <f t="shared" si="360"/>
        <v>4.0000000000000036</v>
      </c>
      <c r="N253">
        <f t="shared" si="360"/>
        <v>4.0000000000000036</v>
      </c>
      <c r="O253" s="5">
        <f t="shared" si="352"/>
        <v>-1.2324465351075392E-2</v>
      </c>
      <c r="P253" s="5">
        <f t="shared" si="352"/>
        <v>-5.9449087317345944E-3</v>
      </c>
      <c r="Q253" s="5">
        <f t="shared" si="352"/>
        <v>8.4594198397005289E-3</v>
      </c>
      <c r="R253" s="5">
        <f t="shared" si="352"/>
        <v>-3.2769008023147985E-3</v>
      </c>
      <c r="S253" s="5">
        <f t="shared" si="352"/>
        <v>-8.5610072353578381E-3</v>
      </c>
      <c r="U253" s="4">
        <v>45730</v>
      </c>
      <c r="V253">
        <f t="shared" si="286"/>
        <v>3999.9999999999145</v>
      </c>
      <c r="W253">
        <f t="shared" si="287"/>
        <v>0</v>
      </c>
      <c r="X253">
        <f t="shared" si="288"/>
        <v>4589.9999999999018</v>
      </c>
      <c r="Y253">
        <f t="shared" si="289"/>
        <v>-6889.9999999998536</v>
      </c>
      <c r="Z253">
        <f t="shared" si="290"/>
        <v>0</v>
      </c>
      <c r="AA253">
        <f t="shared" si="291"/>
        <v>-8000.0000000000073</v>
      </c>
      <c r="AB253">
        <f t="shared" si="292"/>
        <v>31947.999999999927</v>
      </c>
      <c r="AC253">
        <f t="shared" si="293"/>
        <v>-11114.99999999996</v>
      </c>
      <c r="AD253">
        <f t="shared" si="294"/>
        <v>-703808.00000000291</v>
      </c>
      <c r="AE253">
        <f t="shared" si="295"/>
        <v>4.9999999999999822</v>
      </c>
      <c r="AF253">
        <f t="shared" si="296"/>
        <v>251615.00000000358</v>
      </c>
      <c r="AG253">
        <f t="shared" si="297"/>
        <v>101292.00000000009</v>
      </c>
      <c r="AH253">
        <f t="shared" si="298"/>
        <v>4.0000000000000036</v>
      </c>
      <c r="AI253">
        <f t="shared" si="299"/>
        <v>-1.2324465351075393</v>
      </c>
      <c r="AJ253">
        <f t="shared" si="300"/>
        <v>59449.087317345948</v>
      </c>
      <c r="AK253">
        <f t="shared" si="301"/>
        <v>84594.198397005282</v>
      </c>
      <c r="AL253">
        <f t="shared" si="302"/>
        <v>81922.520057869959</v>
      </c>
      <c r="AM253" s="1">
        <f t="shared" si="303"/>
        <v>85610.072353578376</v>
      </c>
      <c r="AN253" s="1">
        <f t="shared" si="280"/>
        <v>-24784.354320734827</v>
      </c>
      <c r="AO253">
        <f t="shared" si="281"/>
        <v>-1.1412208372548258</v>
      </c>
      <c r="AP253">
        <f t="shared" si="282"/>
        <v>5.2411045278373969</v>
      </c>
    </row>
    <row r="254" spans="1:42" x14ac:dyDescent="0.25">
      <c r="A254" s="4">
        <v>45729</v>
      </c>
      <c r="B254">
        <f t="shared" ref="B254:N254" si="361">(B804-B803)*100</f>
        <v>0.99999999999997868</v>
      </c>
      <c r="C254">
        <f t="shared" si="361"/>
        <v>-0.99999999999997868</v>
      </c>
      <c r="D254">
        <f t="shared" si="361"/>
        <v>-0.99999999999997868</v>
      </c>
      <c r="E254">
        <f t="shared" si="361"/>
        <v>-1.9999999999999574</v>
      </c>
      <c r="F254">
        <f t="shared" si="361"/>
        <v>-0.99999999999997868</v>
      </c>
      <c r="G254">
        <f t="shared" si="361"/>
        <v>-4.0000000000000036</v>
      </c>
      <c r="H254">
        <f t="shared" si="361"/>
        <v>-6.999999999999984</v>
      </c>
      <c r="I254">
        <f t="shared" si="361"/>
        <v>-6.0000000000000053</v>
      </c>
      <c r="J254">
        <f t="shared" si="361"/>
        <v>-5.9999999999999609</v>
      </c>
      <c r="K254">
        <f t="shared" si="361"/>
        <v>-4.0000000000000036</v>
      </c>
      <c r="L254">
        <f t="shared" si="361"/>
        <v>-4.0000000000000036</v>
      </c>
      <c r="M254">
        <f t="shared" si="361"/>
        <v>-4.0000000000000036</v>
      </c>
      <c r="N254">
        <f t="shared" si="361"/>
        <v>-4.0000000000000036</v>
      </c>
      <c r="O254" s="5">
        <f t="shared" si="352"/>
        <v>-2.3540945463805239E-3</v>
      </c>
      <c r="P254" s="5">
        <f t="shared" si="352"/>
        <v>4.8602768822526626E-3</v>
      </c>
      <c r="Q254" s="5">
        <f t="shared" si="352"/>
        <v>-5.5302243386300635E-3</v>
      </c>
      <c r="R254" s="5">
        <f t="shared" si="352"/>
        <v>1.9102202561192452E-3</v>
      </c>
      <c r="S254" s="5">
        <f t="shared" si="352"/>
        <v>-4.2011443597357772E-3</v>
      </c>
      <c r="U254" s="4">
        <v>45729</v>
      </c>
      <c r="V254">
        <f t="shared" si="286"/>
        <v>-3999.9999999999145</v>
      </c>
      <c r="W254">
        <f t="shared" si="287"/>
        <v>2222.9999999999527</v>
      </c>
      <c r="X254">
        <f t="shared" si="288"/>
        <v>-4589.9999999999018</v>
      </c>
      <c r="Y254">
        <f t="shared" si="289"/>
        <v>6889.9999999998536</v>
      </c>
      <c r="Z254">
        <f t="shared" si="290"/>
        <v>-5434.9999999998845</v>
      </c>
      <c r="AA254">
        <f t="shared" si="291"/>
        <v>8000.0000000000073</v>
      </c>
      <c r="AB254">
        <f t="shared" si="292"/>
        <v>-31947.999999999927</v>
      </c>
      <c r="AC254">
        <f t="shared" si="293"/>
        <v>13338.000000000013</v>
      </c>
      <c r="AD254">
        <f t="shared" si="294"/>
        <v>603263.99999999604</v>
      </c>
      <c r="AE254">
        <f t="shared" si="295"/>
        <v>-4.0000000000000036</v>
      </c>
      <c r="AF254">
        <f t="shared" si="296"/>
        <v>-201292.00000000017</v>
      </c>
      <c r="AG254">
        <f t="shared" si="297"/>
        <v>-101292.00000000009</v>
      </c>
      <c r="AH254">
        <f t="shared" si="298"/>
        <v>-4.0000000000000036</v>
      </c>
      <c r="AI254">
        <f t="shared" si="299"/>
        <v>-0.23540945463805238</v>
      </c>
      <c r="AJ254">
        <f t="shared" si="300"/>
        <v>-48602.768822526625</v>
      </c>
      <c r="AK254">
        <f t="shared" si="301"/>
        <v>-55302.243386300637</v>
      </c>
      <c r="AL254">
        <f t="shared" si="302"/>
        <v>-47755.506402981133</v>
      </c>
      <c r="AM254" s="1">
        <f t="shared" si="303"/>
        <v>42011.443597357771</v>
      </c>
      <c r="AN254" s="1">
        <f t="shared" si="280"/>
        <v>175500.68957609084</v>
      </c>
      <c r="AO254">
        <f t="shared" si="281"/>
        <v>-0.22112380971901946</v>
      </c>
      <c r="AP254">
        <f t="shared" si="282"/>
        <v>5.2460582259480883</v>
      </c>
    </row>
    <row r="255" spans="1:42" x14ac:dyDescent="0.25">
      <c r="A255" s="4">
        <v>45728</v>
      </c>
      <c r="B255">
        <f t="shared" ref="B255:N255" si="362">(B805-B804)*100</f>
        <v>0</v>
      </c>
      <c r="C255">
        <f t="shared" si="362"/>
        <v>0.99999999999997868</v>
      </c>
      <c r="D255">
        <f t="shared" si="362"/>
        <v>-0.99999999999997868</v>
      </c>
      <c r="E255">
        <f t="shared" si="362"/>
        <v>0</v>
      </c>
      <c r="F255">
        <f t="shared" si="362"/>
        <v>-0.99999999999997868</v>
      </c>
      <c r="G255">
        <f t="shared" si="362"/>
        <v>-5.0000000000000266</v>
      </c>
      <c r="H255">
        <f t="shared" si="362"/>
        <v>-4.9999999999999822</v>
      </c>
      <c r="I255">
        <f t="shared" si="362"/>
        <v>-0.99999999999997868</v>
      </c>
      <c r="J255">
        <f t="shared" si="362"/>
        <v>-5.0000000000000266</v>
      </c>
      <c r="K255">
        <f t="shared" si="362"/>
        <v>-6.0000000000000497</v>
      </c>
      <c r="L255">
        <f t="shared" si="362"/>
        <v>-6.0000000000000497</v>
      </c>
      <c r="M255">
        <f t="shared" si="362"/>
        <v>-4.9999999999999822</v>
      </c>
      <c r="N255">
        <f t="shared" si="362"/>
        <v>-4.9999999999999822</v>
      </c>
      <c r="O255" s="5">
        <f t="shared" ref="O255:S264" si="363">LN(O804/O805)</f>
        <v>-1.3463857584726615E-3</v>
      </c>
      <c r="P255" s="5">
        <f t="shared" si="363"/>
        <v>-6.0716640685497952E-3</v>
      </c>
      <c r="Q255" s="5">
        <f t="shared" si="363"/>
        <v>6.7645207586352644E-3</v>
      </c>
      <c r="R255" s="5">
        <f t="shared" si="363"/>
        <v>-2.7311211421983411E-4</v>
      </c>
      <c r="S255" s="5">
        <f t="shared" si="363"/>
        <v>-3.8825012479803958E-3</v>
      </c>
      <c r="U255" s="4">
        <v>45728</v>
      </c>
      <c r="V255">
        <f t="shared" si="286"/>
        <v>0</v>
      </c>
      <c r="W255">
        <f t="shared" si="287"/>
        <v>-2222.9999999999527</v>
      </c>
      <c r="X255">
        <f t="shared" si="288"/>
        <v>-4589.9999999999018</v>
      </c>
      <c r="Y255">
        <f t="shared" si="289"/>
        <v>0</v>
      </c>
      <c r="Z255">
        <f t="shared" si="290"/>
        <v>-5434.9999999998845</v>
      </c>
      <c r="AA255">
        <f t="shared" si="291"/>
        <v>10000.000000000053</v>
      </c>
      <c r="AB255">
        <f t="shared" si="292"/>
        <v>-22819.99999999992</v>
      </c>
      <c r="AC255">
        <f t="shared" si="293"/>
        <v>2222.9999999999527</v>
      </c>
      <c r="AD255">
        <f t="shared" si="294"/>
        <v>502720.00000000268</v>
      </c>
      <c r="AE255">
        <f t="shared" si="295"/>
        <v>-6.0000000000000497</v>
      </c>
      <c r="AF255">
        <f t="shared" si="296"/>
        <v>-301938.0000000025</v>
      </c>
      <c r="AG255">
        <f t="shared" si="297"/>
        <v>-126614.99999999955</v>
      </c>
      <c r="AH255">
        <f t="shared" si="298"/>
        <v>-4.9999999999999822</v>
      </c>
      <c r="AI255">
        <f t="shared" si="299"/>
        <v>-0.13463857584726616</v>
      </c>
      <c r="AJ255">
        <f t="shared" si="300"/>
        <v>60716.64068549795</v>
      </c>
      <c r="AK255">
        <f t="shared" si="301"/>
        <v>67645.207586352641</v>
      </c>
      <c r="AL255">
        <f t="shared" si="302"/>
        <v>6827.8028554958528</v>
      </c>
      <c r="AM255" s="1">
        <f t="shared" si="303"/>
        <v>38825.012479803954</v>
      </c>
      <c r="AN255" s="1">
        <f t="shared" si="280"/>
        <v>225325.52896857553</v>
      </c>
      <c r="AO255">
        <f t="shared" si="281"/>
        <v>-2.7504460755261113</v>
      </c>
      <c r="AP255">
        <f t="shared" si="282"/>
        <v>5.2258648595991657</v>
      </c>
    </row>
    <row r="256" spans="1:42" x14ac:dyDescent="0.25">
      <c r="A256" s="4">
        <v>45727</v>
      </c>
      <c r="B256">
        <f t="shared" ref="B256:N256" si="364">(B806-B805)*100</f>
        <v>0.99999999999997868</v>
      </c>
      <c r="C256">
        <f t="shared" si="364"/>
        <v>-0.99999999999997868</v>
      </c>
      <c r="D256">
        <f t="shared" si="364"/>
        <v>0.99999999999997868</v>
      </c>
      <c r="E256">
        <f t="shared" si="364"/>
        <v>0.99999999999997868</v>
      </c>
      <c r="F256">
        <f t="shared" si="364"/>
        <v>4.0000000000000036</v>
      </c>
      <c r="G256">
        <f t="shared" si="364"/>
        <v>6.999999999999984</v>
      </c>
      <c r="H256">
        <f t="shared" si="364"/>
        <v>10.000000000000009</v>
      </c>
      <c r="I256">
        <f t="shared" si="364"/>
        <v>9.9999999999999645</v>
      </c>
      <c r="J256">
        <f t="shared" si="364"/>
        <v>10.999999999999988</v>
      </c>
      <c r="K256">
        <f t="shared" si="364"/>
        <v>11.000000000000032</v>
      </c>
      <c r="L256">
        <f t="shared" si="364"/>
        <v>10.000000000000053</v>
      </c>
      <c r="M256">
        <f t="shared" si="364"/>
        <v>8.0000000000000071</v>
      </c>
      <c r="N256">
        <f t="shared" si="364"/>
        <v>8.0000000000000071</v>
      </c>
      <c r="O256" s="5">
        <f t="shared" si="363"/>
        <v>7.1643586551879464E-3</v>
      </c>
      <c r="P256" s="5">
        <f t="shared" si="363"/>
        <v>-1.1093205919015079E-2</v>
      </c>
      <c r="Q256" s="5">
        <f t="shared" si="363"/>
        <v>3.0978092731351204E-3</v>
      </c>
      <c r="R256" s="5">
        <f t="shared" si="363"/>
        <v>-1.9096991208260793E-3</v>
      </c>
      <c r="S256" s="5">
        <f t="shared" si="363"/>
        <v>-5.1255020444771959E-3</v>
      </c>
      <c r="U256" s="4">
        <v>45727</v>
      </c>
      <c r="V256">
        <f t="shared" si="286"/>
        <v>-3999.9999999999145</v>
      </c>
      <c r="W256">
        <f t="shared" si="287"/>
        <v>2222.9999999999527</v>
      </c>
      <c r="X256">
        <f t="shared" si="288"/>
        <v>4589.9999999999018</v>
      </c>
      <c r="Y256">
        <f t="shared" si="289"/>
        <v>-3444.9999999999268</v>
      </c>
      <c r="Z256">
        <f t="shared" si="290"/>
        <v>21740.000000000018</v>
      </c>
      <c r="AA256">
        <f t="shared" si="291"/>
        <v>-13999.999999999967</v>
      </c>
      <c r="AB256">
        <f t="shared" si="292"/>
        <v>45640.000000000044</v>
      </c>
      <c r="AC256">
        <f t="shared" si="293"/>
        <v>-22229.99999999992</v>
      </c>
      <c r="AD256">
        <f t="shared" si="294"/>
        <v>-1105983.9999999988</v>
      </c>
      <c r="AE256">
        <f t="shared" si="295"/>
        <v>11.000000000000032</v>
      </c>
      <c r="AF256">
        <f t="shared" si="296"/>
        <v>503230.00000000268</v>
      </c>
      <c r="AG256">
        <f t="shared" si="297"/>
        <v>202584.00000000017</v>
      </c>
      <c r="AH256">
        <f t="shared" si="298"/>
        <v>8.0000000000000071</v>
      </c>
      <c r="AI256">
        <f t="shared" si="299"/>
        <v>0.71643586551879468</v>
      </c>
      <c r="AJ256">
        <f t="shared" si="300"/>
        <v>110932.05919015079</v>
      </c>
      <c r="AK256">
        <f t="shared" si="301"/>
        <v>30978.092731351204</v>
      </c>
      <c r="AL256">
        <f t="shared" si="302"/>
        <v>47742.478020651986</v>
      </c>
      <c r="AM256" s="1">
        <f t="shared" si="303"/>
        <v>51255.020444771959</v>
      </c>
      <c r="AN256" s="1">
        <f t="shared" si="280"/>
        <v>-128724.6331772043</v>
      </c>
      <c r="AO256">
        <f t="shared" si="281"/>
        <v>-0.30167846627640971</v>
      </c>
      <c r="AP256">
        <f t="shared" si="282"/>
        <v>5.2477202734538011</v>
      </c>
    </row>
    <row r="257" spans="1:42" x14ac:dyDescent="0.25">
      <c r="A257" s="4">
        <v>45726</v>
      </c>
      <c r="B257">
        <f t="shared" ref="B257:N257" si="365">(B807-B806)*100</f>
        <v>0</v>
      </c>
      <c r="C257">
        <f t="shared" si="365"/>
        <v>0.99999999999997868</v>
      </c>
      <c r="D257">
        <f t="shared" si="365"/>
        <v>0</v>
      </c>
      <c r="E257">
        <f t="shared" si="365"/>
        <v>-0.99999999999997868</v>
      </c>
      <c r="F257">
        <f t="shared" si="365"/>
        <v>-2.0000000000000462</v>
      </c>
      <c r="G257">
        <f t="shared" si="365"/>
        <v>-3.0000000000000249</v>
      </c>
      <c r="H257">
        <f t="shared" si="365"/>
        <v>-3.0000000000000249</v>
      </c>
      <c r="I257">
        <f t="shared" si="365"/>
        <v>-2.9999999999999805</v>
      </c>
      <c r="J257">
        <f t="shared" si="365"/>
        <v>-3.0000000000000249</v>
      </c>
      <c r="K257">
        <f t="shared" si="365"/>
        <v>-3.0000000000000249</v>
      </c>
      <c r="L257">
        <f t="shared" si="365"/>
        <v>-3.0000000000000249</v>
      </c>
      <c r="M257">
        <f t="shared" si="365"/>
        <v>-3.0000000000000249</v>
      </c>
      <c r="N257">
        <f t="shared" si="365"/>
        <v>-4.0000000000000036</v>
      </c>
      <c r="O257" s="5">
        <f t="shared" si="363"/>
        <v>4.1864227492583381E-3</v>
      </c>
      <c r="P257" s="5">
        <f t="shared" si="363"/>
        <v>1.1093205919015124E-2</v>
      </c>
      <c r="Q257" s="5">
        <f t="shared" si="363"/>
        <v>1.8654609484646731E-3</v>
      </c>
      <c r="R257" s="5">
        <f t="shared" si="363"/>
        <v>4.3703975599994806E-3</v>
      </c>
      <c r="S257" s="5">
        <f t="shared" si="363"/>
        <v>4.681336156023906E-3</v>
      </c>
      <c r="U257" s="4">
        <v>45726</v>
      </c>
      <c r="V257">
        <f t="shared" si="286"/>
        <v>0</v>
      </c>
      <c r="W257">
        <f t="shared" si="287"/>
        <v>-2222.9999999999527</v>
      </c>
      <c r="X257">
        <f t="shared" si="288"/>
        <v>0</v>
      </c>
      <c r="Y257">
        <f t="shared" si="289"/>
        <v>3444.9999999999268</v>
      </c>
      <c r="Z257">
        <f t="shared" si="290"/>
        <v>-10870.000000000251</v>
      </c>
      <c r="AA257">
        <f t="shared" si="291"/>
        <v>6000.00000000005</v>
      </c>
      <c r="AB257">
        <f t="shared" si="292"/>
        <v>-13692.000000000113</v>
      </c>
      <c r="AC257">
        <f t="shared" si="293"/>
        <v>6668.9999999999563</v>
      </c>
      <c r="AD257">
        <f t="shared" si="294"/>
        <v>301632.0000000025</v>
      </c>
      <c r="AE257">
        <f t="shared" si="295"/>
        <v>-3.0000000000000249</v>
      </c>
      <c r="AF257">
        <f t="shared" si="296"/>
        <v>-150969.00000000125</v>
      </c>
      <c r="AG257">
        <f t="shared" si="297"/>
        <v>-75969.000000000626</v>
      </c>
      <c r="AH257">
        <f t="shared" si="298"/>
        <v>-4.0000000000000036</v>
      </c>
      <c r="AI257">
        <f t="shared" si="299"/>
        <v>0.41864227492583383</v>
      </c>
      <c r="AJ257">
        <f t="shared" si="300"/>
        <v>-110932.05919015124</v>
      </c>
      <c r="AK257">
        <f t="shared" si="301"/>
        <v>18654.609484646731</v>
      </c>
      <c r="AL257">
        <f t="shared" si="302"/>
        <v>-109259.93899998702</v>
      </c>
      <c r="AM257" s="1">
        <f t="shared" si="303"/>
        <v>-46813.361560239056</v>
      </c>
      <c r="AN257" s="1">
        <f t="shared" si="280"/>
        <v>-184334.33162345542</v>
      </c>
      <c r="AO257">
        <f t="shared" si="281"/>
        <v>-0.61107263998753747</v>
      </c>
      <c r="AP257">
        <f t="shared" si="282"/>
        <v>5.2885859073431085</v>
      </c>
    </row>
    <row r="258" spans="1:42" x14ac:dyDescent="0.25">
      <c r="A258" s="4">
        <v>45723</v>
      </c>
      <c r="B258">
        <f t="shared" ref="B258:N258" si="366">(B808-B807)*100</f>
        <v>0</v>
      </c>
      <c r="C258">
        <f t="shared" si="366"/>
        <v>2.0000000000000462</v>
      </c>
      <c r="D258">
        <f t="shared" si="366"/>
        <v>0.99999999999997868</v>
      </c>
      <c r="E258">
        <f t="shared" si="366"/>
        <v>1.9999999999999574</v>
      </c>
      <c r="F258">
        <f t="shared" si="366"/>
        <v>3.0000000000000249</v>
      </c>
      <c r="G258">
        <f t="shared" si="366"/>
        <v>4.0000000000000036</v>
      </c>
      <c r="H258">
        <f t="shared" si="366"/>
        <v>3.0000000000000249</v>
      </c>
      <c r="I258">
        <f t="shared" si="366"/>
        <v>2.9999999999999805</v>
      </c>
      <c r="J258">
        <f t="shared" si="366"/>
        <v>2.0000000000000462</v>
      </c>
      <c r="K258">
        <f t="shared" si="366"/>
        <v>0</v>
      </c>
      <c r="L258">
        <f t="shared" si="366"/>
        <v>-0.99999999999997868</v>
      </c>
      <c r="M258">
        <f t="shared" si="366"/>
        <v>-1.9999999999999574</v>
      </c>
      <c r="N258">
        <f t="shared" si="366"/>
        <v>-0.99999999999997868</v>
      </c>
      <c r="O258" s="5">
        <f t="shared" si="363"/>
        <v>3.4557344824619075E-3</v>
      </c>
      <c r="P258" s="5">
        <f t="shared" si="363"/>
        <v>7.0465605630192505E-3</v>
      </c>
      <c r="Q258" s="5">
        <f t="shared" si="363"/>
        <v>-1.0927428106360227E-2</v>
      </c>
      <c r="R258" s="5">
        <f t="shared" si="363"/>
        <v>0</v>
      </c>
      <c r="S258" s="5">
        <f t="shared" si="363"/>
        <v>7.4013949196071255E-5</v>
      </c>
      <c r="U258" s="4">
        <v>45723</v>
      </c>
      <c r="V258">
        <f t="shared" si="286"/>
        <v>0</v>
      </c>
      <c r="W258">
        <f t="shared" si="287"/>
        <v>-4446.0000000001028</v>
      </c>
      <c r="X258">
        <f t="shared" si="288"/>
        <v>4589.9999999999018</v>
      </c>
      <c r="Y258">
        <f t="shared" si="289"/>
        <v>-6889.9999999998536</v>
      </c>
      <c r="Z258">
        <f t="shared" si="290"/>
        <v>16305.000000000135</v>
      </c>
      <c r="AA258">
        <f t="shared" si="291"/>
        <v>-8000.0000000000073</v>
      </c>
      <c r="AB258">
        <f t="shared" si="292"/>
        <v>13692.000000000113</v>
      </c>
      <c r="AC258">
        <f t="shared" si="293"/>
        <v>-6668.9999999999563</v>
      </c>
      <c r="AD258">
        <f t="shared" si="294"/>
        <v>-201088.00000000466</v>
      </c>
      <c r="AE258">
        <f t="shared" si="295"/>
        <v>0</v>
      </c>
      <c r="AF258">
        <f t="shared" si="296"/>
        <v>-50322.99999999893</v>
      </c>
      <c r="AG258">
        <f t="shared" si="297"/>
        <v>-50645.999999998923</v>
      </c>
      <c r="AH258">
        <f t="shared" si="298"/>
        <v>-0.99999999999997868</v>
      </c>
      <c r="AI258">
        <f t="shared" si="299"/>
        <v>0.34557344824619074</v>
      </c>
      <c r="AJ258">
        <f t="shared" si="300"/>
        <v>-70465.605630192498</v>
      </c>
      <c r="AK258">
        <f t="shared" si="301"/>
        <v>-109274.28106360228</v>
      </c>
      <c r="AL258">
        <f t="shared" si="302"/>
        <v>0</v>
      </c>
      <c r="AM258" s="1">
        <f t="shared" si="303"/>
        <v>-740.13949196071258</v>
      </c>
      <c r="AN258" s="1">
        <f t="shared" si="280"/>
        <v>-473955.68061230954</v>
      </c>
      <c r="AO258">
        <f t="shared" si="281"/>
        <v>-3.6996175085284477</v>
      </c>
      <c r="AP258">
        <f t="shared" si="282"/>
        <v>5.2802033540051951</v>
      </c>
    </row>
    <row r="259" spans="1:42" x14ac:dyDescent="0.25">
      <c r="A259" s="4">
        <v>45722</v>
      </c>
      <c r="B259">
        <f t="shared" ref="B259:N259" si="367">(B809-B808)*100</f>
        <v>0.99999999999997868</v>
      </c>
      <c r="C259">
        <f t="shared" si="367"/>
        <v>0.99999999999997868</v>
      </c>
      <c r="D259">
        <f t="shared" si="367"/>
        <v>-0.99999999999997868</v>
      </c>
      <c r="E259">
        <f t="shared" si="367"/>
        <v>0.99999999999997868</v>
      </c>
      <c r="F259">
        <f t="shared" si="367"/>
        <v>-1.9999999999999574</v>
      </c>
      <c r="G259">
        <f t="shared" si="367"/>
        <v>-1.9999999999999574</v>
      </c>
      <c r="H259">
        <f t="shared" si="367"/>
        <v>-3.0000000000000249</v>
      </c>
      <c r="I259">
        <f t="shared" si="367"/>
        <v>-6.999999999999984</v>
      </c>
      <c r="J259">
        <f t="shared" si="367"/>
        <v>-7.0000000000000284</v>
      </c>
      <c r="K259">
        <f t="shared" si="367"/>
        <v>-6.9999999999999396</v>
      </c>
      <c r="L259">
        <f t="shared" si="367"/>
        <v>-6.0000000000000497</v>
      </c>
      <c r="M259">
        <f t="shared" si="367"/>
        <v>-5.0000000000000711</v>
      </c>
      <c r="N259">
        <f t="shared" si="367"/>
        <v>-4.0000000000000036</v>
      </c>
      <c r="O259" s="5">
        <f t="shared" si="363"/>
        <v>-7.3659093665679135E-3</v>
      </c>
      <c r="P259" s="5">
        <f t="shared" si="363"/>
        <v>-2.435461505819198E-3</v>
      </c>
      <c r="Q259" s="5">
        <f t="shared" si="363"/>
        <v>-1.2908742709992734E-2</v>
      </c>
      <c r="R259" s="5">
        <f t="shared" si="363"/>
        <v>8.2158021874529903E-4</v>
      </c>
      <c r="S259" s="5">
        <f t="shared" si="363"/>
        <v>-4.4852066082640306E-3</v>
      </c>
      <c r="U259" s="4">
        <v>45722</v>
      </c>
      <c r="V259">
        <f t="shared" si="286"/>
        <v>-3999.9999999999145</v>
      </c>
      <c r="W259">
        <f t="shared" si="287"/>
        <v>-2222.9999999999527</v>
      </c>
      <c r="X259">
        <f t="shared" si="288"/>
        <v>-4589.9999999999018</v>
      </c>
      <c r="Y259">
        <f t="shared" si="289"/>
        <v>-3444.9999999999268</v>
      </c>
      <c r="Z259">
        <f t="shared" si="290"/>
        <v>-10869.999999999769</v>
      </c>
      <c r="AA259">
        <f t="shared" si="291"/>
        <v>3999.9999999999145</v>
      </c>
      <c r="AB259">
        <f t="shared" si="292"/>
        <v>-13692.000000000113</v>
      </c>
      <c r="AC259">
        <f t="shared" si="293"/>
        <v>15560.999999999964</v>
      </c>
      <c r="AD259">
        <f t="shared" si="294"/>
        <v>703808.00000000291</v>
      </c>
      <c r="AE259">
        <f t="shared" si="295"/>
        <v>-6.9999999999999396</v>
      </c>
      <c r="AF259">
        <f t="shared" si="296"/>
        <v>-301938.0000000025</v>
      </c>
      <c r="AG259">
        <f t="shared" si="297"/>
        <v>-126615.0000000018</v>
      </c>
      <c r="AH259">
        <f t="shared" si="298"/>
        <v>-4.0000000000000036</v>
      </c>
      <c r="AI259">
        <f t="shared" si="299"/>
        <v>-0.73659093665679132</v>
      </c>
      <c r="AJ259">
        <f t="shared" si="300"/>
        <v>24354.615058191979</v>
      </c>
      <c r="AK259">
        <f t="shared" si="301"/>
        <v>-129087.42709992734</v>
      </c>
      <c r="AL259">
        <f t="shared" si="302"/>
        <v>-20539.505468632477</v>
      </c>
      <c r="AM259" s="1">
        <f t="shared" si="303"/>
        <v>44852.066082640304</v>
      </c>
      <c r="AN259" s="1">
        <f t="shared" si="280"/>
        <v>175564.01198133477</v>
      </c>
      <c r="AO259">
        <f t="shared" si="281"/>
        <v>-0.48571445352418863</v>
      </c>
      <c r="AP259">
        <f t="shared" si="282"/>
        <v>5.2710612651675062</v>
      </c>
    </row>
    <row r="260" spans="1:42" x14ac:dyDescent="0.25">
      <c r="A260" s="4">
        <v>45721</v>
      </c>
      <c r="B260">
        <f t="shared" ref="B260:N260" si="368">(B810-B809)*100</f>
        <v>-0.99999999999997868</v>
      </c>
      <c r="C260">
        <f t="shared" si="368"/>
        <v>0</v>
      </c>
      <c r="D260">
        <f t="shared" si="368"/>
        <v>0.99999999999997868</v>
      </c>
      <c r="E260">
        <f t="shared" si="368"/>
        <v>0</v>
      </c>
      <c r="F260">
        <f t="shared" si="368"/>
        <v>2.9999999999999361</v>
      </c>
      <c r="G260">
        <f t="shared" si="368"/>
        <v>1.9999999999999574</v>
      </c>
      <c r="H260">
        <f t="shared" si="368"/>
        <v>0</v>
      </c>
      <c r="I260">
        <f t="shared" si="368"/>
        <v>-0.99999999999997868</v>
      </c>
      <c r="J260">
        <f t="shared" si="368"/>
        <v>-3.9999999999999591</v>
      </c>
      <c r="K260">
        <f t="shared" si="368"/>
        <v>-5.0000000000000711</v>
      </c>
      <c r="L260">
        <f t="shared" si="368"/>
        <v>-5.9999999999999609</v>
      </c>
      <c r="M260">
        <f t="shared" si="368"/>
        <v>-6.9999999999999396</v>
      </c>
      <c r="N260">
        <f t="shared" si="368"/>
        <v>-8.0000000000000071</v>
      </c>
      <c r="O260" s="5">
        <f t="shared" si="363"/>
        <v>-9.8629618393110789E-3</v>
      </c>
      <c r="P260" s="5">
        <f t="shared" si="363"/>
        <v>-1.2209278288271412E-2</v>
      </c>
      <c r="Q260" s="5">
        <f t="shared" si="363"/>
        <v>-4.458519041941722E-3</v>
      </c>
      <c r="R260" s="5">
        <f t="shared" si="363"/>
        <v>-5.1919777787449248E-3</v>
      </c>
      <c r="S260" s="5">
        <f t="shared" si="363"/>
        <v>-1.8798652849526171E-2</v>
      </c>
      <c r="U260" s="4">
        <v>45721</v>
      </c>
      <c r="V260">
        <f t="shared" si="286"/>
        <v>3999.9999999999145</v>
      </c>
      <c r="W260">
        <f t="shared" si="287"/>
        <v>0</v>
      </c>
      <c r="X260">
        <f t="shared" si="288"/>
        <v>4589.9999999999018</v>
      </c>
      <c r="Y260">
        <f t="shared" si="289"/>
        <v>0</v>
      </c>
      <c r="Z260">
        <f t="shared" si="290"/>
        <v>16304.999999999653</v>
      </c>
      <c r="AA260">
        <f t="shared" si="291"/>
        <v>-3999.9999999999145</v>
      </c>
      <c r="AB260">
        <f t="shared" si="292"/>
        <v>0</v>
      </c>
      <c r="AC260">
        <f t="shared" si="293"/>
        <v>2222.9999999999527</v>
      </c>
      <c r="AD260">
        <f t="shared" si="294"/>
        <v>402175.99999999587</v>
      </c>
      <c r="AE260">
        <f t="shared" si="295"/>
        <v>-5.0000000000000711</v>
      </c>
      <c r="AF260">
        <f t="shared" si="296"/>
        <v>-301937.99999999802</v>
      </c>
      <c r="AG260">
        <f t="shared" si="297"/>
        <v>-177260.99999999846</v>
      </c>
      <c r="AH260">
        <f t="shared" si="298"/>
        <v>-8.0000000000000071</v>
      </c>
      <c r="AI260">
        <f t="shared" si="299"/>
        <v>-0.98629618393110785</v>
      </c>
      <c r="AJ260">
        <f t="shared" si="300"/>
        <v>122092.78288271412</v>
      </c>
      <c r="AK260">
        <f t="shared" si="301"/>
        <v>-44585.190419417217</v>
      </c>
      <c r="AL260">
        <f t="shared" si="302"/>
        <v>129799.44446862311</v>
      </c>
      <c r="AM260" s="1">
        <f t="shared" si="303"/>
        <v>187986.52849526171</v>
      </c>
      <c r="AN260" s="1">
        <f t="shared" si="280"/>
        <v>341374.57913099672</v>
      </c>
      <c r="AO260">
        <f t="shared" si="281"/>
        <v>-4.0307159789048939</v>
      </c>
      <c r="AP260">
        <f t="shared" si="282"/>
        <v>5.2883780633097519</v>
      </c>
    </row>
    <row r="261" spans="1:42" x14ac:dyDescent="0.25">
      <c r="A261" s="4">
        <v>45720</v>
      </c>
      <c r="B261">
        <f t="shared" ref="B261:N261" si="369">(B811-B810)*100</f>
        <v>0</v>
      </c>
      <c r="C261">
        <f t="shared" si="369"/>
        <v>0.99999999999997868</v>
      </c>
      <c r="D261">
        <f t="shared" si="369"/>
        <v>-2.9999999999999361</v>
      </c>
      <c r="E261">
        <f t="shared" si="369"/>
        <v>1.0000000000000675</v>
      </c>
      <c r="F261">
        <f t="shared" si="369"/>
        <v>-5.9999999999999609</v>
      </c>
      <c r="G261">
        <f t="shared" si="369"/>
        <v>2.0000000000000462</v>
      </c>
      <c r="H261">
        <f t="shared" si="369"/>
        <v>3.0000000000000249</v>
      </c>
      <c r="I261">
        <f t="shared" si="369"/>
        <v>6.0000000000000053</v>
      </c>
      <c r="J261">
        <f t="shared" si="369"/>
        <v>6.0000000000000053</v>
      </c>
      <c r="K261">
        <f t="shared" si="369"/>
        <v>8.0000000000000071</v>
      </c>
      <c r="L261">
        <f t="shared" si="369"/>
        <v>8.0000000000000071</v>
      </c>
      <c r="M261">
        <f t="shared" si="369"/>
        <v>5.9999999999999609</v>
      </c>
      <c r="N261">
        <f t="shared" si="369"/>
        <v>5.9999999999999609</v>
      </c>
      <c r="O261" s="5">
        <f t="shared" si="363"/>
        <v>0</v>
      </c>
      <c r="P261" s="5">
        <f t="shared" si="363"/>
        <v>1.2695896302740138E-2</v>
      </c>
      <c r="Q261" s="5">
        <f t="shared" si="363"/>
        <v>-1.1639308617942021E-3</v>
      </c>
      <c r="R261" s="5">
        <f t="shared" si="363"/>
        <v>-5.7073126792907547E-3</v>
      </c>
      <c r="S261" s="5">
        <f t="shared" si="363"/>
        <v>1.2300806891987115E-3</v>
      </c>
      <c r="U261" s="4">
        <v>45720</v>
      </c>
      <c r="V261">
        <f t="shared" si="286"/>
        <v>0</v>
      </c>
      <c r="W261">
        <f t="shared" si="287"/>
        <v>-2222.9999999999527</v>
      </c>
      <c r="X261">
        <f t="shared" si="288"/>
        <v>-13769.999999999707</v>
      </c>
      <c r="Y261">
        <f t="shared" si="289"/>
        <v>-3445.0000000002324</v>
      </c>
      <c r="Z261">
        <f t="shared" si="290"/>
        <v>-32609.999999999789</v>
      </c>
      <c r="AA261">
        <f t="shared" si="291"/>
        <v>-4000.0000000000923</v>
      </c>
      <c r="AB261">
        <f t="shared" si="292"/>
        <v>13692.000000000113</v>
      </c>
      <c r="AC261">
        <f t="shared" si="293"/>
        <v>-13338.000000000013</v>
      </c>
      <c r="AD261">
        <f t="shared" si="294"/>
        <v>-603264.00000000058</v>
      </c>
      <c r="AE261">
        <f t="shared" si="295"/>
        <v>8.0000000000000071</v>
      </c>
      <c r="AF261">
        <f t="shared" si="296"/>
        <v>402584.00000000035</v>
      </c>
      <c r="AG261">
        <f t="shared" si="297"/>
        <v>151937.99999999901</v>
      </c>
      <c r="AH261">
        <f t="shared" si="298"/>
        <v>5.9999999999999609</v>
      </c>
      <c r="AI261">
        <f t="shared" si="299"/>
        <v>0</v>
      </c>
      <c r="AJ261">
        <f t="shared" si="300"/>
        <v>-126958.96302740139</v>
      </c>
      <c r="AK261">
        <f t="shared" si="301"/>
        <v>-11639.308617942021</v>
      </c>
      <c r="AL261">
        <f t="shared" si="302"/>
        <v>142682.81698226888</v>
      </c>
      <c r="AM261" s="1">
        <f t="shared" si="303"/>
        <v>-12300.806891987115</v>
      </c>
      <c r="AN261" s="1">
        <f t="shared" si="280"/>
        <v>-112638.26155506251</v>
      </c>
      <c r="AO261">
        <f t="shared" si="281"/>
        <v>-0.2503297273176206</v>
      </c>
      <c r="AP261">
        <f t="shared" si="282"/>
        <v>5.2745577631415843</v>
      </c>
    </row>
    <row r="262" spans="1:42" x14ac:dyDescent="0.25">
      <c r="A262" s="4">
        <v>45719</v>
      </c>
      <c r="B262">
        <f t="shared" ref="B262:N262" si="370">(B812-B811)*100</f>
        <v>0</v>
      </c>
      <c r="C262">
        <f t="shared" si="370"/>
        <v>0</v>
      </c>
      <c r="D262">
        <f t="shared" si="370"/>
        <v>0</v>
      </c>
      <c r="E262">
        <f t="shared" si="370"/>
        <v>0</v>
      </c>
      <c r="F262">
        <f t="shared" si="370"/>
        <v>3.0000000000000249</v>
      </c>
      <c r="G262">
        <f t="shared" si="370"/>
        <v>4.9999999999999822</v>
      </c>
      <c r="H262">
        <f t="shared" si="370"/>
        <v>8.0000000000000071</v>
      </c>
      <c r="I262">
        <f t="shared" si="370"/>
        <v>5.9999999999999609</v>
      </c>
      <c r="J262">
        <f t="shared" si="370"/>
        <v>5.9999999999999609</v>
      </c>
      <c r="K262">
        <f t="shared" si="370"/>
        <v>5.0000000000000711</v>
      </c>
      <c r="L262">
        <f t="shared" si="370"/>
        <v>4.9999999999999822</v>
      </c>
      <c r="M262">
        <f t="shared" si="370"/>
        <v>4.0000000000000036</v>
      </c>
      <c r="N262">
        <f t="shared" si="370"/>
        <v>4.9999999999999822</v>
      </c>
      <c r="O262" s="5">
        <f t="shared" si="363"/>
        <v>0</v>
      </c>
      <c r="P262" s="5">
        <f t="shared" si="363"/>
        <v>-1.0653682642350022E-2</v>
      </c>
      <c r="Q262" s="5">
        <f t="shared" si="363"/>
        <v>3.1593944713383931E-3</v>
      </c>
      <c r="R262" s="5">
        <f t="shared" si="363"/>
        <v>0</v>
      </c>
      <c r="S262" s="5">
        <f t="shared" si="363"/>
        <v>6.7513175427341629E-3</v>
      </c>
      <c r="U262" s="4">
        <v>45719</v>
      </c>
      <c r="V262">
        <f t="shared" si="286"/>
        <v>0</v>
      </c>
      <c r="W262">
        <f t="shared" si="287"/>
        <v>0</v>
      </c>
      <c r="X262">
        <f t="shared" si="288"/>
        <v>0</v>
      </c>
      <c r="Y262">
        <f t="shared" si="289"/>
        <v>0</v>
      </c>
      <c r="Z262">
        <f t="shared" si="290"/>
        <v>16305.000000000135</v>
      </c>
      <c r="AA262">
        <f t="shared" si="291"/>
        <v>-9999.9999999999636</v>
      </c>
      <c r="AB262">
        <f t="shared" si="292"/>
        <v>36512.000000000029</v>
      </c>
      <c r="AC262">
        <f t="shared" si="293"/>
        <v>-13337.999999999913</v>
      </c>
      <c r="AD262">
        <f t="shared" si="294"/>
        <v>-603263.99999999604</v>
      </c>
      <c r="AE262">
        <f t="shared" si="295"/>
        <v>5.0000000000000711</v>
      </c>
      <c r="AF262">
        <f t="shared" si="296"/>
        <v>251614.9999999991</v>
      </c>
      <c r="AG262">
        <f t="shared" si="297"/>
        <v>101292.00000000009</v>
      </c>
      <c r="AH262">
        <f t="shared" si="298"/>
        <v>4.9999999999999822</v>
      </c>
      <c r="AI262">
        <f t="shared" si="299"/>
        <v>0</v>
      </c>
      <c r="AJ262">
        <f t="shared" si="300"/>
        <v>106536.82642350021</v>
      </c>
      <c r="AK262">
        <f t="shared" si="301"/>
        <v>31593.944713383931</v>
      </c>
      <c r="AL262">
        <f t="shared" si="302"/>
        <v>0</v>
      </c>
      <c r="AM262" s="1">
        <f t="shared" si="303"/>
        <v>-67513.17542734163</v>
      </c>
      <c r="AN262" s="1">
        <f t="shared" ref="AN262:AN325" si="371">SUM(V262:AM262)</f>
        <v>-150250.40429045414</v>
      </c>
      <c r="AO262">
        <f t="shared" ref="AO262:AO325" si="372">AN262/AN263-1</f>
        <v>0.37722674570431347</v>
      </c>
      <c r="AP262">
        <f t="shared" ref="AP262:AP325" si="373">STDEV(AO262:AO282)</f>
        <v>5.2632519750388091</v>
      </c>
    </row>
    <row r="263" spans="1:42" x14ac:dyDescent="0.25">
      <c r="A263" s="4">
        <v>45716</v>
      </c>
      <c r="B263">
        <f t="shared" ref="B263:N263" si="374">(B813-B812)*100</f>
        <v>-3.0000000000000249</v>
      </c>
      <c r="C263">
        <f t="shared" si="374"/>
        <v>-0.99999999999997868</v>
      </c>
      <c r="D263">
        <f t="shared" si="374"/>
        <v>-1.0000000000000675</v>
      </c>
      <c r="E263">
        <f t="shared" si="374"/>
        <v>0</v>
      </c>
      <c r="F263">
        <f t="shared" si="374"/>
        <v>0</v>
      </c>
      <c r="G263">
        <f t="shared" si="374"/>
        <v>-0.99999999999997868</v>
      </c>
      <c r="H263">
        <f t="shared" si="374"/>
        <v>-2.0000000000000462</v>
      </c>
      <c r="I263">
        <f t="shared" si="374"/>
        <v>-0.99999999999997868</v>
      </c>
      <c r="J263">
        <f t="shared" si="374"/>
        <v>-3.0000000000000249</v>
      </c>
      <c r="K263">
        <f t="shared" si="374"/>
        <v>-3.0000000000000249</v>
      </c>
      <c r="L263">
        <f t="shared" si="374"/>
        <v>-4.0000000000000036</v>
      </c>
      <c r="M263">
        <f t="shared" si="374"/>
        <v>-4.0000000000000036</v>
      </c>
      <c r="N263">
        <f t="shared" si="374"/>
        <v>-4.9999999999999822</v>
      </c>
      <c r="O263" s="5">
        <f t="shared" si="363"/>
        <v>4.4554953322655053E-3</v>
      </c>
      <c r="P263" s="5">
        <f t="shared" si="363"/>
        <v>5.0718212862305599E-3</v>
      </c>
      <c r="Q263" s="5">
        <f t="shared" si="363"/>
        <v>9.9843933123674733E-3</v>
      </c>
      <c r="R263" s="5">
        <f t="shared" si="363"/>
        <v>4.3454712595018636E-3</v>
      </c>
      <c r="S263" s="5">
        <f t="shared" si="363"/>
        <v>5.3353729394419883E-3</v>
      </c>
      <c r="U263" s="4">
        <v>45716</v>
      </c>
      <c r="V263">
        <f t="shared" si="286"/>
        <v>12000.0000000001</v>
      </c>
      <c r="W263">
        <f t="shared" si="287"/>
        <v>2222.9999999999527</v>
      </c>
      <c r="X263">
        <f t="shared" si="288"/>
        <v>-4590.0000000003101</v>
      </c>
      <c r="Y263">
        <f t="shared" si="289"/>
        <v>0</v>
      </c>
      <c r="Z263">
        <f t="shared" si="290"/>
        <v>0</v>
      </c>
      <c r="AA263">
        <f t="shared" si="291"/>
        <v>1999.9999999999573</v>
      </c>
      <c r="AB263">
        <f t="shared" si="292"/>
        <v>-9128.000000000211</v>
      </c>
      <c r="AC263">
        <f t="shared" si="293"/>
        <v>2222.9999999999527</v>
      </c>
      <c r="AD263">
        <f t="shared" si="294"/>
        <v>301632.0000000025</v>
      </c>
      <c r="AE263">
        <f t="shared" si="295"/>
        <v>-3.0000000000000249</v>
      </c>
      <c r="AF263">
        <f t="shared" si="296"/>
        <v>-201292.00000000017</v>
      </c>
      <c r="AG263">
        <f t="shared" si="297"/>
        <v>-101292.00000000009</v>
      </c>
      <c r="AH263">
        <f t="shared" si="298"/>
        <v>-4.9999999999999822</v>
      </c>
      <c r="AI263">
        <f t="shared" si="299"/>
        <v>0.44554953322655055</v>
      </c>
      <c r="AJ263">
        <f t="shared" si="300"/>
        <v>-50718.212862305598</v>
      </c>
      <c r="AK263">
        <f t="shared" si="301"/>
        <v>99843.933123674738</v>
      </c>
      <c r="AL263">
        <f t="shared" si="302"/>
        <v>-108636.78148754658</v>
      </c>
      <c r="AM263" s="1">
        <f t="shared" si="303"/>
        <v>-53353.729394419883</v>
      </c>
      <c r="AN263" s="1">
        <f t="shared" si="371"/>
        <v>-109096.34507106245</v>
      </c>
      <c r="AO263">
        <f t="shared" si="372"/>
        <v>-0.74153546521459601</v>
      </c>
      <c r="AP263">
        <f t="shared" si="373"/>
        <v>5.2500478292767996</v>
      </c>
    </row>
    <row r="264" spans="1:42" x14ac:dyDescent="0.25">
      <c r="A264" s="4">
        <v>45715</v>
      </c>
      <c r="B264">
        <f t="shared" ref="B264:N264" si="375">(B814-B813)*100</f>
        <v>-0.99999999999997868</v>
      </c>
      <c r="C264">
        <f t="shared" si="375"/>
        <v>0</v>
      </c>
      <c r="D264">
        <f t="shared" si="375"/>
        <v>-0.99999999999997868</v>
      </c>
      <c r="E264">
        <f t="shared" si="375"/>
        <v>0.99999999999997868</v>
      </c>
      <c r="F264">
        <f t="shared" si="375"/>
        <v>0</v>
      </c>
      <c r="G264">
        <f t="shared" si="375"/>
        <v>0</v>
      </c>
      <c r="H264">
        <f t="shared" si="375"/>
        <v>2.0000000000000462</v>
      </c>
      <c r="I264">
        <f t="shared" si="375"/>
        <v>4.0000000000000036</v>
      </c>
      <c r="J264">
        <f t="shared" si="375"/>
        <v>6.0000000000000497</v>
      </c>
      <c r="K264">
        <f t="shared" si="375"/>
        <v>4.9999999999999822</v>
      </c>
      <c r="L264">
        <f t="shared" si="375"/>
        <v>4.9999999999999822</v>
      </c>
      <c r="M264">
        <f t="shared" si="375"/>
        <v>4.0000000000000036</v>
      </c>
      <c r="N264">
        <f t="shared" si="375"/>
        <v>4.0000000000000036</v>
      </c>
      <c r="O264" s="5">
        <f t="shared" si="363"/>
        <v>8.1222046978825322E-3</v>
      </c>
      <c r="P264" s="5">
        <f t="shared" si="363"/>
        <v>6.7019822514751814E-3</v>
      </c>
      <c r="Q264" s="5">
        <f t="shared" si="363"/>
        <v>8.1795250875617927E-4</v>
      </c>
      <c r="R264" s="5">
        <f t="shared" si="363"/>
        <v>3.5446526548346602E-3</v>
      </c>
      <c r="S264" s="5">
        <f t="shared" si="363"/>
        <v>2.04912592638387E-3</v>
      </c>
      <c r="U264" s="4">
        <v>45715</v>
      </c>
      <c r="V264">
        <f t="shared" si="286"/>
        <v>3999.9999999999145</v>
      </c>
      <c r="W264">
        <f t="shared" si="287"/>
        <v>0</v>
      </c>
      <c r="X264">
        <f t="shared" si="288"/>
        <v>-4589.9999999999018</v>
      </c>
      <c r="Y264">
        <f t="shared" si="289"/>
        <v>-3444.9999999999268</v>
      </c>
      <c r="Z264">
        <f t="shared" si="290"/>
        <v>0</v>
      </c>
      <c r="AA264">
        <f t="shared" si="291"/>
        <v>0</v>
      </c>
      <c r="AB264">
        <f t="shared" si="292"/>
        <v>9128.000000000211</v>
      </c>
      <c r="AC264">
        <f t="shared" si="293"/>
        <v>-8892.0000000000073</v>
      </c>
      <c r="AD264">
        <f t="shared" si="294"/>
        <v>-603264.00000000501</v>
      </c>
      <c r="AE264">
        <f t="shared" si="295"/>
        <v>4.9999999999999822</v>
      </c>
      <c r="AF264">
        <f t="shared" si="296"/>
        <v>251614.9999999991</v>
      </c>
      <c r="AG264">
        <f t="shared" si="297"/>
        <v>101292.00000000009</v>
      </c>
      <c r="AH264">
        <f t="shared" si="298"/>
        <v>4.0000000000000036</v>
      </c>
      <c r="AI264">
        <f t="shared" si="299"/>
        <v>0.81222046978825324</v>
      </c>
      <c r="AJ264">
        <f t="shared" si="300"/>
        <v>-67019.82251475181</v>
      </c>
      <c r="AK264">
        <f t="shared" si="301"/>
        <v>8179.525087561793</v>
      </c>
      <c r="AL264">
        <f t="shared" si="302"/>
        <v>-88616.316370866509</v>
      </c>
      <c r="AM264" s="1">
        <f t="shared" si="303"/>
        <v>-20491.2592638387</v>
      </c>
      <c r="AN264" s="1">
        <f t="shared" si="371"/>
        <v>-422094.06084143103</v>
      </c>
      <c r="AO264">
        <f t="shared" si="372"/>
        <v>0.94422850952262372</v>
      </c>
      <c r="AP264">
        <f t="shared" si="373"/>
        <v>5.2382643043169272</v>
      </c>
    </row>
    <row r="265" spans="1:42" x14ac:dyDescent="0.25">
      <c r="A265" s="4">
        <v>45714</v>
      </c>
      <c r="B265">
        <f t="shared" ref="B265:N265" si="376">(B815-B814)*100</f>
        <v>2.0000000000000462</v>
      </c>
      <c r="C265">
        <f t="shared" si="376"/>
        <v>0</v>
      </c>
      <c r="D265">
        <f t="shared" si="376"/>
        <v>0.99999999999997868</v>
      </c>
      <c r="E265">
        <f t="shared" si="376"/>
        <v>0.99999999999997868</v>
      </c>
      <c r="F265">
        <f t="shared" si="376"/>
        <v>1.9999999999999574</v>
      </c>
      <c r="G265">
        <f t="shared" si="376"/>
        <v>3.0000000000000249</v>
      </c>
      <c r="H265">
        <f t="shared" si="376"/>
        <v>5.9999999999999609</v>
      </c>
      <c r="I265">
        <f t="shared" si="376"/>
        <v>8.9999999999999858</v>
      </c>
      <c r="J265">
        <f t="shared" si="376"/>
        <v>11.000000000000032</v>
      </c>
      <c r="K265">
        <f t="shared" si="376"/>
        <v>11.000000000000032</v>
      </c>
      <c r="L265">
        <f t="shared" si="376"/>
        <v>10.000000000000053</v>
      </c>
      <c r="M265">
        <f t="shared" si="376"/>
        <v>10.000000000000053</v>
      </c>
      <c r="N265">
        <f t="shared" si="376"/>
        <v>11.000000000000032</v>
      </c>
      <c r="O265" s="5">
        <f t="shared" ref="O265:S274" si="377">LN(O814/O815)</f>
        <v>-3.808534625796829E-4</v>
      </c>
      <c r="P265" s="5">
        <f t="shared" si="377"/>
        <v>-5.9756778980361979E-3</v>
      </c>
      <c r="Q265" s="5">
        <f t="shared" si="377"/>
        <v>-6.3243411092865146E-3</v>
      </c>
      <c r="R265" s="5">
        <f t="shared" si="377"/>
        <v>-4.6327920440301503E-3</v>
      </c>
      <c r="S265" s="5">
        <f t="shared" si="377"/>
        <v>-1.4675813961827632E-3</v>
      </c>
      <c r="U265" s="4">
        <v>45714</v>
      </c>
      <c r="V265">
        <f t="shared" ref="V265:V328" si="378">B265*B$3</f>
        <v>-8000.0000000001846</v>
      </c>
      <c r="W265">
        <f t="shared" ref="W265:W328" si="379">C265*C$3</f>
        <v>0</v>
      </c>
      <c r="X265">
        <f t="shared" ref="X265:X328" si="380">D265*D$3</f>
        <v>4589.9999999999018</v>
      </c>
      <c r="Y265">
        <f t="shared" ref="Y265:Y328" si="381">E265*E$3</f>
        <v>-3444.9999999999268</v>
      </c>
      <c r="Z265">
        <f t="shared" ref="Z265:Z328" si="382">F265*F$3</f>
        <v>10869.999999999769</v>
      </c>
      <c r="AA265">
        <f t="shared" ref="AA265:AA328" si="383">G265*G$3</f>
        <v>-6000.00000000005</v>
      </c>
      <c r="AB265">
        <f t="shared" ref="AB265:AB328" si="384">H265*H$3</f>
        <v>27383.999999999822</v>
      </c>
      <c r="AC265">
        <f t="shared" ref="AC265:AC328" si="385">I265*I$3</f>
        <v>-20006.999999999967</v>
      </c>
      <c r="AD265">
        <f t="shared" ref="AD265:AD328" si="386">J265*J$3</f>
        <v>-1105984.0000000033</v>
      </c>
      <c r="AE265">
        <f t="shared" ref="AE265:AE328" si="387">K265*K$3</f>
        <v>11.000000000000032</v>
      </c>
      <c r="AF265">
        <f t="shared" ref="AF265:AF328" si="388">L265*L$3</f>
        <v>503230.00000000268</v>
      </c>
      <c r="AG265">
        <f t="shared" ref="AG265:AG328" si="389">M265*M$3</f>
        <v>253230.00000000134</v>
      </c>
      <c r="AH265">
        <f t="shared" ref="AH265:AH328" si="390">N265*N$3</f>
        <v>11.000000000000032</v>
      </c>
      <c r="AI265">
        <f t="shared" ref="AI265:AI328" si="391">O265*O$3</f>
        <v>-3.8085346257968292E-2</v>
      </c>
      <c r="AJ265">
        <f t="shared" ref="AJ265:AJ328" si="392">P265*P$3</f>
        <v>59756.778980361982</v>
      </c>
      <c r="AK265">
        <f t="shared" ref="AK265:AK328" si="393">Q265*Q$3</f>
        <v>-63243.411092865143</v>
      </c>
      <c r="AL265">
        <f t="shared" ref="AL265:AL328" si="394">R265*R$3</f>
        <v>115819.80110075376</v>
      </c>
      <c r="AM265" s="1">
        <f t="shared" ref="AM265:AM328" si="395">S265*S$3</f>
        <v>14675.813961827631</v>
      </c>
      <c r="AN265" s="1">
        <f t="shared" si="371"/>
        <v>-217101.05513526799</v>
      </c>
      <c r="AO265">
        <f t="shared" si="372"/>
        <v>0.58367583971940262</v>
      </c>
      <c r="AP265">
        <f t="shared" si="373"/>
        <v>5.2006416990973197</v>
      </c>
    </row>
    <row r="266" spans="1:42" x14ac:dyDescent="0.25">
      <c r="A266" s="4">
        <v>45713</v>
      </c>
      <c r="B266">
        <f t="shared" ref="B266:N266" si="396">(B816-B815)*100</f>
        <v>0</v>
      </c>
      <c r="C266">
        <f t="shared" si="396"/>
        <v>0.99999999999997868</v>
      </c>
      <c r="D266">
        <f t="shared" si="396"/>
        <v>1.0000000000000675</v>
      </c>
      <c r="E266">
        <f t="shared" si="396"/>
        <v>0</v>
      </c>
      <c r="F266">
        <f t="shared" si="396"/>
        <v>0</v>
      </c>
      <c r="G266">
        <f t="shared" si="396"/>
        <v>0</v>
      </c>
      <c r="H266">
        <f t="shared" si="396"/>
        <v>6.0000000000000497</v>
      </c>
      <c r="I266">
        <f t="shared" si="396"/>
        <v>2.0000000000000462</v>
      </c>
      <c r="J266">
        <f t="shared" si="396"/>
        <v>2.9999999999999361</v>
      </c>
      <c r="K266">
        <f t="shared" si="396"/>
        <v>2.9999999999999361</v>
      </c>
      <c r="L266">
        <f t="shared" si="396"/>
        <v>1.9999999999999574</v>
      </c>
      <c r="M266">
        <f t="shared" si="396"/>
        <v>0</v>
      </c>
      <c r="N266">
        <f t="shared" si="396"/>
        <v>0.99999999999997868</v>
      </c>
      <c r="O266" s="5">
        <f t="shared" si="377"/>
        <v>9.0584896697991756E-3</v>
      </c>
      <c r="P266" s="5">
        <f t="shared" si="377"/>
        <v>2.7890638342949435E-3</v>
      </c>
      <c r="Q266" s="5">
        <f t="shared" si="377"/>
        <v>4.6997143894656965E-3</v>
      </c>
      <c r="R266" s="5">
        <f t="shared" si="377"/>
        <v>-1.3585112807988861E-3</v>
      </c>
      <c r="S266" s="5">
        <f t="shared" si="377"/>
        <v>1.4479994702998509E-3</v>
      </c>
      <c r="U266" s="4">
        <v>45713</v>
      </c>
      <c r="V266">
        <f t="shared" si="378"/>
        <v>0</v>
      </c>
      <c r="W266">
        <f t="shared" si="379"/>
        <v>-2222.9999999999527</v>
      </c>
      <c r="X266">
        <f t="shared" si="380"/>
        <v>4590.0000000003101</v>
      </c>
      <c r="Y266">
        <f t="shared" si="381"/>
        <v>0</v>
      </c>
      <c r="Z266">
        <f t="shared" si="382"/>
        <v>0</v>
      </c>
      <c r="AA266">
        <f t="shared" si="383"/>
        <v>0</v>
      </c>
      <c r="AB266">
        <f t="shared" si="384"/>
        <v>27384.000000000226</v>
      </c>
      <c r="AC266">
        <f t="shared" si="385"/>
        <v>-4446.0000000001028</v>
      </c>
      <c r="AD266">
        <f t="shared" si="386"/>
        <v>-301631.9999999936</v>
      </c>
      <c r="AE266">
        <f t="shared" si="387"/>
        <v>2.9999999999999361</v>
      </c>
      <c r="AF266">
        <f t="shared" si="388"/>
        <v>100645.99999999786</v>
      </c>
      <c r="AG266">
        <f t="shared" si="389"/>
        <v>0</v>
      </c>
      <c r="AH266">
        <f t="shared" si="390"/>
        <v>0.99999999999997868</v>
      </c>
      <c r="AI266">
        <f t="shared" si="391"/>
        <v>0.90584896697991757</v>
      </c>
      <c r="AJ266">
        <f t="shared" si="392"/>
        <v>-27890.638342949434</v>
      </c>
      <c r="AK266">
        <f t="shared" si="393"/>
        <v>46997.143894656961</v>
      </c>
      <c r="AL266">
        <f t="shared" si="394"/>
        <v>33962.782019972154</v>
      </c>
      <c r="AM266" s="1">
        <f t="shared" si="395"/>
        <v>-14479.994702998509</v>
      </c>
      <c r="AN266" s="1">
        <f t="shared" si="371"/>
        <v>-137086.80128234715</v>
      </c>
      <c r="AO266">
        <f t="shared" si="372"/>
        <v>-0.49688215509051537</v>
      </c>
      <c r="AP266">
        <f t="shared" si="373"/>
        <v>6.5018376862712488</v>
      </c>
    </row>
    <row r="267" spans="1:42" x14ac:dyDescent="0.25">
      <c r="A267" s="4">
        <v>45712</v>
      </c>
      <c r="B267">
        <f t="shared" ref="B267:N267" si="397">(B817-B816)*100</f>
        <v>0.99999999999997868</v>
      </c>
      <c r="C267">
        <f t="shared" si="397"/>
        <v>0</v>
      </c>
      <c r="D267">
        <f t="shared" si="397"/>
        <v>0.99999999999997868</v>
      </c>
      <c r="E267">
        <f t="shared" si="397"/>
        <v>0.99999999999997868</v>
      </c>
      <c r="F267">
        <f t="shared" si="397"/>
        <v>3.0000000000000249</v>
      </c>
      <c r="G267">
        <f t="shared" si="397"/>
        <v>4.9999999999999822</v>
      </c>
      <c r="H267">
        <f t="shared" si="397"/>
        <v>8.9999999999999858</v>
      </c>
      <c r="I267">
        <f t="shared" si="397"/>
        <v>7.9999999999999183</v>
      </c>
      <c r="J267">
        <f t="shared" si="397"/>
        <v>8.0000000000000071</v>
      </c>
      <c r="K267">
        <f t="shared" si="397"/>
        <v>8.0000000000000071</v>
      </c>
      <c r="L267">
        <f t="shared" si="397"/>
        <v>8.0000000000000071</v>
      </c>
      <c r="M267">
        <f t="shared" si="397"/>
        <v>7.9999999999999183</v>
      </c>
      <c r="N267">
        <f t="shared" si="397"/>
        <v>7.0000000000000284</v>
      </c>
      <c r="O267" s="5">
        <f t="shared" si="377"/>
        <v>4.0427430169587509E-3</v>
      </c>
      <c r="P267" s="5">
        <f t="shared" si="377"/>
        <v>8.4141707322195596E-3</v>
      </c>
      <c r="Q267" s="5">
        <f t="shared" si="377"/>
        <v>-2.2573492631542914E-3</v>
      </c>
      <c r="R267" s="5">
        <f t="shared" si="377"/>
        <v>-5.4288817837176446E-4</v>
      </c>
      <c r="S267" s="5">
        <f t="shared" si="377"/>
        <v>6.904944655262876E-4</v>
      </c>
      <c r="U267" s="4">
        <v>45712</v>
      </c>
      <c r="V267">
        <f t="shared" si="378"/>
        <v>-3999.9999999999145</v>
      </c>
      <c r="W267">
        <f t="shared" si="379"/>
        <v>0</v>
      </c>
      <c r="X267">
        <f t="shared" si="380"/>
        <v>4589.9999999999018</v>
      </c>
      <c r="Y267">
        <f t="shared" si="381"/>
        <v>-3444.9999999999268</v>
      </c>
      <c r="Z267">
        <f t="shared" si="382"/>
        <v>16305.000000000135</v>
      </c>
      <c r="AA267">
        <f t="shared" si="383"/>
        <v>-9999.9999999999636</v>
      </c>
      <c r="AB267">
        <f t="shared" si="384"/>
        <v>41075.999999999935</v>
      </c>
      <c r="AC267">
        <f t="shared" si="385"/>
        <v>-17783.999999999818</v>
      </c>
      <c r="AD267">
        <f t="shared" si="386"/>
        <v>-804352.0000000007</v>
      </c>
      <c r="AE267">
        <f t="shared" si="387"/>
        <v>8.0000000000000071</v>
      </c>
      <c r="AF267">
        <f t="shared" si="388"/>
        <v>402584.00000000035</v>
      </c>
      <c r="AG267">
        <f t="shared" si="389"/>
        <v>202583.99999999793</v>
      </c>
      <c r="AH267">
        <f t="shared" si="390"/>
        <v>7.0000000000000284</v>
      </c>
      <c r="AI267">
        <f t="shared" si="391"/>
        <v>0.40427430169587508</v>
      </c>
      <c r="AJ267">
        <f t="shared" si="392"/>
        <v>-84141.707322195594</v>
      </c>
      <c r="AK267">
        <f t="shared" si="393"/>
        <v>-22573.492631542915</v>
      </c>
      <c r="AL267">
        <f t="shared" si="394"/>
        <v>13572.204459294111</v>
      </c>
      <c r="AM267" s="1">
        <f t="shared" si="395"/>
        <v>-6904.944655262876</v>
      </c>
      <c r="AN267" s="1">
        <f t="shared" si="371"/>
        <v>-272474.53587540763</v>
      </c>
      <c r="AO267">
        <f t="shared" si="372"/>
        <v>-0.17993980027156098</v>
      </c>
      <c r="AP267">
        <f t="shared" si="373"/>
        <v>6.4972315235534781</v>
      </c>
    </row>
    <row r="268" spans="1:42" x14ac:dyDescent="0.25">
      <c r="A268" s="4">
        <v>45709</v>
      </c>
      <c r="B268">
        <f t="shared" ref="B268:N268" si="398">(B818-B817)*100</f>
        <v>0.99999999999997868</v>
      </c>
      <c r="C268">
        <f t="shared" si="398"/>
        <v>0</v>
      </c>
      <c r="D268">
        <f t="shared" si="398"/>
        <v>0.99999999999997868</v>
      </c>
      <c r="E268">
        <f t="shared" si="398"/>
        <v>0</v>
      </c>
      <c r="F268">
        <f t="shared" si="398"/>
        <v>0.99999999999997868</v>
      </c>
      <c r="G268">
        <f t="shared" si="398"/>
        <v>1.9999999999999574</v>
      </c>
      <c r="H268">
        <f t="shared" si="398"/>
        <v>0</v>
      </c>
      <c r="I268">
        <f t="shared" si="398"/>
        <v>3.0000000000000249</v>
      </c>
      <c r="J268">
        <f t="shared" si="398"/>
        <v>3.0000000000000249</v>
      </c>
      <c r="K268">
        <f t="shared" si="398"/>
        <v>3.0000000000000249</v>
      </c>
      <c r="L268">
        <f t="shared" si="398"/>
        <v>3.0000000000000249</v>
      </c>
      <c r="M268">
        <f t="shared" si="398"/>
        <v>2.0000000000000462</v>
      </c>
      <c r="N268">
        <f t="shared" si="398"/>
        <v>1.9999999999999574</v>
      </c>
      <c r="O268" s="5">
        <f t="shared" si="377"/>
        <v>1.4030164877442173E-4</v>
      </c>
      <c r="P268" s="5">
        <f t="shared" si="377"/>
        <v>1.48530531207248E-3</v>
      </c>
      <c r="Q268" s="5">
        <f t="shared" si="377"/>
        <v>-7.5194271290919285E-3</v>
      </c>
      <c r="R268" s="5">
        <f t="shared" si="377"/>
        <v>3.5340528830559567E-3</v>
      </c>
      <c r="S268" s="5">
        <f t="shared" si="377"/>
        <v>4.9206994146652593E-3</v>
      </c>
      <c r="U268" s="4">
        <v>45709</v>
      </c>
      <c r="V268">
        <f t="shared" si="378"/>
        <v>-3999.9999999999145</v>
      </c>
      <c r="W268">
        <f t="shared" si="379"/>
        <v>0</v>
      </c>
      <c r="X268">
        <f t="shared" si="380"/>
        <v>4589.9999999999018</v>
      </c>
      <c r="Y268">
        <f t="shared" si="381"/>
        <v>0</v>
      </c>
      <c r="Z268">
        <f t="shared" si="382"/>
        <v>5434.9999999998845</v>
      </c>
      <c r="AA268">
        <f t="shared" si="383"/>
        <v>-3999.9999999999145</v>
      </c>
      <c r="AB268">
        <f t="shared" si="384"/>
        <v>0</v>
      </c>
      <c r="AC268">
        <f t="shared" si="385"/>
        <v>-6669.0000000000555</v>
      </c>
      <c r="AD268">
        <f t="shared" si="386"/>
        <v>-301632.0000000025</v>
      </c>
      <c r="AE268">
        <f t="shared" si="387"/>
        <v>3.0000000000000249</v>
      </c>
      <c r="AF268">
        <f t="shared" si="388"/>
        <v>150969.00000000125</v>
      </c>
      <c r="AG268">
        <f t="shared" si="389"/>
        <v>50646.000000001171</v>
      </c>
      <c r="AH268">
        <f t="shared" si="390"/>
        <v>1.9999999999999574</v>
      </c>
      <c r="AI268">
        <f t="shared" si="391"/>
        <v>1.4030164877442172E-2</v>
      </c>
      <c r="AJ268">
        <f t="shared" si="392"/>
        <v>-14853.0531207248</v>
      </c>
      <c r="AK268">
        <f t="shared" si="393"/>
        <v>-75194.271290919292</v>
      </c>
      <c r="AL268">
        <f t="shared" si="394"/>
        <v>-88351.322076398923</v>
      </c>
      <c r="AM268" s="1">
        <f t="shared" si="395"/>
        <v>-49206.994146652592</v>
      </c>
      <c r="AN268" s="1">
        <f t="shared" si="371"/>
        <v>-332261.6266045309</v>
      </c>
      <c r="AO268">
        <f t="shared" si="372"/>
        <v>-3.1789074488612257</v>
      </c>
      <c r="AP268">
        <f t="shared" si="373"/>
        <v>6.4951239438267985</v>
      </c>
    </row>
    <row r="269" spans="1:42" x14ac:dyDescent="0.25">
      <c r="A269" s="4">
        <v>45708</v>
      </c>
      <c r="B269">
        <f t="shared" ref="B269:N269" si="399">(B819-B818)*100</f>
        <v>0</v>
      </c>
      <c r="C269">
        <f t="shared" si="399"/>
        <v>0</v>
      </c>
      <c r="D269">
        <f t="shared" si="399"/>
        <v>0</v>
      </c>
      <c r="E269">
        <f t="shared" si="399"/>
        <v>2.0000000000000462</v>
      </c>
      <c r="F269">
        <f t="shared" si="399"/>
        <v>0</v>
      </c>
      <c r="G269">
        <f t="shared" si="399"/>
        <v>2.0000000000000462</v>
      </c>
      <c r="H269">
        <f t="shared" si="399"/>
        <v>0.99999999999997868</v>
      </c>
      <c r="I269">
        <f t="shared" si="399"/>
        <v>3.0000000000000249</v>
      </c>
      <c r="J269">
        <f t="shared" si="399"/>
        <v>3.0000000000000249</v>
      </c>
      <c r="K269">
        <f t="shared" si="399"/>
        <v>2.0000000000000462</v>
      </c>
      <c r="L269">
        <f t="shared" si="399"/>
        <v>1.9999999999999574</v>
      </c>
      <c r="M269">
        <f t="shared" si="399"/>
        <v>4.0000000000000036</v>
      </c>
      <c r="N269">
        <f t="shared" si="399"/>
        <v>0.99999999999997868</v>
      </c>
      <c r="O269" s="5">
        <f t="shared" si="377"/>
        <v>-1.1919370385751755E-3</v>
      </c>
      <c r="P269" s="5">
        <f t="shared" si="377"/>
        <v>-5.6402666848958749E-3</v>
      </c>
      <c r="Q269" s="5">
        <f t="shared" si="377"/>
        <v>1.4194018816576844E-3</v>
      </c>
      <c r="R269" s="5">
        <f t="shared" si="377"/>
        <v>-5.1609512896173566E-3</v>
      </c>
      <c r="S269" s="5">
        <f t="shared" si="377"/>
        <v>-6.5555664931128644E-3</v>
      </c>
      <c r="U269" s="4">
        <v>45708</v>
      </c>
      <c r="V269">
        <f t="shared" si="378"/>
        <v>0</v>
      </c>
      <c r="W269">
        <f t="shared" si="379"/>
        <v>0</v>
      </c>
      <c r="X269">
        <f t="shared" si="380"/>
        <v>0</v>
      </c>
      <c r="Y269">
        <f t="shared" si="381"/>
        <v>-6890.0000000001592</v>
      </c>
      <c r="Z269">
        <f t="shared" si="382"/>
        <v>0</v>
      </c>
      <c r="AA269">
        <f t="shared" si="383"/>
        <v>-4000.0000000000923</v>
      </c>
      <c r="AB269">
        <f t="shared" si="384"/>
        <v>4563.9999999999027</v>
      </c>
      <c r="AC269">
        <f t="shared" si="385"/>
        <v>-6669.0000000000555</v>
      </c>
      <c r="AD269">
        <f t="shared" si="386"/>
        <v>-301632.0000000025</v>
      </c>
      <c r="AE269">
        <f t="shared" si="387"/>
        <v>2.0000000000000462</v>
      </c>
      <c r="AF269">
        <f t="shared" si="388"/>
        <v>100645.99999999786</v>
      </c>
      <c r="AG269">
        <f t="shared" si="389"/>
        <v>101292.00000000009</v>
      </c>
      <c r="AH269">
        <f t="shared" si="390"/>
        <v>0.99999999999997868</v>
      </c>
      <c r="AI269">
        <f t="shared" si="391"/>
        <v>-0.11919370385751756</v>
      </c>
      <c r="AJ269">
        <f t="shared" si="392"/>
        <v>56402.666848958746</v>
      </c>
      <c r="AK269">
        <f t="shared" si="393"/>
        <v>14194.018816576843</v>
      </c>
      <c r="AL269">
        <f t="shared" si="394"/>
        <v>129023.78224043391</v>
      </c>
      <c r="AM269" s="1">
        <f t="shared" si="395"/>
        <v>65555.664931128646</v>
      </c>
      <c r="AN269" s="1">
        <f t="shared" si="371"/>
        <v>152490.01364338931</v>
      </c>
      <c r="AO269">
        <f t="shared" si="372"/>
        <v>-6.7569498673926347</v>
      </c>
      <c r="AP269">
        <f t="shared" si="373"/>
        <v>6.4949478628899371</v>
      </c>
    </row>
    <row r="270" spans="1:42" x14ac:dyDescent="0.25">
      <c r="A270" s="4">
        <v>45707</v>
      </c>
      <c r="B270">
        <f t="shared" ref="B270:N270" si="400">(B820-B819)*100</f>
        <v>-0.99999999999997868</v>
      </c>
      <c r="C270">
        <f t="shared" si="400"/>
        <v>0</v>
      </c>
      <c r="D270">
        <f t="shared" si="400"/>
        <v>0</v>
      </c>
      <c r="E270">
        <f t="shared" si="400"/>
        <v>-2.0000000000000462</v>
      </c>
      <c r="F270">
        <f t="shared" si="400"/>
        <v>-1.9999999999999574</v>
      </c>
      <c r="G270">
        <f t="shared" si="400"/>
        <v>-0.99999999999997868</v>
      </c>
      <c r="H270">
        <f t="shared" si="400"/>
        <v>-3.0000000000000249</v>
      </c>
      <c r="I270">
        <f t="shared" si="400"/>
        <v>-7.0000000000000284</v>
      </c>
      <c r="J270">
        <f t="shared" si="400"/>
        <v>-7.0000000000000284</v>
      </c>
      <c r="K270">
        <f t="shared" si="400"/>
        <v>-7.0000000000000284</v>
      </c>
      <c r="L270">
        <f t="shared" si="400"/>
        <v>-8.0000000000000071</v>
      </c>
      <c r="M270">
        <f t="shared" si="400"/>
        <v>-8.0000000000000071</v>
      </c>
      <c r="N270">
        <f t="shared" si="400"/>
        <v>-7.9999999999999183</v>
      </c>
      <c r="O270" s="5">
        <f t="shared" si="377"/>
        <v>1.893740702722798E-3</v>
      </c>
      <c r="P270" s="5">
        <f t="shared" si="377"/>
        <v>2.4420036555518089E-3</v>
      </c>
      <c r="Q270" s="5">
        <f t="shared" si="377"/>
        <v>3.4781543949363382E-3</v>
      </c>
      <c r="R270" s="5">
        <f t="shared" si="377"/>
        <v>2.1697865849333816E-3</v>
      </c>
      <c r="S270" s="5">
        <f t="shared" si="377"/>
        <v>8.5119019213412018E-3</v>
      </c>
      <c r="U270" s="4">
        <v>45707</v>
      </c>
      <c r="V270">
        <f t="shared" si="378"/>
        <v>3999.9999999999145</v>
      </c>
      <c r="W270">
        <f t="shared" si="379"/>
        <v>0</v>
      </c>
      <c r="X270">
        <f t="shared" si="380"/>
        <v>0</v>
      </c>
      <c r="Y270">
        <f t="shared" si="381"/>
        <v>6890.0000000001592</v>
      </c>
      <c r="Z270">
        <f t="shared" si="382"/>
        <v>-10869.999999999769</v>
      </c>
      <c r="AA270">
        <f t="shared" si="383"/>
        <v>1999.9999999999573</v>
      </c>
      <c r="AB270">
        <f t="shared" si="384"/>
        <v>-13692.000000000113</v>
      </c>
      <c r="AC270">
        <f t="shared" si="385"/>
        <v>15561.000000000064</v>
      </c>
      <c r="AD270">
        <f t="shared" si="386"/>
        <v>703808.00000000291</v>
      </c>
      <c r="AE270">
        <f t="shared" si="387"/>
        <v>-7.0000000000000284</v>
      </c>
      <c r="AF270">
        <f t="shared" si="388"/>
        <v>-402584.00000000035</v>
      </c>
      <c r="AG270">
        <f t="shared" si="389"/>
        <v>-202584.00000000017</v>
      </c>
      <c r="AH270">
        <f t="shared" si="390"/>
        <v>-7.9999999999999183</v>
      </c>
      <c r="AI270">
        <f t="shared" si="391"/>
        <v>0.18937407027227982</v>
      </c>
      <c r="AJ270">
        <f t="shared" si="392"/>
        <v>-24420.036555518091</v>
      </c>
      <c r="AK270">
        <f t="shared" si="393"/>
        <v>34781.543949363382</v>
      </c>
      <c r="AL270">
        <f t="shared" si="394"/>
        <v>-54244.664623334538</v>
      </c>
      <c r="AM270" s="1">
        <f t="shared" si="395"/>
        <v>-85119.019213412015</v>
      </c>
      <c r="AN270" s="1">
        <f t="shared" si="371"/>
        <v>-26487.98706882837</v>
      </c>
      <c r="AO270">
        <f t="shared" si="372"/>
        <v>-0.61593019380303615</v>
      </c>
      <c r="AP270">
        <f t="shared" si="373"/>
        <v>9.0273193581647249</v>
      </c>
    </row>
    <row r="271" spans="1:42" x14ac:dyDescent="0.25">
      <c r="A271" s="4">
        <v>45706</v>
      </c>
      <c r="B271">
        <f t="shared" ref="B271:N271" si="401">(B821-B820)*100</f>
        <v>0</v>
      </c>
      <c r="C271">
        <f t="shared" si="401"/>
        <v>0.99999999999997868</v>
      </c>
      <c r="D271">
        <f t="shared" si="401"/>
        <v>0</v>
      </c>
      <c r="E271">
        <f t="shared" si="401"/>
        <v>0</v>
      </c>
      <c r="F271">
        <f t="shared" si="401"/>
        <v>0.99999999999997868</v>
      </c>
      <c r="G271">
        <f t="shared" si="401"/>
        <v>3.9999999999999147</v>
      </c>
      <c r="H271">
        <f t="shared" si="401"/>
        <v>4.9999999999999822</v>
      </c>
      <c r="I271">
        <f t="shared" si="401"/>
        <v>4.9999999999999822</v>
      </c>
      <c r="J271">
        <f t="shared" si="401"/>
        <v>5.9999999999999609</v>
      </c>
      <c r="K271">
        <f t="shared" si="401"/>
        <v>4.9999999999999822</v>
      </c>
      <c r="L271">
        <f t="shared" si="401"/>
        <v>4.9999999999999822</v>
      </c>
      <c r="M271">
        <f t="shared" si="401"/>
        <v>4.0000000000000036</v>
      </c>
      <c r="N271">
        <f t="shared" si="401"/>
        <v>2.9999999999999361</v>
      </c>
      <c r="O271" s="5">
        <f t="shared" si="377"/>
        <v>-5.3213961169681296E-3</v>
      </c>
      <c r="P271" s="5">
        <f t="shared" si="377"/>
        <v>-7.611545349093426E-3</v>
      </c>
      <c r="Q271" s="5">
        <f t="shared" si="377"/>
        <v>-2.5202343764249083E-3</v>
      </c>
      <c r="R271" s="5">
        <f t="shared" si="377"/>
        <v>-4.334875387388696E-3</v>
      </c>
      <c r="S271" s="5">
        <f t="shared" si="377"/>
        <v>-1.5180941965027245E-3</v>
      </c>
      <c r="U271" s="4">
        <v>45706</v>
      </c>
      <c r="V271">
        <f t="shared" si="378"/>
        <v>0</v>
      </c>
      <c r="W271">
        <f t="shared" si="379"/>
        <v>-2222.9999999999527</v>
      </c>
      <c r="X271">
        <f t="shared" si="380"/>
        <v>0</v>
      </c>
      <c r="Y271">
        <f t="shared" si="381"/>
        <v>0</v>
      </c>
      <c r="Z271">
        <f t="shared" si="382"/>
        <v>5434.9999999998845</v>
      </c>
      <c r="AA271">
        <f t="shared" si="383"/>
        <v>-7999.999999999829</v>
      </c>
      <c r="AB271">
        <f t="shared" si="384"/>
        <v>22819.99999999992</v>
      </c>
      <c r="AC271">
        <f t="shared" si="385"/>
        <v>-11114.99999999996</v>
      </c>
      <c r="AD271">
        <f t="shared" si="386"/>
        <v>-603263.99999999604</v>
      </c>
      <c r="AE271">
        <f t="shared" si="387"/>
        <v>4.9999999999999822</v>
      </c>
      <c r="AF271">
        <f t="shared" si="388"/>
        <v>251614.9999999991</v>
      </c>
      <c r="AG271">
        <f t="shared" si="389"/>
        <v>101292.00000000009</v>
      </c>
      <c r="AH271">
        <f t="shared" si="390"/>
        <v>2.9999999999999361</v>
      </c>
      <c r="AI271">
        <f t="shared" si="391"/>
        <v>-0.53213961169681301</v>
      </c>
      <c r="AJ271">
        <f t="shared" si="392"/>
        <v>76115.453490934262</v>
      </c>
      <c r="AK271">
        <f t="shared" si="393"/>
        <v>-25202.343764249083</v>
      </c>
      <c r="AL271">
        <f t="shared" si="394"/>
        <v>108371.8846847174</v>
      </c>
      <c r="AM271" s="1">
        <f t="shared" si="395"/>
        <v>15180.941965027245</v>
      </c>
      <c r="AN271" s="1">
        <f t="shared" si="371"/>
        <v>-68966.59576317863</v>
      </c>
      <c r="AO271">
        <f t="shared" si="372"/>
        <v>-3.1622486779420869</v>
      </c>
      <c r="AP271">
        <f t="shared" si="373"/>
        <v>9.0292037570430175</v>
      </c>
    </row>
    <row r="272" spans="1:42" x14ac:dyDescent="0.25">
      <c r="A272" s="4">
        <v>45702</v>
      </c>
      <c r="B272">
        <f t="shared" ref="B272:N272" si="402">(B822-B821)*100</f>
        <v>0.99999999999997868</v>
      </c>
      <c r="C272">
        <f t="shared" si="402"/>
        <v>0</v>
      </c>
      <c r="D272">
        <f t="shared" si="402"/>
        <v>0.99999999999997868</v>
      </c>
      <c r="E272">
        <f t="shared" si="402"/>
        <v>1.0000000000000675</v>
      </c>
      <c r="F272">
        <f t="shared" si="402"/>
        <v>0</v>
      </c>
      <c r="G272">
        <f t="shared" si="402"/>
        <v>3.0000000000000249</v>
      </c>
      <c r="H272">
        <f t="shared" si="402"/>
        <v>5.0000000000000711</v>
      </c>
      <c r="I272">
        <f t="shared" si="402"/>
        <v>6.0000000000000497</v>
      </c>
      <c r="J272">
        <f t="shared" si="402"/>
        <v>9.0000000000000746</v>
      </c>
      <c r="K272">
        <f t="shared" si="402"/>
        <v>9.9999999999999645</v>
      </c>
      <c r="L272">
        <f t="shared" si="402"/>
        <v>10.000000000000053</v>
      </c>
      <c r="M272">
        <f t="shared" si="402"/>
        <v>11.000000000000032</v>
      </c>
      <c r="N272">
        <f t="shared" si="402"/>
        <v>11.000000000000032</v>
      </c>
      <c r="O272" s="5">
        <f t="shared" si="377"/>
        <v>-8.7777037750144896E-3</v>
      </c>
      <c r="P272" s="5">
        <f t="shared" si="377"/>
        <v>-3.5726218023242494E-3</v>
      </c>
      <c r="Q272" s="5">
        <f t="shared" si="377"/>
        <v>-7.4600980766565501E-3</v>
      </c>
      <c r="R272" s="5">
        <f t="shared" si="377"/>
        <v>-4.3161653194056003E-3</v>
      </c>
      <c r="S272" s="5">
        <f t="shared" si="377"/>
        <v>-8.5332281805932768E-3</v>
      </c>
      <c r="U272" s="4">
        <v>45702</v>
      </c>
      <c r="V272">
        <f t="shared" si="378"/>
        <v>-3999.9999999999145</v>
      </c>
      <c r="W272">
        <f t="shared" si="379"/>
        <v>0</v>
      </c>
      <c r="X272">
        <f t="shared" si="380"/>
        <v>4589.9999999999018</v>
      </c>
      <c r="Y272">
        <f t="shared" si="381"/>
        <v>-3445.0000000002324</v>
      </c>
      <c r="Z272">
        <f t="shared" si="382"/>
        <v>0</v>
      </c>
      <c r="AA272">
        <f t="shared" si="383"/>
        <v>-6000.00000000005</v>
      </c>
      <c r="AB272">
        <f t="shared" si="384"/>
        <v>22820.000000000324</v>
      </c>
      <c r="AC272">
        <f t="shared" si="385"/>
        <v>-13338.000000000111</v>
      </c>
      <c r="AD272">
        <f t="shared" si="386"/>
        <v>-904896.00000000745</v>
      </c>
      <c r="AE272">
        <f t="shared" si="387"/>
        <v>9.9999999999999645</v>
      </c>
      <c r="AF272">
        <f t="shared" si="388"/>
        <v>503230.00000000268</v>
      </c>
      <c r="AG272">
        <f t="shared" si="389"/>
        <v>278553.00000000081</v>
      </c>
      <c r="AH272">
        <f t="shared" si="390"/>
        <v>11.000000000000032</v>
      </c>
      <c r="AI272">
        <f t="shared" si="391"/>
        <v>-0.87777037750144893</v>
      </c>
      <c r="AJ272">
        <f t="shared" si="392"/>
        <v>35726.218023242494</v>
      </c>
      <c r="AK272">
        <f t="shared" si="393"/>
        <v>-74600.980766565495</v>
      </c>
      <c r="AL272">
        <f t="shared" si="394"/>
        <v>107904.13298514001</v>
      </c>
      <c r="AM272" s="1">
        <f t="shared" si="395"/>
        <v>85332.281805932769</v>
      </c>
      <c r="AN272" s="1">
        <f t="shared" si="371"/>
        <v>31895.774277368211</v>
      </c>
      <c r="AO272">
        <f t="shared" si="372"/>
        <v>-0.93089426012144405</v>
      </c>
      <c r="AP272">
        <f t="shared" si="373"/>
        <v>9.0139794729649676</v>
      </c>
    </row>
    <row r="273" spans="1:42" x14ac:dyDescent="0.25">
      <c r="A273" s="4">
        <v>45701</v>
      </c>
      <c r="B273">
        <f t="shared" ref="B273:N273" si="403">(B823-B822)*100</f>
        <v>0</v>
      </c>
      <c r="C273">
        <f t="shared" si="403"/>
        <v>1.0000000000000675</v>
      </c>
      <c r="D273">
        <f t="shared" si="403"/>
        <v>0</v>
      </c>
      <c r="E273">
        <f t="shared" si="403"/>
        <v>0.99999999999997868</v>
      </c>
      <c r="F273">
        <f t="shared" si="403"/>
        <v>-2.0000000000000462</v>
      </c>
      <c r="G273">
        <f t="shared" si="403"/>
        <v>-4.9999999999999822</v>
      </c>
      <c r="H273">
        <f t="shared" si="403"/>
        <v>-7.0000000000000284</v>
      </c>
      <c r="I273">
        <f t="shared" si="403"/>
        <v>-8.9999999999999858</v>
      </c>
      <c r="J273">
        <f t="shared" si="403"/>
        <v>-11.000000000000032</v>
      </c>
      <c r="K273">
        <f t="shared" si="403"/>
        <v>-10.999999999999943</v>
      </c>
      <c r="L273">
        <f t="shared" si="403"/>
        <v>-8.0000000000000071</v>
      </c>
      <c r="M273">
        <f t="shared" si="403"/>
        <v>-10.000000000000053</v>
      </c>
      <c r="N273">
        <f t="shared" si="403"/>
        <v>-8.0000000000000071</v>
      </c>
      <c r="O273" s="5">
        <f t="shared" si="377"/>
        <v>1.3334143438787521E-3</v>
      </c>
      <c r="P273" s="5">
        <f t="shared" si="377"/>
        <v>-6.9439201918693001E-3</v>
      </c>
      <c r="Q273" s="5">
        <f t="shared" si="377"/>
        <v>-5.4834071885541246E-3</v>
      </c>
      <c r="R273" s="5">
        <f t="shared" si="377"/>
        <v>0</v>
      </c>
      <c r="S273" s="5">
        <f t="shared" si="377"/>
        <v>-1.5273026564001386E-3</v>
      </c>
      <c r="U273" s="4">
        <v>45701</v>
      </c>
      <c r="V273">
        <f t="shared" si="378"/>
        <v>0</v>
      </c>
      <c r="W273">
        <f t="shared" si="379"/>
        <v>-2223.0000000001501</v>
      </c>
      <c r="X273">
        <f t="shared" si="380"/>
        <v>0</v>
      </c>
      <c r="Y273">
        <f t="shared" si="381"/>
        <v>-3444.9999999999268</v>
      </c>
      <c r="Z273">
        <f t="shared" si="382"/>
        <v>-10870.000000000251</v>
      </c>
      <c r="AA273">
        <f t="shared" si="383"/>
        <v>9999.9999999999636</v>
      </c>
      <c r="AB273">
        <f t="shared" si="384"/>
        <v>-31948.000000000131</v>
      </c>
      <c r="AC273">
        <f t="shared" si="385"/>
        <v>20006.999999999967</v>
      </c>
      <c r="AD273">
        <f t="shared" si="386"/>
        <v>1105984.0000000033</v>
      </c>
      <c r="AE273">
        <f t="shared" si="387"/>
        <v>-10.999999999999943</v>
      </c>
      <c r="AF273">
        <f t="shared" si="388"/>
        <v>-402584.00000000035</v>
      </c>
      <c r="AG273">
        <f t="shared" si="389"/>
        <v>-253230.00000000134</v>
      </c>
      <c r="AH273">
        <f t="shared" si="390"/>
        <v>-8.0000000000000071</v>
      </c>
      <c r="AI273">
        <f t="shared" si="391"/>
        <v>0.13334143438787521</v>
      </c>
      <c r="AJ273">
        <f t="shared" si="392"/>
        <v>69439.201918692997</v>
      </c>
      <c r="AK273">
        <f t="shared" si="393"/>
        <v>-54834.071885541249</v>
      </c>
      <c r="AL273">
        <f t="shared" si="394"/>
        <v>0</v>
      </c>
      <c r="AM273" s="1">
        <f t="shared" si="395"/>
        <v>15273.026564001386</v>
      </c>
      <c r="AN273" s="1">
        <f t="shared" si="371"/>
        <v>461550.28993858863</v>
      </c>
      <c r="AO273">
        <f t="shared" si="372"/>
        <v>-23.804029233024856</v>
      </c>
      <c r="AP273">
        <f t="shared" si="373"/>
        <v>9.0213383182723721</v>
      </c>
    </row>
    <row r="274" spans="1:42" x14ac:dyDescent="0.25">
      <c r="A274" s="4">
        <v>45700</v>
      </c>
      <c r="B274">
        <f t="shared" ref="B274:N274" si="404">(B824-B823)*100</f>
        <v>0</v>
      </c>
      <c r="C274">
        <f t="shared" si="404"/>
        <v>0</v>
      </c>
      <c r="D274">
        <f t="shared" si="404"/>
        <v>0</v>
      </c>
      <c r="E274">
        <f t="shared" si="404"/>
        <v>0</v>
      </c>
      <c r="F274">
        <f t="shared" si="404"/>
        <v>0</v>
      </c>
      <c r="G274">
        <f t="shared" si="404"/>
        <v>-0.99999999999997868</v>
      </c>
      <c r="H274">
        <f t="shared" si="404"/>
        <v>-0.99999999999997868</v>
      </c>
      <c r="I274">
        <f t="shared" si="404"/>
        <v>1.9999999999999574</v>
      </c>
      <c r="J274">
        <f t="shared" si="404"/>
        <v>-3.0000000000000249</v>
      </c>
      <c r="K274">
        <f t="shared" si="404"/>
        <v>-3.0000000000000249</v>
      </c>
      <c r="L274">
        <f t="shared" si="404"/>
        <v>-3.0000000000000249</v>
      </c>
      <c r="M274">
        <f t="shared" si="404"/>
        <v>-4.0000000000000036</v>
      </c>
      <c r="N274">
        <f t="shared" si="404"/>
        <v>-4.0000000000000036</v>
      </c>
      <c r="O274" s="5">
        <f t="shared" si="377"/>
        <v>-1.3334143438786833E-3</v>
      </c>
      <c r="P274" s="5">
        <f t="shared" si="377"/>
        <v>6.1463659823722287E-3</v>
      </c>
      <c r="Q274" s="5">
        <f t="shared" si="377"/>
        <v>1.123420308510491E-3</v>
      </c>
      <c r="R274" s="5">
        <f t="shared" si="377"/>
        <v>1.0772960912619049E-3</v>
      </c>
      <c r="S274" s="5">
        <f t="shared" si="377"/>
        <v>-1.4568135394998031E-3</v>
      </c>
      <c r="U274" s="4">
        <v>45700</v>
      </c>
      <c r="V274">
        <f t="shared" si="378"/>
        <v>0</v>
      </c>
      <c r="W274">
        <f t="shared" si="379"/>
        <v>0</v>
      </c>
      <c r="X274">
        <f t="shared" si="380"/>
        <v>0</v>
      </c>
      <c r="Y274">
        <f t="shared" si="381"/>
        <v>0</v>
      </c>
      <c r="Z274">
        <f t="shared" si="382"/>
        <v>0</v>
      </c>
      <c r="AA274">
        <f t="shared" si="383"/>
        <v>1999.9999999999573</v>
      </c>
      <c r="AB274">
        <f t="shared" si="384"/>
        <v>-4563.9999999999027</v>
      </c>
      <c r="AC274">
        <f t="shared" si="385"/>
        <v>-4445.9999999999054</v>
      </c>
      <c r="AD274">
        <f t="shared" si="386"/>
        <v>301632.0000000025</v>
      </c>
      <c r="AE274">
        <f t="shared" si="387"/>
        <v>-3.0000000000000249</v>
      </c>
      <c r="AF274">
        <f t="shared" si="388"/>
        <v>-150969.00000000125</v>
      </c>
      <c r="AG274">
        <f t="shared" si="389"/>
        <v>-101292.00000000009</v>
      </c>
      <c r="AH274">
        <f t="shared" si="390"/>
        <v>-4.0000000000000036</v>
      </c>
      <c r="AI274">
        <f t="shared" si="391"/>
        <v>-0.13334143438786833</v>
      </c>
      <c r="AJ274">
        <f t="shared" si="392"/>
        <v>-61463.659823722286</v>
      </c>
      <c r="AK274">
        <f t="shared" si="393"/>
        <v>11234.203085104909</v>
      </c>
      <c r="AL274">
        <f t="shared" si="394"/>
        <v>-26932.40228154762</v>
      </c>
      <c r="AM274" s="1">
        <f t="shared" si="395"/>
        <v>14568.135394998031</v>
      </c>
      <c r="AN274" s="1">
        <f t="shared" si="371"/>
        <v>-20239.856966600018</v>
      </c>
      <c r="AO274">
        <f t="shared" si="372"/>
        <v>-0.78937812510714034</v>
      </c>
      <c r="AP274">
        <f t="shared" si="373"/>
        <v>7.1569607302326457</v>
      </c>
    </row>
    <row r="275" spans="1:42" x14ac:dyDescent="0.25">
      <c r="A275" s="4">
        <v>45699</v>
      </c>
      <c r="B275">
        <f t="shared" ref="B275:N275" si="405">(B825-B824)*100</f>
        <v>-0.99999999999997868</v>
      </c>
      <c r="C275">
        <f t="shared" si="405"/>
        <v>-2.0000000000000462</v>
      </c>
      <c r="D275">
        <f t="shared" si="405"/>
        <v>0</v>
      </c>
      <c r="E275">
        <f t="shared" si="405"/>
        <v>0</v>
      </c>
      <c r="F275">
        <f t="shared" si="405"/>
        <v>-0.99999999999997868</v>
      </c>
      <c r="G275">
        <f t="shared" si="405"/>
        <v>0.99999999999997868</v>
      </c>
      <c r="H275">
        <f t="shared" si="405"/>
        <v>0.99999999999997868</v>
      </c>
      <c r="I275">
        <f t="shared" si="405"/>
        <v>0.99999999999997868</v>
      </c>
      <c r="J275">
        <f t="shared" si="405"/>
        <v>0</v>
      </c>
      <c r="K275">
        <f t="shared" si="405"/>
        <v>0</v>
      </c>
      <c r="L275">
        <f t="shared" si="405"/>
        <v>-1.9999999999999574</v>
      </c>
      <c r="M275">
        <f t="shared" si="405"/>
        <v>-0.99999999999997868</v>
      </c>
      <c r="N275">
        <f t="shared" si="405"/>
        <v>-1.9999999999999574</v>
      </c>
      <c r="O275" s="5">
        <f t="shared" ref="O275:S284" si="406">LN(O824/O825)</f>
        <v>-3.4605069988036502E-4</v>
      </c>
      <c r="P275" s="5">
        <f t="shared" si="406"/>
        <v>-2.5363391100572085E-4</v>
      </c>
      <c r="Q275" s="5">
        <f t="shared" si="406"/>
        <v>2.1858947422578133E-4</v>
      </c>
      <c r="R275" s="5">
        <f t="shared" si="406"/>
        <v>2.6950545911678334E-4</v>
      </c>
      <c r="S275" s="5">
        <f t="shared" si="406"/>
        <v>-2.8538735030243841E-3</v>
      </c>
      <c r="U275" s="4">
        <v>45699</v>
      </c>
      <c r="V275">
        <f t="shared" si="378"/>
        <v>3999.9999999999145</v>
      </c>
      <c r="W275">
        <f t="shared" si="379"/>
        <v>4446.0000000001028</v>
      </c>
      <c r="X275">
        <f t="shared" si="380"/>
        <v>0</v>
      </c>
      <c r="Y275">
        <f t="shared" si="381"/>
        <v>0</v>
      </c>
      <c r="Z275">
        <f t="shared" si="382"/>
        <v>-5434.9999999998845</v>
      </c>
      <c r="AA275">
        <f t="shared" si="383"/>
        <v>-1999.9999999999573</v>
      </c>
      <c r="AB275">
        <f t="shared" si="384"/>
        <v>4563.9999999999027</v>
      </c>
      <c r="AC275">
        <f t="shared" si="385"/>
        <v>-2222.9999999999527</v>
      </c>
      <c r="AD275">
        <f t="shared" si="386"/>
        <v>0</v>
      </c>
      <c r="AE275">
        <f t="shared" si="387"/>
        <v>0</v>
      </c>
      <c r="AF275">
        <f t="shared" si="388"/>
        <v>-100645.99999999786</v>
      </c>
      <c r="AG275">
        <f t="shared" si="389"/>
        <v>-25322.999999999462</v>
      </c>
      <c r="AH275">
        <f t="shared" si="390"/>
        <v>-1.9999999999999574</v>
      </c>
      <c r="AI275">
        <f t="shared" si="391"/>
        <v>-3.4605069988036502E-2</v>
      </c>
      <c r="AJ275">
        <f t="shared" si="392"/>
        <v>2536.3391100572085</v>
      </c>
      <c r="AK275">
        <f t="shared" si="393"/>
        <v>2185.8947422578135</v>
      </c>
      <c r="AL275">
        <f t="shared" si="394"/>
        <v>-6737.6364779195837</v>
      </c>
      <c r="AM275" s="1">
        <f t="shared" si="395"/>
        <v>28538.735030243843</v>
      </c>
      <c r="AN275" s="1">
        <f t="shared" si="371"/>
        <v>-96095.702200427899</v>
      </c>
      <c r="AO275">
        <f t="shared" si="372"/>
        <v>-1.566668896226783</v>
      </c>
      <c r="AP275">
        <f t="shared" si="373"/>
        <v>7.3458244239994368</v>
      </c>
    </row>
    <row r="276" spans="1:42" x14ac:dyDescent="0.25">
      <c r="A276" s="4">
        <v>45698</v>
      </c>
      <c r="B276">
        <f t="shared" ref="B276:N276" si="407">(B826-B825)*100</f>
        <v>0</v>
      </c>
      <c r="C276">
        <f t="shared" si="407"/>
        <v>0</v>
      </c>
      <c r="D276">
        <f t="shared" si="407"/>
        <v>-0.99999999999997868</v>
      </c>
      <c r="E276">
        <f t="shared" si="407"/>
        <v>-0.99999999999997868</v>
      </c>
      <c r="F276">
        <f t="shared" si="407"/>
        <v>-1.9999999999999574</v>
      </c>
      <c r="G276">
        <f t="shared" si="407"/>
        <v>-5.9999999999999609</v>
      </c>
      <c r="H276">
        <f t="shared" si="407"/>
        <v>-8.0000000000000071</v>
      </c>
      <c r="I276">
        <f t="shared" si="407"/>
        <v>-7.9999999999999183</v>
      </c>
      <c r="J276">
        <f t="shared" si="407"/>
        <v>-5.9999999999999609</v>
      </c>
      <c r="K276">
        <f t="shared" si="407"/>
        <v>-5.9999999999999609</v>
      </c>
      <c r="L276">
        <f t="shared" si="407"/>
        <v>-4.0000000000000036</v>
      </c>
      <c r="M276">
        <f t="shared" si="407"/>
        <v>-4.9999999999999822</v>
      </c>
      <c r="N276">
        <f t="shared" si="407"/>
        <v>-4.0000000000000036</v>
      </c>
      <c r="O276" s="5">
        <f t="shared" si="406"/>
        <v>4.3516395962851272E-3</v>
      </c>
      <c r="P276" s="5">
        <f t="shared" si="406"/>
        <v>3.5931007643699173E-3</v>
      </c>
      <c r="Q276" s="5">
        <f t="shared" si="406"/>
        <v>-7.2503546026320221E-3</v>
      </c>
      <c r="R276" s="5">
        <f t="shared" si="406"/>
        <v>-1.885014695771335E-3</v>
      </c>
      <c r="S276" s="5">
        <f t="shared" si="406"/>
        <v>2.5715265161761684E-3</v>
      </c>
      <c r="U276" s="4">
        <v>45698</v>
      </c>
      <c r="V276">
        <f t="shared" si="378"/>
        <v>0</v>
      </c>
      <c r="W276">
        <f t="shared" si="379"/>
        <v>0</v>
      </c>
      <c r="X276">
        <f t="shared" si="380"/>
        <v>-4589.9999999999018</v>
      </c>
      <c r="Y276">
        <f t="shared" si="381"/>
        <v>3444.9999999999268</v>
      </c>
      <c r="Z276">
        <f t="shared" si="382"/>
        <v>-10869.999999999769</v>
      </c>
      <c r="AA276">
        <f t="shared" si="383"/>
        <v>11999.999999999922</v>
      </c>
      <c r="AB276">
        <f t="shared" si="384"/>
        <v>-36512.000000000029</v>
      </c>
      <c r="AC276">
        <f t="shared" si="385"/>
        <v>17783.999999999818</v>
      </c>
      <c r="AD276">
        <f t="shared" si="386"/>
        <v>603263.99999999604</v>
      </c>
      <c r="AE276">
        <f t="shared" si="387"/>
        <v>-5.9999999999999609</v>
      </c>
      <c r="AF276">
        <f t="shared" si="388"/>
        <v>-201292.00000000017</v>
      </c>
      <c r="AG276">
        <f t="shared" si="389"/>
        <v>-126614.99999999955</v>
      </c>
      <c r="AH276">
        <f t="shared" si="390"/>
        <v>-4.0000000000000036</v>
      </c>
      <c r="AI276">
        <f t="shared" si="391"/>
        <v>0.43516395962851273</v>
      </c>
      <c r="AJ276">
        <f t="shared" si="392"/>
        <v>-35931.007643699173</v>
      </c>
      <c r="AK276">
        <f t="shared" si="393"/>
        <v>-72503.546026320226</v>
      </c>
      <c r="AL276">
        <f t="shared" si="394"/>
        <v>47125.367394283378</v>
      </c>
      <c r="AM276" s="1">
        <f t="shared" si="395"/>
        <v>-25715.265161761683</v>
      </c>
      <c r="AN276" s="1">
        <f t="shared" si="371"/>
        <v>169579.98372645825</v>
      </c>
      <c r="AO276">
        <f t="shared" si="372"/>
        <v>-0.27635570473747084</v>
      </c>
      <c r="AP276">
        <f t="shared" si="373"/>
        <v>7.3274859499216287</v>
      </c>
    </row>
    <row r="277" spans="1:42" x14ac:dyDescent="0.25">
      <c r="A277" s="4">
        <v>45695</v>
      </c>
      <c r="B277">
        <f t="shared" ref="B277:N277" si="408">(B827-B826)*100</f>
        <v>-2.0000000000000462</v>
      </c>
      <c r="C277">
        <f t="shared" si="408"/>
        <v>-0.99999999999997868</v>
      </c>
      <c r="D277">
        <f t="shared" si="408"/>
        <v>-0.99999999999997868</v>
      </c>
      <c r="E277">
        <f t="shared" si="408"/>
        <v>-1.0000000000000675</v>
      </c>
      <c r="F277">
        <f t="shared" si="408"/>
        <v>-1.0000000000000675</v>
      </c>
      <c r="G277">
        <f t="shared" si="408"/>
        <v>-2.0000000000000462</v>
      </c>
      <c r="H277">
        <f t="shared" si="408"/>
        <v>-4.0000000000000036</v>
      </c>
      <c r="I277">
        <f t="shared" si="408"/>
        <v>-4.0000000000000036</v>
      </c>
      <c r="J277">
        <f t="shared" si="408"/>
        <v>-4.0000000000000036</v>
      </c>
      <c r="K277">
        <f t="shared" si="408"/>
        <v>-3.0000000000000249</v>
      </c>
      <c r="L277">
        <f t="shared" si="408"/>
        <v>-2.0000000000000462</v>
      </c>
      <c r="M277">
        <f t="shared" si="408"/>
        <v>-0.99999999999997868</v>
      </c>
      <c r="N277">
        <f t="shared" si="408"/>
        <v>-1.0000000000000675</v>
      </c>
      <c r="O277" s="5">
        <f t="shared" si="406"/>
        <v>-5.1816730181983607E-3</v>
      </c>
      <c r="P277" s="5">
        <f t="shared" si="406"/>
        <v>-2.6869698208254089E-3</v>
      </c>
      <c r="Q277" s="5">
        <f t="shared" si="406"/>
        <v>-1.941086585125196E-3</v>
      </c>
      <c r="R277" s="5">
        <f t="shared" si="406"/>
        <v>2.6907036352294839E-4</v>
      </c>
      <c r="S277" s="5">
        <f t="shared" si="406"/>
        <v>4.0871925054038567E-3</v>
      </c>
      <c r="U277" s="4">
        <v>45695</v>
      </c>
      <c r="V277">
        <f t="shared" si="378"/>
        <v>8000.0000000001846</v>
      </c>
      <c r="W277">
        <f t="shared" si="379"/>
        <v>2222.9999999999527</v>
      </c>
      <c r="X277">
        <f t="shared" si="380"/>
        <v>-4589.9999999999018</v>
      </c>
      <c r="Y277">
        <f t="shared" si="381"/>
        <v>3445.0000000002324</v>
      </c>
      <c r="Z277">
        <f t="shared" si="382"/>
        <v>-5435.0000000003665</v>
      </c>
      <c r="AA277">
        <f t="shared" si="383"/>
        <v>4000.0000000000923</v>
      </c>
      <c r="AB277">
        <f t="shared" si="384"/>
        <v>-18256.000000000015</v>
      </c>
      <c r="AC277">
        <f t="shared" si="385"/>
        <v>8892.0000000000073</v>
      </c>
      <c r="AD277">
        <f t="shared" si="386"/>
        <v>402176.00000000035</v>
      </c>
      <c r="AE277">
        <f t="shared" si="387"/>
        <v>-3.0000000000000249</v>
      </c>
      <c r="AF277">
        <f t="shared" si="388"/>
        <v>-100646.00000000233</v>
      </c>
      <c r="AG277">
        <f t="shared" si="389"/>
        <v>-25322.999999999462</v>
      </c>
      <c r="AH277">
        <f t="shared" si="390"/>
        <v>-1.0000000000000675</v>
      </c>
      <c r="AI277">
        <f t="shared" si="391"/>
        <v>-0.51816730181983606</v>
      </c>
      <c r="AJ277">
        <f t="shared" si="392"/>
        <v>26869.698208254089</v>
      </c>
      <c r="AK277">
        <f t="shared" si="393"/>
        <v>-19410.865851251961</v>
      </c>
      <c r="AL277">
        <f t="shared" si="394"/>
        <v>-6726.7590880737098</v>
      </c>
      <c r="AM277" s="1">
        <f t="shared" si="395"/>
        <v>-40871.925054038569</v>
      </c>
      <c r="AN277" s="1">
        <f t="shared" si="371"/>
        <v>234341.63004758675</v>
      </c>
      <c r="AO277">
        <f t="shared" si="372"/>
        <v>1.2316126510766643</v>
      </c>
      <c r="AP277">
        <f t="shared" si="373"/>
        <v>7.3209122081960158</v>
      </c>
    </row>
    <row r="278" spans="1:42" x14ac:dyDescent="0.25">
      <c r="A278" s="4">
        <v>45694</v>
      </c>
      <c r="B278">
        <f t="shared" ref="B278:N278" si="409">(B828-B827)*100</f>
        <v>1.0000000000000675</v>
      </c>
      <c r="C278">
        <f t="shared" si="409"/>
        <v>0.99999999999997868</v>
      </c>
      <c r="D278">
        <f t="shared" si="409"/>
        <v>0</v>
      </c>
      <c r="E278">
        <f t="shared" si="409"/>
        <v>0</v>
      </c>
      <c r="F278">
        <f t="shared" si="409"/>
        <v>0</v>
      </c>
      <c r="G278">
        <f t="shared" si="409"/>
        <v>0.99999999999997868</v>
      </c>
      <c r="H278">
        <f t="shared" si="409"/>
        <v>4.0000000000000036</v>
      </c>
      <c r="I278">
        <f t="shared" si="409"/>
        <v>5.9999999999999609</v>
      </c>
      <c r="J278">
        <f t="shared" si="409"/>
        <v>6.9999999999999396</v>
      </c>
      <c r="K278">
        <f t="shared" si="409"/>
        <v>8.9999999999999858</v>
      </c>
      <c r="L278">
        <f t="shared" si="409"/>
        <v>8.9999999999999858</v>
      </c>
      <c r="M278">
        <f t="shared" si="409"/>
        <v>11.999999999999922</v>
      </c>
      <c r="N278">
        <f t="shared" si="409"/>
        <v>11.000000000000032</v>
      </c>
      <c r="O278" s="5">
        <f t="shared" si="406"/>
        <v>-2.4342463702170312E-3</v>
      </c>
      <c r="P278" s="5">
        <f t="shared" si="406"/>
        <v>-9.2401639197325549E-3</v>
      </c>
      <c r="Q278" s="5">
        <f t="shared" si="406"/>
        <v>-8.3305995244373054E-3</v>
      </c>
      <c r="R278" s="5">
        <f t="shared" si="406"/>
        <v>0</v>
      </c>
      <c r="S278" s="5">
        <f t="shared" si="406"/>
        <v>-4.6224593000139822E-3</v>
      </c>
      <c r="U278" s="4">
        <v>45694</v>
      </c>
      <c r="V278">
        <f t="shared" si="378"/>
        <v>-4000.0000000002701</v>
      </c>
      <c r="W278">
        <f t="shared" si="379"/>
        <v>-2222.9999999999527</v>
      </c>
      <c r="X278">
        <f t="shared" si="380"/>
        <v>0</v>
      </c>
      <c r="Y278">
        <f t="shared" si="381"/>
        <v>0</v>
      </c>
      <c r="Z278">
        <f t="shared" si="382"/>
        <v>0</v>
      </c>
      <c r="AA278">
        <f t="shared" si="383"/>
        <v>-1999.9999999999573</v>
      </c>
      <c r="AB278">
        <f t="shared" si="384"/>
        <v>18256.000000000015</v>
      </c>
      <c r="AC278">
        <f t="shared" si="385"/>
        <v>-13337.999999999913</v>
      </c>
      <c r="AD278">
        <f t="shared" si="386"/>
        <v>-703807.99999999395</v>
      </c>
      <c r="AE278">
        <f t="shared" si="387"/>
        <v>8.9999999999999858</v>
      </c>
      <c r="AF278">
        <f t="shared" si="388"/>
        <v>452906.9999999993</v>
      </c>
      <c r="AG278">
        <f t="shared" si="389"/>
        <v>303875.99999999802</v>
      </c>
      <c r="AH278">
        <f t="shared" si="390"/>
        <v>11.000000000000032</v>
      </c>
      <c r="AI278">
        <f t="shared" si="391"/>
        <v>-0.24342463702170311</v>
      </c>
      <c r="AJ278">
        <f t="shared" si="392"/>
        <v>92401.639197325552</v>
      </c>
      <c r="AK278">
        <f t="shared" si="393"/>
        <v>-83305.995244373058</v>
      </c>
      <c r="AL278">
        <f t="shared" si="394"/>
        <v>0</v>
      </c>
      <c r="AM278" s="1">
        <f t="shared" si="395"/>
        <v>46224.593000139823</v>
      </c>
      <c r="AN278" s="1">
        <f t="shared" si="371"/>
        <v>105009.99352845855</v>
      </c>
      <c r="AO278">
        <f t="shared" si="372"/>
        <v>-1.2472018567154324</v>
      </c>
      <c r="AP278">
        <f t="shared" si="373"/>
        <v>7.3424606828796906</v>
      </c>
    </row>
    <row r="279" spans="1:42" x14ac:dyDescent="0.25">
      <c r="A279" s="4">
        <v>45693</v>
      </c>
      <c r="B279">
        <f t="shared" ref="B279:N279" si="410">(B829-B828)*100</f>
        <v>0.99999999999997868</v>
      </c>
      <c r="C279">
        <f t="shared" si="410"/>
        <v>0</v>
      </c>
      <c r="D279">
        <f t="shared" si="410"/>
        <v>0.99999999999997868</v>
      </c>
      <c r="E279">
        <f t="shared" si="410"/>
        <v>0</v>
      </c>
      <c r="F279">
        <f t="shared" si="410"/>
        <v>1.0000000000000675</v>
      </c>
      <c r="G279">
        <f t="shared" si="410"/>
        <v>2.0000000000000462</v>
      </c>
      <c r="H279">
        <f t="shared" si="410"/>
        <v>4.9999999999999822</v>
      </c>
      <c r="I279">
        <f t="shared" si="410"/>
        <v>3.0000000000000249</v>
      </c>
      <c r="J279">
        <f t="shared" si="410"/>
        <v>4.0000000000000036</v>
      </c>
      <c r="K279">
        <f t="shared" si="410"/>
        <v>3.0000000000000249</v>
      </c>
      <c r="L279">
        <f t="shared" si="410"/>
        <v>2.0000000000000462</v>
      </c>
      <c r="M279">
        <f t="shared" si="410"/>
        <v>1.0000000000000675</v>
      </c>
      <c r="N279">
        <f t="shared" si="410"/>
        <v>1.9999999999999574</v>
      </c>
      <c r="O279" s="5">
        <f t="shared" si="406"/>
        <v>1.2077504530593128E-3</v>
      </c>
      <c r="P279" s="5">
        <f t="shared" si="406"/>
        <v>3.5992840296468214E-3</v>
      </c>
      <c r="Q279" s="5">
        <f t="shared" si="406"/>
        <v>-9.7114826473597357E-3</v>
      </c>
      <c r="R279" s="5">
        <f t="shared" si="406"/>
        <v>1.3464388731316568E-3</v>
      </c>
      <c r="S279" s="5">
        <f t="shared" si="406"/>
        <v>0</v>
      </c>
      <c r="U279" s="4">
        <v>45693</v>
      </c>
      <c r="V279">
        <f t="shared" si="378"/>
        <v>-3999.9999999999145</v>
      </c>
      <c r="W279">
        <f t="shared" si="379"/>
        <v>0</v>
      </c>
      <c r="X279">
        <f t="shared" si="380"/>
        <v>4589.9999999999018</v>
      </c>
      <c r="Y279">
        <f t="shared" si="381"/>
        <v>0</v>
      </c>
      <c r="Z279">
        <f t="shared" si="382"/>
        <v>5435.0000000003665</v>
      </c>
      <c r="AA279">
        <f t="shared" si="383"/>
        <v>-4000.0000000000923</v>
      </c>
      <c r="AB279">
        <f t="shared" si="384"/>
        <v>22819.99999999992</v>
      </c>
      <c r="AC279">
        <f t="shared" si="385"/>
        <v>-6669.0000000000555</v>
      </c>
      <c r="AD279">
        <f t="shared" si="386"/>
        <v>-402176.00000000035</v>
      </c>
      <c r="AE279">
        <f t="shared" si="387"/>
        <v>3.0000000000000249</v>
      </c>
      <c r="AF279">
        <f t="shared" si="388"/>
        <v>100646.00000000233</v>
      </c>
      <c r="AG279">
        <f t="shared" si="389"/>
        <v>25323.00000000171</v>
      </c>
      <c r="AH279">
        <f t="shared" si="390"/>
        <v>1.9999999999999574</v>
      </c>
      <c r="AI279">
        <f t="shared" si="391"/>
        <v>0.12077504530593128</v>
      </c>
      <c r="AJ279">
        <f t="shared" si="392"/>
        <v>-35992.84029646821</v>
      </c>
      <c r="AK279">
        <f t="shared" si="393"/>
        <v>-97114.82647359735</v>
      </c>
      <c r="AL279">
        <f t="shared" si="394"/>
        <v>-33660.971828291418</v>
      </c>
      <c r="AM279" s="1">
        <f t="shared" si="395"/>
        <v>0</v>
      </c>
      <c r="AN279" s="1">
        <f t="shared" si="371"/>
        <v>-424794.51782330789</v>
      </c>
      <c r="AO279">
        <f t="shared" si="372"/>
        <v>-2.4152434612470293</v>
      </c>
      <c r="AP279">
        <f t="shared" si="373"/>
        <v>7.324740453542157</v>
      </c>
    </row>
    <row r="280" spans="1:42" x14ac:dyDescent="0.25">
      <c r="A280" s="4">
        <v>45692</v>
      </c>
      <c r="B280">
        <f t="shared" ref="B280:N280" si="411">(B830-B829)*100</f>
        <v>0</v>
      </c>
      <c r="C280">
        <f t="shared" si="411"/>
        <v>-0.99999999999997868</v>
      </c>
      <c r="D280">
        <f t="shared" si="411"/>
        <v>-3.0000000000000249</v>
      </c>
      <c r="E280">
        <f t="shared" si="411"/>
        <v>-1.9999999999999574</v>
      </c>
      <c r="F280">
        <f t="shared" si="411"/>
        <v>0</v>
      </c>
      <c r="G280">
        <f t="shared" si="411"/>
        <v>-3.0000000000000249</v>
      </c>
      <c r="H280">
        <f t="shared" si="411"/>
        <v>-4.0000000000000036</v>
      </c>
      <c r="I280">
        <f t="shared" si="411"/>
        <v>-1.0000000000000675</v>
      </c>
      <c r="J280">
        <f t="shared" si="411"/>
        <v>1.0000000000000675</v>
      </c>
      <c r="K280">
        <f t="shared" si="411"/>
        <v>1.9999999999999574</v>
      </c>
      <c r="L280">
        <f t="shared" si="411"/>
        <v>4.0000000000000036</v>
      </c>
      <c r="M280">
        <f t="shared" si="411"/>
        <v>5.9999999999999609</v>
      </c>
      <c r="N280">
        <f t="shared" si="411"/>
        <v>6.0000000000000497</v>
      </c>
      <c r="O280" s="5">
        <f t="shared" si="406"/>
        <v>-1.3035310811041548E-2</v>
      </c>
      <c r="P280" s="5">
        <f t="shared" si="406"/>
        <v>-9.6107647955058929E-4</v>
      </c>
      <c r="Q280" s="5">
        <f t="shared" si="406"/>
        <v>2.9421632919179536E-3</v>
      </c>
      <c r="R280" s="5">
        <f t="shared" si="406"/>
        <v>1.6181233304102998E-3</v>
      </c>
      <c r="S280" s="5">
        <f t="shared" si="406"/>
        <v>-6.3574484729362188E-3</v>
      </c>
      <c r="U280" s="4">
        <v>45692</v>
      </c>
      <c r="V280">
        <f t="shared" si="378"/>
        <v>0</v>
      </c>
      <c r="W280">
        <f t="shared" si="379"/>
        <v>2222.9999999999527</v>
      </c>
      <c r="X280">
        <f t="shared" si="380"/>
        <v>-13770.000000000115</v>
      </c>
      <c r="Y280">
        <f t="shared" si="381"/>
        <v>6889.9999999998536</v>
      </c>
      <c r="Z280">
        <f t="shared" si="382"/>
        <v>0</v>
      </c>
      <c r="AA280">
        <f t="shared" si="383"/>
        <v>6000.00000000005</v>
      </c>
      <c r="AB280">
        <f t="shared" si="384"/>
        <v>-18256.000000000015</v>
      </c>
      <c r="AC280">
        <f t="shared" si="385"/>
        <v>2223.0000000001501</v>
      </c>
      <c r="AD280">
        <f t="shared" si="386"/>
        <v>-100544.00000000678</v>
      </c>
      <c r="AE280">
        <f t="shared" si="387"/>
        <v>1.9999999999999574</v>
      </c>
      <c r="AF280">
        <f t="shared" si="388"/>
        <v>201292.00000000017</v>
      </c>
      <c r="AG280">
        <f t="shared" si="389"/>
        <v>151937.99999999901</v>
      </c>
      <c r="AH280">
        <f t="shared" si="390"/>
        <v>6.0000000000000497</v>
      </c>
      <c r="AI280">
        <f t="shared" si="391"/>
        <v>-1.3035310811041547</v>
      </c>
      <c r="AJ280">
        <f t="shared" si="392"/>
        <v>9610.7647955058928</v>
      </c>
      <c r="AK280">
        <f t="shared" si="393"/>
        <v>29421.632919179538</v>
      </c>
      <c r="AL280">
        <f t="shared" si="394"/>
        <v>-40453.083260257496</v>
      </c>
      <c r="AM280" s="1">
        <f t="shared" si="395"/>
        <v>63574.484729362186</v>
      </c>
      <c r="AN280" s="1">
        <f t="shared" si="371"/>
        <v>300156.49565270136</v>
      </c>
      <c r="AO280">
        <f t="shared" si="372"/>
        <v>0.34998489422076817</v>
      </c>
      <c r="AP280">
        <f t="shared" si="373"/>
        <v>7.29199086186365</v>
      </c>
    </row>
    <row r="281" spans="1:42" x14ac:dyDescent="0.25">
      <c r="A281" s="4">
        <v>45691</v>
      </c>
      <c r="B281">
        <f t="shared" ref="B281:N281" si="412">(B831-B830)*100</f>
        <v>0</v>
      </c>
      <c r="C281">
        <f t="shared" si="412"/>
        <v>0.99999999999997868</v>
      </c>
      <c r="D281">
        <f t="shared" si="412"/>
        <v>-0.99999999999997868</v>
      </c>
      <c r="E281">
        <f t="shared" si="412"/>
        <v>0</v>
      </c>
      <c r="F281">
        <f t="shared" si="412"/>
        <v>-1.0000000000000675</v>
      </c>
      <c r="G281">
        <f t="shared" si="412"/>
        <v>-0.99999999999997868</v>
      </c>
      <c r="H281">
        <f t="shared" si="412"/>
        <v>-4.0000000000000036</v>
      </c>
      <c r="I281">
        <f t="shared" si="412"/>
        <v>-2.9999999999999361</v>
      </c>
      <c r="J281">
        <f t="shared" si="412"/>
        <v>-5.0000000000000711</v>
      </c>
      <c r="K281">
        <f t="shared" si="412"/>
        <v>-5.9999999999999609</v>
      </c>
      <c r="L281">
        <f t="shared" si="412"/>
        <v>-6.0000000000000497</v>
      </c>
      <c r="M281">
        <f t="shared" si="412"/>
        <v>-7.0000000000000284</v>
      </c>
      <c r="N281">
        <f t="shared" si="412"/>
        <v>-7.0000000000000284</v>
      </c>
      <c r="O281" s="5">
        <f t="shared" si="406"/>
        <v>6.5993298267159502E-3</v>
      </c>
      <c r="P281" s="5">
        <f t="shared" si="406"/>
        <v>-1.120025081667031E-2</v>
      </c>
      <c r="Q281" s="5">
        <f t="shared" si="406"/>
        <v>-3.9344579025568016E-3</v>
      </c>
      <c r="R281" s="5">
        <f t="shared" si="406"/>
        <v>-5.9203617490711418E-3</v>
      </c>
      <c r="S281" s="5">
        <f t="shared" si="406"/>
        <v>0</v>
      </c>
      <c r="U281" s="4">
        <v>45691</v>
      </c>
      <c r="V281">
        <f t="shared" si="378"/>
        <v>0</v>
      </c>
      <c r="W281">
        <f t="shared" si="379"/>
        <v>-2222.9999999999527</v>
      </c>
      <c r="X281">
        <f t="shared" si="380"/>
        <v>-4589.9999999999018</v>
      </c>
      <c r="Y281">
        <f t="shared" si="381"/>
        <v>0</v>
      </c>
      <c r="Z281">
        <f t="shared" si="382"/>
        <v>-5435.0000000003665</v>
      </c>
      <c r="AA281">
        <f t="shared" si="383"/>
        <v>1999.9999999999573</v>
      </c>
      <c r="AB281">
        <f t="shared" si="384"/>
        <v>-18256.000000000015</v>
      </c>
      <c r="AC281">
        <f t="shared" si="385"/>
        <v>6668.9999999998581</v>
      </c>
      <c r="AD281">
        <f t="shared" si="386"/>
        <v>502720.00000000716</v>
      </c>
      <c r="AE281">
        <f t="shared" si="387"/>
        <v>-5.9999999999999609</v>
      </c>
      <c r="AF281">
        <f t="shared" si="388"/>
        <v>-301938.0000000025</v>
      </c>
      <c r="AG281">
        <f t="shared" si="389"/>
        <v>-177261.00000000073</v>
      </c>
      <c r="AH281">
        <f t="shared" si="390"/>
        <v>-7.0000000000000284</v>
      </c>
      <c r="AI281">
        <f t="shared" si="391"/>
        <v>0.65993298267159506</v>
      </c>
      <c r="AJ281">
        <f t="shared" si="392"/>
        <v>112002.50816670309</v>
      </c>
      <c r="AK281">
        <f t="shared" si="393"/>
        <v>-39344.579025568019</v>
      </c>
      <c r="AL281">
        <f t="shared" si="394"/>
        <v>148009.04372677853</v>
      </c>
      <c r="AM281" s="1">
        <f t="shared" si="395"/>
        <v>0</v>
      </c>
      <c r="AN281" s="1">
        <f t="shared" si="371"/>
        <v>222340.6328008998</v>
      </c>
      <c r="AO281">
        <f t="shared" si="372"/>
        <v>-1.4495632483659322</v>
      </c>
      <c r="AP281">
        <f t="shared" si="373"/>
        <v>7.3337264160357654</v>
      </c>
    </row>
    <row r="282" spans="1:42" x14ac:dyDescent="0.25">
      <c r="A282" s="4">
        <v>45688</v>
      </c>
      <c r="B282">
        <f t="shared" ref="B282:N282" si="413">(B832-B831)*100</f>
        <v>5.9999999999999609</v>
      </c>
      <c r="C282">
        <f t="shared" si="413"/>
        <v>-4.0000000000000036</v>
      </c>
      <c r="D282">
        <f t="shared" si="413"/>
        <v>0.99999999999997868</v>
      </c>
      <c r="E282">
        <f t="shared" si="413"/>
        <v>0.99999999999997868</v>
      </c>
      <c r="F282">
        <f t="shared" si="413"/>
        <v>0</v>
      </c>
      <c r="G282">
        <f t="shared" si="413"/>
        <v>0.99999999999997868</v>
      </c>
      <c r="H282">
        <f t="shared" si="413"/>
        <v>3.0000000000000249</v>
      </c>
      <c r="I282">
        <f t="shared" si="413"/>
        <v>2.9999999999999361</v>
      </c>
      <c r="J282">
        <f t="shared" si="413"/>
        <v>4.0000000000000036</v>
      </c>
      <c r="K282">
        <f t="shared" si="413"/>
        <v>3.0000000000000249</v>
      </c>
      <c r="L282">
        <f t="shared" si="413"/>
        <v>3.0000000000000249</v>
      </c>
      <c r="M282">
        <f t="shared" si="413"/>
        <v>4.0000000000000036</v>
      </c>
      <c r="N282">
        <f t="shared" si="413"/>
        <v>3.0000000000000249</v>
      </c>
      <c r="O282" s="5">
        <f t="shared" si="406"/>
        <v>-1.2020502619976735E-2</v>
      </c>
      <c r="P282" s="5">
        <f t="shared" si="406"/>
        <v>1.3363973261981328E-2</v>
      </c>
      <c r="Q282" s="5">
        <f t="shared" si="406"/>
        <v>-2.8700803920169663E-3</v>
      </c>
      <c r="R282" s="5">
        <f t="shared" si="406"/>
        <v>1.8799522120660171E-3</v>
      </c>
      <c r="S282" s="5">
        <f t="shared" si="406"/>
        <v>1.2638076097413154E-2</v>
      </c>
      <c r="U282" s="4">
        <v>45688</v>
      </c>
      <c r="V282">
        <f t="shared" si="378"/>
        <v>-23999.999999999844</v>
      </c>
      <c r="W282">
        <f t="shared" si="379"/>
        <v>8892.0000000000073</v>
      </c>
      <c r="X282">
        <f t="shared" si="380"/>
        <v>4589.9999999999018</v>
      </c>
      <c r="Y282">
        <f t="shared" si="381"/>
        <v>-3444.9999999999268</v>
      </c>
      <c r="Z282">
        <f t="shared" si="382"/>
        <v>0</v>
      </c>
      <c r="AA282">
        <f t="shared" si="383"/>
        <v>-1999.9999999999573</v>
      </c>
      <c r="AB282">
        <f t="shared" si="384"/>
        <v>13692.000000000113</v>
      </c>
      <c r="AC282">
        <f t="shared" si="385"/>
        <v>-6668.9999999998581</v>
      </c>
      <c r="AD282">
        <f t="shared" si="386"/>
        <v>-402176.00000000035</v>
      </c>
      <c r="AE282">
        <f t="shared" si="387"/>
        <v>3.0000000000000249</v>
      </c>
      <c r="AF282">
        <f t="shared" si="388"/>
        <v>150969.00000000125</v>
      </c>
      <c r="AG282">
        <f t="shared" si="389"/>
        <v>101292.00000000009</v>
      </c>
      <c r="AH282">
        <f t="shared" si="390"/>
        <v>3.0000000000000249</v>
      </c>
      <c r="AI282">
        <f t="shared" si="391"/>
        <v>-1.2020502619976736</v>
      </c>
      <c r="AJ282">
        <f t="shared" si="392"/>
        <v>-133639.73261981329</v>
      </c>
      <c r="AK282">
        <f t="shared" si="393"/>
        <v>-28700.803920169663</v>
      </c>
      <c r="AL282">
        <f t="shared" si="394"/>
        <v>-46998.805301650427</v>
      </c>
      <c r="AM282" s="1">
        <f t="shared" si="395"/>
        <v>-126380.76097413154</v>
      </c>
      <c r="AN282" s="1">
        <f t="shared" si="371"/>
        <v>-494570.3048660254</v>
      </c>
      <c r="AO282">
        <f t="shared" si="372"/>
        <v>-3.3567807094212858</v>
      </c>
      <c r="AP282">
        <f t="shared" si="373"/>
        <v>7.320444543139387</v>
      </c>
    </row>
    <row r="283" spans="1:42" x14ac:dyDescent="0.25">
      <c r="A283" s="4">
        <v>45687</v>
      </c>
      <c r="B283">
        <f t="shared" ref="B283:N283" si="414">(B833-B832)*100</f>
        <v>1.0000000000000675</v>
      </c>
      <c r="C283">
        <f t="shared" si="414"/>
        <v>0.99999999999997868</v>
      </c>
      <c r="D283">
        <f t="shared" si="414"/>
        <v>0</v>
      </c>
      <c r="E283">
        <f t="shared" si="414"/>
        <v>-4.0000000000000036</v>
      </c>
      <c r="F283">
        <f t="shared" si="414"/>
        <v>-0.99999999999997868</v>
      </c>
      <c r="G283">
        <f t="shared" si="414"/>
        <v>-3.0000000000000249</v>
      </c>
      <c r="H283">
        <f t="shared" si="414"/>
        <v>-1.9999999999999574</v>
      </c>
      <c r="I283">
        <f t="shared" si="414"/>
        <v>-1.9999999999999574</v>
      </c>
      <c r="J283">
        <f t="shared" si="414"/>
        <v>-1.9999999999999574</v>
      </c>
      <c r="K283">
        <f t="shared" si="414"/>
        <v>-1.0000000000000675</v>
      </c>
      <c r="L283">
        <f t="shared" si="414"/>
        <v>0</v>
      </c>
      <c r="M283">
        <f t="shared" si="414"/>
        <v>-0.99999999999997868</v>
      </c>
      <c r="N283">
        <f t="shared" si="414"/>
        <v>-0.99999999999997868</v>
      </c>
      <c r="O283" s="5">
        <f t="shared" si="406"/>
        <v>6.9730545477944533E-3</v>
      </c>
      <c r="P283" s="5">
        <f t="shared" si="406"/>
        <v>-2.8839241329048711E-3</v>
      </c>
      <c r="Q283" s="5">
        <f t="shared" si="406"/>
        <v>-1.1396817185093521E-3</v>
      </c>
      <c r="R283" s="5">
        <f t="shared" si="406"/>
        <v>1.6142053545412009E-3</v>
      </c>
      <c r="S283" s="5">
        <f t="shared" si="406"/>
        <v>-5.3558958524497552E-3</v>
      </c>
      <c r="U283" s="4">
        <v>45687</v>
      </c>
      <c r="V283">
        <f t="shared" si="378"/>
        <v>-4000.0000000002701</v>
      </c>
      <c r="W283">
        <f t="shared" si="379"/>
        <v>-2222.9999999999527</v>
      </c>
      <c r="X283">
        <f t="shared" si="380"/>
        <v>0</v>
      </c>
      <c r="Y283">
        <f t="shared" si="381"/>
        <v>13780.000000000013</v>
      </c>
      <c r="Z283">
        <f t="shared" si="382"/>
        <v>-5434.9999999998845</v>
      </c>
      <c r="AA283">
        <f t="shared" si="383"/>
        <v>6000.00000000005</v>
      </c>
      <c r="AB283">
        <f t="shared" si="384"/>
        <v>-9127.9999999998054</v>
      </c>
      <c r="AC283">
        <f t="shared" si="385"/>
        <v>4445.9999999999054</v>
      </c>
      <c r="AD283">
        <f t="shared" si="386"/>
        <v>201087.99999999572</v>
      </c>
      <c r="AE283">
        <f t="shared" si="387"/>
        <v>-1.0000000000000675</v>
      </c>
      <c r="AF283">
        <f t="shared" si="388"/>
        <v>0</v>
      </c>
      <c r="AG283">
        <f t="shared" si="389"/>
        <v>-25322.999999999462</v>
      </c>
      <c r="AH283">
        <f t="shared" si="390"/>
        <v>-0.99999999999997868</v>
      </c>
      <c r="AI283">
        <f t="shared" si="391"/>
        <v>0.69730545477944528</v>
      </c>
      <c r="AJ283">
        <f t="shared" si="392"/>
        <v>28839.241329048709</v>
      </c>
      <c r="AK283">
        <f t="shared" si="393"/>
        <v>-11396.817185093521</v>
      </c>
      <c r="AL283">
        <f t="shared" si="394"/>
        <v>-40355.13386353002</v>
      </c>
      <c r="AM283" s="1">
        <f t="shared" si="395"/>
        <v>53558.958524497553</v>
      </c>
      <c r="AN283" s="1">
        <f t="shared" si="371"/>
        <v>209849.9461103738</v>
      </c>
      <c r="AO283">
        <f t="shared" si="372"/>
        <v>-0.21151065344731523</v>
      </c>
      <c r="AP283">
        <f t="shared" si="373"/>
        <v>7.2476263872146047</v>
      </c>
    </row>
    <row r="284" spans="1:42" x14ac:dyDescent="0.25">
      <c r="A284" s="4">
        <v>45686</v>
      </c>
      <c r="B284">
        <f t="shared" ref="B284:N284" si="415">(B834-B833)*100</f>
        <v>0</v>
      </c>
      <c r="C284">
        <f t="shared" si="415"/>
        <v>1.0000000000000675</v>
      </c>
      <c r="D284">
        <f t="shared" si="415"/>
        <v>1.0000000000000675</v>
      </c>
      <c r="E284">
        <f t="shared" si="415"/>
        <v>0</v>
      </c>
      <c r="F284">
        <f t="shared" si="415"/>
        <v>-0.99999999999997868</v>
      </c>
      <c r="G284">
        <f t="shared" si="415"/>
        <v>-0.99999999999997868</v>
      </c>
      <c r="H284">
        <f t="shared" si="415"/>
        <v>-2.0000000000000462</v>
      </c>
      <c r="I284">
        <f t="shared" si="415"/>
        <v>-0.99999999999997868</v>
      </c>
      <c r="J284">
        <f t="shared" si="415"/>
        <v>-0.99999999999997868</v>
      </c>
      <c r="K284">
        <f t="shared" si="415"/>
        <v>0</v>
      </c>
      <c r="L284">
        <f t="shared" si="415"/>
        <v>-1.9999999999999574</v>
      </c>
      <c r="M284">
        <f t="shared" si="415"/>
        <v>-1.9999999999999574</v>
      </c>
      <c r="N284">
        <f t="shared" si="415"/>
        <v>-2.0000000000000462</v>
      </c>
      <c r="O284" s="5">
        <f t="shared" si="406"/>
        <v>-5.684154174329807E-3</v>
      </c>
      <c r="P284" s="5">
        <f t="shared" si="406"/>
        <v>-1.2401780701885166E-2</v>
      </c>
      <c r="Q284" s="5">
        <f t="shared" si="406"/>
        <v>6.5024929401288111E-3</v>
      </c>
      <c r="R284" s="5">
        <f t="shared" si="406"/>
        <v>-5.3705821890168304E-3</v>
      </c>
      <c r="S284" s="5">
        <f t="shared" si="406"/>
        <v>-1.5580419339548081E-4</v>
      </c>
      <c r="U284" s="4">
        <v>45686</v>
      </c>
      <c r="V284">
        <f t="shared" si="378"/>
        <v>0</v>
      </c>
      <c r="W284">
        <f t="shared" si="379"/>
        <v>-2223.0000000001501</v>
      </c>
      <c r="X284">
        <f t="shared" si="380"/>
        <v>4590.0000000003101</v>
      </c>
      <c r="Y284">
        <f t="shared" si="381"/>
        <v>0</v>
      </c>
      <c r="Z284">
        <f t="shared" si="382"/>
        <v>-5434.9999999998845</v>
      </c>
      <c r="AA284">
        <f t="shared" si="383"/>
        <v>1999.9999999999573</v>
      </c>
      <c r="AB284">
        <f t="shared" si="384"/>
        <v>-9128.000000000211</v>
      </c>
      <c r="AC284">
        <f t="shared" si="385"/>
        <v>2222.9999999999527</v>
      </c>
      <c r="AD284">
        <f t="shared" si="386"/>
        <v>100543.99999999786</v>
      </c>
      <c r="AE284">
        <f t="shared" si="387"/>
        <v>0</v>
      </c>
      <c r="AF284">
        <f t="shared" si="388"/>
        <v>-100645.99999999786</v>
      </c>
      <c r="AG284">
        <f t="shared" si="389"/>
        <v>-50645.999999998923</v>
      </c>
      <c r="AH284">
        <f t="shared" si="390"/>
        <v>-2.0000000000000462</v>
      </c>
      <c r="AI284">
        <f t="shared" si="391"/>
        <v>-0.56841541743298074</v>
      </c>
      <c r="AJ284">
        <f t="shared" si="392"/>
        <v>124017.80701885166</v>
      </c>
      <c r="AK284">
        <f t="shared" si="393"/>
        <v>65024.929401288107</v>
      </c>
      <c r="AL284">
        <f t="shared" si="394"/>
        <v>134264.55472542075</v>
      </c>
      <c r="AM284" s="1">
        <f t="shared" si="395"/>
        <v>1558.0419339548082</v>
      </c>
      <c r="AN284" s="1">
        <f t="shared" si="371"/>
        <v>266141.76466409897</v>
      </c>
      <c r="AO284">
        <f t="shared" si="372"/>
        <v>-2.1543893618141219</v>
      </c>
      <c r="AP284">
        <f t="shared" si="373"/>
        <v>7.2454218052768491</v>
      </c>
    </row>
    <row r="285" spans="1:42" x14ac:dyDescent="0.25">
      <c r="A285" s="4">
        <v>45685</v>
      </c>
      <c r="B285">
        <f t="shared" ref="B285:N285" si="416">(B835-B834)*100</f>
        <v>0.99999999999997868</v>
      </c>
      <c r="C285">
        <f t="shared" si="416"/>
        <v>0</v>
      </c>
      <c r="D285">
        <f t="shared" si="416"/>
        <v>2.9999999999999361</v>
      </c>
      <c r="E285">
        <f t="shared" si="416"/>
        <v>2.0000000000000462</v>
      </c>
      <c r="F285">
        <f t="shared" si="416"/>
        <v>0</v>
      </c>
      <c r="G285">
        <f t="shared" si="416"/>
        <v>4.0000000000000036</v>
      </c>
      <c r="H285">
        <f t="shared" si="416"/>
        <v>9.9999999999999645</v>
      </c>
      <c r="I285">
        <f t="shared" si="416"/>
        <v>8.9999999999999858</v>
      </c>
      <c r="J285">
        <f t="shared" si="416"/>
        <v>10.999999999999943</v>
      </c>
      <c r="K285">
        <f t="shared" si="416"/>
        <v>10.000000000000053</v>
      </c>
      <c r="L285">
        <f t="shared" si="416"/>
        <v>9.9999999999999645</v>
      </c>
      <c r="M285">
        <f t="shared" si="416"/>
        <v>8.9999999999999858</v>
      </c>
      <c r="N285">
        <f t="shared" si="416"/>
        <v>8.9999999999999858</v>
      </c>
      <c r="O285" s="5">
        <f t="shared" ref="O285:S294" si="417">LN(O834/O835)</f>
        <v>-5.7870140182596855E-3</v>
      </c>
      <c r="P285" s="5">
        <f t="shared" si="417"/>
        <v>5.4664426081507921E-3</v>
      </c>
      <c r="Q285" s="5">
        <f t="shared" si="417"/>
        <v>2.7329222176991144E-3</v>
      </c>
      <c r="R285" s="5">
        <f t="shared" si="417"/>
        <v>-2.4073838027609627E-3</v>
      </c>
      <c r="S285" s="5">
        <f t="shared" si="417"/>
        <v>-9.091852877654261E-3</v>
      </c>
      <c r="U285" s="4">
        <v>45685</v>
      </c>
      <c r="V285">
        <f t="shared" si="378"/>
        <v>-3999.9999999999145</v>
      </c>
      <c r="W285">
        <f t="shared" si="379"/>
        <v>0</v>
      </c>
      <c r="X285">
        <f t="shared" si="380"/>
        <v>13769.999999999707</v>
      </c>
      <c r="Y285">
        <f t="shared" si="381"/>
        <v>-6890.0000000001592</v>
      </c>
      <c r="Z285">
        <f t="shared" si="382"/>
        <v>0</v>
      </c>
      <c r="AA285">
        <f t="shared" si="383"/>
        <v>-8000.0000000000073</v>
      </c>
      <c r="AB285">
        <f t="shared" si="384"/>
        <v>45639.99999999984</v>
      </c>
      <c r="AC285">
        <f t="shared" si="385"/>
        <v>-20006.999999999967</v>
      </c>
      <c r="AD285">
        <f t="shared" si="386"/>
        <v>-1105983.9999999942</v>
      </c>
      <c r="AE285">
        <f t="shared" si="387"/>
        <v>10.000000000000053</v>
      </c>
      <c r="AF285">
        <f t="shared" si="388"/>
        <v>503229.9999999982</v>
      </c>
      <c r="AG285">
        <f t="shared" si="389"/>
        <v>227906.99999999965</v>
      </c>
      <c r="AH285">
        <f t="shared" si="390"/>
        <v>8.9999999999999858</v>
      </c>
      <c r="AI285">
        <f t="shared" si="391"/>
        <v>-0.57870140182596852</v>
      </c>
      <c r="AJ285">
        <f t="shared" si="392"/>
        <v>-54664.426081507918</v>
      </c>
      <c r="AK285">
        <f t="shared" si="393"/>
        <v>27329.222176991145</v>
      </c>
      <c r="AL285">
        <f t="shared" si="394"/>
        <v>60184.595069024064</v>
      </c>
      <c r="AM285" s="1">
        <f t="shared" si="395"/>
        <v>90918.528776542604</v>
      </c>
      <c r="AN285" s="1">
        <f t="shared" si="371"/>
        <v>-230547.65876034877</v>
      </c>
      <c r="AO285">
        <f t="shared" si="372"/>
        <v>-0.5815535250435715</v>
      </c>
      <c r="AP285">
        <f t="shared" si="373"/>
        <v>9.4384197809092019</v>
      </c>
    </row>
    <row r="286" spans="1:42" x14ac:dyDescent="0.25">
      <c r="A286" s="4">
        <v>45684</v>
      </c>
      <c r="B286">
        <f t="shared" ref="B286:N286" si="418">(B836-B835)*100</f>
        <v>0</v>
      </c>
      <c r="C286">
        <f t="shared" si="418"/>
        <v>0</v>
      </c>
      <c r="D286">
        <f t="shared" si="418"/>
        <v>1.0000000000000675</v>
      </c>
      <c r="E286">
        <f t="shared" si="418"/>
        <v>0</v>
      </c>
      <c r="F286">
        <f t="shared" si="418"/>
        <v>1.9999999999999574</v>
      </c>
      <c r="G286">
        <f t="shared" si="418"/>
        <v>0.99999999999997868</v>
      </c>
      <c r="H286">
        <f t="shared" si="418"/>
        <v>2.0000000000000462</v>
      </c>
      <c r="I286">
        <f t="shared" si="418"/>
        <v>1.9999999999999574</v>
      </c>
      <c r="J286">
        <f t="shared" si="418"/>
        <v>2.0000000000000462</v>
      </c>
      <c r="K286">
        <f t="shared" si="418"/>
        <v>1.9999999999999574</v>
      </c>
      <c r="L286">
        <f t="shared" si="418"/>
        <v>2.0000000000000462</v>
      </c>
      <c r="M286">
        <f t="shared" si="418"/>
        <v>0.99999999999997868</v>
      </c>
      <c r="N286">
        <f t="shared" si="418"/>
        <v>2.0000000000000462</v>
      </c>
      <c r="O286" s="5">
        <f t="shared" si="417"/>
        <v>5.8718683658230972E-3</v>
      </c>
      <c r="P286" s="5">
        <f t="shared" si="417"/>
        <v>4.7778399537130763E-3</v>
      </c>
      <c r="Q286" s="5">
        <f t="shared" si="417"/>
        <v>-6.9749570582213552E-3</v>
      </c>
      <c r="R286" s="5">
        <f t="shared" si="417"/>
        <v>6.4326139793589717E-3</v>
      </c>
      <c r="S286" s="5">
        <f t="shared" si="417"/>
        <v>2.1564519701745308E-2</v>
      </c>
      <c r="U286" s="4">
        <v>45684</v>
      </c>
      <c r="V286">
        <f t="shared" si="378"/>
        <v>0</v>
      </c>
      <c r="W286">
        <f t="shared" si="379"/>
        <v>0</v>
      </c>
      <c r="X286">
        <f t="shared" si="380"/>
        <v>4590.0000000003101</v>
      </c>
      <c r="Y286">
        <f t="shared" si="381"/>
        <v>0</v>
      </c>
      <c r="Z286">
        <f t="shared" si="382"/>
        <v>10869.999999999769</v>
      </c>
      <c r="AA286">
        <f t="shared" si="383"/>
        <v>-1999.9999999999573</v>
      </c>
      <c r="AB286">
        <f t="shared" si="384"/>
        <v>9128.000000000211</v>
      </c>
      <c r="AC286">
        <f t="shared" si="385"/>
        <v>-4445.9999999999054</v>
      </c>
      <c r="AD286">
        <f t="shared" si="386"/>
        <v>-201088.00000000466</v>
      </c>
      <c r="AE286">
        <f t="shared" si="387"/>
        <v>1.9999999999999574</v>
      </c>
      <c r="AF286">
        <f t="shared" si="388"/>
        <v>100646.00000000233</v>
      </c>
      <c r="AG286">
        <f t="shared" si="389"/>
        <v>25322.999999999462</v>
      </c>
      <c r="AH286">
        <f t="shared" si="390"/>
        <v>2.0000000000000462</v>
      </c>
      <c r="AI286">
        <f t="shared" si="391"/>
        <v>0.58718683658230975</v>
      </c>
      <c r="AJ286">
        <f t="shared" si="392"/>
        <v>-47778.399537130761</v>
      </c>
      <c r="AK286">
        <f t="shared" si="393"/>
        <v>-69749.57058221355</v>
      </c>
      <c r="AL286">
        <f t="shared" si="394"/>
        <v>-160815.34948397431</v>
      </c>
      <c r="AM286" s="1">
        <f t="shared" si="395"/>
        <v>-215645.19701745309</v>
      </c>
      <c r="AN286" s="1">
        <f t="shared" si="371"/>
        <v>-550960.92943393765</v>
      </c>
      <c r="AO286">
        <f t="shared" si="372"/>
        <v>15.580154222485639</v>
      </c>
      <c r="AP286">
        <f t="shared" si="373"/>
        <v>9.4519876750596143</v>
      </c>
    </row>
    <row r="287" spans="1:42" x14ac:dyDescent="0.25">
      <c r="A287" s="4">
        <v>45681</v>
      </c>
      <c r="B287">
        <f t="shared" ref="B287:N287" si="419">(B837-B836)*100</f>
        <v>-3.0000000000000249</v>
      </c>
      <c r="C287">
        <f t="shared" si="419"/>
        <v>-1.0000000000000675</v>
      </c>
      <c r="D287">
        <f t="shared" si="419"/>
        <v>0</v>
      </c>
      <c r="E287">
        <f t="shared" si="419"/>
        <v>0</v>
      </c>
      <c r="F287">
        <f t="shared" si="419"/>
        <v>1.0000000000000675</v>
      </c>
      <c r="G287">
        <f t="shared" si="419"/>
        <v>2.0000000000000462</v>
      </c>
      <c r="H287">
        <f t="shared" si="419"/>
        <v>0</v>
      </c>
      <c r="I287">
        <f t="shared" si="419"/>
        <v>-0.99999999999997868</v>
      </c>
      <c r="J287">
        <f t="shared" si="419"/>
        <v>-2.0000000000000462</v>
      </c>
      <c r="K287">
        <f t="shared" si="419"/>
        <v>-4.0000000000000036</v>
      </c>
      <c r="L287">
        <f t="shared" si="419"/>
        <v>-5.0000000000000711</v>
      </c>
      <c r="M287">
        <f t="shared" si="419"/>
        <v>-3.0000000000000249</v>
      </c>
      <c r="N287">
        <f t="shared" si="419"/>
        <v>-4.9999999999999822</v>
      </c>
      <c r="O287" s="5">
        <f t="shared" si="417"/>
        <v>-8.012348684184779E-3</v>
      </c>
      <c r="P287" s="5">
        <f t="shared" si="417"/>
        <v>-1.3155423867287823E-2</v>
      </c>
      <c r="Q287" s="5">
        <f t="shared" si="417"/>
        <v>-5.4306070341693822E-3</v>
      </c>
      <c r="R287" s="5">
        <f t="shared" si="417"/>
        <v>8.0699399134074559E-4</v>
      </c>
      <c r="S287" s="5">
        <f t="shared" si="417"/>
        <v>-1.8321337657143065E-3</v>
      </c>
      <c r="U287" s="4">
        <v>45681</v>
      </c>
      <c r="V287">
        <f t="shared" si="378"/>
        <v>12000.0000000001</v>
      </c>
      <c r="W287">
        <f t="shared" si="379"/>
        <v>2223.0000000001501</v>
      </c>
      <c r="X287">
        <f t="shared" si="380"/>
        <v>0</v>
      </c>
      <c r="Y287">
        <f t="shared" si="381"/>
        <v>0</v>
      </c>
      <c r="Z287">
        <f t="shared" si="382"/>
        <v>5435.0000000003665</v>
      </c>
      <c r="AA287">
        <f t="shared" si="383"/>
        <v>-4000.0000000000923</v>
      </c>
      <c r="AB287">
        <f t="shared" si="384"/>
        <v>0</v>
      </c>
      <c r="AC287">
        <f t="shared" si="385"/>
        <v>2222.9999999999527</v>
      </c>
      <c r="AD287">
        <f t="shared" si="386"/>
        <v>201088.00000000466</v>
      </c>
      <c r="AE287">
        <f t="shared" si="387"/>
        <v>-4.0000000000000036</v>
      </c>
      <c r="AF287">
        <f t="shared" si="388"/>
        <v>-251615.00000000358</v>
      </c>
      <c r="AG287">
        <f t="shared" si="389"/>
        <v>-75969.000000000626</v>
      </c>
      <c r="AH287">
        <f t="shared" si="390"/>
        <v>-4.9999999999999822</v>
      </c>
      <c r="AI287">
        <f t="shared" si="391"/>
        <v>-0.80123486841847791</v>
      </c>
      <c r="AJ287">
        <f t="shared" si="392"/>
        <v>131554.23867287821</v>
      </c>
      <c r="AK287">
        <f t="shared" si="393"/>
        <v>-54306.07034169382</v>
      </c>
      <c r="AL287">
        <f t="shared" si="394"/>
        <v>-20174.849783518639</v>
      </c>
      <c r="AM287" s="1">
        <f t="shared" si="395"/>
        <v>18321.337657143064</v>
      </c>
      <c r="AN287" s="1">
        <f t="shared" si="371"/>
        <v>-33230.14503005868</v>
      </c>
      <c r="AO287">
        <f t="shared" si="372"/>
        <v>-1.160800210777053</v>
      </c>
      <c r="AP287">
        <f t="shared" si="373"/>
        <v>9.0320497468091148</v>
      </c>
    </row>
    <row r="288" spans="1:42" x14ac:dyDescent="0.25">
      <c r="A288" s="4">
        <v>45680</v>
      </c>
      <c r="B288">
        <f t="shared" ref="B288:N288" si="420">(B838-B837)*100</f>
        <v>0</v>
      </c>
      <c r="C288">
        <f t="shared" si="420"/>
        <v>0</v>
      </c>
      <c r="D288">
        <f t="shared" si="420"/>
        <v>0</v>
      </c>
      <c r="E288">
        <f t="shared" si="420"/>
        <v>0.99999999999997868</v>
      </c>
      <c r="F288">
        <f t="shared" si="420"/>
        <v>0</v>
      </c>
      <c r="G288">
        <f t="shared" si="420"/>
        <v>0.99999999999997868</v>
      </c>
      <c r="H288">
        <f t="shared" si="420"/>
        <v>0</v>
      </c>
      <c r="I288">
        <f t="shared" si="420"/>
        <v>-0.99999999999997868</v>
      </c>
      <c r="J288">
        <f t="shared" si="420"/>
        <v>-2.9999999999999361</v>
      </c>
      <c r="K288">
        <f t="shared" si="420"/>
        <v>-1.9999999999999574</v>
      </c>
      <c r="L288">
        <f t="shared" si="420"/>
        <v>-2.9999999999999361</v>
      </c>
      <c r="M288">
        <f t="shared" si="420"/>
        <v>-1.9999999999999574</v>
      </c>
      <c r="N288">
        <f t="shared" si="420"/>
        <v>-2.0000000000000462</v>
      </c>
      <c r="O288" s="5">
        <f t="shared" si="417"/>
        <v>-4.6192562000359257E-3</v>
      </c>
      <c r="P288" s="5">
        <f t="shared" si="417"/>
        <v>-8.3782938145294666E-3</v>
      </c>
      <c r="Q288" s="5">
        <f t="shared" si="417"/>
        <v>-6.9291741976778417E-3</v>
      </c>
      <c r="R288" s="5">
        <f t="shared" si="417"/>
        <v>-8.0699399134080251E-4</v>
      </c>
      <c r="S288" s="5">
        <f t="shared" si="417"/>
        <v>-7.5198275873811738E-3</v>
      </c>
      <c r="U288" s="4">
        <v>45680</v>
      </c>
      <c r="V288">
        <f t="shared" si="378"/>
        <v>0</v>
      </c>
      <c r="W288">
        <f t="shared" si="379"/>
        <v>0</v>
      </c>
      <c r="X288">
        <f t="shared" si="380"/>
        <v>0</v>
      </c>
      <c r="Y288">
        <f t="shared" si="381"/>
        <v>-3444.9999999999268</v>
      </c>
      <c r="Z288">
        <f t="shared" si="382"/>
        <v>0</v>
      </c>
      <c r="AA288">
        <f t="shared" si="383"/>
        <v>-1999.9999999999573</v>
      </c>
      <c r="AB288">
        <f t="shared" si="384"/>
        <v>0</v>
      </c>
      <c r="AC288">
        <f t="shared" si="385"/>
        <v>2222.9999999999527</v>
      </c>
      <c r="AD288">
        <f t="shared" si="386"/>
        <v>301631.9999999936</v>
      </c>
      <c r="AE288">
        <f t="shared" si="387"/>
        <v>-1.9999999999999574</v>
      </c>
      <c r="AF288">
        <f t="shared" si="388"/>
        <v>-150968.99999999677</v>
      </c>
      <c r="AG288">
        <f t="shared" si="389"/>
        <v>-50645.999999998923</v>
      </c>
      <c r="AH288">
        <f t="shared" si="390"/>
        <v>-2.0000000000000462</v>
      </c>
      <c r="AI288">
        <f t="shared" si="391"/>
        <v>-0.46192562000359255</v>
      </c>
      <c r="AJ288">
        <f t="shared" si="392"/>
        <v>83782.938145294669</v>
      </c>
      <c r="AK288">
        <f t="shared" si="393"/>
        <v>-69291.741976778416</v>
      </c>
      <c r="AL288">
        <f t="shared" si="394"/>
        <v>20174.849783520061</v>
      </c>
      <c r="AM288" s="1">
        <f t="shared" si="395"/>
        <v>75198.275873811741</v>
      </c>
      <c r="AN288" s="1">
        <f t="shared" si="371"/>
        <v>206654.859900226</v>
      </c>
      <c r="AO288">
        <f t="shared" si="372"/>
        <v>-0.36516091472995071</v>
      </c>
      <c r="AP288">
        <f t="shared" si="373"/>
        <v>9.0136208832933722</v>
      </c>
    </row>
    <row r="289" spans="1:42" x14ac:dyDescent="0.25">
      <c r="A289" s="4">
        <v>45679</v>
      </c>
      <c r="B289">
        <f t="shared" ref="B289:N289" si="421">(B839-B838)*100</f>
        <v>0.99999999999997868</v>
      </c>
      <c r="C289">
        <f t="shared" si="421"/>
        <v>0</v>
      </c>
      <c r="D289">
        <f t="shared" si="421"/>
        <v>-2.0000000000000462</v>
      </c>
      <c r="E289">
        <f t="shared" si="421"/>
        <v>-0.99999999999997868</v>
      </c>
      <c r="F289">
        <f t="shared" si="421"/>
        <v>0</v>
      </c>
      <c r="G289">
        <f t="shared" si="421"/>
        <v>0</v>
      </c>
      <c r="H289">
        <f t="shared" si="421"/>
        <v>-2.0000000000000462</v>
      </c>
      <c r="I289">
        <f t="shared" si="421"/>
        <v>0</v>
      </c>
      <c r="J289">
        <f t="shared" si="421"/>
        <v>1.9999999999999574</v>
      </c>
      <c r="K289">
        <f t="shared" si="421"/>
        <v>2.9999999999999361</v>
      </c>
      <c r="L289">
        <f t="shared" si="421"/>
        <v>4.0000000000000036</v>
      </c>
      <c r="M289">
        <f t="shared" si="421"/>
        <v>4.0000000000000036</v>
      </c>
      <c r="N289">
        <f t="shared" si="421"/>
        <v>4.0000000000000036</v>
      </c>
      <c r="O289" s="5">
        <f t="shared" si="417"/>
        <v>-1.2755359936133472E-2</v>
      </c>
      <c r="P289" s="5">
        <f t="shared" si="417"/>
        <v>-9.1218306800164087E-3</v>
      </c>
      <c r="Q289" s="5">
        <f t="shared" si="417"/>
        <v>2.0957351865813422E-4</v>
      </c>
      <c r="R289" s="5">
        <f t="shared" si="417"/>
        <v>-2.6852862537508388E-3</v>
      </c>
      <c r="S289" s="5">
        <f t="shared" si="417"/>
        <v>-8.2438291977793964E-3</v>
      </c>
      <c r="U289" s="4">
        <v>45679</v>
      </c>
      <c r="V289">
        <f t="shared" si="378"/>
        <v>-3999.9999999999145</v>
      </c>
      <c r="W289">
        <f t="shared" si="379"/>
        <v>0</v>
      </c>
      <c r="X289">
        <f t="shared" si="380"/>
        <v>-9180.0000000002128</v>
      </c>
      <c r="Y289">
        <f t="shared" si="381"/>
        <v>3444.9999999999268</v>
      </c>
      <c r="Z289">
        <f t="shared" si="382"/>
        <v>0</v>
      </c>
      <c r="AA289">
        <f t="shared" si="383"/>
        <v>0</v>
      </c>
      <c r="AB289">
        <f t="shared" si="384"/>
        <v>-9128.000000000211</v>
      </c>
      <c r="AC289">
        <f t="shared" si="385"/>
        <v>0</v>
      </c>
      <c r="AD289">
        <f t="shared" si="386"/>
        <v>-201087.99999999572</v>
      </c>
      <c r="AE289">
        <f t="shared" si="387"/>
        <v>2.9999999999999361</v>
      </c>
      <c r="AF289">
        <f t="shared" si="388"/>
        <v>201292.00000000017</v>
      </c>
      <c r="AG289">
        <f t="shared" si="389"/>
        <v>101292.00000000009</v>
      </c>
      <c r="AH289">
        <f t="shared" si="390"/>
        <v>4.0000000000000036</v>
      </c>
      <c r="AI289">
        <f t="shared" si="391"/>
        <v>-1.2755359936133472</v>
      </c>
      <c r="AJ289">
        <f t="shared" si="392"/>
        <v>91218.306800164093</v>
      </c>
      <c r="AK289">
        <f t="shared" si="393"/>
        <v>2095.7351865813421</v>
      </c>
      <c r="AL289">
        <f t="shared" si="394"/>
        <v>67132.15634377097</v>
      </c>
      <c r="AM289" s="1">
        <f t="shared" si="395"/>
        <v>82438.291977793968</v>
      </c>
      <c r="AN289" s="1">
        <f t="shared" si="371"/>
        <v>325523.21477232093</v>
      </c>
      <c r="AO289">
        <f t="shared" si="372"/>
        <v>-0.20553779266187633</v>
      </c>
      <c r="AP289">
        <f t="shared" si="373"/>
        <v>9.0277778181033064</v>
      </c>
    </row>
    <row r="290" spans="1:42" x14ac:dyDescent="0.25">
      <c r="A290" s="4">
        <v>45678</v>
      </c>
      <c r="B290">
        <f t="shared" ref="B290:N290" si="422">(B840-B839)*100</f>
        <v>0</v>
      </c>
      <c r="C290">
        <f t="shared" si="422"/>
        <v>1.0000000000000675</v>
      </c>
      <c r="D290">
        <f t="shared" si="422"/>
        <v>0</v>
      </c>
      <c r="E290">
        <f t="shared" si="422"/>
        <v>0</v>
      </c>
      <c r="F290">
        <f t="shared" si="422"/>
        <v>-2.0000000000000462</v>
      </c>
      <c r="G290">
        <f t="shared" si="422"/>
        <v>-3.0000000000000249</v>
      </c>
      <c r="H290">
        <f t="shared" si="422"/>
        <v>-3.9999999999999147</v>
      </c>
      <c r="I290">
        <f t="shared" si="422"/>
        <v>-4.0000000000000036</v>
      </c>
      <c r="J290">
        <f t="shared" si="422"/>
        <v>-3.0000000000000249</v>
      </c>
      <c r="K290">
        <f t="shared" si="422"/>
        <v>-1.9999999999999574</v>
      </c>
      <c r="L290">
        <f t="shared" si="422"/>
        <v>0</v>
      </c>
      <c r="M290">
        <f t="shared" si="422"/>
        <v>0</v>
      </c>
      <c r="N290">
        <f t="shared" si="422"/>
        <v>0</v>
      </c>
      <c r="O290" s="5">
        <f t="shared" si="417"/>
        <v>-2.7923979051176482E-3</v>
      </c>
      <c r="P290" s="5">
        <f t="shared" si="417"/>
        <v>-6.8621423799793387E-3</v>
      </c>
      <c r="Q290" s="5">
        <f t="shared" si="417"/>
        <v>-8.6952316942420123E-3</v>
      </c>
      <c r="R290" s="5">
        <f t="shared" si="417"/>
        <v>-3.2128541693253938E-3</v>
      </c>
      <c r="S290" s="5">
        <f t="shared" si="417"/>
        <v>-6.2577157923274966E-3</v>
      </c>
      <c r="U290" s="4">
        <v>45678</v>
      </c>
      <c r="V290">
        <f t="shared" si="378"/>
        <v>0</v>
      </c>
      <c r="W290">
        <f t="shared" si="379"/>
        <v>-2223.0000000001501</v>
      </c>
      <c r="X290">
        <f t="shared" si="380"/>
        <v>0</v>
      </c>
      <c r="Y290">
        <f t="shared" si="381"/>
        <v>0</v>
      </c>
      <c r="Z290">
        <f t="shared" si="382"/>
        <v>-10870.000000000251</v>
      </c>
      <c r="AA290">
        <f t="shared" si="383"/>
        <v>6000.00000000005</v>
      </c>
      <c r="AB290">
        <f t="shared" si="384"/>
        <v>-18255.999999999611</v>
      </c>
      <c r="AC290">
        <f t="shared" si="385"/>
        <v>8892.0000000000073</v>
      </c>
      <c r="AD290">
        <f t="shared" si="386"/>
        <v>301632.0000000025</v>
      </c>
      <c r="AE290">
        <f t="shared" si="387"/>
        <v>-1.9999999999999574</v>
      </c>
      <c r="AF290">
        <f t="shared" si="388"/>
        <v>0</v>
      </c>
      <c r="AG290">
        <f t="shared" si="389"/>
        <v>0</v>
      </c>
      <c r="AH290">
        <f t="shared" si="390"/>
        <v>0</v>
      </c>
      <c r="AI290">
        <f t="shared" si="391"/>
        <v>-0.27923979051176484</v>
      </c>
      <c r="AJ290">
        <f t="shared" si="392"/>
        <v>68621.423799793381</v>
      </c>
      <c r="AK290">
        <f t="shared" si="393"/>
        <v>-86952.316942420119</v>
      </c>
      <c r="AL290">
        <f t="shared" si="394"/>
        <v>80321.354233134844</v>
      </c>
      <c r="AM290" s="1">
        <f t="shared" si="395"/>
        <v>62577.157923274965</v>
      </c>
      <c r="AN290" s="1">
        <f t="shared" si="371"/>
        <v>409740.3397739951</v>
      </c>
      <c r="AO290">
        <f t="shared" si="372"/>
        <v>27.877568632612014</v>
      </c>
      <c r="AP290">
        <f t="shared" si="373"/>
        <v>11.171658829886962</v>
      </c>
    </row>
    <row r="291" spans="1:42" x14ac:dyDescent="0.25">
      <c r="A291" s="4">
        <v>45674</v>
      </c>
      <c r="B291">
        <f t="shared" ref="B291:N291" si="423">(B841-B840)*100</f>
        <v>-2.9999999999999361</v>
      </c>
      <c r="C291">
        <f t="shared" si="423"/>
        <v>-2.0000000000000462</v>
      </c>
      <c r="D291">
        <f t="shared" si="423"/>
        <v>0.99999999999997868</v>
      </c>
      <c r="E291">
        <f t="shared" si="423"/>
        <v>0</v>
      </c>
      <c r="F291">
        <f t="shared" si="423"/>
        <v>0</v>
      </c>
      <c r="G291">
        <f t="shared" si="423"/>
        <v>1.0000000000000675</v>
      </c>
      <c r="H291">
        <f t="shared" si="423"/>
        <v>3.9999999999999147</v>
      </c>
      <c r="I291">
        <f t="shared" si="423"/>
        <v>4.9999999999999822</v>
      </c>
      <c r="J291">
        <f t="shared" si="423"/>
        <v>6.0000000000000497</v>
      </c>
      <c r="K291">
        <f t="shared" si="423"/>
        <v>4.9999999999999822</v>
      </c>
      <c r="L291">
        <f t="shared" si="423"/>
        <v>4.9999999999999822</v>
      </c>
      <c r="M291">
        <f t="shared" si="423"/>
        <v>4.0000000000000036</v>
      </c>
      <c r="N291">
        <f t="shared" si="423"/>
        <v>4.0000000000000036</v>
      </c>
      <c r="O291" s="5">
        <f t="shared" si="417"/>
        <v>4.7467527621589574E-3</v>
      </c>
      <c r="P291" s="5">
        <f t="shared" si="417"/>
        <v>-2.3843405120872779E-3</v>
      </c>
      <c r="Q291" s="5">
        <f t="shared" si="417"/>
        <v>8.6952316942419273E-3</v>
      </c>
      <c r="R291" s="5">
        <f t="shared" si="417"/>
        <v>-4.2678112258228117E-3</v>
      </c>
      <c r="S291" s="5">
        <f t="shared" si="417"/>
        <v>-2.0868402053289417E-3</v>
      </c>
      <c r="U291" s="4">
        <v>45674</v>
      </c>
      <c r="V291">
        <f t="shared" si="378"/>
        <v>11999.999999999744</v>
      </c>
      <c r="W291">
        <f t="shared" si="379"/>
        <v>4446.0000000001028</v>
      </c>
      <c r="X291">
        <f t="shared" si="380"/>
        <v>4589.9999999999018</v>
      </c>
      <c r="Y291">
        <f t="shared" si="381"/>
        <v>0</v>
      </c>
      <c r="Z291">
        <f t="shared" si="382"/>
        <v>0</v>
      </c>
      <c r="AA291">
        <f t="shared" si="383"/>
        <v>-2000.0000000001351</v>
      </c>
      <c r="AB291">
        <f t="shared" si="384"/>
        <v>18255.999999999611</v>
      </c>
      <c r="AC291">
        <f t="shared" si="385"/>
        <v>-11114.99999999996</v>
      </c>
      <c r="AD291">
        <f t="shared" si="386"/>
        <v>-603264.00000000501</v>
      </c>
      <c r="AE291">
        <f t="shared" si="387"/>
        <v>4.9999999999999822</v>
      </c>
      <c r="AF291">
        <f t="shared" si="388"/>
        <v>251614.9999999991</v>
      </c>
      <c r="AG291">
        <f t="shared" si="389"/>
        <v>101292.00000000009</v>
      </c>
      <c r="AH291">
        <f t="shared" si="390"/>
        <v>4.0000000000000036</v>
      </c>
      <c r="AI291">
        <f t="shared" si="391"/>
        <v>0.47467527621589573</v>
      </c>
      <c r="AJ291">
        <f t="shared" si="392"/>
        <v>23843.40512087278</v>
      </c>
      <c r="AK291">
        <f t="shared" si="393"/>
        <v>86952.316942419275</v>
      </c>
      <c r="AL291">
        <f t="shared" si="394"/>
        <v>106695.2806455703</v>
      </c>
      <c r="AM291" s="1">
        <f t="shared" si="395"/>
        <v>20868.402053289417</v>
      </c>
      <c r="AN291" s="1">
        <f t="shared" si="371"/>
        <v>14188.879437421445</v>
      </c>
      <c r="AO291">
        <f t="shared" si="372"/>
        <v>-1.0192990454249664</v>
      </c>
      <c r="AP291">
        <f t="shared" si="373"/>
        <v>9.7352594704714317</v>
      </c>
    </row>
    <row r="292" spans="1:42" x14ac:dyDescent="0.25">
      <c r="A292" s="4">
        <v>45673</v>
      </c>
      <c r="B292">
        <f t="shared" ref="B292:N292" si="424">(B842-B841)*100</f>
        <v>1.9999999999999574</v>
      </c>
      <c r="C292">
        <f t="shared" si="424"/>
        <v>0.99999999999997868</v>
      </c>
      <c r="D292">
        <f t="shared" si="424"/>
        <v>1.0000000000000675</v>
      </c>
      <c r="E292">
        <f t="shared" si="424"/>
        <v>0.99999999999997868</v>
      </c>
      <c r="F292">
        <f t="shared" si="424"/>
        <v>3.0000000000000249</v>
      </c>
      <c r="G292">
        <f t="shared" si="424"/>
        <v>2.9999999999999361</v>
      </c>
      <c r="H292">
        <f t="shared" si="424"/>
        <v>10.000000000000053</v>
      </c>
      <c r="I292">
        <f t="shared" si="424"/>
        <v>12.000000000000011</v>
      </c>
      <c r="J292">
        <f t="shared" si="424"/>
        <v>13.999999999999968</v>
      </c>
      <c r="K292">
        <f t="shared" si="424"/>
        <v>15.000000000000036</v>
      </c>
      <c r="L292">
        <f t="shared" si="424"/>
        <v>12.000000000000011</v>
      </c>
      <c r="M292">
        <f t="shared" si="424"/>
        <v>10.999999999999943</v>
      </c>
      <c r="N292">
        <f t="shared" si="424"/>
        <v>10.000000000000053</v>
      </c>
      <c r="O292" s="5">
        <f t="shared" si="417"/>
        <v>-9.1140337562531728E-4</v>
      </c>
      <c r="P292" s="5">
        <f t="shared" si="417"/>
        <v>8.4409551175788876E-3</v>
      </c>
      <c r="Q292" s="5">
        <f t="shared" si="417"/>
        <v>-2.7309894378342121E-3</v>
      </c>
      <c r="R292" s="5">
        <f t="shared" si="417"/>
        <v>-1.5957450194682896E-3</v>
      </c>
      <c r="S292" s="5">
        <f t="shared" si="417"/>
        <v>1.5841455262277392E-2</v>
      </c>
      <c r="U292" s="4">
        <v>45673</v>
      </c>
      <c r="V292">
        <f t="shared" si="378"/>
        <v>-7999.999999999829</v>
      </c>
      <c r="W292">
        <f t="shared" si="379"/>
        <v>-2222.9999999999527</v>
      </c>
      <c r="X292">
        <f t="shared" si="380"/>
        <v>4590.0000000003101</v>
      </c>
      <c r="Y292">
        <f t="shared" si="381"/>
        <v>-3444.9999999999268</v>
      </c>
      <c r="Z292">
        <f t="shared" si="382"/>
        <v>16305.000000000135</v>
      </c>
      <c r="AA292">
        <f t="shared" si="383"/>
        <v>-5999.9999999998718</v>
      </c>
      <c r="AB292">
        <f t="shared" si="384"/>
        <v>45640.00000000024</v>
      </c>
      <c r="AC292">
        <f t="shared" si="385"/>
        <v>-26676.000000000025</v>
      </c>
      <c r="AD292">
        <f t="shared" si="386"/>
        <v>-1407615.9999999967</v>
      </c>
      <c r="AE292">
        <f t="shared" si="387"/>
        <v>15.000000000000036</v>
      </c>
      <c r="AF292">
        <f t="shared" si="388"/>
        <v>603876.00000000058</v>
      </c>
      <c r="AG292">
        <f t="shared" si="389"/>
        <v>278552.99999999854</v>
      </c>
      <c r="AH292">
        <f t="shared" si="390"/>
        <v>10.000000000000053</v>
      </c>
      <c r="AI292">
        <f t="shared" si="391"/>
        <v>-9.1140337562531731E-2</v>
      </c>
      <c r="AJ292">
        <f t="shared" si="392"/>
        <v>-84409.551175788874</v>
      </c>
      <c r="AK292">
        <f t="shared" si="393"/>
        <v>-27309.89437834212</v>
      </c>
      <c r="AL292">
        <f t="shared" si="394"/>
        <v>39893.625486707242</v>
      </c>
      <c r="AM292" s="1">
        <f t="shared" si="395"/>
        <v>-158414.55262277392</v>
      </c>
      <c r="AN292" s="1">
        <f t="shared" si="371"/>
        <v>-735211.46383053169</v>
      </c>
      <c r="AO292">
        <f t="shared" si="372"/>
        <v>2.4926376637011209</v>
      </c>
      <c r="AP292">
        <f t="shared" si="373"/>
        <v>9.7289006556914792</v>
      </c>
    </row>
    <row r="293" spans="1:42" x14ac:dyDescent="0.25">
      <c r="A293" s="4">
        <v>45672</v>
      </c>
      <c r="B293">
        <f t="shared" ref="B293:N293" si="425">(B843-B842)*100</f>
        <v>0</v>
      </c>
      <c r="C293">
        <f t="shared" si="425"/>
        <v>1.0000000000000675</v>
      </c>
      <c r="D293">
        <f t="shared" si="425"/>
        <v>0.99999999999997868</v>
      </c>
      <c r="E293">
        <f t="shared" si="425"/>
        <v>0.99999999999997868</v>
      </c>
      <c r="F293">
        <f t="shared" si="425"/>
        <v>0.99999999999997868</v>
      </c>
      <c r="G293">
        <f t="shared" si="425"/>
        <v>2.0000000000000462</v>
      </c>
      <c r="H293">
        <f t="shared" si="425"/>
        <v>3.0000000000000249</v>
      </c>
      <c r="I293">
        <f t="shared" si="425"/>
        <v>3.0000000000000249</v>
      </c>
      <c r="J293">
        <f t="shared" si="425"/>
        <v>2.0000000000000462</v>
      </c>
      <c r="K293">
        <f t="shared" si="425"/>
        <v>0.99999999999997868</v>
      </c>
      <c r="L293">
        <f t="shared" si="425"/>
        <v>0.99999999999997868</v>
      </c>
      <c r="M293">
        <f t="shared" si="425"/>
        <v>-0.99999999999997868</v>
      </c>
      <c r="N293">
        <f t="shared" si="425"/>
        <v>-1.0000000000000675</v>
      </c>
      <c r="O293" s="5">
        <f t="shared" si="417"/>
        <v>-4.8578275005820987E-3</v>
      </c>
      <c r="P293" s="5">
        <f t="shared" si="417"/>
        <v>4.0621019482070652E-3</v>
      </c>
      <c r="Q293" s="5">
        <f t="shared" si="417"/>
        <v>-8.0201477763503625E-3</v>
      </c>
      <c r="R293" s="5">
        <f t="shared" si="417"/>
        <v>-2.3888531599108795E-3</v>
      </c>
      <c r="S293" s="5">
        <f t="shared" si="417"/>
        <v>-1.9306437086079901E-3</v>
      </c>
      <c r="U293" s="4">
        <v>45672</v>
      </c>
      <c r="V293">
        <f t="shared" si="378"/>
        <v>0</v>
      </c>
      <c r="W293">
        <f t="shared" si="379"/>
        <v>-2223.0000000001501</v>
      </c>
      <c r="X293">
        <f t="shared" si="380"/>
        <v>4589.9999999999018</v>
      </c>
      <c r="Y293">
        <f t="shared" si="381"/>
        <v>-3444.9999999999268</v>
      </c>
      <c r="Z293">
        <f t="shared" si="382"/>
        <v>5434.9999999998845</v>
      </c>
      <c r="AA293">
        <f t="shared" si="383"/>
        <v>-4000.0000000000923</v>
      </c>
      <c r="AB293">
        <f t="shared" si="384"/>
        <v>13692.000000000113</v>
      </c>
      <c r="AC293">
        <f t="shared" si="385"/>
        <v>-6669.0000000000555</v>
      </c>
      <c r="AD293">
        <f t="shared" si="386"/>
        <v>-201088.00000000466</v>
      </c>
      <c r="AE293">
        <f t="shared" si="387"/>
        <v>0.99999999999997868</v>
      </c>
      <c r="AF293">
        <f t="shared" si="388"/>
        <v>50322.99999999893</v>
      </c>
      <c r="AG293">
        <f t="shared" si="389"/>
        <v>-25322.999999999462</v>
      </c>
      <c r="AH293">
        <f t="shared" si="390"/>
        <v>-1.0000000000000675</v>
      </c>
      <c r="AI293">
        <f t="shared" si="391"/>
        <v>-0.48578275005820987</v>
      </c>
      <c r="AJ293">
        <f t="shared" si="392"/>
        <v>-40621.019482070653</v>
      </c>
      <c r="AK293">
        <f t="shared" si="393"/>
        <v>-80201.47776350363</v>
      </c>
      <c r="AL293">
        <f t="shared" si="394"/>
        <v>59721.328997771991</v>
      </c>
      <c r="AM293" s="1">
        <f t="shared" si="395"/>
        <v>19306.437086079903</v>
      </c>
      <c r="AN293" s="1">
        <f t="shared" si="371"/>
        <v>-210503.21694447796</v>
      </c>
      <c r="AO293">
        <f t="shared" si="372"/>
        <v>-1.7556328227441185</v>
      </c>
      <c r="AP293">
        <f t="shared" si="373"/>
        <v>9.953619575674324</v>
      </c>
    </row>
    <row r="294" spans="1:42" x14ac:dyDescent="0.25">
      <c r="A294" s="4">
        <v>45671</v>
      </c>
      <c r="B294">
        <f t="shared" ref="B294:N294" si="426">(B844-B843)*100</f>
        <v>0</v>
      </c>
      <c r="C294">
        <f t="shared" si="426"/>
        <v>-1.0000000000000675</v>
      </c>
      <c r="D294">
        <f t="shared" si="426"/>
        <v>-0.99999999999997868</v>
      </c>
      <c r="E294">
        <f t="shared" si="426"/>
        <v>-0.99999999999997868</v>
      </c>
      <c r="F294">
        <f t="shared" si="426"/>
        <v>-3.0000000000000249</v>
      </c>
      <c r="G294">
        <f t="shared" si="426"/>
        <v>0.99999999999997868</v>
      </c>
      <c r="H294">
        <f t="shared" si="426"/>
        <v>0</v>
      </c>
      <c r="I294">
        <f t="shared" si="426"/>
        <v>-3.0000000000000249</v>
      </c>
      <c r="J294">
        <f t="shared" si="426"/>
        <v>-2.0000000000000462</v>
      </c>
      <c r="K294">
        <f t="shared" si="426"/>
        <v>-0.99999999999997868</v>
      </c>
      <c r="L294">
        <f t="shared" si="426"/>
        <v>-2.0000000000000462</v>
      </c>
      <c r="M294">
        <f t="shared" si="426"/>
        <v>-0.99999999999997868</v>
      </c>
      <c r="N294">
        <f t="shared" si="426"/>
        <v>-0.99999999999997868</v>
      </c>
      <c r="O294" s="5">
        <f t="shared" si="417"/>
        <v>-6.7026141321146647E-3</v>
      </c>
      <c r="P294" s="5">
        <f t="shared" si="417"/>
        <v>-3.2565741737192932E-3</v>
      </c>
      <c r="Q294" s="5">
        <f t="shared" si="417"/>
        <v>3.5213393723078691E-3</v>
      </c>
      <c r="R294" s="5">
        <f t="shared" si="417"/>
        <v>-2.1186448602852144E-3</v>
      </c>
      <c r="S294" s="5">
        <f t="shared" si="417"/>
        <v>-9.3275123228847949E-3</v>
      </c>
      <c r="U294" s="4">
        <v>45671</v>
      </c>
      <c r="V294">
        <f t="shared" si="378"/>
        <v>0</v>
      </c>
      <c r="W294">
        <f t="shared" si="379"/>
        <v>2223.0000000001501</v>
      </c>
      <c r="X294">
        <f t="shared" si="380"/>
        <v>-4589.9999999999018</v>
      </c>
      <c r="Y294">
        <f t="shared" si="381"/>
        <v>3444.9999999999268</v>
      </c>
      <c r="Z294">
        <f t="shared" si="382"/>
        <v>-16305.000000000135</v>
      </c>
      <c r="AA294">
        <f t="shared" si="383"/>
        <v>-1999.9999999999573</v>
      </c>
      <c r="AB294">
        <f t="shared" si="384"/>
        <v>0</v>
      </c>
      <c r="AC294">
        <f t="shared" si="385"/>
        <v>6669.0000000000555</v>
      </c>
      <c r="AD294">
        <f t="shared" si="386"/>
        <v>201088.00000000466</v>
      </c>
      <c r="AE294">
        <f t="shared" si="387"/>
        <v>-0.99999999999997868</v>
      </c>
      <c r="AF294">
        <f t="shared" si="388"/>
        <v>-100646.00000000233</v>
      </c>
      <c r="AG294">
        <f t="shared" si="389"/>
        <v>-25322.999999999462</v>
      </c>
      <c r="AH294">
        <f t="shared" si="390"/>
        <v>-0.99999999999997868</v>
      </c>
      <c r="AI294">
        <f t="shared" si="391"/>
        <v>-0.67026141321146648</v>
      </c>
      <c r="AJ294">
        <f t="shared" si="392"/>
        <v>32565.741737192933</v>
      </c>
      <c r="AK294">
        <f t="shared" si="393"/>
        <v>35213.393723078691</v>
      </c>
      <c r="AL294">
        <f t="shared" si="394"/>
        <v>52966.12150713036</v>
      </c>
      <c r="AM294" s="1">
        <f t="shared" si="395"/>
        <v>93275.123228847951</v>
      </c>
      <c r="AN294" s="1">
        <f t="shared" si="371"/>
        <v>278578.70993483975</v>
      </c>
      <c r="AO294">
        <f t="shared" si="372"/>
        <v>-0.623832823596005</v>
      </c>
      <c r="AP294">
        <f t="shared" si="373"/>
        <v>9.9527241849213102</v>
      </c>
    </row>
    <row r="295" spans="1:42" x14ac:dyDescent="0.25">
      <c r="A295" s="4">
        <v>45670</v>
      </c>
      <c r="B295">
        <f t="shared" ref="B295:N295" si="427">(B845-B844)*100</f>
        <v>2.0000000000000462</v>
      </c>
      <c r="C295">
        <f t="shared" si="427"/>
        <v>1.0000000000000675</v>
      </c>
      <c r="D295">
        <f t="shared" si="427"/>
        <v>-1.0000000000000675</v>
      </c>
      <c r="E295">
        <f t="shared" si="427"/>
        <v>-2.0000000000000462</v>
      </c>
      <c r="F295">
        <f t="shared" si="427"/>
        <v>-2.9999999999999361</v>
      </c>
      <c r="G295">
        <f t="shared" si="427"/>
        <v>-8.9999999999999858</v>
      </c>
      <c r="H295">
        <f t="shared" si="427"/>
        <v>-13.000000000000078</v>
      </c>
      <c r="I295">
        <f t="shared" si="427"/>
        <v>-15.000000000000036</v>
      </c>
      <c r="J295">
        <f t="shared" si="427"/>
        <v>-12.999999999999989</v>
      </c>
      <c r="K295">
        <f t="shared" si="427"/>
        <v>-12.999999999999989</v>
      </c>
      <c r="L295">
        <f t="shared" si="427"/>
        <v>-8.9999999999999858</v>
      </c>
      <c r="M295">
        <f t="shared" si="427"/>
        <v>-5.9999999999999609</v>
      </c>
      <c r="N295">
        <f t="shared" si="427"/>
        <v>-4.0000000000000036</v>
      </c>
      <c r="O295" s="5">
        <f t="shared" ref="O295:S304" si="428">LN(O844/O845)</f>
        <v>1.8682710821079755E-3</v>
      </c>
      <c r="P295" s="5">
        <f t="shared" si="428"/>
        <v>-8.6549596103469139E-3</v>
      </c>
      <c r="Q295" s="5">
        <f t="shared" si="428"/>
        <v>5.2456009648500215E-3</v>
      </c>
      <c r="R295" s="5">
        <f t="shared" si="428"/>
        <v>2.3837913552761975E-3</v>
      </c>
      <c r="S295" s="5">
        <f t="shared" si="428"/>
        <v>8.8344559159366724E-4</v>
      </c>
      <c r="U295" s="4">
        <v>45670</v>
      </c>
      <c r="V295">
        <f t="shared" si="378"/>
        <v>-8000.0000000001846</v>
      </c>
      <c r="W295">
        <f t="shared" si="379"/>
        <v>-2223.0000000001501</v>
      </c>
      <c r="X295">
        <f t="shared" si="380"/>
        <v>-4590.0000000003101</v>
      </c>
      <c r="Y295">
        <f t="shared" si="381"/>
        <v>6890.0000000001592</v>
      </c>
      <c r="Z295">
        <f t="shared" si="382"/>
        <v>-16304.999999999653</v>
      </c>
      <c r="AA295">
        <f t="shared" si="383"/>
        <v>17999.999999999971</v>
      </c>
      <c r="AB295">
        <f t="shared" si="384"/>
        <v>-59332.000000000357</v>
      </c>
      <c r="AC295">
        <f t="shared" si="385"/>
        <v>33345.00000000008</v>
      </c>
      <c r="AD295">
        <f t="shared" si="386"/>
        <v>1307071.9999999988</v>
      </c>
      <c r="AE295">
        <f t="shared" si="387"/>
        <v>-12.999999999999989</v>
      </c>
      <c r="AF295">
        <f t="shared" si="388"/>
        <v>-452906.9999999993</v>
      </c>
      <c r="AG295">
        <f t="shared" si="389"/>
        <v>-151937.99999999901</v>
      </c>
      <c r="AH295">
        <f t="shared" si="390"/>
        <v>-4.0000000000000036</v>
      </c>
      <c r="AI295">
        <f t="shared" si="391"/>
        <v>0.18682710821079754</v>
      </c>
      <c r="AJ295">
        <f t="shared" si="392"/>
        <v>86549.596103469143</v>
      </c>
      <c r="AK295">
        <f t="shared" si="393"/>
        <v>52456.009648500214</v>
      </c>
      <c r="AL295">
        <f t="shared" si="394"/>
        <v>-59594.783881904936</v>
      </c>
      <c r="AM295" s="1">
        <f t="shared" si="395"/>
        <v>-8834.4559159366727</v>
      </c>
      <c r="AN295" s="1">
        <f t="shared" si="371"/>
        <v>740571.55278123613</v>
      </c>
      <c r="AO295">
        <f t="shared" si="372"/>
        <v>-6.4527965337358726</v>
      </c>
      <c r="AP295">
        <f t="shared" si="373"/>
        <v>9.9458272729980592</v>
      </c>
    </row>
    <row r="296" spans="1:42" x14ac:dyDescent="0.25">
      <c r="A296" s="4">
        <v>45667</v>
      </c>
      <c r="B296">
        <f t="shared" ref="B296:N296" si="429">(B846-B845)*100</f>
        <v>-3.0000000000000249</v>
      </c>
      <c r="C296">
        <f t="shared" si="429"/>
        <v>-2.0000000000000462</v>
      </c>
      <c r="D296">
        <f t="shared" si="429"/>
        <v>0</v>
      </c>
      <c r="E296">
        <f t="shared" si="429"/>
        <v>0</v>
      </c>
      <c r="F296">
        <f t="shared" si="429"/>
        <v>0.99999999999997868</v>
      </c>
      <c r="G296">
        <f t="shared" si="429"/>
        <v>3.0000000000000249</v>
      </c>
      <c r="H296">
        <f t="shared" si="429"/>
        <v>1.0000000000000675</v>
      </c>
      <c r="I296">
        <f t="shared" si="429"/>
        <v>0</v>
      </c>
      <c r="J296">
        <f t="shared" si="429"/>
        <v>-0.99999999999997868</v>
      </c>
      <c r="K296">
        <f t="shared" si="429"/>
        <v>-1.0000000000000675</v>
      </c>
      <c r="L296">
        <f t="shared" si="429"/>
        <v>-0.99999999999997868</v>
      </c>
      <c r="M296">
        <f t="shared" si="429"/>
        <v>-1.0000000000000675</v>
      </c>
      <c r="N296">
        <f t="shared" si="429"/>
        <v>-0.99999999999997868</v>
      </c>
      <c r="O296" s="5">
        <f t="shared" si="428"/>
        <v>-5.8227184465094338E-3</v>
      </c>
      <c r="P296" s="5">
        <f t="shared" si="428"/>
        <v>4.1366179142264163E-3</v>
      </c>
      <c r="Q296" s="5">
        <f t="shared" si="428"/>
        <v>-1.920618372528198E-3</v>
      </c>
      <c r="R296" s="5">
        <f t="shared" si="428"/>
        <v>-7.9522867013846884E-4</v>
      </c>
      <c r="S296" s="5">
        <f t="shared" si="428"/>
        <v>1.4046377006475317E-2</v>
      </c>
      <c r="U296" s="4">
        <v>45667</v>
      </c>
      <c r="V296">
        <f t="shared" si="378"/>
        <v>12000.0000000001</v>
      </c>
      <c r="W296">
        <f t="shared" si="379"/>
        <v>4446.0000000001028</v>
      </c>
      <c r="X296">
        <f t="shared" si="380"/>
        <v>0</v>
      </c>
      <c r="Y296">
        <f t="shared" si="381"/>
        <v>0</v>
      </c>
      <c r="Z296">
        <f t="shared" si="382"/>
        <v>5434.9999999998845</v>
      </c>
      <c r="AA296">
        <f t="shared" si="383"/>
        <v>-6000.00000000005</v>
      </c>
      <c r="AB296">
        <f t="shared" si="384"/>
        <v>4564.0000000003083</v>
      </c>
      <c r="AC296">
        <f t="shared" si="385"/>
        <v>0</v>
      </c>
      <c r="AD296">
        <f t="shared" si="386"/>
        <v>100543.99999999786</v>
      </c>
      <c r="AE296">
        <f t="shared" si="387"/>
        <v>-1.0000000000000675</v>
      </c>
      <c r="AF296">
        <f t="shared" si="388"/>
        <v>-50322.99999999893</v>
      </c>
      <c r="AG296">
        <f t="shared" si="389"/>
        <v>-25323.00000000171</v>
      </c>
      <c r="AH296">
        <f t="shared" si="390"/>
        <v>-0.99999999999997868</v>
      </c>
      <c r="AI296">
        <f t="shared" si="391"/>
        <v>-0.58227184465094339</v>
      </c>
      <c r="AJ296">
        <f t="shared" si="392"/>
        <v>-41366.179142264162</v>
      </c>
      <c r="AK296">
        <f t="shared" si="393"/>
        <v>-19206.183725281979</v>
      </c>
      <c r="AL296">
        <f t="shared" si="394"/>
        <v>19880.716753461722</v>
      </c>
      <c r="AM296" s="1">
        <f t="shared" si="395"/>
        <v>-140463.77006475316</v>
      </c>
      <c r="AN296" s="1">
        <f t="shared" si="371"/>
        <v>-135814.99845068465</v>
      </c>
      <c r="AO296">
        <f t="shared" si="372"/>
        <v>-0.2275745613707062</v>
      </c>
      <c r="AP296">
        <f t="shared" si="373"/>
        <v>9.7763766134802061</v>
      </c>
    </row>
    <row r="297" spans="1:42" x14ac:dyDescent="0.25">
      <c r="A297" s="4">
        <v>45665</v>
      </c>
      <c r="B297">
        <f t="shared" ref="B297:N297" si="430">(B847-B846)*100</f>
        <v>0.99999999999997868</v>
      </c>
      <c r="C297">
        <f t="shared" si="430"/>
        <v>0.99999999999997868</v>
      </c>
      <c r="D297">
        <f t="shared" si="430"/>
        <v>0</v>
      </c>
      <c r="E297">
        <f t="shared" si="430"/>
        <v>0</v>
      </c>
      <c r="F297">
        <f t="shared" si="430"/>
        <v>-0.99999999999997868</v>
      </c>
      <c r="G297">
        <f t="shared" si="430"/>
        <v>0</v>
      </c>
      <c r="H297">
        <f t="shared" si="430"/>
        <v>1.9999999999999574</v>
      </c>
      <c r="I297">
        <f t="shared" si="430"/>
        <v>2.0000000000000462</v>
      </c>
      <c r="J297">
        <f t="shared" si="430"/>
        <v>0.99999999999997868</v>
      </c>
      <c r="K297">
        <f t="shared" si="430"/>
        <v>1.0000000000000675</v>
      </c>
      <c r="L297">
        <f t="shared" si="430"/>
        <v>0</v>
      </c>
      <c r="M297">
        <f t="shared" si="430"/>
        <v>0</v>
      </c>
      <c r="N297">
        <f t="shared" si="430"/>
        <v>0</v>
      </c>
      <c r="O297" s="5">
        <f t="shared" si="428"/>
        <v>9.5039058409968763E-3</v>
      </c>
      <c r="P297" s="5">
        <f t="shared" si="428"/>
        <v>-2.8856717663906873E-3</v>
      </c>
      <c r="Q297" s="5">
        <f t="shared" si="428"/>
        <v>-5.0872022565468826E-3</v>
      </c>
      <c r="R297" s="5">
        <f t="shared" si="428"/>
        <v>-5.2980133689569699E-4</v>
      </c>
      <c r="S297" s="5">
        <f t="shared" si="428"/>
        <v>5.9540945606328865E-3</v>
      </c>
      <c r="U297" s="4">
        <v>45665</v>
      </c>
      <c r="V297">
        <f t="shared" si="378"/>
        <v>-3999.9999999999145</v>
      </c>
      <c r="W297">
        <f t="shared" si="379"/>
        <v>-2222.9999999999527</v>
      </c>
      <c r="X297">
        <f t="shared" si="380"/>
        <v>0</v>
      </c>
      <c r="Y297">
        <f t="shared" si="381"/>
        <v>0</v>
      </c>
      <c r="Z297">
        <f t="shared" si="382"/>
        <v>-5434.9999999998845</v>
      </c>
      <c r="AA297">
        <f t="shared" si="383"/>
        <v>0</v>
      </c>
      <c r="AB297">
        <f t="shared" si="384"/>
        <v>9127.9999999998054</v>
      </c>
      <c r="AC297">
        <f t="shared" si="385"/>
        <v>-4446.0000000001028</v>
      </c>
      <c r="AD297">
        <f t="shared" si="386"/>
        <v>-100543.99999999786</v>
      </c>
      <c r="AE297">
        <f t="shared" si="387"/>
        <v>1.0000000000000675</v>
      </c>
      <c r="AF297">
        <f t="shared" si="388"/>
        <v>0</v>
      </c>
      <c r="AG297">
        <f t="shared" si="389"/>
        <v>0</v>
      </c>
      <c r="AH297">
        <f t="shared" si="390"/>
        <v>0</v>
      </c>
      <c r="AI297">
        <f t="shared" si="391"/>
        <v>0.95039058409968757</v>
      </c>
      <c r="AJ297">
        <f t="shared" si="392"/>
        <v>28856.717663906871</v>
      </c>
      <c r="AK297">
        <f t="shared" si="393"/>
        <v>-50872.022565468826</v>
      </c>
      <c r="AL297">
        <f t="shared" si="394"/>
        <v>13245.033422392426</v>
      </c>
      <c r="AM297" s="1">
        <f t="shared" si="395"/>
        <v>-59540.945606328867</v>
      </c>
      <c r="AN297" s="1">
        <f t="shared" si="371"/>
        <v>-175829.26669491222</v>
      </c>
      <c r="AO297">
        <f t="shared" si="372"/>
        <v>0.76502177334352894</v>
      </c>
      <c r="AP297">
        <f t="shared" si="373"/>
        <v>9.7960502285713353</v>
      </c>
    </row>
    <row r="298" spans="1:42" x14ac:dyDescent="0.25">
      <c r="A298" s="4">
        <v>45664</v>
      </c>
      <c r="B298">
        <f t="shared" ref="B298:N298" si="431">(B848-B847)*100</f>
        <v>0.99999999999997868</v>
      </c>
      <c r="C298">
        <f t="shared" si="431"/>
        <v>1.0000000000000675</v>
      </c>
      <c r="D298">
        <f t="shared" si="431"/>
        <v>0</v>
      </c>
      <c r="E298">
        <f t="shared" si="431"/>
        <v>0</v>
      </c>
      <c r="F298">
        <f t="shared" si="431"/>
        <v>0</v>
      </c>
      <c r="G298">
        <f t="shared" si="431"/>
        <v>-2.0000000000000462</v>
      </c>
      <c r="H298">
        <f t="shared" si="431"/>
        <v>-1.9999999999999574</v>
      </c>
      <c r="I298">
        <f t="shared" si="431"/>
        <v>-3.0000000000000249</v>
      </c>
      <c r="J298">
        <f t="shared" si="431"/>
        <v>-4.0000000000000036</v>
      </c>
      <c r="K298">
        <f t="shared" si="431"/>
        <v>-5.0000000000000711</v>
      </c>
      <c r="L298">
        <f t="shared" si="431"/>
        <v>-4.9999999999999822</v>
      </c>
      <c r="M298">
        <f t="shared" si="431"/>
        <v>-5.9999999999999609</v>
      </c>
      <c r="N298">
        <f t="shared" si="431"/>
        <v>-6.0000000000000497</v>
      </c>
      <c r="O298" s="5">
        <f t="shared" si="428"/>
        <v>-6.2041658457981808E-3</v>
      </c>
      <c r="P298" s="5">
        <f t="shared" si="428"/>
        <v>-1.3821702269516474E-3</v>
      </c>
      <c r="Q298" s="5">
        <f t="shared" si="428"/>
        <v>-8.3053198367101055E-4</v>
      </c>
      <c r="R298" s="5">
        <f t="shared" si="428"/>
        <v>4.246290881451004E-3</v>
      </c>
      <c r="S298" s="5">
        <f t="shared" si="428"/>
        <v>-7.092757803847786E-4</v>
      </c>
      <c r="U298" s="4">
        <v>45664</v>
      </c>
      <c r="V298">
        <f t="shared" si="378"/>
        <v>-3999.9999999999145</v>
      </c>
      <c r="W298">
        <f t="shared" si="379"/>
        <v>-2223.0000000001501</v>
      </c>
      <c r="X298">
        <f t="shared" si="380"/>
        <v>0</v>
      </c>
      <c r="Y298">
        <f t="shared" si="381"/>
        <v>0</v>
      </c>
      <c r="Z298">
        <f t="shared" si="382"/>
        <v>0</v>
      </c>
      <c r="AA298">
        <f t="shared" si="383"/>
        <v>4000.0000000000923</v>
      </c>
      <c r="AB298">
        <f t="shared" si="384"/>
        <v>-9127.9999999998054</v>
      </c>
      <c r="AC298">
        <f t="shared" si="385"/>
        <v>6669.0000000000555</v>
      </c>
      <c r="AD298">
        <f t="shared" si="386"/>
        <v>402176.00000000035</v>
      </c>
      <c r="AE298">
        <f t="shared" si="387"/>
        <v>-5.0000000000000711</v>
      </c>
      <c r="AF298">
        <f t="shared" si="388"/>
        <v>-251614.9999999991</v>
      </c>
      <c r="AG298">
        <f t="shared" si="389"/>
        <v>-151937.99999999901</v>
      </c>
      <c r="AH298">
        <f t="shared" si="390"/>
        <v>-6.0000000000000497</v>
      </c>
      <c r="AI298">
        <f t="shared" si="391"/>
        <v>-0.62041658457981808</v>
      </c>
      <c r="AJ298">
        <f t="shared" si="392"/>
        <v>13821.702269516474</v>
      </c>
      <c r="AK298">
        <f t="shared" si="393"/>
        <v>-8305.3198367101049</v>
      </c>
      <c r="AL298">
        <f t="shared" si="394"/>
        <v>-106157.2720362751</v>
      </c>
      <c r="AM298" s="1">
        <f t="shared" si="395"/>
        <v>7092.7578038477859</v>
      </c>
      <c r="AN298" s="1">
        <f t="shared" si="371"/>
        <v>-99618.752216202993</v>
      </c>
      <c r="AO298">
        <f t="shared" si="372"/>
        <v>-1.3843159675870325</v>
      </c>
      <c r="AP298">
        <f t="shared" si="373"/>
        <v>9.8294402837874824</v>
      </c>
    </row>
    <row r="299" spans="1:42" x14ac:dyDescent="0.25">
      <c r="A299" s="4">
        <v>45663</v>
      </c>
      <c r="B299">
        <f t="shared" ref="B299:N299" si="432">(B849-B848)*100</f>
        <v>1.0000000000000675</v>
      </c>
      <c r="C299">
        <f t="shared" si="432"/>
        <v>-1.0000000000000675</v>
      </c>
      <c r="D299">
        <f t="shared" si="432"/>
        <v>-0.99999999999997868</v>
      </c>
      <c r="E299">
        <f t="shared" si="432"/>
        <v>0</v>
      </c>
      <c r="F299">
        <f t="shared" si="432"/>
        <v>0.99999999999997868</v>
      </c>
      <c r="G299">
        <f t="shared" si="432"/>
        <v>0.99999999999997868</v>
      </c>
      <c r="H299">
        <f t="shared" si="432"/>
        <v>0</v>
      </c>
      <c r="I299">
        <f t="shared" si="432"/>
        <v>2.0000000000000462</v>
      </c>
      <c r="J299">
        <f t="shared" si="432"/>
        <v>-0.99999999999997868</v>
      </c>
      <c r="K299">
        <f t="shared" si="432"/>
        <v>-0.99999999999997868</v>
      </c>
      <c r="L299">
        <f t="shared" si="432"/>
        <v>-2.0000000000000462</v>
      </c>
      <c r="M299">
        <f t="shared" si="432"/>
        <v>-3.0000000000000249</v>
      </c>
      <c r="N299">
        <f t="shared" si="432"/>
        <v>-2.9999999999999361</v>
      </c>
      <c r="O299" s="5">
        <f t="shared" si="428"/>
        <v>-7.2386112802105603E-3</v>
      </c>
      <c r="P299" s="5">
        <f t="shared" si="428"/>
        <v>0</v>
      </c>
      <c r="Q299" s="5">
        <f t="shared" si="428"/>
        <v>1.1910702234027022E-2</v>
      </c>
      <c r="R299" s="5">
        <f t="shared" si="428"/>
        <v>-1.8599713081008855E-3</v>
      </c>
      <c r="S299" s="5">
        <f t="shared" si="428"/>
        <v>-1.7705796591496469E-2</v>
      </c>
      <c r="U299" s="4">
        <v>45663</v>
      </c>
      <c r="V299">
        <f t="shared" si="378"/>
        <v>-4000.0000000002701</v>
      </c>
      <c r="W299">
        <f t="shared" si="379"/>
        <v>2223.0000000001501</v>
      </c>
      <c r="X299">
        <f t="shared" si="380"/>
        <v>-4589.9999999999018</v>
      </c>
      <c r="Y299">
        <f t="shared" si="381"/>
        <v>0</v>
      </c>
      <c r="Z299">
        <f t="shared" si="382"/>
        <v>5434.9999999998845</v>
      </c>
      <c r="AA299">
        <f t="shared" si="383"/>
        <v>-1999.9999999999573</v>
      </c>
      <c r="AB299">
        <f t="shared" si="384"/>
        <v>0</v>
      </c>
      <c r="AC299">
        <f t="shared" si="385"/>
        <v>-4446.0000000001028</v>
      </c>
      <c r="AD299">
        <f t="shared" si="386"/>
        <v>100543.99999999786</v>
      </c>
      <c r="AE299">
        <f t="shared" si="387"/>
        <v>-0.99999999999997868</v>
      </c>
      <c r="AF299">
        <f t="shared" si="388"/>
        <v>-100646.00000000233</v>
      </c>
      <c r="AG299">
        <f t="shared" si="389"/>
        <v>-75969.000000000626</v>
      </c>
      <c r="AH299">
        <f t="shared" si="390"/>
        <v>-2.9999999999999361</v>
      </c>
      <c r="AI299">
        <f t="shared" si="391"/>
        <v>-0.72386112802105607</v>
      </c>
      <c r="AJ299">
        <f t="shared" si="392"/>
        <v>0</v>
      </c>
      <c r="AK299">
        <f t="shared" si="393"/>
        <v>119107.02234027022</v>
      </c>
      <c r="AL299">
        <f t="shared" si="394"/>
        <v>46499.282702522134</v>
      </c>
      <c r="AM299" s="1">
        <f t="shared" si="395"/>
        <v>177057.96591496471</v>
      </c>
      <c r="AN299" s="1">
        <f t="shared" si="371"/>
        <v>259210.54709662375</v>
      </c>
      <c r="AO299">
        <f t="shared" si="372"/>
        <v>1.8617599286271211</v>
      </c>
      <c r="AP299">
        <f t="shared" si="373"/>
        <v>9.9271134611239589</v>
      </c>
    </row>
    <row r="300" spans="1:42" x14ac:dyDescent="0.25">
      <c r="A300" s="4">
        <v>45660</v>
      </c>
      <c r="B300">
        <f t="shared" ref="B300:N300" si="433">(B850-B849)*100</f>
        <v>0.99999999999997868</v>
      </c>
      <c r="C300">
        <f t="shared" si="433"/>
        <v>1.0000000000000675</v>
      </c>
      <c r="D300">
        <f t="shared" si="433"/>
        <v>2.0000000000000462</v>
      </c>
      <c r="E300">
        <f t="shared" si="433"/>
        <v>0</v>
      </c>
      <c r="F300">
        <f t="shared" si="433"/>
        <v>0</v>
      </c>
      <c r="G300">
        <f t="shared" si="433"/>
        <v>-0.99999999999997868</v>
      </c>
      <c r="H300">
        <f t="shared" si="433"/>
        <v>-3.0000000000000249</v>
      </c>
      <c r="I300">
        <f t="shared" si="433"/>
        <v>-3.0000000000000249</v>
      </c>
      <c r="J300">
        <f t="shared" si="433"/>
        <v>-3.0000000000000249</v>
      </c>
      <c r="K300">
        <f t="shared" si="433"/>
        <v>-4.0000000000000036</v>
      </c>
      <c r="L300">
        <f t="shared" si="433"/>
        <v>-2.9999999999999361</v>
      </c>
      <c r="M300">
        <f t="shared" si="433"/>
        <v>-1.9999999999999574</v>
      </c>
      <c r="N300">
        <f t="shared" si="433"/>
        <v>-3.0000000000000249</v>
      </c>
      <c r="O300" s="5">
        <f t="shared" si="428"/>
        <v>-8.4598904789502539E-3</v>
      </c>
      <c r="P300" s="5">
        <f t="shared" si="428"/>
        <v>-7.7964164690368454E-3</v>
      </c>
      <c r="Q300" s="5">
        <f t="shared" si="428"/>
        <v>3.3862678252942436E-3</v>
      </c>
      <c r="R300" s="5">
        <f t="shared" si="428"/>
        <v>3.7234085570202633E-3</v>
      </c>
      <c r="S300" s="5">
        <f t="shared" si="428"/>
        <v>2.6107462232684005E-3</v>
      </c>
      <c r="U300" s="4">
        <v>45660</v>
      </c>
      <c r="V300">
        <f t="shared" si="378"/>
        <v>-3999.9999999999145</v>
      </c>
      <c r="W300">
        <f t="shared" si="379"/>
        <v>-2223.0000000001501</v>
      </c>
      <c r="X300">
        <f t="shared" si="380"/>
        <v>9180.0000000002128</v>
      </c>
      <c r="Y300">
        <f t="shared" si="381"/>
        <v>0</v>
      </c>
      <c r="Z300">
        <f t="shared" si="382"/>
        <v>0</v>
      </c>
      <c r="AA300">
        <f t="shared" si="383"/>
        <v>1999.9999999999573</v>
      </c>
      <c r="AB300">
        <f t="shared" si="384"/>
        <v>-13692.000000000113</v>
      </c>
      <c r="AC300">
        <f t="shared" si="385"/>
        <v>6669.0000000000555</v>
      </c>
      <c r="AD300">
        <f t="shared" si="386"/>
        <v>301632.0000000025</v>
      </c>
      <c r="AE300">
        <f t="shared" si="387"/>
        <v>-4.0000000000000036</v>
      </c>
      <c r="AF300">
        <f t="shared" si="388"/>
        <v>-150968.99999999677</v>
      </c>
      <c r="AG300">
        <f t="shared" si="389"/>
        <v>-50645.999999998923</v>
      </c>
      <c r="AH300">
        <f t="shared" si="390"/>
        <v>-3.0000000000000249</v>
      </c>
      <c r="AI300">
        <f t="shared" si="391"/>
        <v>-0.84598904789502538</v>
      </c>
      <c r="AJ300">
        <f t="shared" si="392"/>
        <v>77964.16469036846</v>
      </c>
      <c r="AK300">
        <f t="shared" si="393"/>
        <v>33862.678252942438</v>
      </c>
      <c r="AL300">
        <f t="shared" si="394"/>
        <v>-93085.213925506585</v>
      </c>
      <c r="AM300" s="1">
        <f t="shared" si="395"/>
        <v>-26107.462232684004</v>
      </c>
      <c r="AN300" s="1">
        <f t="shared" si="371"/>
        <v>90577.320796079293</v>
      </c>
      <c r="AO300">
        <f t="shared" si="372"/>
        <v>-0.72129407292851144</v>
      </c>
      <c r="AP300">
        <f t="shared" si="373"/>
        <v>9.9532487277824533</v>
      </c>
    </row>
    <row r="301" spans="1:42" x14ac:dyDescent="0.25">
      <c r="A301" s="4">
        <v>45659</v>
      </c>
      <c r="B301">
        <f t="shared" ref="B301:N301" si="434">(B851-B850)*100</f>
        <v>-4.9999999999999822</v>
      </c>
      <c r="C301">
        <f t="shared" si="434"/>
        <v>2.9999999999999361</v>
      </c>
      <c r="D301">
        <f t="shared" si="434"/>
        <v>0.99999999999997868</v>
      </c>
      <c r="E301">
        <f t="shared" si="434"/>
        <v>1.0000000000000675</v>
      </c>
      <c r="F301">
        <f t="shared" si="434"/>
        <v>-0.99999999999997868</v>
      </c>
      <c r="G301">
        <f t="shared" si="434"/>
        <v>-0.99999999999997868</v>
      </c>
      <c r="H301">
        <f t="shared" si="434"/>
        <v>0</v>
      </c>
      <c r="I301">
        <f t="shared" si="434"/>
        <v>-2.0000000000000462</v>
      </c>
      <c r="J301">
        <f t="shared" si="434"/>
        <v>0</v>
      </c>
      <c r="K301">
        <f t="shared" si="434"/>
        <v>1.0000000000000675</v>
      </c>
      <c r="L301">
        <f t="shared" si="434"/>
        <v>0.99999999999997868</v>
      </c>
      <c r="M301">
        <f t="shared" si="434"/>
        <v>0</v>
      </c>
      <c r="N301">
        <f t="shared" si="434"/>
        <v>-0.99999999999997868</v>
      </c>
      <c r="O301" s="5">
        <f t="shared" si="428"/>
        <v>2.628970168157046E-3</v>
      </c>
      <c r="P301" s="5">
        <f t="shared" si="428"/>
        <v>-6.1482602874715839E-3</v>
      </c>
      <c r="Q301" s="5">
        <f t="shared" si="428"/>
        <v>4.3649306446764367E-3</v>
      </c>
      <c r="R301" s="5">
        <f t="shared" si="428"/>
        <v>-1.0652464389481072E-3</v>
      </c>
      <c r="S301" s="5">
        <f t="shared" si="428"/>
        <v>-1.2741911224239767E-2</v>
      </c>
      <c r="U301" s="4">
        <v>45659</v>
      </c>
      <c r="V301">
        <f t="shared" si="378"/>
        <v>19999.999999999927</v>
      </c>
      <c r="W301">
        <f t="shared" si="379"/>
        <v>-6668.9999999998581</v>
      </c>
      <c r="X301">
        <f t="shared" si="380"/>
        <v>4589.9999999999018</v>
      </c>
      <c r="Y301">
        <f t="shared" si="381"/>
        <v>-3445.0000000002324</v>
      </c>
      <c r="Z301">
        <f t="shared" si="382"/>
        <v>-5434.9999999998845</v>
      </c>
      <c r="AA301">
        <f t="shared" si="383"/>
        <v>1999.9999999999573</v>
      </c>
      <c r="AB301">
        <f t="shared" si="384"/>
        <v>0</v>
      </c>
      <c r="AC301">
        <f t="shared" si="385"/>
        <v>4446.0000000001028</v>
      </c>
      <c r="AD301">
        <f t="shared" si="386"/>
        <v>0</v>
      </c>
      <c r="AE301">
        <f t="shared" si="387"/>
        <v>1.0000000000000675</v>
      </c>
      <c r="AF301">
        <f t="shared" si="388"/>
        <v>50322.99999999893</v>
      </c>
      <c r="AG301">
        <f t="shared" si="389"/>
        <v>0</v>
      </c>
      <c r="AH301">
        <f t="shared" si="390"/>
        <v>-0.99999999999997868</v>
      </c>
      <c r="AI301">
        <f t="shared" si="391"/>
        <v>0.2628970168157046</v>
      </c>
      <c r="AJ301">
        <f t="shared" si="392"/>
        <v>61482.602874715842</v>
      </c>
      <c r="AK301">
        <f t="shared" si="393"/>
        <v>43649.306446764371</v>
      </c>
      <c r="AL301">
        <f t="shared" si="394"/>
        <v>26631.160973702681</v>
      </c>
      <c r="AM301" s="1">
        <f t="shared" si="395"/>
        <v>127419.11224239768</v>
      </c>
      <c r="AN301" s="1">
        <f t="shared" si="371"/>
        <v>324992.44543459621</v>
      </c>
      <c r="AO301">
        <f t="shared" si="372"/>
        <v>-2.3707481181356891</v>
      </c>
      <c r="AP301">
        <f t="shared" si="373"/>
        <v>9.9454712725913801</v>
      </c>
    </row>
    <row r="302" spans="1:42" x14ac:dyDescent="0.25">
      <c r="A302" s="4">
        <v>45657</v>
      </c>
      <c r="B302">
        <f t="shared" ref="B302:N302" si="435">(B852-B851)*100</f>
        <v>2.9999999999999361</v>
      </c>
      <c r="C302">
        <f t="shared" si="435"/>
        <v>3.0000000000000249</v>
      </c>
      <c r="D302">
        <f t="shared" si="435"/>
        <v>0</v>
      </c>
      <c r="E302">
        <f t="shared" si="435"/>
        <v>0.99999999999997868</v>
      </c>
      <c r="F302">
        <f t="shared" si="435"/>
        <v>0.99999999999997868</v>
      </c>
      <c r="G302">
        <f t="shared" si="435"/>
        <v>0.99999999999997868</v>
      </c>
      <c r="H302">
        <f t="shared" si="435"/>
        <v>-0.99999999999997868</v>
      </c>
      <c r="I302">
        <f t="shared" si="435"/>
        <v>2.0000000000000462</v>
      </c>
      <c r="J302">
        <f t="shared" si="435"/>
        <v>-0.99999999999997868</v>
      </c>
      <c r="K302">
        <f t="shared" si="435"/>
        <v>-2.0000000000000462</v>
      </c>
      <c r="L302">
        <f t="shared" si="435"/>
        <v>-3.0000000000000249</v>
      </c>
      <c r="M302">
        <f t="shared" si="435"/>
        <v>-2.0000000000000462</v>
      </c>
      <c r="N302">
        <f t="shared" si="435"/>
        <v>-1.0000000000000675</v>
      </c>
      <c r="O302" s="5">
        <f t="shared" si="428"/>
        <v>0</v>
      </c>
      <c r="P302" s="5">
        <f t="shared" si="428"/>
        <v>0</v>
      </c>
      <c r="Q302" s="5">
        <f t="shared" si="428"/>
        <v>0</v>
      </c>
      <c r="R302" s="5">
        <f t="shared" si="428"/>
        <v>0</v>
      </c>
      <c r="S302" s="5">
        <f t="shared" si="428"/>
        <v>1.0832829426097781E-2</v>
      </c>
      <c r="U302" s="4">
        <v>45657</v>
      </c>
      <c r="V302">
        <f t="shared" si="378"/>
        <v>-11999.999999999744</v>
      </c>
      <c r="W302">
        <f t="shared" si="379"/>
        <v>-6669.0000000000555</v>
      </c>
      <c r="X302">
        <f t="shared" si="380"/>
        <v>0</v>
      </c>
      <c r="Y302">
        <f t="shared" si="381"/>
        <v>-3444.9999999999268</v>
      </c>
      <c r="Z302">
        <f t="shared" si="382"/>
        <v>5434.9999999998845</v>
      </c>
      <c r="AA302">
        <f t="shared" si="383"/>
        <v>-1999.9999999999573</v>
      </c>
      <c r="AB302">
        <f t="shared" si="384"/>
        <v>-4563.9999999999027</v>
      </c>
      <c r="AC302">
        <f t="shared" si="385"/>
        <v>-4446.0000000001028</v>
      </c>
      <c r="AD302">
        <f t="shared" si="386"/>
        <v>100543.99999999786</v>
      </c>
      <c r="AE302">
        <f t="shared" si="387"/>
        <v>-2.0000000000000462</v>
      </c>
      <c r="AF302">
        <f t="shared" si="388"/>
        <v>-150969.00000000125</v>
      </c>
      <c r="AG302">
        <f t="shared" si="389"/>
        <v>-50646.000000001171</v>
      </c>
      <c r="AH302">
        <f t="shared" si="390"/>
        <v>-1.0000000000000675</v>
      </c>
      <c r="AI302">
        <f t="shared" si="391"/>
        <v>0</v>
      </c>
      <c r="AJ302">
        <f t="shared" si="392"/>
        <v>0</v>
      </c>
      <c r="AK302">
        <f t="shared" si="393"/>
        <v>0</v>
      </c>
      <c r="AL302">
        <f t="shared" si="394"/>
        <v>0</v>
      </c>
      <c r="AM302" s="1">
        <f t="shared" si="395"/>
        <v>-108328.29426097781</v>
      </c>
      <c r="AN302" s="1">
        <f t="shared" si="371"/>
        <v>-237091.29426098219</v>
      </c>
      <c r="AO302">
        <f t="shared" si="372"/>
        <v>-0.5632010270978296</v>
      </c>
      <c r="AP302">
        <f t="shared" si="373"/>
        <v>9.9620015173940608</v>
      </c>
    </row>
    <row r="303" spans="1:42" x14ac:dyDescent="0.25">
      <c r="A303" s="4">
        <v>45656</v>
      </c>
      <c r="B303">
        <f t="shared" ref="B303:N303" si="436">(B853-B852)*100</f>
        <v>1.0000000000000675</v>
      </c>
      <c r="C303">
        <f t="shared" si="436"/>
        <v>0.99999999999997868</v>
      </c>
      <c r="D303">
        <f t="shared" si="436"/>
        <v>-6.0000000000000497</v>
      </c>
      <c r="E303">
        <f t="shared" si="436"/>
        <v>1.9999999999999574</v>
      </c>
      <c r="F303">
        <f t="shared" si="436"/>
        <v>4.0000000000000036</v>
      </c>
      <c r="G303">
        <f t="shared" si="436"/>
        <v>3.0000000000000249</v>
      </c>
      <c r="H303">
        <f t="shared" si="436"/>
        <v>6.9999999999999396</v>
      </c>
      <c r="I303">
        <f t="shared" si="436"/>
        <v>7.0000000000000284</v>
      </c>
      <c r="J303">
        <f t="shared" si="436"/>
        <v>8.0000000000000071</v>
      </c>
      <c r="K303">
        <f t="shared" si="436"/>
        <v>7.0000000000000284</v>
      </c>
      <c r="L303">
        <f t="shared" si="436"/>
        <v>7.0000000000000284</v>
      </c>
      <c r="M303">
        <f t="shared" si="436"/>
        <v>4.9999999999999822</v>
      </c>
      <c r="N303">
        <f t="shared" si="436"/>
        <v>5.0000000000000711</v>
      </c>
      <c r="O303" s="5">
        <f t="shared" si="428"/>
        <v>-1.0975886436168471E-3</v>
      </c>
      <c r="P303" s="5">
        <f t="shared" si="428"/>
        <v>-1.1344300706117583E-3</v>
      </c>
      <c r="Q303" s="5">
        <f t="shared" si="428"/>
        <v>1.1799887404442063E-3</v>
      </c>
      <c r="R303" s="5">
        <f t="shared" si="428"/>
        <v>2.6652467802816223E-3</v>
      </c>
      <c r="S303" s="5">
        <f t="shared" si="428"/>
        <v>1.6531560976541258E-2</v>
      </c>
      <c r="U303" s="4">
        <v>45656</v>
      </c>
      <c r="V303">
        <f t="shared" si="378"/>
        <v>-4000.0000000002701</v>
      </c>
      <c r="W303">
        <f t="shared" si="379"/>
        <v>-2222.9999999999527</v>
      </c>
      <c r="X303">
        <f t="shared" si="380"/>
        <v>-27540.000000000229</v>
      </c>
      <c r="Y303">
        <f t="shared" si="381"/>
        <v>-6889.9999999998536</v>
      </c>
      <c r="Z303">
        <f t="shared" si="382"/>
        <v>21740.000000000018</v>
      </c>
      <c r="AA303">
        <f t="shared" si="383"/>
        <v>-6000.00000000005</v>
      </c>
      <c r="AB303">
        <f t="shared" si="384"/>
        <v>31947.999999999724</v>
      </c>
      <c r="AC303">
        <f t="shared" si="385"/>
        <v>-15561.000000000064</v>
      </c>
      <c r="AD303">
        <f t="shared" si="386"/>
        <v>-804352.0000000007</v>
      </c>
      <c r="AE303">
        <f t="shared" si="387"/>
        <v>7.0000000000000284</v>
      </c>
      <c r="AF303">
        <f t="shared" si="388"/>
        <v>352261.00000000146</v>
      </c>
      <c r="AG303">
        <f t="shared" si="389"/>
        <v>126614.99999999955</v>
      </c>
      <c r="AH303">
        <f t="shared" si="390"/>
        <v>5.0000000000000711</v>
      </c>
      <c r="AI303">
        <f t="shared" si="391"/>
        <v>-0.10975886436168471</v>
      </c>
      <c r="AJ303">
        <f t="shared" si="392"/>
        <v>11344.300706117583</v>
      </c>
      <c r="AK303">
        <f t="shared" si="393"/>
        <v>11799.887404442063</v>
      </c>
      <c r="AL303">
        <f t="shared" si="394"/>
        <v>-66631.169507040555</v>
      </c>
      <c r="AM303" s="1">
        <f t="shared" si="395"/>
        <v>-165315.60976541258</v>
      </c>
      <c r="AN303" s="1">
        <f t="shared" si="371"/>
        <v>-542792.7009207583</v>
      </c>
      <c r="AO303">
        <f t="shared" si="372"/>
        <v>2.2887094360662634</v>
      </c>
      <c r="AP303">
        <f t="shared" si="373"/>
        <v>9.9567687131131368</v>
      </c>
    </row>
    <row r="304" spans="1:42" x14ac:dyDescent="0.25">
      <c r="A304" s="4">
        <v>45653</v>
      </c>
      <c r="B304">
        <f t="shared" ref="B304:N304" si="437">(B854-B853)*100</f>
        <v>0.99999999999997868</v>
      </c>
      <c r="C304">
        <f t="shared" si="437"/>
        <v>2.0000000000000462</v>
      </c>
      <c r="D304">
        <f t="shared" si="437"/>
        <v>4.0000000000000036</v>
      </c>
      <c r="E304">
        <f t="shared" si="437"/>
        <v>2.0000000000000462</v>
      </c>
      <c r="F304">
        <f t="shared" si="437"/>
        <v>1.9999999999999574</v>
      </c>
      <c r="G304">
        <f t="shared" si="437"/>
        <v>3.0000000000000249</v>
      </c>
      <c r="H304">
        <f t="shared" si="437"/>
        <v>-0.99999999999997868</v>
      </c>
      <c r="I304">
        <f t="shared" si="437"/>
        <v>-1.0000000000000675</v>
      </c>
      <c r="J304">
        <f t="shared" si="437"/>
        <v>-3.0000000000000249</v>
      </c>
      <c r="K304">
        <f t="shared" si="437"/>
        <v>-4.0000000000000036</v>
      </c>
      <c r="L304">
        <f t="shared" si="437"/>
        <v>-4.0000000000000036</v>
      </c>
      <c r="M304">
        <f t="shared" si="437"/>
        <v>-5.9999999999999609</v>
      </c>
      <c r="N304">
        <f t="shared" si="437"/>
        <v>-6.0000000000000497</v>
      </c>
      <c r="O304" s="5">
        <f t="shared" si="428"/>
        <v>5.4189276981956806E-3</v>
      </c>
      <c r="P304" s="5">
        <f t="shared" si="428"/>
        <v>3.6506464379801803E-3</v>
      </c>
      <c r="Q304" s="5">
        <f t="shared" si="428"/>
        <v>1.8989712881226932E-3</v>
      </c>
      <c r="R304" s="5">
        <f t="shared" si="428"/>
        <v>1.8699083851096015E-3</v>
      </c>
      <c r="S304" s="5">
        <f t="shared" si="428"/>
        <v>5.4728407528779454E-3</v>
      </c>
      <c r="U304" s="4">
        <v>45653</v>
      </c>
      <c r="V304">
        <f t="shared" si="378"/>
        <v>-3999.9999999999145</v>
      </c>
      <c r="W304">
        <f t="shared" si="379"/>
        <v>-4446.0000000001028</v>
      </c>
      <c r="X304">
        <f t="shared" si="380"/>
        <v>18360.000000000015</v>
      </c>
      <c r="Y304">
        <f t="shared" si="381"/>
        <v>-6890.0000000001592</v>
      </c>
      <c r="Z304">
        <f t="shared" si="382"/>
        <v>10869.999999999769</v>
      </c>
      <c r="AA304">
        <f t="shared" si="383"/>
        <v>-6000.00000000005</v>
      </c>
      <c r="AB304">
        <f t="shared" si="384"/>
        <v>-4563.9999999999027</v>
      </c>
      <c r="AC304">
        <f t="shared" si="385"/>
        <v>2223.0000000001501</v>
      </c>
      <c r="AD304">
        <f t="shared" si="386"/>
        <v>301632.0000000025</v>
      </c>
      <c r="AE304">
        <f t="shared" si="387"/>
        <v>-4.0000000000000036</v>
      </c>
      <c r="AF304">
        <f t="shared" si="388"/>
        <v>-201292.00000000017</v>
      </c>
      <c r="AG304">
        <f t="shared" si="389"/>
        <v>-151937.99999999901</v>
      </c>
      <c r="AH304">
        <f t="shared" si="390"/>
        <v>-6.0000000000000497</v>
      </c>
      <c r="AI304">
        <f t="shared" si="391"/>
        <v>0.54189276981956802</v>
      </c>
      <c r="AJ304">
        <f t="shared" si="392"/>
        <v>-36506.464379801801</v>
      </c>
      <c r="AK304">
        <f t="shared" si="393"/>
        <v>18989.712881226933</v>
      </c>
      <c r="AL304">
        <f t="shared" si="394"/>
        <v>-46747.709627740041</v>
      </c>
      <c r="AM304" s="1">
        <f t="shared" si="395"/>
        <v>-54728.407528779455</v>
      </c>
      <c r="AN304" s="1">
        <f t="shared" si="371"/>
        <v>-165047.32676232141</v>
      </c>
      <c r="AO304">
        <f t="shared" si="372"/>
        <v>-1.1264743922546949E-2</v>
      </c>
      <c r="AP304">
        <f t="shared" si="373"/>
        <v>9.9716236871700215</v>
      </c>
    </row>
    <row r="305" spans="1:42" x14ac:dyDescent="0.25">
      <c r="A305" s="4">
        <v>45652</v>
      </c>
      <c r="B305">
        <f t="shared" ref="B305:N305" si="438">(B855-B854)*100</f>
        <v>-0.99999999999997868</v>
      </c>
      <c r="C305">
        <f t="shared" si="438"/>
        <v>-0.99999999999997868</v>
      </c>
      <c r="D305">
        <f t="shared" si="438"/>
        <v>5.0000000000000711</v>
      </c>
      <c r="E305">
        <f t="shared" si="438"/>
        <v>0.99999999999997868</v>
      </c>
      <c r="F305">
        <f t="shared" si="438"/>
        <v>-0.99999999999997868</v>
      </c>
      <c r="G305">
        <f t="shared" si="438"/>
        <v>0.99999999999997868</v>
      </c>
      <c r="H305">
        <f t="shared" si="438"/>
        <v>-0.99999999999997868</v>
      </c>
      <c r="I305">
        <f t="shared" si="438"/>
        <v>1.0000000000000675</v>
      </c>
      <c r="J305">
        <f t="shared" si="438"/>
        <v>0.99999999999997868</v>
      </c>
      <c r="K305">
        <f t="shared" si="438"/>
        <v>2.9999999999999361</v>
      </c>
      <c r="L305">
        <f t="shared" si="438"/>
        <v>0.99999999999997868</v>
      </c>
      <c r="M305">
        <f t="shared" si="438"/>
        <v>0.99999999999997868</v>
      </c>
      <c r="N305">
        <f t="shared" si="438"/>
        <v>0</v>
      </c>
      <c r="O305" s="5">
        <f t="shared" ref="O305:S314" si="439">LN(O854/O855)</f>
        <v>1.9320226487544257E-3</v>
      </c>
      <c r="P305" s="5">
        <f t="shared" si="439"/>
        <v>4.3175232111965995E-3</v>
      </c>
      <c r="Q305" s="5">
        <f t="shared" si="439"/>
        <v>-3.7439809609302031E-3</v>
      </c>
      <c r="R305" s="5">
        <f t="shared" si="439"/>
        <v>2.6773777707163942E-3</v>
      </c>
      <c r="S305" s="5">
        <f t="shared" si="439"/>
        <v>5.9894320492621901E-4</v>
      </c>
      <c r="U305" s="4">
        <v>45652</v>
      </c>
      <c r="V305">
        <f t="shared" si="378"/>
        <v>3999.9999999999145</v>
      </c>
      <c r="W305">
        <f t="shared" si="379"/>
        <v>2222.9999999999527</v>
      </c>
      <c r="X305">
        <f t="shared" si="380"/>
        <v>22950.000000000327</v>
      </c>
      <c r="Y305">
        <f t="shared" si="381"/>
        <v>-3444.9999999999268</v>
      </c>
      <c r="Z305">
        <f t="shared" si="382"/>
        <v>-5434.9999999998845</v>
      </c>
      <c r="AA305">
        <f t="shared" si="383"/>
        <v>-1999.9999999999573</v>
      </c>
      <c r="AB305">
        <f t="shared" si="384"/>
        <v>-4563.9999999999027</v>
      </c>
      <c r="AC305">
        <f t="shared" si="385"/>
        <v>-2223.0000000001501</v>
      </c>
      <c r="AD305">
        <f t="shared" si="386"/>
        <v>-100543.99999999786</v>
      </c>
      <c r="AE305">
        <f t="shared" si="387"/>
        <v>2.9999999999999361</v>
      </c>
      <c r="AF305">
        <f t="shared" si="388"/>
        <v>50322.99999999893</v>
      </c>
      <c r="AG305">
        <f t="shared" si="389"/>
        <v>25322.999999999462</v>
      </c>
      <c r="AH305">
        <f t="shared" si="390"/>
        <v>0</v>
      </c>
      <c r="AI305">
        <f t="shared" si="391"/>
        <v>0.19320226487544256</v>
      </c>
      <c r="AJ305">
        <f t="shared" si="392"/>
        <v>-43175.232111965997</v>
      </c>
      <c r="AK305">
        <f t="shared" si="393"/>
        <v>-37439.809609302029</v>
      </c>
      <c r="AL305">
        <f t="shared" si="394"/>
        <v>-66934.444267909857</v>
      </c>
      <c r="AM305" s="1">
        <f t="shared" si="395"/>
        <v>-5989.43204926219</v>
      </c>
      <c r="AN305" s="1">
        <f t="shared" si="371"/>
        <v>-166927.72483617428</v>
      </c>
      <c r="AO305">
        <f t="shared" si="372"/>
        <v>29.65283129693826</v>
      </c>
      <c r="AP305">
        <f t="shared" si="373"/>
        <v>10.028724909919449</v>
      </c>
    </row>
    <row r="306" spans="1:42" x14ac:dyDescent="0.25">
      <c r="A306" s="4">
        <v>45650</v>
      </c>
      <c r="B306">
        <f t="shared" ref="B306:N306" si="440">(B856-B855)*100</f>
        <v>0</v>
      </c>
      <c r="C306">
        <f t="shared" si="440"/>
        <v>0</v>
      </c>
      <c r="D306">
        <f t="shared" si="440"/>
        <v>-4.0000000000000036</v>
      </c>
      <c r="E306">
        <f t="shared" si="440"/>
        <v>-0.99999999999997868</v>
      </c>
      <c r="F306">
        <f t="shared" si="440"/>
        <v>0</v>
      </c>
      <c r="G306">
        <f t="shared" si="440"/>
        <v>1.9999999999999574</v>
      </c>
      <c r="H306">
        <f t="shared" si="440"/>
        <v>0.99999999999997868</v>
      </c>
      <c r="I306">
        <f t="shared" si="440"/>
        <v>0</v>
      </c>
      <c r="J306">
        <f t="shared" si="440"/>
        <v>1.0000000000000675</v>
      </c>
      <c r="K306">
        <f t="shared" si="440"/>
        <v>0</v>
      </c>
      <c r="L306">
        <f t="shared" si="440"/>
        <v>0</v>
      </c>
      <c r="M306">
        <f t="shared" si="440"/>
        <v>0.99999999999997868</v>
      </c>
      <c r="N306">
        <f t="shared" si="440"/>
        <v>2.0000000000000462</v>
      </c>
      <c r="O306" s="5">
        <f t="shared" si="439"/>
        <v>-1.2180961853046513E-3</v>
      </c>
      <c r="P306" s="5">
        <f t="shared" si="439"/>
        <v>-1.012004770928787E-2</v>
      </c>
      <c r="Q306" s="5">
        <f t="shared" si="439"/>
        <v>1.6129360943516928E-3</v>
      </c>
      <c r="R306" s="5">
        <f t="shared" si="439"/>
        <v>1.878438765144406E-3</v>
      </c>
      <c r="S306" s="5">
        <f t="shared" si="439"/>
        <v>-1.3755500657321132E-3</v>
      </c>
      <c r="U306" s="4">
        <v>45650</v>
      </c>
      <c r="V306">
        <f t="shared" si="378"/>
        <v>0</v>
      </c>
      <c r="W306">
        <f t="shared" si="379"/>
        <v>0</v>
      </c>
      <c r="X306">
        <f t="shared" si="380"/>
        <v>-18360.000000000015</v>
      </c>
      <c r="Y306">
        <f t="shared" si="381"/>
        <v>3444.9999999999268</v>
      </c>
      <c r="Z306">
        <f t="shared" si="382"/>
        <v>0</v>
      </c>
      <c r="AA306">
        <f t="shared" si="383"/>
        <v>-3999.9999999999145</v>
      </c>
      <c r="AB306">
        <f t="shared" si="384"/>
        <v>4563.9999999999027</v>
      </c>
      <c r="AC306">
        <f t="shared" si="385"/>
        <v>0</v>
      </c>
      <c r="AD306">
        <f t="shared" si="386"/>
        <v>-100544.00000000678</v>
      </c>
      <c r="AE306">
        <f t="shared" si="387"/>
        <v>0</v>
      </c>
      <c r="AF306">
        <f t="shared" si="388"/>
        <v>0</v>
      </c>
      <c r="AG306">
        <f t="shared" si="389"/>
        <v>25322.999999999462</v>
      </c>
      <c r="AH306">
        <f t="shared" si="390"/>
        <v>2.0000000000000462</v>
      </c>
      <c r="AI306">
        <f t="shared" si="391"/>
        <v>-0.12180961853046512</v>
      </c>
      <c r="AJ306">
        <f t="shared" si="392"/>
        <v>101200.4770928787</v>
      </c>
      <c r="AK306">
        <f t="shared" si="393"/>
        <v>16129.360943516929</v>
      </c>
      <c r="AL306">
        <f t="shared" si="394"/>
        <v>-46960.969128610152</v>
      </c>
      <c r="AM306" s="1">
        <f t="shared" si="395"/>
        <v>13755.500657321132</v>
      </c>
      <c r="AN306" s="1">
        <f t="shared" si="371"/>
        <v>-5445.7522445193426</v>
      </c>
      <c r="AO306">
        <f t="shared" si="372"/>
        <v>-1.2390368343719307</v>
      </c>
      <c r="AP306">
        <f t="shared" si="373"/>
        <v>7.6880944017530908</v>
      </c>
    </row>
    <row r="307" spans="1:42" x14ac:dyDescent="0.25">
      <c r="A307" s="4">
        <v>45649</v>
      </c>
      <c r="B307">
        <f t="shared" ref="B307:N307" si="441">(B857-B856)*100</f>
        <v>-1.0000000000000675</v>
      </c>
      <c r="C307">
        <f t="shared" si="441"/>
        <v>-2.0000000000000462</v>
      </c>
      <c r="D307">
        <f t="shared" si="441"/>
        <v>-2.0000000000000462</v>
      </c>
      <c r="E307">
        <f t="shared" si="441"/>
        <v>-2.0000000000000462</v>
      </c>
      <c r="F307">
        <f t="shared" si="441"/>
        <v>-0.99999999999997868</v>
      </c>
      <c r="G307">
        <f t="shared" si="441"/>
        <v>0.99999999999997868</v>
      </c>
      <c r="H307">
        <f t="shared" si="441"/>
        <v>0</v>
      </c>
      <c r="I307">
        <f t="shared" si="441"/>
        <v>-4.0000000000000036</v>
      </c>
      <c r="J307">
        <f t="shared" si="441"/>
        <v>-7.0000000000000284</v>
      </c>
      <c r="K307">
        <f t="shared" si="441"/>
        <v>-6.9999999999999396</v>
      </c>
      <c r="L307">
        <f t="shared" si="441"/>
        <v>-7.0000000000000284</v>
      </c>
      <c r="M307">
        <f t="shared" si="441"/>
        <v>-5.9999999999999609</v>
      </c>
      <c r="N307">
        <f t="shared" si="441"/>
        <v>-6.0000000000000497</v>
      </c>
      <c r="O307" s="5">
        <f t="shared" si="439"/>
        <v>1.3596535834518904E-2</v>
      </c>
      <c r="P307" s="5">
        <f t="shared" si="439"/>
        <v>7.8369416947192318E-3</v>
      </c>
      <c r="Q307" s="5">
        <f t="shared" si="439"/>
        <v>-5.2024489297807439E-3</v>
      </c>
      <c r="R307" s="5">
        <f t="shared" si="439"/>
        <v>-1.6103063061040171E-3</v>
      </c>
      <c r="S307" s="5">
        <f t="shared" si="439"/>
        <v>9.4292047958535706E-3</v>
      </c>
      <c r="U307" s="4">
        <v>45649</v>
      </c>
      <c r="V307">
        <f t="shared" si="378"/>
        <v>4000.0000000002701</v>
      </c>
      <c r="W307">
        <f t="shared" si="379"/>
        <v>4446.0000000001028</v>
      </c>
      <c r="X307">
        <f t="shared" si="380"/>
        <v>-9180.0000000002128</v>
      </c>
      <c r="Y307">
        <f t="shared" si="381"/>
        <v>6890.0000000001592</v>
      </c>
      <c r="Z307">
        <f t="shared" si="382"/>
        <v>-5434.9999999998845</v>
      </c>
      <c r="AA307">
        <f t="shared" si="383"/>
        <v>-1999.9999999999573</v>
      </c>
      <c r="AB307">
        <f t="shared" si="384"/>
        <v>0</v>
      </c>
      <c r="AC307">
        <f t="shared" si="385"/>
        <v>8892.0000000000073</v>
      </c>
      <c r="AD307">
        <f t="shared" si="386"/>
        <v>703808.00000000291</v>
      </c>
      <c r="AE307">
        <f t="shared" si="387"/>
        <v>-6.9999999999999396</v>
      </c>
      <c r="AF307">
        <f t="shared" si="388"/>
        <v>-352261.00000000146</v>
      </c>
      <c r="AG307">
        <f t="shared" si="389"/>
        <v>-151937.99999999901</v>
      </c>
      <c r="AH307">
        <f t="shared" si="390"/>
        <v>-6.0000000000000497</v>
      </c>
      <c r="AI307">
        <f t="shared" si="391"/>
        <v>1.3596535834518904</v>
      </c>
      <c r="AJ307">
        <f t="shared" si="392"/>
        <v>-78369.416947192323</v>
      </c>
      <c r="AK307">
        <f t="shared" si="393"/>
        <v>-52024.489297807442</v>
      </c>
      <c r="AL307">
        <f t="shared" si="394"/>
        <v>40257.657652600428</v>
      </c>
      <c r="AM307" s="1">
        <f t="shared" si="395"/>
        <v>-94292.04795853571</v>
      </c>
      <c r="AN307" s="1">
        <f t="shared" si="371"/>
        <v>22782.063102651344</v>
      </c>
      <c r="AO307">
        <f t="shared" si="372"/>
        <v>-1.1575575568665692</v>
      </c>
      <c r="AP307">
        <f t="shared" si="373"/>
        <v>7.6819329446483353</v>
      </c>
    </row>
    <row r="308" spans="1:42" x14ac:dyDescent="0.25">
      <c r="A308" s="4">
        <v>45646</v>
      </c>
      <c r="B308">
        <f t="shared" ref="B308:N308" si="442">(B858-B857)*100</f>
        <v>-0.99999999999997868</v>
      </c>
      <c r="C308">
        <f t="shared" si="442"/>
        <v>0</v>
      </c>
      <c r="D308">
        <f t="shared" si="442"/>
        <v>0.99999999999997868</v>
      </c>
      <c r="E308">
        <f t="shared" si="442"/>
        <v>0</v>
      </c>
      <c r="F308">
        <f t="shared" si="442"/>
        <v>0</v>
      </c>
      <c r="G308">
        <f t="shared" si="442"/>
        <v>1.0000000000000675</v>
      </c>
      <c r="H308">
        <f t="shared" si="442"/>
        <v>2.0000000000000462</v>
      </c>
      <c r="I308">
        <f t="shared" si="442"/>
        <v>2.9999999999999361</v>
      </c>
      <c r="J308">
        <f t="shared" si="442"/>
        <v>5.9999999999999609</v>
      </c>
      <c r="K308">
        <f t="shared" si="442"/>
        <v>5.9999999999999609</v>
      </c>
      <c r="L308">
        <f t="shared" si="442"/>
        <v>5.0000000000000711</v>
      </c>
      <c r="M308">
        <f t="shared" si="442"/>
        <v>3.0000000000000249</v>
      </c>
      <c r="N308">
        <f t="shared" si="442"/>
        <v>2.0000000000000462</v>
      </c>
      <c r="O308" s="5">
        <f t="shared" si="439"/>
        <v>-1.7306634300723701E-2</v>
      </c>
      <c r="P308" s="5">
        <f t="shared" si="439"/>
        <v>1.4834258440043122E-3</v>
      </c>
      <c r="Q308" s="5">
        <f t="shared" si="439"/>
        <v>7.9706587374354064E-3</v>
      </c>
      <c r="R308" s="5">
        <f t="shared" si="439"/>
        <v>2.9542118974316043E-3</v>
      </c>
      <c r="S308" s="5">
        <f t="shared" si="439"/>
        <v>-1.310125203887743E-2</v>
      </c>
      <c r="U308" s="4">
        <v>45646</v>
      </c>
      <c r="V308">
        <f t="shared" si="378"/>
        <v>3999.9999999999145</v>
      </c>
      <c r="W308">
        <f t="shared" si="379"/>
        <v>0</v>
      </c>
      <c r="X308">
        <f t="shared" si="380"/>
        <v>4589.9999999999018</v>
      </c>
      <c r="Y308">
        <f t="shared" si="381"/>
        <v>0</v>
      </c>
      <c r="Z308">
        <f t="shared" si="382"/>
        <v>0</v>
      </c>
      <c r="AA308">
        <f t="shared" si="383"/>
        <v>-2000.0000000001351</v>
      </c>
      <c r="AB308">
        <f t="shared" si="384"/>
        <v>9128.000000000211</v>
      </c>
      <c r="AC308">
        <f t="shared" si="385"/>
        <v>-6668.9999999998581</v>
      </c>
      <c r="AD308">
        <f t="shared" si="386"/>
        <v>-603263.99999999604</v>
      </c>
      <c r="AE308">
        <f t="shared" si="387"/>
        <v>5.9999999999999609</v>
      </c>
      <c r="AF308">
        <f t="shared" si="388"/>
        <v>251615.00000000358</v>
      </c>
      <c r="AG308">
        <f t="shared" si="389"/>
        <v>75969.000000000626</v>
      </c>
      <c r="AH308">
        <f t="shared" si="390"/>
        <v>2.0000000000000462</v>
      </c>
      <c r="AI308">
        <f t="shared" si="391"/>
        <v>-1.73066343007237</v>
      </c>
      <c r="AJ308">
        <f t="shared" si="392"/>
        <v>-14834.258440043122</v>
      </c>
      <c r="AK308">
        <f t="shared" si="393"/>
        <v>79706.587374354058</v>
      </c>
      <c r="AL308">
        <f t="shared" si="394"/>
        <v>-73855.297435790111</v>
      </c>
      <c r="AM308" s="1">
        <f t="shared" si="395"/>
        <v>131012.5203887743</v>
      </c>
      <c r="AN308" s="1">
        <f t="shared" si="371"/>
        <v>-144595.17877612676</v>
      </c>
      <c r="AO308">
        <f t="shared" si="372"/>
        <v>4.2874585306354129E-2</v>
      </c>
      <c r="AP308">
        <f t="shared" si="373"/>
        <v>7.7374333268451903</v>
      </c>
    </row>
    <row r="309" spans="1:42" x14ac:dyDescent="0.25">
      <c r="A309" s="4">
        <v>45645</v>
      </c>
      <c r="B309">
        <f t="shared" ref="B309:N309" si="443">(B859-B858)*100</f>
        <v>2.0000000000000462</v>
      </c>
      <c r="C309">
        <f t="shared" si="443"/>
        <v>0.99999999999997868</v>
      </c>
      <c r="D309">
        <f t="shared" si="443"/>
        <v>1.0000000000000675</v>
      </c>
      <c r="E309">
        <f t="shared" si="443"/>
        <v>1.0000000000000675</v>
      </c>
      <c r="F309">
        <f t="shared" si="443"/>
        <v>0.99999999999997868</v>
      </c>
      <c r="G309">
        <f t="shared" si="443"/>
        <v>1.9999999999999574</v>
      </c>
      <c r="H309">
        <f t="shared" si="443"/>
        <v>2.9999999999999361</v>
      </c>
      <c r="I309">
        <f t="shared" si="443"/>
        <v>0</v>
      </c>
      <c r="J309">
        <f t="shared" si="443"/>
        <v>-2.9999999999999361</v>
      </c>
      <c r="K309">
        <f t="shared" si="443"/>
        <v>-5.9999999999999609</v>
      </c>
      <c r="L309">
        <f t="shared" si="443"/>
        <v>-7.0000000000000284</v>
      </c>
      <c r="M309">
        <f t="shared" si="443"/>
        <v>-8.0000000000000071</v>
      </c>
      <c r="N309">
        <f t="shared" si="443"/>
        <v>-8.9999999999999858</v>
      </c>
      <c r="O309" s="5">
        <f t="shared" si="439"/>
        <v>3.5153406955655765E-3</v>
      </c>
      <c r="P309" s="5">
        <f t="shared" si="439"/>
        <v>3.769124065933674E-4</v>
      </c>
      <c r="Q309" s="5">
        <f t="shared" si="439"/>
        <v>-2.4554023582688111E-3</v>
      </c>
      <c r="R309" s="5">
        <f t="shared" si="439"/>
        <v>-4.0263106331945298E-3</v>
      </c>
      <c r="S309" s="5">
        <f t="shared" si="439"/>
        <v>-3.6193438148874515E-3</v>
      </c>
      <c r="U309" s="4">
        <v>45645</v>
      </c>
      <c r="V309">
        <f t="shared" si="378"/>
        <v>-8000.0000000001846</v>
      </c>
      <c r="W309">
        <f t="shared" si="379"/>
        <v>-2222.9999999999527</v>
      </c>
      <c r="X309">
        <f t="shared" si="380"/>
        <v>4590.0000000003101</v>
      </c>
      <c r="Y309">
        <f t="shared" si="381"/>
        <v>-3445.0000000002324</v>
      </c>
      <c r="Z309">
        <f t="shared" si="382"/>
        <v>5434.9999999998845</v>
      </c>
      <c r="AA309">
        <f t="shared" si="383"/>
        <v>-3999.9999999999145</v>
      </c>
      <c r="AB309">
        <f t="shared" si="384"/>
        <v>13691.999999999709</v>
      </c>
      <c r="AC309">
        <f t="shared" si="385"/>
        <v>0</v>
      </c>
      <c r="AD309">
        <f t="shared" si="386"/>
        <v>301631.9999999936</v>
      </c>
      <c r="AE309">
        <f t="shared" si="387"/>
        <v>-5.9999999999999609</v>
      </c>
      <c r="AF309">
        <f t="shared" si="388"/>
        <v>-352261.00000000146</v>
      </c>
      <c r="AG309">
        <f t="shared" si="389"/>
        <v>-202584.00000000017</v>
      </c>
      <c r="AH309">
        <f t="shared" si="390"/>
        <v>-8.9999999999999858</v>
      </c>
      <c r="AI309">
        <f t="shared" si="391"/>
        <v>0.35153406955655764</v>
      </c>
      <c r="AJ309">
        <f t="shared" si="392"/>
        <v>-3769.124065933674</v>
      </c>
      <c r="AK309">
        <f t="shared" si="393"/>
        <v>-24554.023582688111</v>
      </c>
      <c r="AL309">
        <f t="shared" si="394"/>
        <v>100657.76582986325</v>
      </c>
      <c r="AM309" s="1">
        <f t="shared" si="395"/>
        <v>36193.438148874513</v>
      </c>
      <c r="AN309" s="1">
        <f t="shared" si="371"/>
        <v>-138650.59213582292</v>
      </c>
      <c r="AO309">
        <f t="shared" si="372"/>
        <v>-1.2157428154963776</v>
      </c>
      <c r="AP309">
        <f t="shared" si="373"/>
        <v>7.7430404748604751</v>
      </c>
    </row>
    <row r="310" spans="1:42" x14ac:dyDescent="0.25">
      <c r="A310" s="4">
        <v>45644</v>
      </c>
      <c r="B310">
        <f t="shared" ref="B310:N310" si="444">(B860-B859)*100</f>
        <v>1.9999999999999574</v>
      </c>
      <c r="C310">
        <f t="shared" si="444"/>
        <v>1.0000000000000675</v>
      </c>
      <c r="D310">
        <f t="shared" si="444"/>
        <v>1.9999999999999574</v>
      </c>
      <c r="E310">
        <f t="shared" si="444"/>
        <v>0</v>
      </c>
      <c r="F310">
        <f t="shared" si="444"/>
        <v>0</v>
      </c>
      <c r="G310">
        <f t="shared" si="444"/>
        <v>-4.9999999999999822</v>
      </c>
      <c r="H310">
        <f t="shared" si="444"/>
        <v>-9.9999999999999645</v>
      </c>
      <c r="I310">
        <f t="shared" si="444"/>
        <v>-12.999999999999989</v>
      </c>
      <c r="J310">
        <f t="shared" si="444"/>
        <v>-14.000000000000057</v>
      </c>
      <c r="K310">
        <f t="shared" si="444"/>
        <v>-12.000000000000011</v>
      </c>
      <c r="L310">
        <f t="shared" si="444"/>
        <v>-9.9999999999999645</v>
      </c>
      <c r="M310">
        <f t="shared" si="444"/>
        <v>-6.0000000000000497</v>
      </c>
      <c r="N310">
        <f t="shared" si="444"/>
        <v>-6.0000000000000497</v>
      </c>
      <c r="O310" s="5">
        <f t="shared" si="439"/>
        <v>-9.8943261682954658E-4</v>
      </c>
      <c r="P310" s="5">
        <f t="shared" si="439"/>
        <v>7.0734057393108708E-3</v>
      </c>
      <c r="Q310" s="5">
        <f t="shared" si="439"/>
        <v>9.4911154136079808E-4</v>
      </c>
      <c r="R310" s="5">
        <f t="shared" si="439"/>
        <v>-1.3385091009242742E-3</v>
      </c>
      <c r="S310" s="5">
        <f t="shared" si="439"/>
        <v>7.4199594490549749E-3</v>
      </c>
      <c r="U310" s="4">
        <v>45644</v>
      </c>
      <c r="V310">
        <f t="shared" si="378"/>
        <v>-7999.999999999829</v>
      </c>
      <c r="W310">
        <f t="shared" si="379"/>
        <v>-2223.0000000001501</v>
      </c>
      <c r="X310">
        <f t="shared" si="380"/>
        <v>9179.9999999998035</v>
      </c>
      <c r="Y310">
        <f t="shared" si="381"/>
        <v>0</v>
      </c>
      <c r="Z310">
        <f t="shared" si="382"/>
        <v>0</v>
      </c>
      <c r="AA310">
        <f t="shared" si="383"/>
        <v>9999.9999999999636</v>
      </c>
      <c r="AB310">
        <f t="shared" si="384"/>
        <v>-45639.99999999984</v>
      </c>
      <c r="AC310">
        <f t="shared" si="385"/>
        <v>28898.999999999975</v>
      </c>
      <c r="AD310">
        <f t="shared" si="386"/>
        <v>1407616.0000000058</v>
      </c>
      <c r="AE310">
        <f t="shared" si="387"/>
        <v>-12.000000000000011</v>
      </c>
      <c r="AF310">
        <f t="shared" si="388"/>
        <v>-503229.9999999982</v>
      </c>
      <c r="AG310">
        <f t="shared" si="389"/>
        <v>-151938.00000000125</v>
      </c>
      <c r="AH310">
        <f t="shared" si="390"/>
        <v>-6.0000000000000497</v>
      </c>
      <c r="AI310">
        <f t="shared" si="391"/>
        <v>-9.8943261682954656E-2</v>
      </c>
      <c r="AJ310">
        <f t="shared" si="392"/>
        <v>-70734.057393108713</v>
      </c>
      <c r="AK310">
        <f t="shared" si="393"/>
        <v>9491.1154136079804</v>
      </c>
      <c r="AL310">
        <f t="shared" si="394"/>
        <v>33462.727523106856</v>
      </c>
      <c r="AM310" s="1">
        <f t="shared" si="395"/>
        <v>-74199.594490549745</v>
      </c>
      <c r="AN310" s="1">
        <f t="shared" si="371"/>
        <v>642666.09210980113</v>
      </c>
      <c r="AO310">
        <f t="shared" si="372"/>
        <v>32.573262856122916</v>
      </c>
      <c r="AP310">
        <f t="shared" si="373"/>
        <v>7.7658305117075095</v>
      </c>
    </row>
    <row r="311" spans="1:42" x14ac:dyDescent="0.25">
      <c r="A311" s="4">
        <v>45643</v>
      </c>
      <c r="B311">
        <f t="shared" ref="B311:N311" si="445">(B861-B860)*100</f>
        <v>-3.0000000000000249</v>
      </c>
      <c r="C311">
        <f t="shared" si="445"/>
        <v>0</v>
      </c>
      <c r="D311">
        <f t="shared" si="445"/>
        <v>-0.99999999999997868</v>
      </c>
      <c r="E311">
        <f t="shared" si="445"/>
        <v>0</v>
      </c>
      <c r="F311">
        <f t="shared" si="445"/>
        <v>0</v>
      </c>
      <c r="G311">
        <f t="shared" si="445"/>
        <v>-0.99999999999997868</v>
      </c>
      <c r="H311">
        <f t="shared" si="445"/>
        <v>0</v>
      </c>
      <c r="I311">
        <f t="shared" si="445"/>
        <v>0</v>
      </c>
      <c r="J311">
        <f t="shared" si="445"/>
        <v>-0.99999999999997868</v>
      </c>
      <c r="K311">
        <f t="shared" si="445"/>
        <v>-0.99999999999997868</v>
      </c>
      <c r="L311">
        <f t="shared" si="445"/>
        <v>-1.0000000000000675</v>
      </c>
      <c r="M311">
        <f t="shared" si="445"/>
        <v>0</v>
      </c>
      <c r="N311">
        <f t="shared" si="445"/>
        <v>0.99999999999997868</v>
      </c>
      <c r="O311" s="5">
        <f t="shared" si="439"/>
        <v>1.9241356868637424E-2</v>
      </c>
      <c r="P311" s="5">
        <f t="shared" si="439"/>
        <v>4.7281411959458957E-3</v>
      </c>
      <c r="Q311" s="5">
        <f t="shared" si="439"/>
        <v>6.7708222461467021E-3</v>
      </c>
      <c r="R311" s="5">
        <f t="shared" si="439"/>
        <v>5.3518866677479751E-4</v>
      </c>
      <c r="S311" s="5">
        <f t="shared" si="439"/>
        <v>4.7537818568043127E-3</v>
      </c>
      <c r="U311" s="4">
        <v>45643</v>
      </c>
      <c r="V311">
        <f t="shared" si="378"/>
        <v>12000.0000000001</v>
      </c>
      <c r="W311">
        <f t="shared" si="379"/>
        <v>0</v>
      </c>
      <c r="X311">
        <f t="shared" si="380"/>
        <v>-4589.9999999999018</v>
      </c>
      <c r="Y311">
        <f t="shared" si="381"/>
        <v>0</v>
      </c>
      <c r="Z311">
        <f t="shared" si="382"/>
        <v>0</v>
      </c>
      <c r="AA311">
        <f t="shared" si="383"/>
        <v>1999.9999999999573</v>
      </c>
      <c r="AB311">
        <f t="shared" si="384"/>
        <v>0</v>
      </c>
      <c r="AC311">
        <f t="shared" si="385"/>
        <v>0</v>
      </c>
      <c r="AD311">
        <f t="shared" si="386"/>
        <v>100543.99999999786</v>
      </c>
      <c r="AE311">
        <f t="shared" si="387"/>
        <v>-0.99999999999997868</v>
      </c>
      <c r="AF311">
        <f t="shared" si="388"/>
        <v>-50323.000000003398</v>
      </c>
      <c r="AG311">
        <f t="shared" si="389"/>
        <v>0</v>
      </c>
      <c r="AH311">
        <f t="shared" si="390"/>
        <v>0.99999999999997868</v>
      </c>
      <c r="AI311">
        <f t="shared" si="391"/>
        <v>1.9241356868637423</v>
      </c>
      <c r="AJ311">
        <f t="shared" si="392"/>
        <v>-47281.411959458957</v>
      </c>
      <c r="AK311">
        <f t="shared" si="393"/>
        <v>67708.222461467027</v>
      </c>
      <c r="AL311">
        <f t="shared" si="394"/>
        <v>-13379.716669369938</v>
      </c>
      <c r="AM311" s="1">
        <f t="shared" si="395"/>
        <v>-47537.818568043127</v>
      </c>
      <c r="AN311" s="1">
        <f t="shared" si="371"/>
        <v>19142.199400276491</v>
      </c>
      <c r="AO311">
        <f t="shared" si="372"/>
        <v>-0.77086641335027462</v>
      </c>
      <c r="AP311">
        <f t="shared" si="373"/>
        <v>2.4316635938941373</v>
      </c>
    </row>
    <row r="312" spans="1:42" x14ac:dyDescent="0.25">
      <c r="A312" s="4">
        <v>45642</v>
      </c>
      <c r="B312">
        <f t="shared" ref="B312:N312" si="446">(B862-B861)*100</f>
        <v>0</v>
      </c>
      <c r="C312">
        <f t="shared" si="446"/>
        <v>-1.0000000000000675</v>
      </c>
      <c r="D312">
        <f t="shared" si="446"/>
        <v>-3.0000000000000249</v>
      </c>
      <c r="E312">
        <f t="shared" si="446"/>
        <v>0</v>
      </c>
      <c r="F312">
        <f t="shared" si="446"/>
        <v>2.0000000000000462</v>
      </c>
      <c r="G312">
        <f t="shared" si="446"/>
        <v>0</v>
      </c>
      <c r="H312">
        <f t="shared" si="446"/>
        <v>0</v>
      </c>
      <c r="I312">
        <f t="shared" si="446"/>
        <v>-0.99999999999997868</v>
      </c>
      <c r="J312">
        <f t="shared" si="446"/>
        <v>0</v>
      </c>
      <c r="K312">
        <f t="shared" si="446"/>
        <v>0.99999999999997868</v>
      </c>
      <c r="L312">
        <f t="shared" si="446"/>
        <v>1.0000000000000675</v>
      </c>
      <c r="M312">
        <f t="shared" si="446"/>
        <v>1.0000000000000675</v>
      </c>
      <c r="N312">
        <f t="shared" si="446"/>
        <v>1.0000000000000675</v>
      </c>
      <c r="O312" s="5">
        <f t="shared" si="439"/>
        <v>1.8113624492166927E-3</v>
      </c>
      <c r="P312" s="5">
        <f t="shared" si="439"/>
        <v>1.8743714196522033E-3</v>
      </c>
      <c r="Q312" s="5">
        <f t="shared" si="439"/>
        <v>7.7389968266061209E-3</v>
      </c>
      <c r="R312" s="5">
        <f t="shared" si="439"/>
        <v>2.1436235432513691E-3</v>
      </c>
      <c r="S312" s="5">
        <f t="shared" si="439"/>
        <v>-1.2918099268715452E-4</v>
      </c>
      <c r="U312" s="4">
        <v>45642</v>
      </c>
      <c r="V312">
        <f t="shared" si="378"/>
        <v>0</v>
      </c>
      <c r="W312">
        <f t="shared" si="379"/>
        <v>2223.0000000001501</v>
      </c>
      <c r="X312">
        <f t="shared" si="380"/>
        <v>-13770.000000000115</v>
      </c>
      <c r="Y312">
        <f t="shared" si="381"/>
        <v>0</v>
      </c>
      <c r="Z312">
        <f t="shared" si="382"/>
        <v>10870.000000000251</v>
      </c>
      <c r="AA312">
        <f t="shared" si="383"/>
        <v>0</v>
      </c>
      <c r="AB312">
        <f t="shared" si="384"/>
        <v>0</v>
      </c>
      <c r="AC312">
        <f t="shared" si="385"/>
        <v>2222.9999999999527</v>
      </c>
      <c r="AD312">
        <f t="shared" si="386"/>
        <v>0</v>
      </c>
      <c r="AE312">
        <f t="shared" si="387"/>
        <v>0.99999999999997868</v>
      </c>
      <c r="AF312">
        <f t="shared" si="388"/>
        <v>50323.000000003398</v>
      </c>
      <c r="AG312">
        <f t="shared" si="389"/>
        <v>25323.00000000171</v>
      </c>
      <c r="AH312">
        <f t="shared" si="390"/>
        <v>1.0000000000000675</v>
      </c>
      <c r="AI312">
        <f t="shared" si="391"/>
        <v>0.18113624492166927</v>
      </c>
      <c r="AJ312">
        <f t="shared" si="392"/>
        <v>-18743.714196522033</v>
      </c>
      <c r="AK312">
        <f t="shared" si="393"/>
        <v>77389.968266061216</v>
      </c>
      <c r="AL312">
        <f t="shared" si="394"/>
        <v>-53590.588581284224</v>
      </c>
      <c r="AM312" s="1">
        <f t="shared" si="395"/>
        <v>1291.8099268715453</v>
      </c>
      <c r="AN312" s="1">
        <f t="shared" si="371"/>
        <v>83541.656551376786</v>
      </c>
      <c r="AO312">
        <f t="shared" si="372"/>
        <v>-0.63555777232351374</v>
      </c>
      <c r="AP312">
        <f t="shared" si="373"/>
        <v>2.4299649975971755</v>
      </c>
    </row>
    <row r="313" spans="1:42" x14ac:dyDescent="0.25">
      <c r="A313" s="4">
        <v>45639</v>
      </c>
      <c r="B313">
        <f t="shared" ref="B313:N313" si="447">(B863-B862)*100</f>
        <v>0</v>
      </c>
      <c r="C313">
        <f t="shared" si="447"/>
        <v>1.0000000000000675</v>
      </c>
      <c r="D313">
        <f t="shared" si="447"/>
        <v>0.99999999999997868</v>
      </c>
      <c r="E313">
        <f t="shared" si="447"/>
        <v>0</v>
      </c>
      <c r="F313">
        <f t="shared" si="447"/>
        <v>-1.0000000000000675</v>
      </c>
      <c r="G313">
        <f t="shared" si="447"/>
        <v>-2.0000000000000462</v>
      </c>
      <c r="H313">
        <f t="shared" si="447"/>
        <v>-7.0000000000000284</v>
      </c>
      <c r="I313">
        <f t="shared" si="447"/>
        <v>-7.0000000000000284</v>
      </c>
      <c r="J313">
        <f t="shared" si="447"/>
        <v>-7.0000000000000284</v>
      </c>
      <c r="K313">
        <f t="shared" si="447"/>
        <v>-8.0000000000000071</v>
      </c>
      <c r="L313">
        <f t="shared" si="447"/>
        <v>-8.0000000000000071</v>
      </c>
      <c r="M313">
        <f t="shared" si="447"/>
        <v>-7.0000000000000284</v>
      </c>
      <c r="N313">
        <f t="shared" si="447"/>
        <v>-6.0000000000000497</v>
      </c>
      <c r="O313" s="5">
        <f t="shared" si="439"/>
        <v>1.6561036922806947E-2</v>
      </c>
      <c r="P313" s="5">
        <f t="shared" si="439"/>
        <v>-7.0488004970878518E-3</v>
      </c>
      <c r="Q313" s="5">
        <f t="shared" si="439"/>
        <v>-1.4348084555329326E-4</v>
      </c>
      <c r="R313" s="5">
        <f t="shared" si="439"/>
        <v>-2.4112536800020312E-3</v>
      </c>
      <c r="S313" s="5">
        <f t="shared" si="439"/>
        <v>8.598645124950785E-4</v>
      </c>
      <c r="U313" s="4">
        <v>45639</v>
      </c>
      <c r="V313">
        <f t="shared" si="378"/>
        <v>0</v>
      </c>
      <c r="W313">
        <f t="shared" si="379"/>
        <v>-2223.0000000001501</v>
      </c>
      <c r="X313">
        <f t="shared" si="380"/>
        <v>4589.9999999999018</v>
      </c>
      <c r="Y313">
        <f t="shared" si="381"/>
        <v>0</v>
      </c>
      <c r="Z313">
        <f t="shared" si="382"/>
        <v>-5435.0000000003665</v>
      </c>
      <c r="AA313">
        <f t="shared" si="383"/>
        <v>4000.0000000000923</v>
      </c>
      <c r="AB313">
        <f t="shared" si="384"/>
        <v>-31948.000000000131</v>
      </c>
      <c r="AC313">
        <f t="shared" si="385"/>
        <v>15561.000000000064</v>
      </c>
      <c r="AD313">
        <f t="shared" si="386"/>
        <v>703808.00000000291</v>
      </c>
      <c r="AE313">
        <f t="shared" si="387"/>
        <v>-8.0000000000000071</v>
      </c>
      <c r="AF313">
        <f t="shared" si="388"/>
        <v>-402584.00000000035</v>
      </c>
      <c r="AG313">
        <f t="shared" si="389"/>
        <v>-177261.00000000073</v>
      </c>
      <c r="AH313">
        <f t="shared" si="390"/>
        <v>-6.0000000000000497</v>
      </c>
      <c r="AI313">
        <f t="shared" si="391"/>
        <v>1.6561036922806947</v>
      </c>
      <c r="AJ313">
        <f t="shared" si="392"/>
        <v>70488.004970878523</v>
      </c>
      <c r="AK313">
        <f t="shared" si="393"/>
        <v>-1434.8084555329326</v>
      </c>
      <c r="AL313">
        <f t="shared" si="394"/>
        <v>60281.342000050776</v>
      </c>
      <c r="AM313" s="1">
        <f t="shared" si="395"/>
        <v>-8598.6451249507845</v>
      </c>
      <c r="AN313" s="1">
        <f t="shared" si="371"/>
        <v>229231.54949413909</v>
      </c>
      <c r="AO313">
        <f t="shared" si="372"/>
        <v>-7.2352877398925708</v>
      </c>
      <c r="AP313">
        <f t="shared" si="373"/>
        <v>2.4355990321775542</v>
      </c>
    </row>
    <row r="314" spans="1:42" x14ac:dyDescent="0.25">
      <c r="A314" s="4">
        <v>45638</v>
      </c>
      <c r="B314">
        <f t="shared" ref="B314:N314" si="448">(B864-B863)*100</f>
        <v>6.0000000000000497</v>
      </c>
      <c r="C314">
        <f t="shared" si="448"/>
        <v>0.99999999999997868</v>
      </c>
      <c r="D314">
        <f t="shared" si="448"/>
        <v>3.0000000000000249</v>
      </c>
      <c r="E314">
        <f t="shared" si="448"/>
        <v>1.9999999999999574</v>
      </c>
      <c r="F314">
        <f t="shared" si="448"/>
        <v>1.0000000000000675</v>
      </c>
      <c r="G314">
        <f t="shared" si="448"/>
        <v>-0.99999999999997868</v>
      </c>
      <c r="H314">
        <f t="shared" si="448"/>
        <v>-2.9999999999999361</v>
      </c>
      <c r="I314">
        <f t="shared" si="448"/>
        <v>-4.9999999999999822</v>
      </c>
      <c r="J314">
        <f t="shared" si="448"/>
        <v>-4.9999999999999822</v>
      </c>
      <c r="K314">
        <f t="shared" si="448"/>
        <v>-4.9999999999999822</v>
      </c>
      <c r="L314">
        <f t="shared" si="448"/>
        <v>-6.0000000000000497</v>
      </c>
      <c r="M314">
        <f t="shared" si="448"/>
        <v>-7.0000000000000284</v>
      </c>
      <c r="N314">
        <f t="shared" si="448"/>
        <v>-6.9999999999999396</v>
      </c>
      <c r="O314" s="5">
        <f t="shared" si="439"/>
        <v>-1.5235589804625711E-2</v>
      </c>
      <c r="P314" s="5">
        <f t="shared" si="439"/>
        <v>6.7871249699307142E-4</v>
      </c>
      <c r="Q314" s="5">
        <f t="shared" si="439"/>
        <v>3.4698018633558549E-3</v>
      </c>
      <c r="R314" s="5">
        <f t="shared" si="439"/>
        <v>2.9478783239501424E-3</v>
      </c>
      <c r="S314" s="5">
        <f t="shared" si="439"/>
        <v>0</v>
      </c>
      <c r="U314" s="4">
        <v>45638</v>
      </c>
      <c r="V314">
        <f t="shared" si="378"/>
        <v>-24000.0000000002</v>
      </c>
      <c r="W314">
        <f t="shared" si="379"/>
        <v>-2222.9999999999527</v>
      </c>
      <c r="X314">
        <f t="shared" si="380"/>
        <v>13770.000000000115</v>
      </c>
      <c r="Y314">
        <f t="shared" si="381"/>
        <v>-6889.9999999998536</v>
      </c>
      <c r="Z314">
        <f t="shared" si="382"/>
        <v>5435.0000000003665</v>
      </c>
      <c r="AA314">
        <f t="shared" si="383"/>
        <v>1999.9999999999573</v>
      </c>
      <c r="AB314">
        <f t="shared" si="384"/>
        <v>-13691.999999999709</v>
      </c>
      <c r="AC314">
        <f t="shared" si="385"/>
        <v>11114.99999999996</v>
      </c>
      <c r="AD314">
        <f t="shared" si="386"/>
        <v>502719.9999999982</v>
      </c>
      <c r="AE314">
        <f t="shared" si="387"/>
        <v>-4.9999999999999822</v>
      </c>
      <c r="AF314">
        <f t="shared" si="388"/>
        <v>-301938.0000000025</v>
      </c>
      <c r="AG314">
        <f t="shared" si="389"/>
        <v>-177261.00000000073</v>
      </c>
      <c r="AH314">
        <f t="shared" si="390"/>
        <v>-6.9999999999999396</v>
      </c>
      <c r="AI314">
        <f t="shared" si="391"/>
        <v>-1.5235589804625711</v>
      </c>
      <c r="AJ314">
        <f t="shared" si="392"/>
        <v>-6787.1249699307145</v>
      </c>
      <c r="AK314">
        <f t="shared" si="393"/>
        <v>34698.018633558546</v>
      </c>
      <c r="AL314">
        <f t="shared" si="394"/>
        <v>-73696.958098753559</v>
      </c>
      <c r="AM314" s="1">
        <f t="shared" si="395"/>
        <v>0</v>
      </c>
      <c r="AN314" s="1">
        <f t="shared" si="371"/>
        <v>-36763.58799411053</v>
      </c>
      <c r="AO314">
        <f t="shared" si="372"/>
        <v>-1.7071499845272822</v>
      </c>
      <c r="AP314">
        <f t="shared" si="373"/>
        <v>2.1361557762717513</v>
      </c>
    </row>
    <row r="315" spans="1:42" x14ac:dyDescent="0.25">
      <c r="A315" s="4">
        <v>45637</v>
      </c>
      <c r="B315">
        <f t="shared" ref="B315:N315" si="449">(B865-B864)*100</f>
        <v>4.0000000000000036</v>
      </c>
      <c r="C315">
        <f t="shared" si="449"/>
        <v>3.0000000000000249</v>
      </c>
      <c r="D315">
        <f t="shared" si="449"/>
        <v>3.0000000000000249</v>
      </c>
      <c r="E315">
        <f t="shared" si="449"/>
        <v>4.0000000000000036</v>
      </c>
      <c r="F315">
        <f t="shared" si="449"/>
        <v>2.9999999999999361</v>
      </c>
      <c r="G315">
        <f t="shared" si="449"/>
        <v>0.99999999999997868</v>
      </c>
      <c r="H315">
        <f t="shared" si="449"/>
        <v>0</v>
      </c>
      <c r="I315">
        <f t="shared" si="449"/>
        <v>-0.99999999999997868</v>
      </c>
      <c r="J315">
        <f t="shared" si="449"/>
        <v>-4.0000000000000036</v>
      </c>
      <c r="K315">
        <f t="shared" si="449"/>
        <v>-4.9999999999999822</v>
      </c>
      <c r="L315">
        <f t="shared" si="449"/>
        <v>-4.0000000000000036</v>
      </c>
      <c r="M315">
        <f t="shared" si="449"/>
        <v>-5.9999999999999609</v>
      </c>
      <c r="N315">
        <f t="shared" si="449"/>
        <v>-7.0000000000000284</v>
      </c>
      <c r="O315" s="5">
        <f t="shared" ref="O315:S324" si="450">LN(O864/O865)</f>
        <v>-3.4590370710638465E-3</v>
      </c>
      <c r="P315" s="5">
        <f t="shared" si="450"/>
        <v>-6.1056176016470185E-3</v>
      </c>
      <c r="Q315" s="5">
        <f t="shared" si="450"/>
        <v>2.5844995980720191E-3</v>
      </c>
      <c r="R315" s="5">
        <f t="shared" si="450"/>
        <v>4.3033955600529734E-3</v>
      </c>
      <c r="S315" s="5">
        <f t="shared" si="450"/>
        <v>-2.9889451225046217E-3</v>
      </c>
      <c r="U315" s="4">
        <v>45637</v>
      </c>
      <c r="V315">
        <f t="shared" si="378"/>
        <v>-16000.000000000015</v>
      </c>
      <c r="W315">
        <f t="shared" si="379"/>
        <v>-6669.0000000000555</v>
      </c>
      <c r="X315">
        <f t="shared" si="380"/>
        <v>13770.000000000115</v>
      </c>
      <c r="Y315">
        <f t="shared" si="381"/>
        <v>-13780.000000000013</v>
      </c>
      <c r="Z315">
        <f t="shared" si="382"/>
        <v>16304.999999999653</v>
      </c>
      <c r="AA315">
        <f t="shared" si="383"/>
        <v>-1999.9999999999573</v>
      </c>
      <c r="AB315">
        <f t="shared" si="384"/>
        <v>0</v>
      </c>
      <c r="AC315">
        <f t="shared" si="385"/>
        <v>2222.9999999999527</v>
      </c>
      <c r="AD315">
        <f t="shared" si="386"/>
        <v>402176.00000000035</v>
      </c>
      <c r="AE315">
        <f t="shared" si="387"/>
        <v>-4.9999999999999822</v>
      </c>
      <c r="AF315">
        <f t="shared" si="388"/>
        <v>-201292.00000000017</v>
      </c>
      <c r="AG315">
        <f t="shared" si="389"/>
        <v>-151937.99999999901</v>
      </c>
      <c r="AH315">
        <f t="shared" si="390"/>
        <v>-7.0000000000000284</v>
      </c>
      <c r="AI315">
        <f t="shared" si="391"/>
        <v>-0.34590370710638463</v>
      </c>
      <c r="AJ315">
        <f t="shared" si="392"/>
        <v>61056.176016470185</v>
      </c>
      <c r="AK315">
        <f t="shared" si="393"/>
        <v>25844.995980720192</v>
      </c>
      <c r="AL315">
        <f t="shared" si="394"/>
        <v>-107584.88900132434</v>
      </c>
      <c r="AM315" s="1">
        <f t="shared" si="395"/>
        <v>29889.451225046218</v>
      </c>
      <c r="AN315" s="1">
        <f t="shared" si="371"/>
        <v>51988.388317205958</v>
      </c>
      <c r="AO315">
        <f t="shared" si="372"/>
        <v>-2.2906605643874811E-2</v>
      </c>
      <c r="AP315">
        <f t="shared" si="373"/>
        <v>2.1331528449401103</v>
      </c>
    </row>
    <row r="316" spans="1:42" x14ac:dyDescent="0.25">
      <c r="A316" s="4">
        <v>45636</v>
      </c>
      <c r="B316">
        <f t="shared" ref="B316:N316" si="451">(B866-B865)*100</f>
        <v>2.9999999999999361</v>
      </c>
      <c r="C316">
        <f t="shared" si="451"/>
        <v>1.9999999999999574</v>
      </c>
      <c r="D316">
        <f t="shared" si="451"/>
        <v>0.99999999999997868</v>
      </c>
      <c r="E316">
        <f t="shared" si="451"/>
        <v>0.99999999999997868</v>
      </c>
      <c r="F316">
        <f t="shared" si="451"/>
        <v>-0.99999999999997868</v>
      </c>
      <c r="G316">
        <f t="shared" si="451"/>
        <v>-1.9999999999999574</v>
      </c>
      <c r="H316">
        <f t="shared" si="451"/>
        <v>-2.0000000000000462</v>
      </c>
      <c r="I316">
        <f t="shared" si="451"/>
        <v>0.99999999999997868</v>
      </c>
      <c r="J316">
        <f t="shared" si="451"/>
        <v>-1.9999999999999574</v>
      </c>
      <c r="K316">
        <f t="shared" si="451"/>
        <v>-2.0000000000000462</v>
      </c>
      <c r="L316">
        <f t="shared" si="451"/>
        <v>-1.9999999999999574</v>
      </c>
      <c r="M316">
        <f t="shared" si="451"/>
        <v>-2.0000000000000462</v>
      </c>
      <c r="N316">
        <f t="shared" si="451"/>
        <v>-2.0000000000000462</v>
      </c>
      <c r="O316" s="5">
        <f t="shared" si="450"/>
        <v>-6.7716551025614265E-4</v>
      </c>
      <c r="P316" s="5">
        <f t="shared" si="450"/>
        <v>5.9492485108254172E-4</v>
      </c>
      <c r="Q316" s="5">
        <f t="shared" si="450"/>
        <v>-1.7511876494363031E-3</v>
      </c>
      <c r="R316" s="5">
        <f t="shared" si="450"/>
        <v>-1.6159443322483218E-3</v>
      </c>
      <c r="S316" s="5">
        <f t="shared" si="450"/>
        <v>-1.4564768721047848E-3</v>
      </c>
      <c r="U316" s="4">
        <v>45636</v>
      </c>
      <c r="V316">
        <f t="shared" si="378"/>
        <v>-11999.999999999744</v>
      </c>
      <c r="W316">
        <f t="shared" si="379"/>
        <v>-4445.9999999999054</v>
      </c>
      <c r="X316">
        <f t="shared" si="380"/>
        <v>4589.9999999999018</v>
      </c>
      <c r="Y316">
        <f t="shared" si="381"/>
        <v>-3444.9999999999268</v>
      </c>
      <c r="Z316">
        <f t="shared" si="382"/>
        <v>-5434.9999999998845</v>
      </c>
      <c r="AA316">
        <f t="shared" si="383"/>
        <v>3999.9999999999145</v>
      </c>
      <c r="AB316">
        <f t="shared" si="384"/>
        <v>-9128.000000000211</v>
      </c>
      <c r="AC316">
        <f t="shared" si="385"/>
        <v>-2222.9999999999527</v>
      </c>
      <c r="AD316">
        <f t="shared" si="386"/>
        <v>201087.99999999572</v>
      </c>
      <c r="AE316">
        <f t="shared" si="387"/>
        <v>-2.0000000000000462</v>
      </c>
      <c r="AF316">
        <f t="shared" si="388"/>
        <v>-100645.99999999786</v>
      </c>
      <c r="AG316">
        <f t="shared" si="389"/>
        <v>-50646.000000001171</v>
      </c>
      <c r="AH316">
        <f t="shared" si="390"/>
        <v>-2.0000000000000462</v>
      </c>
      <c r="AI316">
        <f t="shared" si="391"/>
        <v>-6.7716551025614261E-2</v>
      </c>
      <c r="AJ316">
        <f t="shared" si="392"/>
        <v>-5949.2485108254168</v>
      </c>
      <c r="AK316">
        <f t="shared" si="393"/>
        <v>-17511.87649436303</v>
      </c>
      <c r="AL316">
        <f t="shared" si="394"/>
        <v>40398.608306208043</v>
      </c>
      <c r="AM316" s="1">
        <f t="shared" si="395"/>
        <v>14564.768721047849</v>
      </c>
      <c r="AN316" s="1">
        <f t="shared" si="371"/>
        <v>53207.184305513314</v>
      </c>
      <c r="AO316">
        <f t="shared" si="372"/>
        <v>-0.45384626216988189</v>
      </c>
      <c r="AP316">
        <f t="shared" si="373"/>
        <v>2.1280859874883462</v>
      </c>
    </row>
    <row r="317" spans="1:42" x14ac:dyDescent="0.25">
      <c r="A317" s="4">
        <v>45635</v>
      </c>
      <c r="B317">
        <f t="shared" ref="B317:N317" si="452">(B867-B866)*100</f>
        <v>1.0000000000000675</v>
      </c>
      <c r="C317">
        <f t="shared" si="452"/>
        <v>0</v>
      </c>
      <c r="D317">
        <f t="shared" si="452"/>
        <v>0</v>
      </c>
      <c r="E317">
        <f t="shared" si="452"/>
        <v>-0.99999999999997868</v>
      </c>
      <c r="F317">
        <f t="shared" si="452"/>
        <v>0</v>
      </c>
      <c r="G317">
        <f t="shared" si="452"/>
        <v>-0.99999999999997868</v>
      </c>
      <c r="H317">
        <f t="shared" si="452"/>
        <v>-3.0000000000000249</v>
      </c>
      <c r="I317">
        <f t="shared" si="452"/>
        <v>-4.0000000000000036</v>
      </c>
      <c r="J317">
        <f t="shared" si="452"/>
        <v>-4.0000000000000036</v>
      </c>
      <c r="K317">
        <f t="shared" si="452"/>
        <v>-4.0000000000000036</v>
      </c>
      <c r="L317">
        <f t="shared" si="452"/>
        <v>-4.9999999999999822</v>
      </c>
      <c r="M317">
        <f t="shared" si="452"/>
        <v>-4.9999999999999822</v>
      </c>
      <c r="N317">
        <f t="shared" si="452"/>
        <v>-4.9999999999999822</v>
      </c>
      <c r="O317" s="5">
        <f t="shared" si="450"/>
        <v>4.5839377948823107E-3</v>
      </c>
      <c r="P317" s="5">
        <f t="shared" si="450"/>
        <v>-8.7598720685420142E-3</v>
      </c>
      <c r="Q317" s="5">
        <f t="shared" si="450"/>
        <v>-3.0875791837885231E-5</v>
      </c>
      <c r="R317" s="5">
        <f t="shared" si="450"/>
        <v>0</v>
      </c>
      <c r="S317" s="5">
        <f t="shared" si="450"/>
        <v>1.0450796771860175E-3</v>
      </c>
      <c r="U317" s="4">
        <v>45635</v>
      </c>
      <c r="V317">
        <f t="shared" si="378"/>
        <v>-4000.0000000002701</v>
      </c>
      <c r="W317">
        <f t="shared" si="379"/>
        <v>0</v>
      </c>
      <c r="X317">
        <f t="shared" si="380"/>
        <v>0</v>
      </c>
      <c r="Y317">
        <f t="shared" si="381"/>
        <v>3444.9999999999268</v>
      </c>
      <c r="Z317">
        <f t="shared" si="382"/>
        <v>0</v>
      </c>
      <c r="AA317">
        <f t="shared" si="383"/>
        <v>1999.9999999999573</v>
      </c>
      <c r="AB317">
        <f t="shared" si="384"/>
        <v>-13692.000000000113</v>
      </c>
      <c r="AC317">
        <f t="shared" si="385"/>
        <v>8892.0000000000073</v>
      </c>
      <c r="AD317">
        <f t="shared" si="386"/>
        <v>402176.00000000035</v>
      </c>
      <c r="AE317">
        <f t="shared" si="387"/>
        <v>-4.0000000000000036</v>
      </c>
      <c r="AF317">
        <f t="shared" si="388"/>
        <v>-251614.9999999991</v>
      </c>
      <c r="AG317">
        <f t="shared" si="389"/>
        <v>-126614.99999999955</v>
      </c>
      <c r="AH317">
        <f t="shared" si="390"/>
        <v>-4.9999999999999822</v>
      </c>
      <c r="AI317">
        <f t="shared" si="391"/>
        <v>0.45839377948823107</v>
      </c>
      <c r="AJ317">
        <f t="shared" si="392"/>
        <v>87598.720685420136</v>
      </c>
      <c r="AK317">
        <f t="shared" si="393"/>
        <v>-308.75791837885231</v>
      </c>
      <c r="AL317">
        <f t="shared" si="394"/>
        <v>0</v>
      </c>
      <c r="AM317" s="1">
        <f t="shared" si="395"/>
        <v>-10450.796771860176</v>
      </c>
      <c r="AN317" s="1">
        <f t="shared" si="371"/>
        <v>97421.624388961849</v>
      </c>
      <c r="AO317">
        <f t="shared" si="372"/>
        <v>-1.4766516128462124</v>
      </c>
      <c r="AP317">
        <f t="shared" si="373"/>
        <v>2.1847729253746282</v>
      </c>
    </row>
    <row r="318" spans="1:42" x14ac:dyDescent="0.25">
      <c r="A318" s="4">
        <v>45632</v>
      </c>
      <c r="B318">
        <f t="shared" ref="B318:N318" si="453">(B868-B867)*100</f>
        <v>1.9999999999999574</v>
      </c>
      <c r="C318">
        <f t="shared" si="453"/>
        <v>3.0000000000000249</v>
      </c>
      <c r="D318">
        <f t="shared" si="453"/>
        <v>4.0000000000000036</v>
      </c>
      <c r="E318">
        <f t="shared" si="453"/>
        <v>4.0000000000000036</v>
      </c>
      <c r="F318">
        <f t="shared" si="453"/>
        <v>4.0000000000000036</v>
      </c>
      <c r="G318">
        <f t="shared" si="453"/>
        <v>4.0000000000000036</v>
      </c>
      <c r="H318">
        <f t="shared" si="453"/>
        <v>5.0000000000000711</v>
      </c>
      <c r="I318">
        <f t="shared" si="453"/>
        <v>4.9999999999999822</v>
      </c>
      <c r="J318">
        <f t="shared" si="453"/>
        <v>4.0000000000000036</v>
      </c>
      <c r="K318">
        <f t="shared" si="453"/>
        <v>3.0000000000000249</v>
      </c>
      <c r="L318">
        <f t="shared" si="453"/>
        <v>1.9999999999999574</v>
      </c>
      <c r="M318">
        <f t="shared" si="453"/>
        <v>0.99999999999997868</v>
      </c>
      <c r="N318">
        <f t="shared" si="453"/>
        <v>-0.99999999999997868</v>
      </c>
      <c r="O318" s="5">
        <f t="shared" si="450"/>
        <v>7.3916564818509193E-3</v>
      </c>
      <c r="P318" s="5">
        <f t="shared" si="450"/>
        <v>-1.8270558888790105E-3</v>
      </c>
      <c r="Q318" s="5">
        <f t="shared" si="450"/>
        <v>-2.7954509936146434E-3</v>
      </c>
      <c r="R318" s="5">
        <f t="shared" si="450"/>
        <v>-2.1505384632285844E-3</v>
      </c>
      <c r="S318" s="5">
        <f t="shared" si="450"/>
        <v>-1.2381265262958231E-3</v>
      </c>
      <c r="U318" s="4">
        <v>45632</v>
      </c>
      <c r="V318">
        <f t="shared" si="378"/>
        <v>-7999.999999999829</v>
      </c>
      <c r="W318">
        <f t="shared" si="379"/>
        <v>-6669.0000000000555</v>
      </c>
      <c r="X318">
        <f t="shared" si="380"/>
        <v>18360.000000000015</v>
      </c>
      <c r="Y318">
        <f t="shared" si="381"/>
        <v>-13780.000000000013</v>
      </c>
      <c r="Z318">
        <f t="shared" si="382"/>
        <v>21740.000000000018</v>
      </c>
      <c r="AA318">
        <f t="shared" si="383"/>
        <v>-8000.0000000000073</v>
      </c>
      <c r="AB318">
        <f t="shared" si="384"/>
        <v>22820.000000000324</v>
      </c>
      <c r="AC318">
        <f t="shared" si="385"/>
        <v>-11114.99999999996</v>
      </c>
      <c r="AD318">
        <f t="shared" si="386"/>
        <v>-402176.00000000035</v>
      </c>
      <c r="AE318">
        <f t="shared" si="387"/>
        <v>3.0000000000000249</v>
      </c>
      <c r="AF318">
        <f t="shared" si="388"/>
        <v>100645.99999999786</v>
      </c>
      <c r="AG318">
        <f t="shared" si="389"/>
        <v>25322.999999999462</v>
      </c>
      <c r="AH318">
        <f t="shared" si="390"/>
        <v>-0.99999999999997868</v>
      </c>
      <c r="AI318">
        <f t="shared" si="391"/>
        <v>0.73916564818509189</v>
      </c>
      <c r="AJ318">
        <f t="shared" si="392"/>
        <v>18270.558888790107</v>
      </c>
      <c r="AK318">
        <f t="shared" si="393"/>
        <v>-27954.509936146434</v>
      </c>
      <c r="AL318">
        <f t="shared" si="394"/>
        <v>53763.461580714611</v>
      </c>
      <c r="AM318" s="1">
        <f t="shared" si="395"/>
        <v>12381.265262958232</v>
      </c>
      <c r="AN318" s="1">
        <f t="shared" si="371"/>
        <v>-204387.48503803782</v>
      </c>
      <c r="AO318">
        <f t="shared" si="372"/>
        <v>-1.7315866335503425</v>
      </c>
      <c r="AP318">
        <f t="shared" si="373"/>
        <v>2.1888791991129377</v>
      </c>
    </row>
    <row r="319" spans="1:42" x14ac:dyDescent="0.25">
      <c r="A319" s="4">
        <v>45631</v>
      </c>
      <c r="B319">
        <f t="shared" ref="B319:N319" si="454">(B869-B868)*100</f>
        <v>6.0000000000000497</v>
      </c>
      <c r="C319">
        <f t="shared" si="454"/>
        <v>0.99999999999997868</v>
      </c>
      <c r="D319">
        <f t="shared" si="454"/>
        <v>0.99999999999997868</v>
      </c>
      <c r="E319">
        <f t="shared" si="454"/>
        <v>0</v>
      </c>
      <c r="F319">
        <f t="shared" si="454"/>
        <v>0</v>
      </c>
      <c r="G319">
        <f t="shared" si="454"/>
        <v>0</v>
      </c>
      <c r="H319">
        <f t="shared" si="454"/>
        <v>-2.0000000000000462</v>
      </c>
      <c r="I319">
        <f t="shared" si="454"/>
        <v>-0.99999999999997868</v>
      </c>
      <c r="J319">
        <f t="shared" si="454"/>
        <v>0</v>
      </c>
      <c r="K319">
        <f t="shared" si="454"/>
        <v>0.99999999999997868</v>
      </c>
      <c r="L319">
        <f t="shared" si="454"/>
        <v>2.0000000000000462</v>
      </c>
      <c r="M319">
        <f t="shared" si="454"/>
        <v>2.0000000000000462</v>
      </c>
      <c r="N319">
        <f t="shared" si="454"/>
        <v>1.9999999999999574</v>
      </c>
      <c r="O319" s="5">
        <f t="shared" si="450"/>
        <v>-1.215719483854307E-2</v>
      </c>
      <c r="P319" s="5">
        <f t="shared" si="450"/>
        <v>1.1324387079662322E-4</v>
      </c>
      <c r="Q319" s="5">
        <f t="shared" si="450"/>
        <v>1.6639964396640509E-3</v>
      </c>
      <c r="R319" s="5">
        <f t="shared" si="450"/>
        <v>-3.7523496185503527E-3</v>
      </c>
      <c r="S319" s="5">
        <f t="shared" si="450"/>
        <v>-4.7303591035726148E-3</v>
      </c>
      <c r="U319" s="4">
        <v>45631</v>
      </c>
      <c r="V319">
        <f t="shared" si="378"/>
        <v>-24000.0000000002</v>
      </c>
      <c r="W319">
        <f t="shared" si="379"/>
        <v>-2222.9999999999527</v>
      </c>
      <c r="X319">
        <f t="shared" si="380"/>
        <v>4589.9999999999018</v>
      </c>
      <c r="Y319">
        <f t="shared" si="381"/>
        <v>0</v>
      </c>
      <c r="Z319">
        <f t="shared" si="382"/>
        <v>0</v>
      </c>
      <c r="AA319">
        <f t="shared" si="383"/>
        <v>0</v>
      </c>
      <c r="AB319">
        <f t="shared" si="384"/>
        <v>-9128.000000000211</v>
      </c>
      <c r="AC319">
        <f t="shared" si="385"/>
        <v>2222.9999999999527</v>
      </c>
      <c r="AD319">
        <f t="shared" si="386"/>
        <v>0</v>
      </c>
      <c r="AE319">
        <f t="shared" si="387"/>
        <v>0.99999999999997868</v>
      </c>
      <c r="AF319">
        <f t="shared" si="388"/>
        <v>100646.00000000233</v>
      </c>
      <c r="AG319">
        <f t="shared" si="389"/>
        <v>50646.000000001171</v>
      </c>
      <c r="AH319">
        <f t="shared" si="390"/>
        <v>1.9999999999999574</v>
      </c>
      <c r="AI319">
        <f t="shared" si="391"/>
        <v>-1.2157194838543071</v>
      </c>
      <c r="AJ319">
        <f t="shared" si="392"/>
        <v>-1132.4387079662322</v>
      </c>
      <c r="AK319">
        <f t="shared" si="393"/>
        <v>16639.964396640509</v>
      </c>
      <c r="AL319">
        <f t="shared" si="394"/>
        <v>93808.740463758819</v>
      </c>
      <c r="AM319" s="1">
        <f t="shared" si="395"/>
        <v>47303.591035726145</v>
      </c>
      <c r="AN319" s="1">
        <f t="shared" si="371"/>
        <v>279375.64146867837</v>
      </c>
      <c r="AO319">
        <f t="shared" si="372"/>
        <v>-5.0774978327845464</v>
      </c>
      <c r="AP319">
        <f t="shared" si="373"/>
        <v>2.2170408578619174</v>
      </c>
    </row>
    <row r="320" spans="1:42" x14ac:dyDescent="0.25">
      <c r="A320" s="4">
        <v>45630</v>
      </c>
      <c r="B320">
        <f t="shared" ref="B320:N320" si="455">(B870-B869)*100</f>
        <v>0.99999999999997868</v>
      </c>
      <c r="C320">
        <f t="shared" si="455"/>
        <v>1.9999999999999574</v>
      </c>
      <c r="D320">
        <f t="shared" si="455"/>
        <v>2.0000000000000462</v>
      </c>
      <c r="E320">
        <f t="shared" si="455"/>
        <v>2.0000000000000462</v>
      </c>
      <c r="F320">
        <f t="shared" si="455"/>
        <v>2.0000000000000462</v>
      </c>
      <c r="G320">
        <f t="shared" si="455"/>
        <v>3.9999999999999147</v>
      </c>
      <c r="H320">
        <f t="shared" si="455"/>
        <v>4.0000000000000036</v>
      </c>
      <c r="I320">
        <f t="shared" si="455"/>
        <v>4.0000000000000036</v>
      </c>
      <c r="J320">
        <f t="shared" si="455"/>
        <v>4.0000000000000036</v>
      </c>
      <c r="K320">
        <f t="shared" si="455"/>
        <v>4.0000000000000036</v>
      </c>
      <c r="L320">
        <f t="shared" si="455"/>
        <v>4.0000000000000036</v>
      </c>
      <c r="M320">
        <f t="shared" si="455"/>
        <v>4.9999999999999822</v>
      </c>
      <c r="N320">
        <f t="shared" si="455"/>
        <v>5.0000000000000711</v>
      </c>
      <c r="O320" s="5">
        <f t="shared" si="450"/>
        <v>-2.0778028945973629E-3</v>
      </c>
      <c r="P320" s="5">
        <f t="shared" si="450"/>
        <v>-5.7591486604984237E-3</v>
      </c>
      <c r="Q320" s="5">
        <f t="shared" si="450"/>
        <v>-6.5066704953627309E-3</v>
      </c>
      <c r="R320" s="5">
        <f t="shared" si="450"/>
        <v>5.3518866677479751E-4</v>
      </c>
      <c r="S320" s="5">
        <f t="shared" si="450"/>
        <v>-2.0520701361498271E-3</v>
      </c>
      <c r="U320" s="4">
        <v>45630</v>
      </c>
      <c r="V320">
        <f t="shared" si="378"/>
        <v>-3999.9999999999145</v>
      </c>
      <c r="W320">
        <f t="shared" si="379"/>
        <v>-4445.9999999999054</v>
      </c>
      <c r="X320">
        <f t="shared" si="380"/>
        <v>9180.0000000002128</v>
      </c>
      <c r="Y320">
        <f t="shared" si="381"/>
        <v>-6890.0000000001592</v>
      </c>
      <c r="Z320">
        <f t="shared" si="382"/>
        <v>10870.000000000251</v>
      </c>
      <c r="AA320">
        <f t="shared" si="383"/>
        <v>-7999.999999999829</v>
      </c>
      <c r="AB320">
        <f t="shared" si="384"/>
        <v>18256.000000000015</v>
      </c>
      <c r="AC320">
        <f t="shared" si="385"/>
        <v>-8892.0000000000073</v>
      </c>
      <c r="AD320">
        <f t="shared" si="386"/>
        <v>-402176.00000000035</v>
      </c>
      <c r="AE320">
        <f t="shared" si="387"/>
        <v>4.0000000000000036</v>
      </c>
      <c r="AF320">
        <f t="shared" si="388"/>
        <v>201292.00000000017</v>
      </c>
      <c r="AG320">
        <f t="shared" si="389"/>
        <v>126614.99999999955</v>
      </c>
      <c r="AH320">
        <f t="shared" si="390"/>
        <v>5.0000000000000711</v>
      </c>
      <c r="AI320">
        <f t="shared" si="391"/>
        <v>-0.20778028945973628</v>
      </c>
      <c r="AJ320">
        <f t="shared" si="392"/>
        <v>57591.486604984239</v>
      </c>
      <c r="AK320">
        <f t="shared" si="393"/>
        <v>-65066.704953627312</v>
      </c>
      <c r="AL320">
        <f t="shared" si="394"/>
        <v>-13379.716669369938</v>
      </c>
      <c r="AM320" s="1">
        <f t="shared" si="395"/>
        <v>20520.701361498272</v>
      </c>
      <c r="AN320" s="1">
        <f t="shared" si="371"/>
        <v>-68516.441436804191</v>
      </c>
      <c r="AO320">
        <f t="shared" si="372"/>
        <v>-1.3951577586573658</v>
      </c>
      <c r="AP320">
        <f t="shared" si="373"/>
        <v>2.0170366449765047</v>
      </c>
    </row>
    <row r="321" spans="1:42" x14ac:dyDescent="0.25">
      <c r="A321" s="4">
        <v>45629</v>
      </c>
      <c r="B321">
        <f t="shared" ref="B321:N321" si="456">(B871-B870)*100</f>
        <v>8.9999999999999858</v>
      </c>
      <c r="C321">
        <f t="shared" si="456"/>
        <v>7.0000000000000284</v>
      </c>
      <c r="D321">
        <f t="shared" si="456"/>
        <v>1.9999999999999574</v>
      </c>
      <c r="E321">
        <f t="shared" si="456"/>
        <v>2.9999999999999361</v>
      </c>
      <c r="F321">
        <f t="shared" si="456"/>
        <v>2.9999999999999361</v>
      </c>
      <c r="G321">
        <f t="shared" si="456"/>
        <v>3.0000000000000249</v>
      </c>
      <c r="H321">
        <f t="shared" si="456"/>
        <v>0</v>
      </c>
      <c r="I321">
        <f t="shared" si="456"/>
        <v>-1.9999999999999574</v>
      </c>
      <c r="J321">
        <f t="shared" si="456"/>
        <v>-3.0000000000000249</v>
      </c>
      <c r="K321">
        <f t="shared" si="456"/>
        <v>-4.0000000000000036</v>
      </c>
      <c r="L321">
        <f t="shared" si="456"/>
        <v>-4.0000000000000036</v>
      </c>
      <c r="M321">
        <f t="shared" si="456"/>
        <v>-4.0000000000000036</v>
      </c>
      <c r="N321">
        <f t="shared" si="456"/>
        <v>-4.0000000000000036</v>
      </c>
      <c r="O321" s="5">
        <f t="shared" si="450"/>
        <v>1.2032803199070806E-3</v>
      </c>
      <c r="P321" s="5">
        <f t="shared" si="450"/>
        <v>-4.5835566799094689E-3</v>
      </c>
      <c r="Q321" s="5">
        <f t="shared" si="450"/>
        <v>1.4718210306332567E-3</v>
      </c>
      <c r="R321" s="5">
        <f t="shared" si="450"/>
        <v>-5.072764849501807E-3</v>
      </c>
      <c r="S321" s="5">
        <f t="shared" si="450"/>
        <v>-2.4942076640809678E-3</v>
      </c>
      <c r="U321" s="4">
        <v>45629</v>
      </c>
      <c r="V321">
        <f t="shared" si="378"/>
        <v>-35999.999999999942</v>
      </c>
      <c r="W321">
        <f t="shared" si="379"/>
        <v>-15561.000000000064</v>
      </c>
      <c r="X321">
        <f t="shared" si="380"/>
        <v>9179.9999999998035</v>
      </c>
      <c r="Y321">
        <f t="shared" si="381"/>
        <v>-10334.99999999978</v>
      </c>
      <c r="Z321">
        <f t="shared" si="382"/>
        <v>16304.999999999653</v>
      </c>
      <c r="AA321">
        <f t="shared" si="383"/>
        <v>-6000.00000000005</v>
      </c>
      <c r="AB321">
        <f t="shared" si="384"/>
        <v>0</v>
      </c>
      <c r="AC321">
        <f t="shared" si="385"/>
        <v>4445.9999999999054</v>
      </c>
      <c r="AD321">
        <f t="shared" si="386"/>
        <v>301632.0000000025</v>
      </c>
      <c r="AE321">
        <f t="shared" si="387"/>
        <v>-4.0000000000000036</v>
      </c>
      <c r="AF321">
        <f t="shared" si="388"/>
        <v>-201292.00000000017</v>
      </c>
      <c r="AG321">
        <f t="shared" si="389"/>
        <v>-101292.00000000009</v>
      </c>
      <c r="AH321">
        <f t="shared" si="390"/>
        <v>-4.0000000000000036</v>
      </c>
      <c r="AI321">
        <f t="shared" si="391"/>
        <v>0.12032803199070806</v>
      </c>
      <c r="AJ321">
        <f t="shared" si="392"/>
        <v>45835.566799094689</v>
      </c>
      <c r="AK321">
        <f t="shared" si="393"/>
        <v>14718.210306332567</v>
      </c>
      <c r="AL321">
        <f t="shared" si="394"/>
        <v>126819.12123754517</v>
      </c>
      <c r="AM321" s="1">
        <f t="shared" si="395"/>
        <v>24942.076640809679</v>
      </c>
      <c r="AN321" s="1">
        <f t="shared" si="371"/>
        <v>173390.09531181588</v>
      </c>
      <c r="AO321">
        <f t="shared" si="372"/>
        <v>6.7685285674294882E-3</v>
      </c>
      <c r="AP321">
        <f t="shared" si="373"/>
        <v>2.0296615760858723</v>
      </c>
    </row>
    <row r="322" spans="1:42" x14ac:dyDescent="0.25">
      <c r="A322" s="4">
        <v>45628</v>
      </c>
      <c r="B322">
        <f t="shared" ref="B322:N322" si="457">(B872-B871)*100</f>
        <v>0.99999999999997868</v>
      </c>
      <c r="C322">
        <f t="shared" si="457"/>
        <v>6.0000000000000497</v>
      </c>
      <c r="D322">
        <f t="shared" si="457"/>
        <v>7.0000000000000284</v>
      </c>
      <c r="E322">
        <f t="shared" si="457"/>
        <v>0.99999999999997868</v>
      </c>
      <c r="F322">
        <f t="shared" si="457"/>
        <v>-0.99999999999997868</v>
      </c>
      <c r="G322">
        <f t="shared" si="457"/>
        <v>0</v>
      </c>
      <c r="H322">
        <f t="shared" si="457"/>
        <v>-4.0000000000000036</v>
      </c>
      <c r="I322">
        <f t="shared" si="457"/>
        <v>-1.0000000000000675</v>
      </c>
      <c r="J322">
        <f t="shared" si="457"/>
        <v>-3.0000000000000249</v>
      </c>
      <c r="K322">
        <f t="shared" si="457"/>
        <v>-3.0000000000000249</v>
      </c>
      <c r="L322">
        <f t="shared" si="457"/>
        <v>-1.0000000000000675</v>
      </c>
      <c r="M322">
        <f t="shared" si="457"/>
        <v>-0.99999999999997868</v>
      </c>
      <c r="N322">
        <f t="shared" si="457"/>
        <v>0</v>
      </c>
      <c r="O322" s="5">
        <f t="shared" si="450"/>
        <v>1.6341626079170106E-3</v>
      </c>
      <c r="P322" s="5">
        <f t="shared" si="450"/>
        <v>5.8274332278202478E-3</v>
      </c>
      <c r="Q322" s="5">
        <f t="shared" si="450"/>
        <v>3.4782964882276442E-4</v>
      </c>
      <c r="R322" s="5">
        <f t="shared" si="450"/>
        <v>-1.0646793659429203E-3</v>
      </c>
      <c r="S322" s="5">
        <f t="shared" si="450"/>
        <v>1.5458722164131487E-3</v>
      </c>
      <c r="U322" s="4">
        <v>45628</v>
      </c>
      <c r="V322">
        <f t="shared" si="378"/>
        <v>-3999.9999999999145</v>
      </c>
      <c r="W322">
        <f t="shared" si="379"/>
        <v>-13338.000000000111</v>
      </c>
      <c r="X322">
        <f t="shared" si="380"/>
        <v>32130.000000000131</v>
      </c>
      <c r="Y322">
        <f t="shared" si="381"/>
        <v>-3444.9999999999268</v>
      </c>
      <c r="Z322">
        <f t="shared" si="382"/>
        <v>-5434.9999999998845</v>
      </c>
      <c r="AA322">
        <f t="shared" si="383"/>
        <v>0</v>
      </c>
      <c r="AB322">
        <f t="shared" si="384"/>
        <v>-18256.000000000015</v>
      </c>
      <c r="AC322">
        <f t="shared" si="385"/>
        <v>2223.0000000001501</v>
      </c>
      <c r="AD322">
        <f t="shared" si="386"/>
        <v>301632.0000000025</v>
      </c>
      <c r="AE322">
        <f t="shared" si="387"/>
        <v>-3.0000000000000249</v>
      </c>
      <c r="AF322">
        <f t="shared" si="388"/>
        <v>-50323.000000003398</v>
      </c>
      <c r="AG322">
        <f t="shared" si="389"/>
        <v>-25322.999999999462</v>
      </c>
      <c r="AH322">
        <f t="shared" si="390"/>
        <v>0</v>
      </c>
      <c r="AI322">
        <f t="shared" si="391"/>
        <v>0.16341626079170105</v>
      </c>
      <c r="AJ322">
        <f t="shared" si="392"/>
        <v>-58274.332278202477</v>
      </c>
      <c r="AK322">
        <f t="shared" si="393"/>
        <v>3478.2964882276442</v>
      </c>
      <c r="AL322">
        <f t="shared" si="394"/>
        <v>26616.984148573007</v>
      </c>
      <c r="AM322" s="1">
        <f t="shared" si="395"/>
        <v>-15458.722164131486</v>
      </c>
      <c r="AN322" s="1">
        <f t="shared" si="371"/>
        <v>172224.38961072755</v>
      </c>
      <c r="AO322">
        <f t="shared" si="372"/>
        <v>-3.1013171782810232</v>
      </c>
      <c r="AP322">
        <f t="shared" si="373"/>
        <v>2.0251139347930827</v>
      </c>
    </row>
    <row r="323" spans="1:42" x14ac:dyDescent="0.25">
      <c r="A323" s="4">
        <v>45625</v>
      </c>
      <c r="B323">
        <f t="shared" ref="B323:N323" si="458">(B873-B872)*100</f>
        <v>0</v>
      </c>
      <c r="C323">
        <f t="shared" si="458"/>
        <v>0.99999999999997868</v>
      </c>
      <c r="D323">
        <f t="shared" si="458"/>
        <v>1.9999999999999574</v>
      </c>
      <c r="E323">
        <f t="shared" si="458"/>
        <v>2.0000000000000462</v>
      </c>
      <c r="F323">
        <f t="shared" si="458"/>
        <v>0.99999999999997868</v>
      </c>
      <c r="G323">
        <f t="shared" si="458"/>
        <v>4.0000000000000036</v>
      </c>
      <c r="H323">
        <f t="shared" si="458"/>
        <v>6.0000000000000497</v>
      </c>
      <c r="I323">
        <f t="shared" si="458"/>
        <v>7.0000000000000284</v>
      </c>
      <c r="J323">
        <f t="shared" si="458"/>
        <v>6.0000000000000497</v>
      </c>
      <c r="K323">
        <f t="shared" si="458"/>
        <v>7.0000000000000284</v>
      </c>
      <c r="L323">
        <f t="shared" si="458"/>
        <v>7.0000000000000284</v>
      </c>
      <c r="M323">
        <f t="shared" si="458"/>
        <v>6.9999999999999396</v>
      </c>
      <c r="N323">
        <f t="shared" si="458"/>
        <v>8.0000000000000071</v>
      </c>
      <c r="O323" s="5">
        <f t="shared" si="450"/>
        <v>3.777591055857174E-2</v>
      </c>
      <c r="P323" s="5">
        <f t="shared" si="450"/>
        <v>1.178968473183881E-2</v>
      </c>
      <c r="Q323" s="5">
        <f t="shared" si="450"/>
        <v>2.3151241145975654E-3</v>
      </c>
      <c r="R323" s="5">
        <f t="shared" si="450"/>
        <v>1.8639334380627327E-3</v>
      </c>
      <c r="S323" s="5">
        <f t="shared" si="450"/>
        <v>-1.2378195814865881E-2</v>
      </c>
      <c r="U323" s="4">
        <v>45625</v>
      </c>
      <c r="V323">
        <f t="shared" si="378"/>
        <v>0</v>
      </c>
      <c r="W323">
        <f t="shared" si="379"/>
        <v>-2222.9999999999527</v>
      </c>
      <c r="X323">
        <f t="shared" si="380"/>
        <v>9179.9999999998035</v>
      </c>
      <c r="Y323">
        <f t="shared" si="381"/>
        <v>-6890.0000000001592</v>
      </c>
      <c r="Z323">
        <f t="shared" si="382"/>
        <v>5434.9999999998845</v>
      </c>
      <c r="AA323">
        <f t="shared" si="383"/>
        <v>-8000.0000000000073</v>
      </c>
      <c r="AB323">
        <f t="shared" si="384"/>
        <v>27384.000000000226</v>
      </c>
      <c r="AC323">
        <f t="shared" si="385"/>
        <v>-15561.000000000064</v>
      </c>
      <c r="AD323">
        <f t="shared" si="386"/>
        <v>-603264.00000000501</v>
      </c>
      <c r="AE323">
        <f t="shared" si="387"/>
        <v>7.0000000000000284</v>
      </c>
      <c r="AF323">
        <f t="shared" si="388"/>
        <v>352261.00000000146</v>
      </c>
      <c r="AG323">
        <f t="shared" si="389"/>
        <v>177260.99999999846</v>
      </c>
      <c r="AH323">
        <f t="shared" si="390"/>
        <v>8.0000000000000071</v>
      </c>
      <c r="AI323">
        <f t="shared" si="391"/>
        <v>3.7775910558571741</v>
      </c>
      <c r="AJ323">
        <f t="shared" si="392"/>
        <v>-117896.8473183881</v>
      </c>
      <c r="AK323">
        <f t="shared" si="393"/>
        <v>23151.241145975655</v>
      </c>
      <c r="AL323">
        <f t="shared" si="394"/>
        <v>-46598.335951568319</v>
      </c>
      <c r="AM323" s="1">
        <f t="shared" si="395"/>
        <v>123781.95814865881</v>
      </c>
      <c r="AN323" s="1">
        <f t="shared" si="371"/>
        <v>-81960.206384271427</v>
      </c>
      <c r="AO323">
        <f t="shared" si="372"/>
        <v>-6.0867942182600387E-2</v>
      </c>
      <c r="AP323">
        <f t="shared" si="373"/>
        <v>1.9770839491466701</v>
      </c>
    </row>
    <row r="324" spans="1:42" x14ac:dyDescent="0.25">
      <c r="A324" s="4">
        <v>45623</v>
      </c>
      <c r="B324">
        <f t="shared" ref="B324:N324" si="459">(B874-B873)*100</f>
        <v>-1.9999999999999574</v>
      </c>
      <c r="C324">
        <f t="shared" si="459"/>
        <v>-3.0000000000000249</v>
      </c>
      <c r="D324">
        <f t="shared" si="459"/>
        <v>1.0000000000000675</v>
      </c>
      <c r="E324">
        <f t="shared" si="459"/>
        <v>-2.0000000000000462</v>
      </c>
      <c r="F324">
        <f t="shared" si="459"/>
        <v>2.0000000000000462</v>
      </c>
      <c r="G324">
        <f t="shared" si="459"/>
        <v>3.0000000000000249</v>
      </c>
      <c r="H324">
        <f t="shared" si="459"/>
        <v>1.9999999999999574</v>
      </c>
      <c r="I324">
        <f t="shared" si="459"/>
        <v>4.0000000000000036</v>
      </c>
      <c r="J324">
        <f t="shared" si="459"/>
        <v>5.9999999999999609</v>
      </c>
      <c r="K324">
        <f t="shared" si="459"/>
        <v>7.0000000000000284</v>
      </c>
      <c r="L324">
        <f t="shared" si="459"/>
        <v>4.9999999999999822</v>
      </c>
      <c r="M324">
        <f t="shared" si="459"/>
        <v>4.0000000000000036</v>
      </c>
      <c r="N324">
        <f t="shared" si="459"/>
        <v>4.0000000000000036</v>
      </c>
      <c r="O324" s="5">
        <f t="shared" si="450"/>
        <v>5.1773927734831164E-3</v>
      </c>
      <c r="P324" s="5">
        <f t="shared" si="450"/>
        <v>-4.1210882427507927E-3</v>
      </c>
      <c r="Q324" s="5">
        <f t="shared" si="450"/>
        <v>-1.8750485782531425E-3</v>
      </c>
      <c r="R324" s="5">
        <f t="shared" si="450"/>
        <v>-2.9274804673219837E-3</v>
      </c>
      <c r="S324" s="5">
        <f t="shared" si="450"/>
        <v>-3.6170782776162877E-3</v>
      </c>
      <c r="U324" s="4">
        <v>45623</v>
      </c>
      <c r="V324">
        <f t="shared" si="378"/>
        <v>7999.999999999829</v>
      </c>
      <c r="W324">
        <f t="shared" si="379"/>
        <v>6669.0000000000555</v>
      </c>
      <c r="X324">
        <f t="shared" si="380"/>
        <v>4590.0000000003101</v>
      </c>
      <c r="Y324">
        <f t="shared" si="381"/>
        <v>6890.0000000001592</v>
      </c>
      <c r="Z324">
        <f t="shared" si="382"/>
        <v>10870.000000000251</v>
      </c>
      <c r="AA324">
        <f t="shared" si="383"/>
        <v>-6000.00000000005</v>
      </c>
      <c r="AB324">
        <f t="shared" si="384"/>
        <v>9127.9999999998054</v>
      </c>
      <c r="AC324">
        <f t="shared" si="385"/>
        <v>-8892.0000000000073</v>
      </c>
      <c r="AD324">
        <f t="shared" si="386"/>
        <v>-603263.99999999604</v>
      </c>
      <c r="AE324">
        <f t="shared" si="387"/>
        <v>7.0000000000000284</v>
      </c>
      <c r="AF324">
        <f t="shared" si="388"/>
        <v>251614.9999999991</v>
      </c>
      <c r="AG324">
        <f t="shared" si="389"/>
        <v>101292.00000000009</v>
      </c>
      <c r="AH324">
        <f t="shared" si="390"/>
        <v>4.0000000000000036</v>
      </c>
      <c r="AI324">
        <f t="shared" si="391"/>
        <v>0.5177392773483116</v>
      </c>
      <c r="AJ324">
        <f t="shared" si="392"/>
        <v>41210.882427507924</v>
      </c>
      <c r="AK324">
        <f t="shared" si="393"/>
        <v>-18750.485782531425</v>
      </c>
      <c r="AL324">
        <f t="shared" si="394"/>
        <v>73187.011683049597</v>
      </c>
      <c r="AM324" s="1">
        <f t="shared" si="395"/>
        <v>36170.78277616288</v>
      </c>
      <c r="AN324" s="1">
        <f t="shared" si="371"/>
        <v>-87272.291156530177</v>
      </c>
      <c r="AO324">
        <f t="shared" si="372"/>
        <v>-0.80187699026192405</v>
      </c>
      <c r="AP324">
        <f t="shared" si="373"/>
        <v>1.9911651785548476</v>
      </c>
    </row>
    <row r="325" spans="1:42" x14ac:dyDescent="0.25">
      <c r="A325" s="4">
        <v>45622</v>
      </c>
      <c r="B325">
        <f t="shared" ref="B325:N325" si="460">(B875-B874)*100</f>
        <v>0</v>
      </c>
      <c r="C325">
        <f t="shared" si="460"/>
        <v>0</v>
      </c>
      <c r="D325">
        <f t="shared" si="460"/>
        <v>0.99999999999997868</v>
      </c>
      <c r="E325">
        <f t="shared" si="460"/>
        <v>0</v>
      </c>
      <c r="F325">
        <f t="shared" si="460"/>
        <v>0.99999999999997868</v>
      </c>
      <c r="G325">
        <f t="shared" si="460"/>
        <v>0</v>
      </c>
      <c r="H325">
        <f t="shared" si="460"/>
        <v>0</v>
      </c>
      <c r="I325">
        <f t="shared" si="460"/>
        <v>0</v>
      </c>
      <c r="J325">
        <f t="shared" si="460"/>
        <v>0</v>
      </c>
      <c r="K325">
        <f t="shared" si="460"/>
        <v>-3.0000000000000249</v>
      </c>
      <c r="L325">
        <f t="shared" si="460"/>
        <v>-3.0000000000000249</v>
      </c>
      <c r="M325">
        <f t="shared" si="460"/>
        <v>-2.9999999999999361</v>
      </c>
      <c r="N325">
        <f t="shared" si="460"/>
        <v>-3.0000000000000249</v>
      </c>
      <c r="O325" s="5">
        <f t="shared" ref="O325:S334" si="461">LN(O874/O875)</f>
        <v>-2.0692152574988823E-4</v>
      </c>
      <c r="P325" s="5">
        <f t="shared" si="461"/>
        <v>3.8701500748794808E-3</v>
      </c>
      <c r="Q325" s="5">
        <f t="shared" si="461"/>
        <v>-5.2987152871461461E-3</v>
      </c>
      <c r="R325" s="5">
        <f t="shared" si="461"/>
        <v>-2.653929370873314E-3</v>
      </c>
      <c r="S325" s="5">
        <f t="shared" si="461"/>
        <v>1.9823604441580597E-2</v>
      </c>
      <c r="U325" s="4">
        <v>45622</v>
      </c>
      <c r="V325">
        <f t="shared" si="378"/>
        <v>0</v>
      </c>
      <c r="W325">
        <f t="shared" si="379"/>
        <v>0</v>
      </c>
      <c r="X325">
        <f t="shared" si="380"/>
        <v>4589.9999999999018</v>
      </c>
      <c r="Y325">
        <f t="shared" si="381"/>
        <v>0</v>
      </c>
      <c r="Z325">
        <f t="shared" si="382"/>
        <v>5434.9999999998845</v>
      </c>
      <c r="AA325">
        <f t="shared" si="383"/>
        <v>0</v>
      </c>
      <c r="AB325">
        <f t="shared" si="384"/>
        <v>0</v>
      </c>
      <c r="AC325">
        <f t="shared" si="385"/>
        <v>0</v>
      </c>
      <c r="AD325">
        <f t="shared" si="386"/>
        <v>0</v>
      </c>
      <c r="AE325">
        <f t="shared" si="387"/>
        <v>-3.0000000000000249</v>
      </c>
      <c r="AF325">
        <f t="shared" si="388"/>
        <v>-150969.00000000125</v>
      </c>
      <c r="AG325">
        <f t="shared" si="389"/>
        <v>-75968.999999998385</v>
      </c>
      <c r="AH325">
        <f t="shared" si="390"/>
        <v>-3.0000000000000249</v>
      </c>
      <c r="AI325">
        <f t="shared" si="391"/>
        <v>-2.0692152574988822E-2</v>
      </c>
      <c r="AJ325">
        <f t="shared" si="392"/>
        <v>-38701.50074879481</v>
      </c>
      <c r="AK325">
        <f t="shared" si="393"/>
        <v>-52987.152871461461</v>
      </c>
      <c r="AL325">
        <f t="shared" si="394"/>
        <v>66348.234271832844</v>
      </c>
      <c r="AM325" s="1">
        <f t="shared" si="395"/>
        <v>-198236.04441580595</v>
      </c>
      <c r="AN325" s="1">
        <f t="shared" si="371"/>
        <v>-440495.48445638176</v>
      </c>
      <c r="AO325">
        <f t="shared" si="372"/>
        <v>-3.4811628787107134</v>
      </c>
      <c r="AP325">
        <f t="shared" si="373"/>
        <v>2.0156055763060352</v>
      </c>
    </row>
    <row r="326" spans="1:42" x14ac:dyDescent="0.25">
      <c r="A326" s="4">
        <v>45621</v>
      </c>
      <c r="B326">
        <f t="shared" ref="B326:N326" si="462">(B876-B875)*100</f>
        <v>-2.0000000000000462</v>
      </c>
      <c r="C326">
        <f t="shared" si="462"/>
        <v>0</v>
      </c>
      <c r="D326">
        <f t="shared" si="462"/>
        <v>0.99999999999997868</v>
      </c>
      <c r="E326">
        <f t="shared" si="462"/>
        <v>1.0000000000000675</v>
      </c>
      <c r="F326">
        <f t="shared" si="462"/>
        <v>0</v>
      </c>
      <c r="G326">
        <f t="shared" si="462"/>
        <v>4.9999999999999822</v>
      </c>
      <c r="H326">
        <f t="shared" si="462"/>
        <v>16.000000000000014</v>
      </c>
      <c r="I326">
        <f t="shared" si="462"/>
        <v>11.000000000000032</v>
      </c>
      <c r="J326">
        <f t="shared" si="462"/>
        <v>12.999999999999989</v>
      </c>
      <c r="K326">
        <f t="shared" si="462"/>
        <v>13.999999999999968</v>
      </c>
      <c r="L326">
        <f t="shared" si="462"/>
        <v>14.000000000000057</v>
      </c>
      <c r="M326">
        <f t="shared" si="462"/>
        <v>13.999999999999968</v>
      </c>
      <c r="N326">
        <f t="shared" si="462"/>
        <v>14.999999999999947</v>
      </c>
      <c r="O326" s="5">
        <f t="shared" si="461"/>
        <v>-2.101275316732181E-3</v>
      </c>
      <c r="P326" s="5">
        <f t="shared" si="461"/>
        <v>-7.2431558689141414E-3</v>
      </c>
      <c r="Q326" s="5">
        <f t="shared" si="461"/>
        <v>1.1047686556369571E-2</v>
      </c>
      <c r="R326" s="5">
        <f t="shared" si="461"/>
        <v>-3.703707937484303E-3</v>
      </c>
      <c r="S326" s="5">
        <f t="shared" si="461"/>
        <v>-1.0231798733194174E-2</v>
      </c>
      <c r="U326" s="4">
        <v>45621</v>
      </c>
      <c r="V326">
        <f t="shared" si="378"/>
        <v>8000.0000000001846</v>
      </c>
      <c r="W326">
        <f t="shared" si="379"/>
        <v>0</v>
      </c>
      <c r="X326">
        <f t="shared" si="380"/>
        <v>4589.9999999999018</v>
      </c>
      <c r="Y326">
        <f t="shared" si="381"/>
        <v>-3445.0000000002324</v>
      </c>
      <c r="Z326">
        <f t="shared" si="382"/>
        <v>0</v>
      </c>
      <c r="AA326">
        <f t="shared" si="383"/>
        <v>-9999.9999999999636</v>
      </c>
      <c r="AB326">
        <f t="shared" si="384"/>
        <v>73024.000000000058</v>
      </c>
      <c r="AC326">
        <f t="shared" si="385"/>
        <v>-24453.000000000073</v>
      </c>
      <c r="AD326">
        <f t="shared" si="386"/>
        <v>-1307071.9999999988</v>
      </c>
      <c r="AE326">
        <f t="shared" si="387"/>
        <v>13.999999999999968</v>
      </c>
      <c r="AF326">
        <f t="shared" si="388"/>
        <v>704522.00000000291</v>
      </c>
      <c r="AG326">
        <f t="shared" si="389"/>
        <v>354521.99999999919</v>
      </c>
      <c r="AH326">
        <f t="shared" si="390"/>
        <v>14.999999999999947</v>
      </c>
      <c r="AI326">
        <f t="shared" si="391"/>
        <v>-0.2101275316732181</v>
      </c>
      <c r="AJ326">
        <f t="shared" si="392"/>
        <v>72431.558689141413</v>
      </c>
      <c r="AK326">
        <f t="shared" si="393"/>
        <v>110476.86556369571</v>
      </c>
      <c r="AL326">
        <f t="shared" si="394"/>
        <v>92592.698437107567</v>
      </c>
      <c r="AM326" s="1">
        <f t="shared" si="395"/>
        <v>102317.98733194174</v>
      </c>
      <c r="AN326" s="1">
        <f t="shared" ref="AN326:AN389" si="463">SUM(V326:AM326)</f>
        <v>177535.89989435778</v>
      </c>
      <c r="AO326">
        <f t="shared" ref="AO326:AO389" si="464">AN326/AN327-1</f>
        <v>2.3582350500961065</v>
      </c>
      <c r="AP326">
        <f t="shared" ref="AP326:AP389" si="465">STDEV(AO326:AO346)</f>
        <v>1.9885122449003958</v>
      </c>
    </row>
    <row r="327" spans="1:42" x14ac:dyDescent="0.25">
      <c r="A327" s="4">
        <v>45618</v>
      </c>
      <c r="B327">
        <f t="shared" ref="B327:N327" si="466">(B877-B876)*100</f>
        <v>0</v>
      </c>
      <c r="C327">
        <f t="shared" si="466"/>
        <v>0</v>
      </c>
      <c r="D327">
        <f t="shared" si="466"/>
        <v>0</v>
      </c>
      <c r="E327">
        <f t="shared" si="466"/>
        <v>-1.0000000000000675</v>
      </c>
      <c r="F327">
        <f t="shared" si="466"/>
        <v>-0.99999999999997868</v>
      </c>
      <c r="G327">
        <f t="shared" si="466"/>
        <v>-3.0000000000000249</v>
      </c>
      <c r="H327">
        <f t="shared" si="466"/>
        <v>-3.0000000000000249</v>
      </c>
      <c r="I327">
        <f t="shared" si="466"/>
        <v>-2.0000000000000462</v>
      </c>
      <c r="J327">
        <f t="shared" si="466"/>
        <v>0</v>
      </c>
      <c r="K327">
        <f t="shared" si="466"/>
        <v>1.0000000000000675</v>
      </c>
      <c r="L327">
        <f t="shared" si="466"/>
        <v>1.9999999999999574</v>
      </c>
      <c r="M327">
        <f t="shared" si="466"/>
        <v>0.99999999999997868</v>
      </c>
      <c r="N327">
        <f t="shared" si="466"/>
        <v>1.0000000000000675</v>
      </c>
      <c r="O327" s="5">
        <f t="shared" si="461"/>
        <v>-8.4271358746323944E-4</v>
      </c>
      <c r="P327" s="5">
        <f t="shared" si="461"/>
        <v>4.8054916288687516E-3</v>
      </c>
      <c r="Q327" s="5">
        <f t="shared" si="461"/>
        <v>-1.430063464856493E-3</v>
      </c>
      <c r="R327" s="5">
        <f t="shared" si="461"/>
        <v>-7.9187017467718295E-4</v>
      </c>
      <c r="S327" s="5">
        <f t="shared" si="461"/>
        <v>2.5310284204542685E-3</v>
      </c>
      <c r="U327" s="4">
        <v>45618</v>
      </c>
      <c r="V327">
        <f t="shared" si="378"/>
        <v>0</v>
      </c>
      <c r="W327">
        <f t="shared" si="379"/>
        <v>0</v>
      </c>
      <c r="X327">
        <f t="shared" si="380"/>
        <v>0</v>
      </c>
      <c r="Y327">
        <f t="shared" si="381"/>
        <v>3445.0000000002324</v>
      </c>
      <c r="Z327">
        <f t="shared" si="382"/>
        <v>-5434.9999999998845</v>
      </c>
      <c r="AA327">
        <f t="shared" si="383"/>
        <v>6000.00000000005</v>
      </c>
      <c r="AB327">
        <f t="shared" si="384"/>
        <v>-13692.000000000113</v>
      </c>
      <c r="AC327">
        <f t="shared" si="385"/>
        <v>4446.0000000001028</v>
      </c>
      <c r="AD327">
        <f t="shared" si="386"/>
        <v>0</v>
      </c>
      <c r="AE327">
        <f t="shared" si="387"/>
        <v>1.0000000000000675</v>
      </c>
      <c r="AF327">
        <f t="shared" si="388"/>
        <v>100645.99999999786</v>
      </c>
      <c r="AG327">
        <f t="shared" si="389"/>
        <v>25322.999999999462</v>
      </c>
      <c r="AH327">
        <f t="shared" si="390"/>
        <v>1.0000000000000675</v>
      </c>
      <c r="AI327">
        <f t="shared" si="391"/>
        <v>-8.4271358746323938E-2</v>
      </c>
      <c r="AJ327">
        <f t="shared" si="392"/>
        <v>-48054.916288687513</v>
      </c>
      <c r="AK327">
        <f t="shared" si="393"/>
        <v>-14300.63464856493</v>
      </c>
      <c r="AL327">
        <f t="shared" si="394"/>
        <v>19796.754366929574</v>
      </c>
      <c r="AM327" s="1">
        <f t="shared" si="395"/>
        <v>-25310.284204542684</v>
      </c>
      <c r="AN327" s="1">
        <f t="shared" si="463"/>
        <v>52865.834953773418</v>
      </c>
      <c r="AO327">
        <f t="shared" si="464"/>
        <v>-0.18859988501328839</v>
      </c>
      <c r="AP327">
        <f t="shared" si="465"/>
        <v>1.876769497654047</v>
      </c>
    </row>
    <row r="328" spans="1:42" x14ac:dyDescent="0.25">
      <c r="A328" s="4">
        <v>45617</v>
      </c>
      <c r="B328">
        <f t="shared" ref="B328:N328" si="467">(B878-B877)*100</f>
        <v>-4.0000000000000036</v>
      </c>
      <c r="C328">
        <f t="shared" si="467"/>
        <v>-4.0000000000000036</v>
      </c>
      <c r="D328">
        <f t="shared" si="467"/>
        <v>-0.99999999999997868</v>
      </c>
      <c r="E328">
        <f t="shared" si="467"/>
        <v>0</v>
      </c>
      <c r="F328">
        <f t="shared" si="467"/>
        <v>-0.99999999999997868</v>
      </c>
      <c r="G328">
        <f t="shared" si="467"/>
        <v>-1.9999999999999574</v>
      </c>
      <c r="H328">
        <f t="shared" si="467"/>
        <v>-3.0000000000000249</v>
      </c>
      <c r="I328">
        <f t="shared" si="467"/>
        <v>-4.0000000000000036</v>
      </c>
      <c r="J328">
        <f t="shared" si="467"/>
        <v>-1.9999999999999574</v>
      </c>
      <c r="K328">
        <f t="shared" si="467"/>
        <v>-2.0000000000000462</v>
      </c>
      <c r="L328">
        <f t="shared" si="467"/>
        <v>-1.9999999999999574</v>
      </c>
      <c r="M328">
        <f t="shared" si="467"/>
        <v>-1.9999999999999574</v>
      </c>
      <c r="N328">
        <f t="shared" si="467"/>
        <v>-2.0000000000000462</v>
      </c>
      <c r="O328" s="5">
        <f t="shared" si="461"/>
        <v>7.4195836878810737E-3</v>
      </c>
      <c r="P328" s="5">
        <f t="shared" si="461"/>
        <v>-1.1825170796266335E-3</v>
      </c>
      <c r="Q328" s="5">
        <f t="shared" si="461"/>
        <v>-5.4473789690689543E-4</v>
      </c>
      <c r="R328" s="5">
        <f t="shared" si="461"/>
        <v>-2.1085932957591903E-3</v>
      </c>
      <c r="S328" s="5">
        <f t="shared" si="461"/>
        <v>5.7798524101719713E-3</v>
      </c>
      <c r="U328" s="4">
        <v>45617</v>
      </c>
      <c r="V328">
        <f t="shared" si="378"/>
        <v>16000.000000000015</v>
      </c>
      <c r="W328">
        <f t="shared" si="379"/>
        <v>8892.0000000000073</v>
      </c>
      <c r="X328">
        <f t="shared" si="380"/>
        <v>-4589.9999999999018</v>
      </c>
      <c r="Y328">
        <f t="shared" si="381"/>
        <v>0</v>
      </c>
      <c r="Z328">
        <f t="shared" si="382"/>
        <v>-5434.9999999998845</v>
      </c>
      <c r="AA328">
        <f t="shared" si="383"/>
        <v>3999.9999999999145</v>
      </c>
      <c r="AB328">
        <f t="shared" si="384"/>
        <v>-13692.000000000113</v>
      </c>
      <c r="AC328">
        <f t="shared" si="385"/>
        <v>8892.0000000000073</v>
      </c>
      <c r="AD328">
        <f t="shared" si="386"/>
        <v>201087.99999999572</v>
      </c>
      <c r="AE328">
        <f t="shared" si="387"/>
        <v>-2.0000000000000462</v>
      </c>
      <c r="AF328">
        <f t="shared" si="388"/>
        <v>-100645.99999999786</v>
      </c>
      <c r="AG328">
        <f t="shared" si="389"/>
        <v>-50645.999999998923</v>
      </c>
      <c r="AH328">
        <f t="shared" si="390"/>
        <v>-2.0000000000000462</v>
      </c>
      <c r="AI328">
        <f t="shared" si="391"/>
        <v>0.74195836878810739</v>
      </c>
      <c r="AJ328">
        <f t="shared" si="392"/>
        <v>11825.170796266335</v>
      </c>
      <c r="AK328">
        <f t="shared" si="393"/>
        <v>-5447.3789690689546</v>
      </c>
      <c r="AL328">
        <f t="shared" si="394"/>
        <v>52714.832393979756</v>
      </c>
      <c r="AM328" s="1">
        <f t="shared" si="395"/>
        <v>-57798.524101719711</v>
      </c>
      <c r="AN328" s="1">
        <f t="shared" si="463"/>
        <v>65153.842077825204</v>
      </c>
      <c r="AO328">
        <f t="shared" si="464"/>
        <v>4.7580346291084767</v>
      </c>
      <c r="AP328">
        <f t="shared" si="465"/>
        <v>1.8693813265198231</v>
      </c>
    </row>
    <row r="329" spans="1:42" x14ac:dyDescent="0.25">
      <c r="A329" s="4">
        <v>45616</v>
      </c>
      <c r="B329">
        <f t="shared" ref="B329:N329" si="468">(B879-B878)*100</f>
        <v>-0.99999999999997868</v>
      </c>
      <c r="C329">
        <f t="shared" si="468"/>
        <v>0</v>
      </c>
      <c r="D329">
        <f t="shared" si="468"/>
        <v>0</v>
      </c>
      <c r="E329">
        <f t="shared" si="468"/>
        <v>-0.99999999999997868</v>
      </c>
      <c r="F329">
        <f t="shared" si="468"/>
        <v>0</v>
      </c>
      <c r="G329">
        <f t="shared" si="468"/>
        <v>-3.0000000000000249</v>
      </c>
      <c r="H329">
        <f t="shared" si="468"/>
        <v>-4.0000000000000036</v>
      </c>
      <c r="I329">
        <f t="shared" si="468"/>
        <v>-1.9999999999999574</v>
      </c>
      <c r="J329">
        <f t="shared" si="468"/>
        <v>-3.0000000000000249</v>
      </c>
      <c r="K329">
        <f t="shared" si="468"/>
        <v>-1.9999999999999574</v>
      </c>
      <c r="L329">
        <f t="shared" si="468"/>
        <v>-2.0000000000000462</v>
      </c>
      <c r="M329">
        <f t="shared" si="468"/>
        <v>0</v>
      </c>
      <c r="N329">
        <f t="shared" si="468"/>
        <v>-1.9999999999999574</v>
      </c>
      <c r="O329" s="5">
        <f t="shared" si="461"/>
        <v>0</v>
      </c>
      <c r="P329" s="5">
        <f t="shared" si="461"/>
        <v>2.2297567883132097E-3</v>
      </c>
      <c r="Q329" s="5">
        <f t="shared" si="461"/>
        <v>-3.743459734712894E-3</v>
      </c>
      <c r="R329" s="5">
        <f t="shared" si="461"/>
        <v>1.053740877271564E-3</v>
      </c>
      <c r="S329" s="5">
        <f t="shared" si="461"/>
        <v>1.0322602102840524E-2</v>
      </c>
      <c r="U329" s="4">
        <v>45616</v>
      </c>
      <c r="V329">
        <f t="shared" ref="V329:V392" si="469">B329*B$3</f>
        <v>3999.9999999999145</v>
      </c>
      <c r="W329">
        <f t="shared" ref="W329:W392" si="470">C329*C$3</f>
        <v>0</v>
      </c>
      <c r="X329">
        <f t="shared" ref="X329:X392" si="471">D329*D$3</f>
        <v>0</v>
      </c>
      <c r="Y329">
        <f t="shared" ref="Y329:Y392" si="472">E329*E$3</f>
        <v>3444.9999999999268</v>
      </c>
      <c r="Z329">
        <f t="shared" ref="Z329:Z392" si="473">F329*F$3</f>
        <v>0</v>
      </c>
      <c r="AA329">
        <f t="shared" ref="AA329:AA392" si="474">G329*G$3</f>
        <v>6000.00000000005</v>
      </c>
      <c r="AB329">
        <f t="shared" ref="AB329:AB392" si="475">H329*H$3</f>
        <v>-18256.000000000015</v>
      </c>
      <c r="AC329">
        <f t="shared" ref="AC329:AC392" si="476">I329*I$3</f>
        <v>4445.9999999999054</v>
      </c>
      <c r="AD329">
        <f t="shared" ref="AD329:AD392" si="477">J329*J$3</f>
        <v>301632.0000000025</v>
      </c>
      <c r="AE329">
        <f t="shared" ref="AE329:AE392" si="478">K329*K$3</f>
        <v>-1.9999999999999574</v>
      </c>
      <c r="AF329">
        <f t="shared" ref="AF329:AF392" si="479">L329*L$3</f>
        <v>-100646.00000000233</v>
      </c>
      <c r="AG329">
        <f t="shared" ref="AG329:AG392" si="480">M329*M$3</f>
        <v>0</v>
      </c>
      <c r="AH329">
        <f t="shared" ref="AH329:AH392" si="481">N329*N$3</f>
        <v>-1.9999999999999574</v>
      </c>
      <c r="AI329">
        <f t="shared" ref="AI329:AI392" si="482">O329*O$3</f>
        <v>0</v>
      </c>
      <c r="AJ329">
        <f t="shared" ref="AJ329:AJ392" si="483">P329*P$3</f>
        <v>-22297.567883132098</v>
      </c>
      <c r="AK329">
        <f t="shared" ref="AK329:AK392" si="484">Q329*Q$3</f>
        <v>-37434.59734712894</v>
      </c>
      <c r="AL329">
        <f t="shared" ref="AL329:AL392" si="485">R329*R$3</f>
        <v>-26343.521931789102</v>
      </c>
      <c r="AM329" s="1">
        <f t="shared" ref="AM329:AM392" si="486">S329*S$3</f>
        <v>-103226.02102840524</v>
      </c>
      <c r="AN329" s="1">
        <f t="shared" si="463"/>
        <v>11315.291809544578</v>
      </c>
      <c r="AO329">
        <f t="shared" si="464"/>
        <v>-0.91394404872640633</v>
      </c>
      <c r="AP329">
        <f t="shared" si="465"/>
        <v>1.6065743618998289</v>
      </c>
    </row>
    <row r="330" spans="1:42" x14ac:dyDescent="0.25">
      <c r="A330" s="4">
        <v>45615</v>
      </c>
      <c r="B330">
        <f t="shared" ref="B330:N330" si="487">(B880-B879)*100</f>
        <v>3.0000000000000249</v>
      </c>
      <c r="C330">
        <f t="shared" si="487"/>
        <v>2.0000000000000462</v>
      </c>
      <c r="D330">
        <f t="shared" si="487"/>
        <v>0.99999999999997868</v>
      </c>
      <c r="E330">
        <f t="shared" si="487"/>
        <v>0.99999999999997868</v>
      </c>
      <c r="F330">
        <f t="shared" si="487"/>
        <v>0</v>
      </c>
      <c r="G330">
        <f t="shared" si="487"/>
        <v>-0.99999999999997868</v>
      </c>
      <c r="H330">
        <f t="shared" si="487"/>
        <v>2.0000000000000462</v>
      </c>
      <c r="I330">
        <f t="shared" si="487"/>
        <v>0.99999999999997868</v>
      </c>
      <c r="J330">
        <f t="shared" si="487"/>
        <v>3.0000000000000249</v>
      </c>
      <c r="K330">
        <f t="shared" si="487"/>
        <v>2.9999999999999361</v>
      </c>
      <c r="L330">
        <f t="shared" si="487"/>
        <v>3.0000000000000249</v>
      </c>
      <c r="M330">
        <f t="shared" si="487"/>
        <v>4.0000000000000036</v>
      </c>
      <c r="N330">
        <f t="shared" si="487"/>
        <v>4.0000000000000036</v>
      </c>
      <c r="O330" s="5">
        <f t="shared" si="461"/>
        <v>2.4276065329434161E-3</v>
      </c>
      <c r="P330" s="5">
        <f t="shared" si="461"/>
        <v>-3.1043741989741826E-3</v>
      </c>
      <c r="Q330" s="5">
        <f t="shared" si="461"/>
        <v>2.4085654038606009E-3</v>
      </c>
      <c r="R330" s="5">
        <f t="shared" si="461"/>
        <v>0</v>
      </c>
      <c r="S330" s="5">
        <f t="shared" si="461"/>
        <v>-1.3211797644368042E-2</v>
      </c>
      <c r="U330" s="4">
        <v>45615</v>
      </c>
      <c r="V330">
        <f t="shared" si="469"/>
        <v>-12000.0000000001</v>
      </c>
      <c r="W330">
        <f t="shared" si="470"/>
        <v>-4446.0000000001028</v>
      </c>
      <c r="X330">
        <f t="shared" si="471"/>
        <v>4589.9999999999018</v>
      </c>
      <c r="Y330">
        <f t="shared" si="472"/>
        <v>-3444.9999999999268</v>
      </c>
      <c r="Z330">
        <f t="shared" si="473"/>
        <v>0</v>
      </c>
      <c r="AA330">
        <f t="shared" si="474"/>
        <v>1999.9999999999573</v>
      </c>
      <c r="AB330">
        <f t="shared" si="475"/>
        <v>9128.000000000211</v>
      </c>
      <c r="AC330">
        <f t="shared" si="476"/>
        <v>-2222.9999999999527</v>
      </c>
      <c r="AD330">
        <f t="shared" si="477"/>
        <v>-301632.0000000025</v>
      </c>
      <c r="AE330">
        <f t="shared" si="478"/>
        <v>2.9999999999999361</v>
      </c>
      <c r="AF330">
        <f t="shared" si="479"/>
        <v>150969.00000000125</v>
      </c>
      <c r="AG330">
        <f t="shared" si="480"/>
        <v>101292.00000000009</v>
      </c>
      <c r="AH330">
        <f t="shared" si="481"/>
        <v>4.0000000000000036</v>
      </c>
      <c r="AI330">
        <f t="shared" si="482"/>
        <v>0.2427606532943416</v>
      </c>
      <c r="AJ330">
        <f t="shared" si="483"/>
        <v>31043.741989741826</v>
      </c>
      <c r="AK330">
        <f t="shared" si="484"/>
        <v>24085.654038606008</v>
      </c>
      <c r="AL330">
        <f t="shared" si="485"/>
        <v>0</v>
      </c>
      <c r="AM330" s="1">
        <f t="shared" si="486"/>
        <v>132117.97644368041</v>
      </c>
      <c r="AN330" s="1">
        <f t="shared" si="463"/>
        <v>131487.61523268037</v>
      </c>
      <c r="AO330">
        <f t="shared" si="464"/>
        <v>-2.7047740430816738</v>
      </c>
      <c r="AP330">
        <f t="shared" si="465"/>
        <v>1.6095298494259864</v>
      </c>
    </row>
    <row r="331" spans="1:42" x14ac:dyDescent="0.25">
      <c r="A331" s="4">
        <v>45614</v>
      </c>
      <c r="B331">
        <f t="shared" ref="B331:N331" si="488">(B881-B880)*100</f>
        <v>0</v>
      </c>
      <c r="C331">
        <f t="shared" si="488"/>
        <v>1.9999999999999574</v>
      </c>
      <c r="D331">
        <f t="shared" si="488"/>
        <v>-3.0000000000000249</v>
      </c>
      <c r="E331">
        <f t="shared" si="488"/>
        <v>0</v>
      </c>
      <c r="F331">
        <f t="shared" si="488"/>
        <v>0</v>
      </c>
      <c r="G331">
        <f t="shared" si="488"/>
        <v>0.99999999999997868</v>
      </c>
      <c r="H331">
        <f t="shared" si="488"/>
        <v>1.9999999999999574</v>
      </c>
      <c r="I331">
        <f t="shared" si="488"/>
        <v>1.9999999999999574</v>
      </c>
      <c r="J331">
        <f t="shared" si="488"/>
        <v>1.9999999999999574</v>
      </c>
      <c r="K331">
        <f t="shared" si="488"/>
        <v>1.0000000000000675</v>
      </c>
      <c r="L331">
        <f t="shared" si="488"/>
        <v>0.99999999999997868</v>
      </c>
      <c r="M331">
        <f t="shared" si="488"/>
        <v>0</v>
      </c>
      <c r="N331">
        <f t="shared" si="488"/>
        <v>-1.0000000000000675</v>
      </c>
      <c r="O331" s="5">
        <f t="shared" si="461"/>
        <v>-4.8838877146259365E-3</v>
      </c>
      <c r="P331" s="5">
        <f t="shared" si="461"/>
        <v>-5.9204257221678889E-3</v>
      </c>
      <c r="Q331" s="5">
        <f t="shared" si="461"/>
        <v>-9.5387068439185851E-4</v>
      </c>
      <c r="R331" s="5">
        <f t="shared" si="461"/>
        <v>-1.5801952195175833E-3</v>
      </c>
      <c r="S331" s="5">
        <f t="shared" si="461"/>
        <v>0</v>
      </c>
      <c r="U331" s="4">
        <v>45614</v>
      </c>
      <c r="V331">
        <f t="shared" si="469"/>
        <v>0</v>
      </c>
      <c r="W331">
        <f t="shared" si="470"/>
        <v>-4445.9999999999054</v>
      </c>
      <c r="X331">
        <f t="shared" si="471"/>
        <v>-13770.000000000115</v>
      </c>
      <c r="Y331">
        <f t="shared" si="472"/>
        <v>0</v>
      </c>
      <c r="Z331">
        <f t="shared" si="473"/>
        <v>0</v>
      </c>
      <c r="AA331">
        <f t="shared" si="474"/>
        <v>-1999.9999999999573</v>
      </c>
      <c r="AB331">
        <f t="shared" si="475"/>
        <v>9127.9999999998054</v>
      </c>
      <c r="AC331">
        <f t="shared" si="476"/>
        <v>-4445.9999999999054</v>
      </c>
      <c r="AD331">
        <f t="shared" si="477"/>
        <v>-201087.99999999572</v>
      </c>
      <c r="AE331">
        <f t="shared" si="478"/>
        <v>1.0000000000000675</v>
      </c>
      <c r="AF331">
        <f t="shared" si="479"/>
        <v>50322.99999999893</v>
      </c>
      <c r="AG331">
        <f t="shared" si="480"/>
        <v>0</v>
      </c>
      <c r="AH331">
        <f t="shared" si="481"/>
        <v>-1.0000000000000675</v>
      </c>
      <c r="AI331">
        <f t="shared" si="482"/>
        <v>-0.48838877146259363</v>
      </c>
      <c r="AJ331">
        <f t="shared" si="483"/>
        <v>59204.25722167889</v>
      </c>
      <c r="AK331">
        <f t="shared" si="484"/>
        <v>-9538.7068439185859</v>
      </c>
      <c r="AL331">
        <f t="shared" si="485"/>
        <v>39504.880487939583</v>
      </c>
      <c r="AM331" s="1">
        <f t="shared" si="486"/>
        <v>0</v>
      </c>
      <c r="AN331" s="1">
        <f t="shared" si="463"/>
        <v>-77129.057523068448</v>
      </c>
      <c r="AO331">
        <f t="shared" si="464"/>
        <v>-0.53576176070782544</v>
      </c>
      <c r="AP331">
        <f t="shared" si="465"/>
        <v>1.5737062195259701</v>
      </c>
    </row>
    <row r="332" spans="1:42" x14ac:dyDescent="0.25">
      <c r="A332" s="4">
        <v>45611</v>
      </c>
      <c r="B332">
        <f t="shared" ref="B332:N332" si="489">(B882-B881)*100</f>
        <v>0</v>
      </c>
      <c r="C332">
        <f t="shared" si="489"/>
        <v>0.99999999999997868</v>
      </c>
      <c r="D332">
        <f t="shared" si="489"/>
        <v>1.0000000000000675</v>
      </c>
      <c r="E332">
        <f t="shared" si="489"/>
        <v>1.0000000000000675</v>
      </c>
      <c r="F332">
        <f t="shared" si="489"/>
        <v>-1.0000000000000675</v>
      </c>
      <c r="G332">
        <f t="shared" si="489"/>
        <v>2.0000000000000462</v>
      </c>
      <c r="H332">
        <f t="shared" si="489"/>
        <v>3.0000000000000249</v>
      </c>
      <c r="I332">
        <f t="shared" si="489"/>
        <v>3.0000000000000249</v>
      </c>
      <c r="J332">
        <f t="shared" si="489"/>
        <v>2.0000000000000462</v>
      </c>
      <c r="K332">
        <f t="shared" si="489"/>
        <v>1.9999999999999574</v>
      </c>
      <c r="L332">
        <f t="shared" si="489"/>
        <v>0</v>
      </c>
      <c r="M332">
        <f t="shared" si="489"/>
        <v>-0.99999999999997868</v>
      </c>
      <c r="N332">
        <f t="shared" si="489"/>
        <v>-1.9999999999999574</v>
      </c>
      <c r="O332" s="5">
        <f t="shared" si="461"/>
        <v>0</v>
      </c>
      <c r="P332" s="5">
        <f t="shared" si="461"/>
        <v>-1.2450387960156854E-2</v>
      </c>
      <c r="Q332" s="5">
        <f t="shared" si="461"/>
        <v>-6.3054295418633272E-3</v>
      </c>
      <c r="R332" s="5">
        <f t="shared" si="461"/>
        <v>7.8978548267463137E-4</v>
      </c>
      <c r="S332" s="5">
        <f t="shared" si="461"/>
        <v>-2.2054940422653506E-3</v>
      </c>
      <c r="U332" s="4">
        <v>45611</v>
      </c>
      <c r="V332">
        <f t="shared" si="469"/>
        <v>0</v>
      </c>
      <c r="W332">
        <f t="shared" si="470"/>
        <v>-2222.9999999999527</v>
      </c>
      <c r="X332">
        <f t="shared" si="471"/>
        <v>4590.0000000003101</v>
      </c>
      <c r="Y332">
        <f t="shared" si="472"/>
        <v>-3445.0000000002324</v>
      </c>
      <c r="Z332">
        <f t="shared" si="473"/>
        <v>-5435.0000000003665</v>
      </c>
      <c r="AA332">
        <f t="shared" si="474"/>
        <v>-4000.0000000000923</v>
      </c>
      <c r="AB332">
        <f t="shared" si="475"/>
        <v>13692.000000000113</v>
      </c>
      <c r="AC332">
        <f t="shared" si="476"/>
        <v>-6669.0000000000555</v>
      </c>
      <c r="AD332">
        <f t="shared" si="477"/>
        <v>-201088.00000000466</v>
      </c>
      <c r="AE332">
        <f t="shared" si="478"/>
        <v>1.9999999999999574</v>
      </c>
      <c r="AF332">
        <f t="shared" si="479"/>
        <v>0</v>
      </c>
      <c r="AG332">
        <f t="shared" si="480"/>
        <v>-25322.999999999462</v>
      </c>
      <c r="AH332">
        <f t="shared" si="481"/>
        <v>-1.9999999999999574</v>
      </c>
      <c r="AI332">
        <f t="shared" si="482"/>
        <v>0</v>
      </c>
      <c r="AJ332">
        <f t="shared" si="483"/>
        <v>124503.87960156854</v>
      </c>
      <c r="AK332">
        <f t="shared" si="484"/>
        <v>-63054.295418633272</v>
      </c>
      <c r="AL332">
        <f t="shared" si="485"/>
        <v>-19744.637066865784</v>
      </c>
      <c r="AM332" s="1">
        <f t="shared" si="486"/>
        <v>22054.940422653508</v>
      </c>
      <c r="AN332" s="1">
        <f t="shared" si="463"/>
        <v>-166141.11246128142</v>
      </c>
      <c r="AO332">
        <f t="shared" si="464"/>
        <v>-1.3884050621274509</v>
      </c>
      <c r="AP332">
        <f t="shared" si="465"/>
        <v>1.5834767237198117</v>
      </c>
    </row>
    <row r="333" spans="1:42" x14ac:dyDescent="0.25">
      <c r="A333" s="4">
        <v>45610</v>
      </c>
      <c r="B333">
        <f t="shared" ref="B333:N333" si="490">(B883-B882)*100</f>
        <v>-0.99999999999997868</v>
      </c>
      <c r="C333">
        <f t="shared" si="490"/>
        <v>-0.99999999999997868</v>
      </c>
      <c r="D333">
        <f t="shared" si="490"/>
        <v>-1.0000000000000675</v>
      </c>
      <c r="E333">
        <f t="shared" si="490"/>
        <v>-3.0000000000000249</v>
      </c>
      <c r="F333">
        <f t="shared" si="490"/>
        <v>-2.9999999999999361</v>
      </c>
      <c r="G333">
        <f t="shared" si="490"/>
        <v>-5.0000000000000711</v>
      </c>
      <c r="H333">
        <f t="shared" si="490"/>
        <v>-7.0000000000000284</v>
      </c>
      <c r="I333">
        <f t="shared" si="490"/>
        <v>-4.9999999999999822</v>
      </c>
      <c r="J333">
        <f t="shared" si="490"/>
        <v>-2.0000000000000462</v>
      </c>
      <c r="K333">
        <f t="shared" si="490"/>
        <v>0</v>
      </c>
      <c r="L333">
        <f t="shared" si="490"/>
        <v>1.0000000000000675</v>
      </c>
      <c r="M333">
        <f t="shared" si="490"/>
        <v>4.0000000000000036</v>
      </c>
      <c r="N333">
        <f t="shared" si="490"/>
        <v>4.9999999999999822</v>
      </c>
      <c r="O333" s="5">
        <f t="shared" si="461"/>
        <v>2.9759866935964042E-3</v>
      </c>
      <c r="P333" s="5">
        <f t="shared" si="461"/>
        <v>1.6734538406380801E-3</v>
      </c>
      <c r="Q333" s="5">
        <f t="shared" si="461"/>
        <v>-2.1878840703190459E-3</v>
      </c>
      <c r="R333" s="5">
        <f t="shared" si="461"/>
        <v>-3.4179078889443027E-3</v>
      </c>
      <c r="S333" s="5">
        <f t="shared" si="461"/>
        <v>-4.3379565351198395E-3</v>
      </c>
      <c r="U333" s="4">
        <v>45610</v>
      </c>
      <c r="V333">
        <f t="shared" si="469"/>
        <v>3999.9999999999145</v>
      </c>
      <c r="W333">
        <f t="shared" si="470"/>
        <v>2222.9999999999527</v>
      </c>
      <c r="X333">
        <f t="shared" si="471"/>
        <v>-4590.0000000003101</v>
      </c>
      <c r="Y333">
        <f t="shared" si="472"/>
        <v>10335.000000000085</v>
      </c>
      <c r="Z333">
        <f t="shared" si="473"/>
        <v>-16304.999999999653</v>
      </c>
      <c r="AA333">
        <f t="shared" si="474"/>
        <v>10000.000000000142</v>
      </c>
      <c r="AB333">
        <f t="shared" si="475"/>
        <v>-31948.000000000131</v>
      </c>
      <c r="AC333">
        <f t="shared" si="476"/>
        <v>11114.99999999996</v>
      </c>
      <c r="AD333">
        <f t="shared" si="477"/>
        <v>201088.00000000466</v>
      </c>
      <c r="AE333">
        <f t="shared" si="478"/>
        <v>0</v>
      </c>
      <c r="AF333">
        <f t="shared" si="479"/>
        <v>50323.000000003398</v>
      </c>
      <c r="AG333">
        <f t="shared" si="480"/>
        <v>101292.00000000009</v>
      </c>
      <c r="AH333">
        <f t="shared" si="481"/>
        <v>4.9999999999999822</v>
      </c>
      <c r="AI333">
        <f t="shared" si="482"/>
        <v>0.29759866935964041</v>
      </c>
      <c r="AJ333">
        <f t="shared" si="483"/>
        <v>-16734.538406380801</v>
      </c>
      <c r="AK333">
        <f t="shared" si="484"/>
        <v>-21878.840703190461</v>
      </c>
      <c r="AL333">
        <f t="shared" si="485"/>
        <v>85447.697223607567</v>
      </c>
      <c r="AM333" s="1">
        <f t="shared" si="486"/>
        <v>43379.565351198398</v>
      </c>
      <c r="AN333" s="1">
        <f t="shared" si="463"/>
        <v>427752.18106391223</v>
      </c>
      <c r="AO333">
        <f t="shared" si="464"/>
        <v>-2.2388675231374848</v>
      </c>
      <c r="AP333">
        <f t="shared" si="465"/>
        <v>1.6098096621550693</v>
      </c>
    </row>
    <row r="334" spans="1:42" x14ac:dyDescent="0.25">
      <c r="A334" s="4">
        <v>45609</v>
      </c>
      <c r="B334">
        <f t="shared" ref="B334:N334" si="491">(B884-B883)*100</f>
        <v>0.99999999999997868</v>
      </c>
      <c r="C334">
        <f t="shared" si="491"/>
        <v>3.0000000000000249</v>
      </c>
      <c r="D334">
        <f t="shared" si="491"/>
        <v>3.0000000000000249</v>
      </c>
      <c r="E334">
        <f t="shared" si="491"/>
        <v>4.0000000000000036</v>
      </c>
      <c r="F334">
        <f t="shared" si="491"/>
        <v>4.9999999999999822</v>
      </c>
      <c r="G334">
        <f t="shared" si="491"/>
        <v>7.0000000000000284</v>
      </c>
      <c r="H334">
        <f t="shared" si="491"/>
        <v>7.0000000000000284</v>
      </c>
      <c r="I334">
        <f t="shared" si="491"/>
        <v>4.0000000000000036</v>
      </c>
      <c r="J334">
        <f t="shared" si="491"/>
        <v>2.0000000000000462</v>
      </c>
      <c r="K334">
        <f t="shared" si="491"/>
        <v>0</v>
      </c>
      <c r="L334">
        <f t="shared" si="491"/>
        <v>-1.0000000000000675</v>
      </c>
      <c r="M334">
        <f t="shared" si="491"/>
        <v>-3.0000000000000249</v>
      </c>
      <c r="N334">
        <f t="shared" si="491"/>
        <v>-4.9999999999999822</v>
      </c>
      <c r="O334" s="5">
        <f t="shared" si="461"/>
        <v>3.2928657761520413E-4</v>
      </c>
      <c r="P334" s="5">
        <f t="shared" si="461"/>
        <v>5.3739493413872373E-3</v>
      </c>
      <c r="Q334" s="5">
        <f t="shared" si="461"/>
        <v>3.3499163302476969E-3</v>
      </c>
      <c r="R334" s="5">
        <f t="shared" si="461"/>
        <v>3.9447782910163251E-3</v>
      </c>
      <c r="S334" s="5">
        <f t="shared" si="461"/>
        <v>-7.5415981054157413E-3</v>
      </c>
      <c r="U334" s="4">
        <v>45609</v>
      </c>
      <c r="V334">
        <f t="shared" si="469"/>
        <v>-3999.9999999999145</v>
      </c>
      <c r="W334">
        <f t="shared" si="470"/>
        <v>-6669.0000000000555</v>
      </c>
      <c r="X334">
        <f t="shared" si="471"/>
        <v>13770.000000000115</v>
      </c>
      <c r="Y334">
        <f t="shared" si="472"/>
        <v>-13780.000000000013</v>
      </c>
      <c r="Z334">
        <f t="shared" si="473"/>
        <v>27174.999999999902</v>
      </c>
      <c r="AA334">
        <f t="shared" si="474"/>
        <v>-14000.000000000056</v>
      </c>
      <c r="AB334">
        <f t="shared" si="475"/>
        <v>31948.000000000131</v>
      </c>
      <c r="AC334">
        <f t="shared" si="476"/>
        <v>-8892.0000000000073</v>
      </c>
      <c r="AD334">
        <f t="shared" si="477"/>
        <v>-201088.00000000466</v>
      </c>
      <c r="AE334">
        <f t="shared" si="478"/>
        <v>0</v>
      </c>
      <c r="AF334">
        <f t="shared" si="479"/>
        <v>-50323.000000003398</v>
      </c>
      <c r="AG334">
        <f t="shared" si="480"/>
        <v>-75969.000000000626</v>
      </c>
      <c r="AH334">
        <f t="shared" si="481"/>
        <v>-4.9999999999999822</v>
      </c>
      <c r="AI334">
        <f t="shared" si="482"/>
        <v>3.2928657761520409E-2</v>
      </c>
      <c r="AJ334">
        <f t="shared" si="483"/>
        <v>-53739.493413872377</v>
      </c>
      <c r="AK334">
        <f t="shared" si="484"/>
        <v>33499.163302476969</v>
      </c>
      <c r="AL334">
        <f t="shared" si="485"/>
        <v>-98619.457275408131</v>
      </c>
      <c r="AM334" s="1">
        <f t="shared" si="486"/>
        <v>75415.981054157412</v>
      </c>
      <c r="AN334" s="1">
        <f t="shared" si="463"/>
        <v>-345276.77340399689</v>
      </c>
      <c r="AO334">
        <f t="shared" si="464"/>
        <v>2.1594929379519736</v>
      </c>
      <c r="AP334">
        <f t="shared" si="465"/>
        <v>1.6340176965337139</v>
      </c>
    </row>
    <row r="335" spans="1:42" x14ac:dyDescent="0.25">
      <c r="A335" s="4">
        <v>45608</v>
      </c>
      <c r="B335">
        <f t="shared" ref="B335:N335" si="492">(B885-B884)*100</f>
        <v>0</v>
      </c>
      <c r="C335">
        <f t="shared" si="492"/>
        <v>-0.99999999999997868</v>
      </c>
      <c r="D335">
        <f t="shared" si="492"/>
        <v>0</v>
      </c>
      <c r="E335">
        <f t="shared" si="492"/>
        <v>-0.99999999999997868</v>
      </c>
      <c r="F335">
        <f t="shared" si="492"/>
        <v>-3.0000000000000249</v>
      </c>
      <c r="G335">
        <f t="shared" si="492"/>
        <v>-5.9999999999999609</v>
      </c>
      <c r="H335">
        <f t="shared" si="492"/>
        <v>-8.0000000000000071</v>
      </c>
      <c r="I335">
        <f t="shared" si="492"/>
        <v>-11.000000000000032</v>
      </c>
      <c r="J335">
        <f t="shared" si="492"/>
        <v>-12.000000000000011</v>
      </c>
      <c r="K335">
        <f t="shared" si="492"/>
        <v>-12.999999999999989</v>
      </c>
      <c r="L335">
        <f t="shared" si="492"/>
        <v>-12.999999999999989</v>
      </c>
      <c r="M335">
        <f t="shared" si="492"/>
        <v>-12.000000000000011</v>
      </c>
      <c r="N335">
        <f t="shared" si="492"/>
        <v>-11.000000000000032</v>
      </c>
      <c r="O335" s="5">
        <f t="shared" ref="O335:S344" si="493">LN(O884/O885)</f>
        <v>7.9766946034299645E-4</v>
      </c>
      <c r="P335" s="5">
        <f t="shared" si="493"/>
        <v>2.1456666220399261E-2</v>
      </c>
      <c r="Q335" s="5">
        <f t="shared" si="493"/>
        <v>3.0528501290947724E-2</v>
      </c>
      <c r="R335" s="5">
        <f t="shared" si="493"/>
        <v>8.2021891244601804E-3</v>
      </c>
      <c r="S335" s="5">
        <f t="shared" si="493"/>
        <v>2.3267903980707782E-2</v>
      </c>
      <c r="U335" s="4">
        <v>45608</v>
      </c>
      <c r="V335">
        <f t="shared" si="469"/>
        <v>0</v>
      </c>
      <c r="W335">
        <f t="shared" si="470"/>
        <v>2222.9999999999527</v>
      </c>
      <c r="X335">
        <f t="shared" si="471"/>
        <v>0</v>
      </c>
      <c r="Y335">
        <f t="shared" si="472"/>
        <v>3444.9999999999268</v>
      </c>
      <c r="Z335">
        <f t="shared" si="473"/>
        <v>-16305.000000000135</v>
      </c>
      <c r="AA335">
        <f t="shared" si="474"/>
        <v>11999.999999999922</v>
      </c>
      <c r="AB335">
        <f t="shared" si="475"/>
        <v>-36512.000000000029</v>
      </c>
      <c r="AC335">
        <f t="shared" si="476"/>
        <v>24453.000000000073</v>
      </c>
      <c r="AD335">
        <f t="shared" si="477"/>
        <v>1206528.0000000012</v>
      </c>
      <c r="AE335">
        <f t="shared" si="478"/>
        <v>-12.999999999999989</v>
      </c>
      <c r="AF335">
        <f t="shared" si="479"/>
        <v>-654198.99999999942</v>
      </c>
      <c r="AG335">
        <f t="shared" si="480"/>
        <v>-303876.00000000029</v>
      </c>
      <c r="AH335">
        <f t="shared" si="481"/>
        <v>-11.000000000000032</v>
      </c>
      <c r="AI335">
        <f t="shared" si="482"/>
        <v>7.9766946034299652E-2</v>
      </c>
      <c r="AJ335">
        <f t="shared" si="483"/>
        <v>-214566.6622039926</v>
      </c>
      <c r="AK335">
        <f t="shared" si="484"/>
        <v>305285.01290947723</v>
      </c>
      <c r="AL335">
        <f t="shared" si="485"/>
        <v>-205054.72811150452</v>
      </c>
      <c r="AM335" s="1">
        <f t="shared" si="486"/>
        <v>-232679.03980707782</v>
      </c>
      <c r="AN335" s="1">
        <f t="shared" si="463"/>
        <v>-109282.33744615046</v>
      </c>
      <c r="AO335">
        <f t="shared" si="464"/>
        <v>-8.8220046646086736E-2</v>
      </c>
      <c r="AP335">
        <f t="shared" si="465"/>
        <v>1.485675162918086</v>
      </c>
    </row>
    <row r="336" spans="1:42" x14ac:dyDescent="0.25">
      <c r="A336" s="4">
        <v>45604</v>
      </c>
      <c r="B336">
        <f t="shared" ref="B336:N336" si="494">(B886-B885)*100</f>
        <v>-0.99999999999997868</v>
      </c>
      <c r="C336">
        <f t="shared" si="494"/>
        <v>0</v>
      </c>
      <c r="D336">
        <f t="shared" si="494"/>
        <v>0</v>
      </c>
      <c r="E336">
        <f t="shared" si="494"/>
        <v>-1.0000000000000675</v>
      </c>
      <c r="F336">
        <f t="shared" si="494"/>
        <v>-1.9999999999999574</v>
      </c>
      <c r="G336">
        <f t="shared" si="494"/>
        <v>-4.0000000000000036</v>
      </c>
      <c r="H336">
        <f t="shared" si="494"/>
        <v>-4.9999999999999822</v>
      </c>
      <c r="I336">
        <f t="shared" si="494"/>
        <v>-4.9999999999999822</v>
      </c>
      <c r="J336">
        <f t="shared" si="494"/>
        <v>-3.0000000000000249</v>
      </c>
      <c r="K336">
        <f t="shared" si="494"/>
        <v>0</v>
      </c>
      <c r="L336">
        <f t="shared" si="494"/>
        <v>0.99999999999997868</v>
      </c>
      <c r="M336">
        <f t="shared" si="494"/>
        <v>4.0000000000000036</v>
      </c>
      <c r="N336">
        <f t="shared" si="494"/>
        <v>4.9999999999999822</v>
      </c>
      <c r="O336" s="5">
        <f t="shared" si="493"/>
        <v>1.7923571553454084E-2</v>
      </c>
      <c r="P336" s="5">
        <f t="shared" si="493"/>
        <v>1.2568764735082545E-2</v>
      </c>
      <c r="Q336" s="5">
        <f t="shared" si="493"/>
        <v>-1.8348182726132357E-2</v>
      </c>
      <c r="R336" s="5">
        <f t="shared" si="493"/>
        <v>3.726381740813787E-3</v>
      </c>
      <c r="S336" s="5">
        <f t="shared" si="493"/>
        <v>1.6365081738964407E-2</v>
      </c>
      <c r="U336" s="4">
        <v>45604</v>
      </c>
      <c r="V336">
        <f t="shared" si="469"/>
        <v>3999.9999999999145</v>
      </c>
      <c r="W336">
        <f t="shared" si="470"/>
        <v>0</v>
      </c>
      <c r="X336">
        <f t="shared" si="471"/>
        <v>0</v>
      </c>
      <c r="Y336">
        <f t="shared" si="472"/>
        <v>3445.0000000002324</v>
      </c>
      <c r="Z336">
        <f t="shared" si="473"/>
        <v>-10869.999999999769</v>
      </c>
      <c r="AA336">
        <f t="shared" si="474"/>
        <v>8000.0000000000073</v>
      </c>
      <c r="AB336">
        <f t="shared" si="475"/>
        <v>-22819.99999999992</v>
      </c>
      <c r="AC336">
        <f t="shared" si="476"/>
        <v>11114.99999999996</v>
      </c>
      <c r="AD336">
        <f t="shared" si="477"/>
        <v>301632.0000000025</v>
      </c>
      <c r="AE336">
        <f t="shared" si="478"/>
        <v>0</v>
      </c>
      <c r="AF336">
        <f t="shared" si="479"/>
        <v>50322.99999999893</v>
      </c>
      <c r="AG336">
        <f t="shared" si="480"/>
        <v>101292.00000000009</v>
      </c>
      <c r="AH336">
        <f t="shared" si="481"/>
        <v>4.9999999999999822</v>
      </c>
      <c r="AI336">
        <f t="shared" si="482"/>
        <v>1.7923571553454083</v>
      </c>
      <c r="AJ336">
        <f t="shared" si="483"/>
        <v>-125687.64735082544</v>
      </c>
      <c r="AK336">
        <f t="shared" si="484"/>
        <v>-183481.82726132357</v>
      </c>
      <c r="AL336">
        <f t="shared" si="485"/>
        <v>-93159.543520344669</v>
      </c>
      <c r="AM336" s="1">
        <f t="shared" si="486"/>
        <v>-163650.81738964407</v>
      </c>
      <c r="AN336" s="1">
        <f t="shared" si="463"/>
        <v>-119856.04316498041</v>
      </c>
      <c r="AO336">
        <f t="shared" si="464"/>
        <v>-1.2402256059183157</v>
      </c>
      <c r="AP336">
        <f t="shared" si="465"/>
        <v>1.4850997330486779</v>
      </c>
    </row>
    <row r="337" spans="1:42" x14ac:dyDescent="0.25">
      <c r="A337" s="4">
        <v>45603</v>
      </c>
      <c r="B337">
        <f t="shared" ref="B337:N337" si="495">(B887-B886)*100</f>
        <v>-1.0000000000000675</v>
      </c>
      <c r="C337">
        <f t="shared" si="495"/>
        <v>1.9999999999999574</v>
      </c>
      <c r="D337">
        <f t="shared" si="495"/>
        <v>0.99999999999997868</v>
      </c>
      <c r="E337">
        <f t="shared" si="495"/>
        <v>2.0000000000000462</v>
      </c>
      <c r="F337">
        <f t="shared" si="495"/>
        <v>0.99999999999997868</v>
      </c>
      <c r="G337">
        <f t="shared" si="495"/>
        <v>2.9999999999999361</v>
      </c>
      <c r="H337">
        <f t="shared" si="495"/>
        <v>5.9999999999999609</v>
      </c>
      <c r="I337">
        <f t="shared" si="495"/>
        <v>7.0000000000000284</v>
      </c>
      <c r="J337">
        <f t="shared" si="495"/>
        <v>9.9999999999999645</v>
      </c>
      <c r="K337">
        <f t="shared" si="495"/>
        <v>12.000000000000011</v>
      </c>
      <c r="L337">
        <f t="shared" si="495"/>
        <v>11.000000000000032</v>
      </c>
      <c r="M337">
        <f t="shared" si="495"/>
        <v>8.9999999999999858</v>
      </c>
      <c r="N337">
        <f t="shared" si="495"/>
        <v>8.0000000000000071</v>
      </c>
      <c r="O337" s="5">
        <f t="shared" si="493"/>
        <v>-1.7923571553454157E-2</v>
      </c>
      <c r="P337" s="5">
        <f t="shared" si="493"/>
        <v>-2.4981514510179728E-2</v>
      </c>
      <c r="Q337" s="5">
        <f t="shared" si="493"/>
        <v>1.4245107012971901E-2</v>
      </c>
      <c r="R337" s="5">
        <f t="shared" si="493"/>
        <v>-6.9094083009347057E-3</v>
      </c>
      <c r="S337" s="5">
        <f t="shared" si="493"/>
        <v>-1.4937954185097071E-2</v>
      </c>
      <c r="U337" s="4">
        <v>45603</v>
      </c>
      <c r="V337">
        <f t="shared" si="469"/>
        <v>4000.0000000002701</v>
      </c>
      <c r="W337">
        <f t="shared" si="470"/>
        <v>-4445.9999999999054</v>
      </c>
      <c r="X337">
        <f t="shared" si="471"/>
        <v>4589.9999999999018</v>
      </c>
      <c r="Y337">
        <f t="shared" si="472"/>
        <v>-6890.0000000001592</v>
      </c>
      <c r="Z337">
        <f t="shared" si="473"/>
        <v>5434.9999999998845</v>
      </c>
      <c r="AA337">
        <f t="shared" si="474"/>
        <v>-5999.9999999998718</v>
      </c>
      <c r="AB337">
        <f t="shared" si="475"/>
        <v>27383.999999999822</v>
      </c>
      <c r="AC337">
        <f t="shared" si="476"/>
        <v>-15561.000000000064</v>
      </c>
      <c r="AD337">
        <f t="shared" si="477"/>
        <v>-1005439.9999999964</v>
      </c>
      <c r="AE337">
        <f t="shared" si="478"/>
        <v>12.000000000000011</v>
      </c>
      <c r="AF337">
        <f t="shared" si="479"/>
        <v>553553.00000000163</v>
      </c>
      <c r="AG337">
        <f t="shared" si="480"/>
        <v>227906.99999999965</v>
      </c>
      <c r="AH337">
        <f t="shared" si="481"/>
        <v>8.0000000000000071</v>
      </c>
      <c r="AI337">
        <f t="shared" si="482"/>
        <v>-1.7923571553454156</v>
      </c>
      <c r="AJ337">
        <f t="shared" si="483"/>
        <v>249815.14510179727</v>
      </c>
      <c r="AK337">
        <f t="shared" si="484"/>
        <v>142451.07012971901</v>
      </c>
      <c r="AL337">
        <f t="shared" si="485"/>
        <v>172735.20752336763</v>
      </c>
      <c r="AM337" s="1">
        <f t="shared" si="486"/>
        <v>149379.54185097071</v>
      </c>
      <c r="AN337" s="1">
        <f t="shared" si="463"/>
        <v>498931.17224870401</v>
      </c>
      <c r="AO337">
        <f t="shared" si="464"/>
        <v>-3.1585899432332618</v>
      </c>
      <c r="AP337">
        <f t="shared" si="465"/>
        <v>1.5072612366013505</v>
      </c>
    </row>
    <row r="338" spans="1:42" x14ac:dyDescent="0.25">
      <c r="A338" s="4">
        <v>45602</v>
      </c>
      <c r="B338">
        <f t="shared" ref="B338:N338" si="496">(B888-B887)*100</f>
        <v>4.0000000000000036</v>
      </c>
      <c r="C338">
        <f t="shared" si="496"/>
        <v>0.99999999999997868</v>
      </c>
      <c r="D338">
        <f t="shared" si="496"/>
        <v>0</v>
      </c>
      <c r="E338">
        <f t="shared" si="496"/>
        <v>-4.9999999999999822</v>
      </c>
      <c r="F338">
        <f t="shared" si="496"/>
        <v>-2.0000000000000462</v>
      </c>
      <c r="G338">
        <f t="shared" si="496"/>
        <v>-4.0000000000000036</v>
      </c>
      <c r="H338">
        <f t="shared" si="496"/>
        <v>-7.9999999999999183</v>
      </c>
      <c r="I338">
        <f t="shared" si="496"/>
        <v>-8.9999999999999858</v>
      </c>
      <c r="J338">
        <f t="shared" si="496"/>
        <v>-10.999999999999943</v>
      </c>
      <c r="K338">
        <f t="shared" si="496"/>
        <v>-15.000000000000036</v>
      </c>
      <c r="L338">
        <f t="shared" si="496"/>
        <v>-16.000000000000014</v>
      </c>
      <c r="M338">
        <f t="shared" si="496"/>
        <v>-16.000000000000014</v>
      </c>
      <c r="N338">
        <f t="shared" si="496"/>
        <v>-15.999999999999925</v>
      </c>
      <c r="O338" s="5">
        <f t="shared" si="493"/>
        <v>-3.4289310404515463E-3</v>
      </c>
      <c r="P338" s="5">
        <f t="shared" si="493"/>
        <v>1.9389409935397514E-3</v>
      </c>
      <c r="Q338" s="5">
        <f t="shared" si="493"/>
        <v>-1.7159841820081553E-3</v>
      </c>
      <c r="R338" s="5">
        <f t="shared" si="493"/>
        <v>1.0598835120432524E-3</v>
      </c>
      <c r="S338" s="5">
        <f t="shared" si="493"/>
        <v>4.3334858894274698E-3</v>
      </c>
      <c r="U338" s="4">
        <v>45602</v>
      </c>
      <c r="V338">
        <f t="shared" si="469"/>
        <v>-16000.000000000015</v>
      </c>
      <c r="W338">
        <f t="shared" si="470"/>
        <v>-2222.9999999999527</v>
      </c>
      <c r="X338">
        <f t="shared" si="471"/>
        <v>0</v>
      </c>
      <c r="Y338">
        <f t="shared" si="472"/>
        <v>17224.999999999938</v>
      </c>
      <c r="Z338">
        <f t="shared" si="473"/>
        <v>-10870.000000000251</v>
      </c>
      <c r="AA338">
        <f t="shared" si="474"/>
        <v>8000.0000000000073</v>
      </c>
      <c r="AB338">
        <f t="shared" si="475"/>
        <v>-36511.999999999629</v>
      </c>
      <c r="AC338">
        <f t="shared" si="476"/>
        <v>20006.999999999967</v>
      </c>
      <c r="AD338">
        <f t="shared" si="477"/>
        <v>1105983.9999999942</v>
      </c>
      <c r="AE338">
        <f t="shared" si="478"/>
        <v>-15.000000000000036</v>
      </c>
      <c r="AF338">
        <f t="shared" si="479"/>
        <v>-805168.0000000007</v>
      </c>
      <c r="AG338">
        <f t="shared" si="480"/>
        <v>-405168.00000000035</v>
      </c>
      <c r="AH338">
        <f t="shared" si="481"/>
        <v>-15.999999999999925</v>
      </c>
      <c r="AI338">
        <f t="shared" si="482"/>
        <v>-0.34289310404515461</v>
      </c>
      <c r="AJ338">
        <f t="shared" si="483"/>
        <v>-19389.409935397514</v>
      </c>
      <c r="AK338">
        <f t="shared" si="484"/>
        <v>-17159.841820081554</v>
      </c>
      <c r="AL338">
        <f t="shared" si="485"/>
        <v>-26497.08780108131</v>
      </c>
      <c r="AM338" s="1">
        <f t="shared" si="486"/>
        <v>-43334.858894274701</v>
      </c>
      <c r="AN338" s="1">
        <f t="shared" si="463"/>
        <v>-231137.54134394595</v>
      </c>
      <c r="AO338">
        <f t="shared" si="464"/>
        <v>-1.7559792029768935</v>
      </c>
      <c r="AP338">
        <f t="shared" si="465"/>
        <v>1.5304318587700887</v>
      </c>
    </row>
    <row r="339" spans="1:42" x14ac:dyDescent="0.25">
      <c r="A339" s="4">
        <v>45601</v>
      </c>
      <c r="B339">
        <f t="shared" ref="B339:N339" si="497">(B889-B888)*100</f>
        <v>3.0000000000000249</v>
      </c>
      <c r="C339">
        <f t="shared" si="497"/>
        <v>2.0000000000000462</v>
      </c>
      <c r="D339">
        <f t="shared" si="497"/>
        <v>1.0000000000000675</v>
      </c>
      <c r="E339">
        <f t="shared" si="497"/>
        <v>1.9999999999999574</v>
      </c>
      <c r="F339">
        <f t="shared" si="497"/>
        <v>0</v>
      </c>
      <c r="G339">
        <f t="shared" si="497"/>
        <v>-1.9999999999999574</v>
      </c>
      <c r="H339">
        <f t="shared" si="497"/>
        <v>-2.0000000000000462</v>
      </c>
      <c r="I339">
        <f t="shared" si="497"/>
        <v>-1.0000000000000675</v>
      </c>
      <c r="J339">
        <f t="shared" si="497"/>
        <v>0.99999999999997868</v>
      </c>
      <c r="K339">
        <f t="shared" si="497"/>
        <v>2.0000000000000462</v>
      </c>
      <c r="L339">
        <f t="shared" si="497"/>
        <v>4.9999999999999822</v>
      </c>
      <c r="M339">
        <f t="shared" si="497"/>
        <v>4.9999999999999822</v>
      </c>
      <c r="N339">
        <f t="shared" si="497"/>
        <v>5.9999999999999609</v>
      </c>
      <c r="O339" s="5">
        <f t="shared" si="493"/>
        <v>-8.9858133886787698E-4</v>
      </c>
      <c r="P339" s="5">
        <f t="shared" si="493"/>
        <v>-6.3245163380054445E-3</v>
      </c>
      <c r="Q339" s="5">
        <f t="shared" si="493"/>
        <v>-4.9535252996584286E-3</v>
      </c>
      <c r="R339" s="5">
        <f t="shared" si="493"/>
        <v>0</v>
      </c>
      <c r="S339" s="5">
        <f t="shared" si="493"/>
        <v>-3.5993078877414849E-3</v>
      </c>
      <c r="U339" s="4">
        <v>45601</v>
      </c>
      <c r="V339">
        <f t="shared" si="469"/>
        <v>-12000.0000000001</v>
      </c>
      <c r="W339">
        <f t="shared" si="470"/>
        <v>-4446.0000000001028</v>
      </c>
      <c r="X339">
        <f t="shared" si="471"/>
        <v>4590.0000000003101</v>
      </c>
      <c r="Y339">
        <f t="shared" si="472"/>
        <v>-6889.9999999998536</v>
      </c>
      <c r="Z339">
        <f t="shared" si="473"/>
        <v>0</v>
      </c>
      <c r="AA339">
        <f t="shared" si="474"/>
        <v>3999.9999999999145</v>
      </c>
      <c r="AB339">
        <f t="shared" si="475"/>
        <v>-9128.000000000211</v>
      </c>
      <c r="AC339">
        <f t="shared" si="476"/>
        <v>2223.0000000001501</v>
      </c>
      <c r="AD339">
        <f t="shared" si="477"/>
        <v>-100543.99999999786</v>
      </c>
      <c r="AE339">
        <f t="shared" si="478"/>
        <v>2.0000000000000462</v>
      </c>
      <c r="AF339">
        <f t="shared" si="479"/>
        <v>251614.9999999991</v>
      </c>
      <c r="AG339">
        <f t="shared" si="480"/>
        <v>126614.99999999955</v>
      </c>
      <c r="AH339">
        <f t="shared" si="481"/>
        <v>5.9999999999999609</v>
      </c>
      <c r="AI339">
        <f t="shared" si="482"/>
        <v>-8.9858133886787692E-2</v>
      </c>
      <c r="AJ339">
        <f t="shared" si="483"/>
        <v>63245.163380054444</v>
      </c>
      <c r="AK339">
        <f t="shared" si="484"/>
        <v>-49535.252996584284</v>
      </c>
      <c r="AL339">
        <f t="shared" si="485"/>
        <v>0</v>
      </c>
      <c r="AM339" s="1">
        <f t="shared" si="486"/>
        <v>35993.078877414846</v>
      </c>
      <c r="AN339" s="1">
        <f t="shared" si="463"/>
        <v>305745.89940275199</v>
      </c>
      <c r="AO339">
        <f t="shared" si="464"/>
        <v>0.85433832426961831</v>
      </c>
      <c r="AP339">
        <f t="shared" si="465"/>
        <v>1.5187710851578138</v>
      </c>
    </row>
    <row r="340" spans="1:42" x14ac:dyDescent="0.25">
      <c r="A340" s="4">
        <v>45600</v>
      </c>
      <c r="B340">
        <f t="shared" ref="B340:N340" si="498">(B890-B889)*100</f>
        <v>0</v>
      </c>
      <c r="C340">
        <f t="shared" si="498"/>
        <v>0</v>
      </c>
      <c r="D340">
        <f t="shared" si="498"/>
        <v>-4.0000000000000036</v>
      </c>
      <c r="E340">
        <f t="shared" si="498"/>
        <v>2.0000000000000462</v>
      </c>
      <c r="F340">
        <f t="shared" si="498"/>
        <v>3.0000000000000249</v>
      </c>
      <c r="G340">
        <f t="shared" si="498"/>
        <v>3.0000000000000249</v>
      </c>
      <c r="H340">
        <f t="shared" si="498"/>
        <v>4.0000000000000036</v>
      </c>
      <c r="I340">
        <f t="shared" si="498"/>
        <v>8.0000000000000071</v>
      </c>
      <c r="J340">
        <f t="shared" si="498"/>
        <v>4.9999999999999822</v>
      </c>
      <c r="K340">
        <f t="shared" si="498"/>
        <v>5.9999999999999609</v>
      </c>
      <c r="L340">
        <f t="shared" si="498"/>
        <v>6.0000000000000497</v>
      </c>
      <c r="M340">
        <f t="shared" si="498"/>
        <v>8.0000000000000071</v>
      </c>
      <c r="N340">
        <f t="shared" si="498"/>
        <v>7.0000000000000284</v>
      </c>
      <c r="O340" s="5">
        <f t="shared" si="493"/>
        <v>-3.0181543197221137E-3</v>
      </c>
      <c r="P340" s="5">
        <f t="shared" si="493"/>
        <v>0</v>
      </c>
      <c r="Q340" s="5">
        <f t="shared" si="493"/>
        <v>1.0877744300651009E-2</v>
      </c>
      <c r="R340" s="5">
        <f t="shared" si="493"/>
        <v>-2.6507621096244569E-4</v>
      </c>
      <c r="S340" s="5">
        <f t="shared" si="493"/>
        <v>-6.2135353763252323E-3</v>
      </c>
      <c r="U340" s="4">
        <v>45600</v>
      </c>
      <c r="V340">
        <f t="shared" si="469"/>
        <v>0</v>
      </c>
      <c r="W340">
        <f t="shared" si="470"/>
        <v>0</v>
      </c>
      <c r="X340">
        <f t="shared" si="471"/>
        <v>-18360.000000000015</v>
      </c>
      <c r="Y340">
        <f t="shared" si="472"/>
        <v>-6890.0000000001592</v>
      </c>
      <c r="Z340">
        <f t="shared" si="473"/>
        <v>16305.000000000135</v>
      </c>
      <c r="AA340">
        <f t="shared" si="474"/>
        <v>-6000.00000000005</v>
      </c>
      <c r="AB340">
        <f t="shared" si="475"/>
        <v>18256.000000000015</v>
      </c>
      <c r="AC340">
        <f t="shared" si="476"/>
        <v>-17784.000000000015</v>
      </c>
      <c r="AD340">
        <f t="shared" si="477"/>
        <v>-502719.9999999982</v>
      </c>
      <c r="AE340">
        <f t="shared" si="478"/>
        <v>5.9999999999999609</v>
      </c>
      <c r="AF340">
        <f t="shared" si="479"/>
        <v>301938.0000000025</v>
      </c>
      <c r="AG340">
        <f t="shared" si="480"/>
        <v>202584.00000000017</v>
      </c>
      <c r="AH340">
        <f t="shared" si="481"/>
        <v>7.0000000000000284</v>
      </c>
      <c r="AI340">
        <f t="shared" si="482"/>
        <v>-0.30181543197221139</v>
      </c>
      <c r="AJ340">
        <f t="shared" si="483"/>
        <v>0</v>
      </c>
      <c r="AK340">
        <f t="shared" si="484"/>
        <v>108777.44300651009</v>
      </c>
      <c r="AL340">
        <f t="shared" si="485"/>
        <v>6626.9052740611423</v>
      </c>
      <c r="AM340" s="1">
        <f t="shared" si="486"/>
        <v>62135.353763252322</v>
      </c>
      <c r="AN340" s="1">
        <f t="shared" si="463"/>
        <v>164881.40022839594</v>
      </c>
      <c r="AO340">
        <f t="shared" si="464"/>
        <v>-2.0082152664661779</v>
      </c>
      <c r="AP340">
        <f t="shared" si="465"/>
        <v>1.6965423818069298</v>
      </c>
    </row>
    <row r="341" spans="1:42" x14ac:dyDescent="0.25">
      <c r="A341" s="4">
        <v>45597</v>
      </c>
      <c r="B341">
        <f t="shared" ref="B341:N341" si="499">(B891-B890)*100</f>
        <v>0.99999999999997868</v>
      </c>
      <c r="C341">
        <f t="shared" si="499"/>
        <v>1.9999999999999574</v>
      </c>
      <c r="D341">
        <f t="shared" si="499"/>
        <v>2.9999999999999361</v>
      </c>
      <c r="E341">
        <f t="shared" si="499"/>
        <v>2.9999999999999361</v>
      </c>
      <c r="F341">
        <f t="shared" si="499"/>
        <v>0.99999999999997868</v>
      </c>
      <c r="G341">
        <f t="shared" si="499"/>
        <v>-1.0000000000000675</v>
      </c>
      <c r="H341">
        <f t="shared" si="499"/>
        <v>-4.9999999999999822</v>
      </c>
      <c r="I341">
        <f t="shared" si="499"/>
        <v>-5.9999999999999609</v>
      </c>
      <c r="J341">
        <f t="shared" si="499"/>
        <v>-6.9999999999999396</v>
      </c>
      <c r="K341">
        <f t="shared" si="499"/>
        <v>-8.9999999999999858</v>
      </c>
      <c r="L341">
        <f t="shared" si="499"/>
        <v>-8.9999999999999858</v>
      </c>
      <c r="M341">
        <f t="shared" si="499"/>
        <v>-9.9999999999999645</v>
      </c>
      <c r="N341">
        <f t="shared" si="499"/>
        <v>-10.000000000000053</v>
      </c>
      <c r="O341" s="5">
        <f t="shared" si="493"/>
        <v>5.0757148488566146E-3</v>
      </c>
      <c r="P341" s="5">
        <f t="shared" si="493"/>
        <v>2.2129897930361101E-3</v>
      </c>
      <c r="Q341" s="5">
        <f t="shared" si="493"/>
        <v>0</v>
      </c>
      <c r="R341" s="5">
        <f t="shared" si="493"/>
        <v>0</v>
      </c>
      <c r="S341" s="5">
        <f t="shared" si="493"/>
        <v>1.3200250250234323E-2</v>
      </c>
      <c r="U341" s="4">
        <v>45597</v>
      </c>
      <c r="V341">
        <f t="shared" si="469"/>
        <v>-3999.9999999999145</v>
      </c>
      <c r="W341">
        <f t="shared" si="470"/>
        <v>-4445.9999999999054</v>
      </c>
      <c r="X341">
        <f t="shared" si="471"/>
        <v>13769.999999999707</v>
      </c>
      <c r="Y341">
        <f t="shared" si="472"/>
        <v>-10334.99999999978</v>
      </c>
      <c r="Z341">
        <f t="shared" si="473"/>
        <v>5434.9999999998845</v>
      </c>
      <c r="AA341">
        <f t="shared" si="474"/>
        <v>2000.0000000001351</v>
      </c>
      <c r="AB341">
        <f t="shared" si="475"/>
        <v>-22819.99999999992</v>
      </c>
      <c r="AC341">
        <f t="shared" si="476"/>
        <v>13337.999999999913</v>
      </c>
      <c r="AD341">
        <f t="shared" si="477"/>
        <v>703807.99999999395</v>
      </c>
      <c r="AE341">
        <f t="shared" si="478"/>
        <v>-8.9999999999999858</v>
      </c>
      <c r="AF341">
        <f t="shared" si="479"/>
        <v>-452906.9999999993</v>
      </c>
      <c r="AG341">
        <f t="shared" si="480"/>
        <v>-253229.9999999991</v>
      </c>
      <c r="AH341">
        <f t="shared" si="481"/>
        <v>-10.000000000000053</v>
      </c>
      <c r="AI341">
        <f t="shared" si="482"/>
        <v>0.50757148488566151</v>
      </c>
      <c r="AJ341">
        <f t="shared" si="483"/>
        <v>-22129.897930361101</v>
      </c>
      <c r="AK341">
        <f t="shared" si="484"/>
        <v>0</v>
      </c>
      <c r="AL341">
        <f t="shared" si="485"/>
        <v>0</v>
      </c>
      <c r="AM341" s="1">
        <f t="shared" si="486"/>
        <v>-132002.50250234324</v>
      </c>
      <c r="AN341" s="1">
        <f t="shared" si="463"/>
        <v>-163537.89286122378</v>
      </c>
      <c r="AO341">
        <f t="shared" si="464"/>
        <v>-1.9371905329809302</v>
      </c>
      <c r="AP341">
        <f t="shared" si="465"/>
        <v>1.6796252091978712</v>
      </c>
    </row>
    <row r="342" spans="1:42" x14ac:dyDescent="0.25">
      <c r="A342" s="4">
        <v>45596</v>
      </c>
      <c r="B342">
        <f t="shared" ref="B342:N342" si="500">(B892-B891)*100</f>
        <v>11.000000000000032</v>
      </c>
      <c r="C342">
        <f t="shared" si="500"/>
        <v>0.99999999999997868</v>
      </c>
      <c r="D342">
        <f t="shared" si="500"/>
        <v>3.0000000000000249</v>
      </c>
      <c r="E342">
        <f t="shared" si="500"/>
        <v>1.0000000000000675</v>
      </c>
      <c r="F342">
        <f t="shared" si="500"/>
        <v>1.0000000000000675</v>
      </c>
      <c r="G342">
        <f t="shared" si="500"/>
        <v>1.0000000000000675</v>
      </c>
      <c r="H342">
        <f t="shared" si="500"/>
        <v>-0.99999999999997868</v>
      </c>
      <c r="I342">
        <f t="shared" si="500"/>
        <v>1.9999999999999574</v>
      </c>
      <c r="J342">
        <f t="shared" si="500"/>
        <v>-1.0000000000000675</v>
      </c>
      <c r="K342">
        <f t="shared" si="500"/>
        <v>-0.99999999999997868</v>
      </c>
      <c r="L342">
        <f t="shared" si="500"/>
        <v>0.99999999999997868</v>
      </c>
      <c r="M342">
        <f t="shared" si="500"/>
        <v>1.9999999999999574</v>
      </c>
      <c r="N342">
        <f t="shared" si="500"/>
        <v>2.0000000000000462</v>
      </c>
      <c r="O342" s="5">
        <f t="shared" si="493"/>
        <v>-3.8070846843966765E-4</v>
      </c>
      <c r="P342" s="5">
        <f t="shared" si="493"/>
        <v>1.1422820868941099E-3</v>
      </c>
      <c r="Q342" s="5">
        <f t="shared" si="493"/>
        <v>0</v>
      </c>
      <c r="R342" s="5">
        <f t="shared" si="493"/>
        <v>2.1225797303164166E-3</v>
      </c>
      <c r="S342" s="5">
        <f t="shared" si="493"/>
        <v>-7.8944372724061157E-3</v>
      </c>
      <c r="U342" s="4">
        <v>45596</v>
      </c>
      <c r="V342">
        <f t="shared" si="469"/>
        <v>-44000.000000000131</v>
      </c>
      <c r="W342">
        <f t="shared" si="470"/>
        <v>-2222.9999999999527</v>
      </c>
      <c r="X342">
        <f t="shared" si="471"/>
        <v>13770.000000000115</v>
      </c>
      <c r="Y342">
        <f t="shared" si="472"/>
        <v>-3445.0000000002324</v>
      </c>
      <c r="Z342">
        <f t="shared" si="473"/>
        <v>5435.0000000003665</v>
      </c>
      <c r="AA342">
        <f t="shared" si="474"/>
        <v>-2000.0000000001351</v>
      </c>
      <c r="AB342">
        <f t="shared" si="475"/>
        <v>-4563.9999999999027</v>
      </c>
      <c r="AC342">
        <f t="shared" si="476"/>
        <v>-4445.9999999999054</v>
      </c>
      <c r="AD342">
        <f t="shared" si="477"/>
        <v>100544.00000000678</v>
      </c>
      <c r="AE342">
        <f t="shared" si="478"/>
        <v>-0.99999999999997868</v>
      </c>
      <c r="AF342">
        <f t="shared" si="479"/>
        <v>50322.99999999893</v>
      </c>
      <c r="AG342">
        <f t="shared" si="480"/>
        <v>50645.999999998923</v>
      </c>
      <c r="AH342">
        <f t="shared" si="481"/>
        <v>2.0000000000000462</v>
      </c>
      <c r="AI342">
        <f t="shared" si="482"/>
        <v>-3.8070846843966763E-2</v>
      </c>
      <c r="AJ342">
        <f t="shared" si="483"/>
        <v>-11422.820868941099</v>
      </c>
      <c r="AK342">
        <f t="shared" si="484"/>
        <v>0</v>
      </c>
      <c r="AL342">
        <f t="shared" si="485"/>
        <v>-53064.493257910413</v>
      </c>
      <c r="AM342" s="1">
        <f t="shared" si="486"/>
        <v>78944.372724061162</v>
      </c>
      <c r="AN342" s="1">
        <f t="shared" si="463"/>
        <v>174498.02052636765</v>
      </c>
      <c r="AO342">
        <f t="shared" si="464"/>
        <v>-0.30264269911333208</v>
      </c>
      <c r="AP342">
        <f t="shared" si="465"/>
        <v>1.6831247606846635</v>
      </c>
    </row>
    <row r="343" spans="1:42" x14ac:dyDescent="0.25">
      <c r="A343" s="4">
        <v>45595</v>
      </c>
      <c r="B343">
        <f t="shared" ref="B343:N343" si="501">(B893-B892)*100</f>
        <v>0.99999999999997868</v>
      </c>
      <c r="C343">
        <f t="shared" si="501"/>
        <v>0</v>
      </c>
      <c r="D343">
        <f t="shared" si="501"/>
        <v>3.0000000000000249</v>
      </c>
      <c r="E343">
        <f t="shared" si="501"/>
        <v>6.9999999999999396</v>
      </c>
      <c r="F343">
        <f t="shared" si="501"/>
        <v>0.99999999999997868</v>
      </c>
      <c r="G343">
        <f t="shared" si="501"/>
        <v>0.99999999999997868</v>
      </c>
      <c r="H343">
        <f t="shared" si="501"/>
        <v>-4.0000000000000036</v>
      </c>
      <c r="I343">
        <f t="shared" si="501"/>
        <v>-5.9999999999999609</v>
      </c>
      <c r="J343">
        <f t="shared" si="501"/>
        <v>-2.9999999999999361</v>
      </c>
      <c r="K343">
        <f t="shared" si="501"/>
        <v>-2.0000000000000462</v>
      </c>
      <c r="L343">
        <f t="shared" si="501"/>
        <v>-0.99999999999997868</v>
      </c>
      <c r="M343">
        <f t="shared" si="501"/>
        <v>1.0000000000000675</v>
      </c>
      <c r="N343">
        <f t="shared" si="501"/>
        <v>2.9999999999999361</v>
      </c>
      <c r="O343" s="5">
        <f t="shared" si="493"/>
        <v>1.1502280204356842E-2</v>
      </c>
      <c r="P343" s="5">
        <f t="shared" si="493"/>
        <v>5.4351968318465498E-3</v>
      </c>
      <c r="Q343" s="5">
        <f t="shared" si="493"/>
        <v>5.2826770257143139E-3</v>
      </c>
      <c r="R343" s="5">
        <f t="shared" si="493"/>
        <v>-1.3271402080624634E-3</v>
      </c>
      <c r="S343" s="5">
        <f t="shared" si="493"/>
        <v>4.2231890661062043E-3</v>
      </c>
      <c r="U343" s="4">
        <v>45595</v>
      </c>
      <c r="V343">
        <f t="shared" si="469"/>
        <v>-3999.9999999999145</v>
      </c>
      <c r="W343">
        <f t="shared" si="470"/>
        <v>0</v>
      </c>
      <c r="X343">
        <f t="shared" si="471"/>
        <v>13770.000000000115</v>
      </c>
      <c r="Y343">
        <f t="shared" si="472"/>
        <v>-24114.999999999793</v>
      </c>
      <c r="Z343">
        <f t="shared" si="473"/>
        <v>5434.9999999998845</v>
      </c>
      <c r="AA343">
        <f t="shared" si="474"/>
        <v>-1999.9999999999573</v>
      </c>
      <c r="AB343">
        <f t="shared" si="475"/>
        <v>-18256.000000000015</v>
      </c>
      <c r="AC343">
        <f t="shared" si="476"/>
        <v>13337.999999999913</v>
      </c>
      <c r="AD343">
        <f t="shared" si="477"/>
        <v>301631.9999999936</v>
      </c>
      <c r="AE343">
        <f t="shared" si="478"/>
        <v>-2.0000000000000462</v>
      </c>
      <c r="AF343">
        <f t="shared" si="479"/>
        <v>-50322.99999999893</v>
      </c>
      <c r="AG343">
        <f t="shared" si="480"/>
        <v>25323.00000000171</v>
      </c>
      <c r="AH343">
        <f t="shared" si="481"/>
        <v>2.9999999999999361</v>
      </c>
      <c r="AI343">
        <f t="shared" si="482"/>
        <v>1.1502280204356843</v>
      </c>
      <c r="AJ343">
        <f t="shared" si="483"/>
        <v>-54351.9683184655</v>
      </c>
      <c r="AK343">
        <f t="shared" si="484"/>
        <v>52826.770257143136</v>
      </c>
      <c r="AL343">
        <f t="shared" si="485"/>
        <v>33178.505201561587</v>
      </c>
      <c r="AM343" s="1">
        <f t="shared" si="486"/>
        <v>-42231.89066106204</v>
      </c>
      <c r="AN343" s="1">
        <f t="shared" si="463"/>
        <v>250227.56670719426</v>
      </c>
      <c r="AO343">
        <f t="shared" si="464"/>
        <v>-2.0662754292284875</v>
      </c>
      <c r="AP343">
        <f t="shared" si="465"/>
        <v>1.6986079325879282</v>
      </c>
    </row>
    <row r="344" spans="1:42" x14ac:dyDescent="0.25">
      <c r="A344" s="4">
        <v>45594</v>
      </c>
      <c r="B344">
        <f t="shared" ref="B344:N344" si="502">(B894-B893)*100</f>
        <v>0</v>
      </c>
      <c r="C344">
        <f t="shared" si="502"/>
        <v>0</v>
      </c>
      <c r="D344">
        <f t="shared" si="502"/>
        <v>0</v>
      </c>
      <c r="E344">
        <f t="shared" si="502"/>
        <v>1.0000000000000675</v>
      </c>
      <c r="F344">
        <f t="shared" si="502"/>
        <v>0.99999999999997868</v>
      </c>
      <c r="G344">
        <f t="shared" si="502"/>
        <v>-0.99999999999997868</v>
      </c>
      <c r="H344">
        <f t="shared" si="502"/>
        <v>0.99999999999997868</v>
      </c>
      <c r="I344">
        <f t="shared" si="502"/>
        <v>0.99999999999997868</v>
      </c>
      <c r="J344">
        <f t="shared" si="502"/>
        <v>0</v>
      </c>
      <c r="K344">
        <f t="shared" si="502"/>
        <v>1.0000000000000675</v>
      </c>
      <c r="L344">
        <f t="shared" si="502"/>
        <v>0</v>
      </c>
      <c r="M344">
        <f t="shared" si="502"/>
        <v>0</v>
      </c>
      <c r="N344">
        <f t="shared" si="502"/>
        <v>1.0000000000000675</v>
      </c>
      <c r="O344" s="5">
        <f t="shared" si="493"/>
        <v>2.6638174914860912E-3</v>
      </c>
      <c r="P344" s="5">
        <f t="shared" si="493"/>
        <v>1.3170894169333557E-2</v>
      </c>
      <c r="Q344" s="5">
        <f t="shared" si="493"/>
        <v>-3.6512951995511184E-3</v>
      </c>
      <c r="R344" s="5">
        <f t="shared" si="493"/>
        <v>1.8584898486191852E-3</v>
      </c>
      <c r="S344" s="5">
        <f t="shared" si="493"/>
        <v>2.6323545345208303E-3</v>
      </c>
      <c r="U344" s="4">
        <v>45594</v>
      </c>
      <c r="V344">
        <f t="shared" si="469"/>
        <v>0</v>
      </c>
      <c r="W344">
        <f t="shared" si="470"/>
        <v>0</v>
      </c>
      <c r="X344">
        <f t="shared" si="471"/>
        <v>0</v>
      </c>
      <c r="Y344">
        <f t="shared" si="472"/>
        <v>-3445.0000000002324</v>
      </c>
      <c r="Z344">
        <f t="shared" si="473"/>
        <v>5434.9999999998845</v>
      </c>
      <c r="AA344">
        <f t="shared" si="474"/>
        <v>1999.9999999999573</v>
      </c>
      <c r="AB344">
        <f t="shared" si="475"/>
        <v>4563.9999999999027</v>
      </c>
      <c r="AC344">
        <f t="shared" si="476"/>
        <v>-2222.9999999999527</v>
      </c>
      <c r="AD344">
        <f t="shared" si="477"/>
        <v>0</v>
      </c>
      <c r="AE344">
        <f t="shared" si="478"/>
        <v>1.0000000000000675</v>
      </c>
      <c r="AF344">
        <f t="shared" si="479"/>
        <v>0</v>
      </c>
      <c r="AG344">
        <f t="shared" si="480"/>
        <v>0</v>
      </c>
      <c r="AH344">
        <f t="shared" si="481"/>
        <v>1.0000000000000675</v>
      </c>
      <c r="AI344">
        <f t="shared" si="482"/>
        <v>0.26638174914860913</v>
      </c>
      <c r="AJ344">
        <f t="shared" si="483"/>
        <v>-131708.94169333557</v>
      </c>
      <c r="AK344">
        <f t="shared" si="484"/>
        <v>-36512.951995511183</v>
      </c>
      <c r="AL344">
        <f t="shared" si="485"/>
        <v>-46462.24621547963</v>
      </c>
      <c r="AM344" s="1">
        <f t="shared" si="486"/>
        <v>-26323.545345208302</v>
      </c>
      <c r="AN344" s="1">
        <f t="shared" si="463"/>
        <v>-234674.41886778595</v>
      </c>
      <c r="AO344">
        <f t="shared" si="464"/>
        <v>-2.0094073362570342</v>
      </c>
      <c r="AP344">
        <f t="shared" si="465"/>
        <v>1.718918118484009</v>
      </c>
    </row>
    <row r="345" spans="1:42" x14ac:dyDescent="0.25">
      <c r="A345" s="4">
        <v>45593</v>
      </c>
      <c r="B345">
        <f t="shared" ref="B345:N345" si="503">(B895-B894)*100</f>
        <v>0.99999999999997868</v>
      </c>
      <c r="C345">
        <f t="shared" si="503"/>
        <v>2.0000000000000462</v>
      </c>
      <c r="D345">
        <f t="shared" si="503"/>
        <v>3.0000000000000249</v>
      </c>
      <c r="E345">
        <f t="shared" si="503"/>
        <v>2.9999999999999361</v>
      </c>
      <c r="F345">
        <f t="shared" si="503"/>
        <v>4.9999999999999822</v>
      </c>
      <c r="G345">
        <f t="shared" si="503"/>
        <v>0.99999999999997868</v>
      </c>
      <c r="H345">
        <f t="shared" si="503"/>
        <v>-0.99999999999997868</v>
      </c>
      <c r="I345">
        <f t="shared" si="503"/>
        <v>-4.0000000000000036</v>
      </c>
      <c r="J345">
        <f t="shared" si="503"/>
        <v>-4.0000000000000036</v>
      </c>
      <c r="K345">
        <f t="shared" si="503"/>
        <v>-4.0000000000000036</v>
      </c>
      <c r="L345">
        <f t="shared" si="503"/>
        <v>-3.0000000000000249</v>
      </c>
      <c r="M345">
        <f t="shared" si="503"/>
        <v>-3.0000000000000249</v>
      </c>
      <c r="N345">
        <f t="shared" si="503"/>
        <v>-2.0000000000000462</v>
      </c>
      <c r="O345" s="5">
        <f t="shared" ref="O345:S354" si="504">LN(O894/O895)</f>
        <v>3.3347667288706039E-4</v>
      </c>
      <c r="P345" s="5">
        <f t="shared" si="504"/>
        <v>1.1535357144850499E-3</v>
      </c>
      <c r="Q345" s="5">
        <f t="shared" si="504"/>
        <v>4.2752475879049489E-3</v>
      </c>
      <c r="R345" s="5">
        <f t="shared" si="504"/>
        <v>-1.3278451028163934E-3</v>
      </c>
      <c r="S345" s="5">
        <f t="shared" si="504"/>
        <v>3.1649947295470252E-3</v>
      </c>
      <c r="U345" s="4">
        <v>45593</v>
      </c>
      <c r="V345">
        <f t="shared" si="469"/>
        <v>-3999.9999999999145</v>
      </c>
      <c r="W345">
        <f t="shared" si="470"/>
        <v>-4446.0000000001028</v>
      </c>
      <c r="X345">
        <f t="shared" si="471"/>
        <v>13770.000000000115</v>
      </c>
      <c r="Y345">
        <f t="shared" si="472"/>
        <v>-10334.99999999978</v>
      </c>
      <c r="Z345">
        <f t="shared" si="473"/>
        <v>27174.999999999902</v>
      </c>
      <c r="AA345">
        <f t="shared" si="474"/>
        <v>-1999.9999999999573</v>
      </c>
      <c r="AB345">
        <f t="shared" si="475"/>
        <v>-4563.9999999999027</v>
      </c>
      <c r="AC345">
        <f t="shared" si="476"/>
        <v>8892.0000000000073</v>
      </c>
      <c r="AD345">
        <f t="shared" si="477"/>
        <v>402176.00000000035</v>
      </c>
      <c r="AE345">
        <f t="shared" si="478"/>
        <v>-4.0000000000000036</v>
      </c>
      <c r="AF345">
        <f t="shared" si="479"/>
        <v>-150969.00000000125</v>
      </c>
      <c r="AG345">
        <f t="shared" si="480"/>
        <v>-75969.000000000626</v>
      </c>
      <c r="AH345">
        <f t="shared" si="481"/>
        <v>-2.0000000000000462</v>
      </c>
      <c r="AI345">
        <f t="shared" si="482"/>
        <v>3.3347667288706043E-2</v>
      </c>
      <c r="AJ345">
        <f t="shared" si="483"/>
        <v>-11535.357144850499</v>
      </c>
      <c r="AK345">
        <f t="shared" si="484"/>
        <v>42752.475879049489</v>
      </c>
      <c r="AL345">
        <f t="shared" si="485"/>
        <v>33196.127570409837</v>
      </c>
      <c r="AM345" s="1">
        <f t="shared" si="486"/>
        <v>-31649.947295470251</v>
      </c>
      <c r="AN345" s="1">
        <f t="shared" si="463"/>
        <v>232487.3323568046</v>
      </c>
      <c r="AO345">
        <f t="shared" si="464"/>
        <v>-2.2284666883942812</v>
      </c>
      <c r="AP345">
        <f t="shared" si="465"/>
        <v>1.707292694474607</v>
      </c>
    </row>
    <row r="346" spans="1:42" x14ac:dyDescent="0.25">
      <c r="A346" s="4">
        <v>45590</v>
      </c>
      <c r="B346">
        <f t="shared" ref="B346:N346" si="505">(B896-B895)*100</f>
        <v>-1.9999999999999574</v>
      </c>
      <c r="C346">
        <f t="shared" si="505"/>
        <v>-0.99999999999997868</v>
      </c>
      <c r="D346">
        <f t="shared" si="505"/>
        <v>-3.0000000000000249</v>
      </c>
      <c r="E346">
        <f t="shared" si="505"/>
        <v>-2.9999999999999361</v>
      </c>
      <c r="F346">
        <f t="shared" si="505"/>
        <v>-2.9999999999999361</v>
      </c>
      <c r="G346">
        <f t="shared" si="505"/>
        <v>-4.0000000000000036</v>
      </c>
      <c r="H346">
        <f t="shared" si="505"/>
        <v>-4.0000000000000036</v>
      </c>
      <c r="I346">
        <f t="shared" si="505"/>
        <v>-3.0000000000000249</v>
      </c>
      <c r="J346">
        <f t="shared" si="505"/>
        <v>-4.0000000000000036</v>
      </c>
      <c r="K346">
        <f t="shared" si="505"/>
        <v>-3.0000000000000249</v>
      </c>
      <c r="L346">
        <f t="shared" si="505"/>
        <v>-4.0000000000000036</v>
      </c>
      <c r="M346">
        <f t="shared" si="505"/>
        <v>-4.0000000000000036</v>
      </c>
      <c r="N346">
        <f t="shared" si="505"/>
        <v>-4.0000000000000036</v>
      </c>
      <c r="O346" s="5">
        <f t="shared" si="504"/>
        <v>-2.0692686033332371E-3</v>
      </c>
      <c r="P346" s="5">
        <f t="shared" si="504"/>
        <v>7.2980341293470861E-3</v>
      </c>
      <c r="Q346" s="5">
        <f t="shared" si="504"/>
        <v>-3.0736917449134915E-3</v>
      </c>
      <c r="R346" s="5">
        <f t="shared" si="504"/>
        <v>4.5218856143663996E-3</v>
      </c>
      <c r="S346" s="5">
        <f t="shared" si="504"/>
        <v>5.8966403396282941E-3</v>
      </c>
      <c r="U346" s="4">
        <v>45590</v>
      </c>
      <c r="V346">
        <f t="shared" si="469"/>
        <v>7999.999999999829</v>
      </c>
      <c r="W346">
        <f t="shared" si="470"/>
        <v>2222.9999999999527</v>
      </c>
      <c r="X346">
        <f t="shared" si="471"/>
        <v>-13770.000000000115</v>
      </c>
      <c r="Y346">
        <f t="shared" si="472"/>
        <v>10334.99999999978</v>
      </c>
      <c r="Z346">
        <f t="shared" si="473"/>
        <v>-16304.999999999653</v>
      </c>
      <c r="AA346">
        <f t="shared" si="474"/>
        <v>8000.0000000000073</v>
      </c>
      <c r="AB346">
        <f t="shared" si="475"/>
        <v>-18256.000000000015</v>
      </c>
      <c r="AC346">
        <f t="shared" si="476"/>
        <v>6669.0000000000555</v>
      </c>
      <c r="AD346">
        <f t="shared" si="477"/>
        <v>402176.00000000035</v>
      </c>
      <c r="AE346">
        <f t="shared" si="478"/>
        <v>-3.0000000000000249</v>
      </c>
      <c r="AF346">
        <f t="shared" si="479"/>
        <v>-201292.00000000017</v>
      </c>
      <c r="AG346">
        <f t="shared" si="480"/>
        <v>-101292.00000000009</v>
      </c>
      <c r="AH346">
        <f t="shared" si="481"/>
        <v>-4.0000000000000036</v>
      </c>
      <c r="AI346">
        <f t="shared" si="482"/>
        <v>-0.20692686033332372</v>
      </c>
      <c r="AJ346">
        <f t="shared" si="483"/>
        <v>-72980.341293470861</v>
      </c>
      <c r="AK346">
        <f t="shared" si="484"/>
        <v>-30736.917449134915</v>
      </c>
      <c r="AL346">
        <f t="shared" si="485"/>
        <v>-113047.14035916</v>
      </c>
      <c r="AM346" s="1">
        <f t="shared" si="486"/>
        <v>-58966.403396282942</v>
      </c>
      <c r="AN346" s="1">
        <f t="shared" si="463"/>
        <v>-189250.00942490913</v>
      </c>
      <c r="AO346">
        <f t="shared" si="464"/>
        <v>-3.0298073350720194</v>
      </c>
      <c r="AP346">
        <f t="shared" si="465"/>
        <v>1.7755333523637702</v>
      </c>
    </row>
    <row r="347" spans="1:42" x14ac:dyDescent="0.25">
      <c r="A347" s="4">
        <v>45589</v>
      </c>
      <c r="B347">
        <f t="shared" ref="B347:N347" si="506">(B897-B896)*100</f>
        <v>0.99999999999997868</v>
      </c>
      <c r="C347">
        <f t="shared" si="506"/>
        <v>1.9999999999999574</v>
      </c>
      <c r="D347">
        <f t="shared" si="506"/>
        <v>3.0000000000000249</v>
      </c>
      <c r="E347">
        <f t="shared" si="506"/>
        <v>0.99999999999997868</v>
      </c>
      <c r="F347">
        <f t="shared" si="506"/>
        <v>0</v>
      </c>
      <c r="G347">
        <f t="shared" si="506"/>
        <v>1.9999999999999574</v>
      </c>
      <c r="H347">
        <f t="shared" si="506"/>
        <v>0</v>
      </c>
      <c r="I347">
        <f t="shared" si="506"/>
        <v>1.0000000000000675</v>
      </c>
      <c r="J347">
        <f t="shared" si="506"/>
        <v>1.9999999999999574</v>
      </c>
      <c r="K347">
        <f t="shared" si="506"/>
        <v>1.9999999999999574</v>
      </c>
      <c r="L347">
        <f t="shared" si="506"/>
        <v>3.0000000000000249</v>
      </c>
      <c r="M347">
        <f t="shared" si="506"/>
        <v>4.0000000000000036</v>
      </c>
      <c r="N347">
        <f t="shared" si="506"/>
        <v>4.0000000000000036</v>
      </c>
      <c r="O347" s="5">
        <f t="shared" si="504"/>
        <v>-1.0855293020793344E-3</v>
      </c>
      <c r="P347" s="5">
        <f t="shared" si="504"/>
        <v>-5.5421074270820625E-3</v>
      </c>
      <c r="Q347" s="5">
        <f t="shared" si="504"/>
        <v>-8.4334814190985318E-4</v>
      </c>
      <c r="R347" s="5">
        <f t="shared" si="504"/>
        <v>-5.3304905313358039E-4</v>
      </c>
      <c r="S347" s="5">
        <f t="shared" si="504"/>
        <v>1.3913256131061018E-3</v>
      </c>
      <c r="U347" s="4">
        <v>45589</v>
      </c>
      <c r="V347">
        <f t="shared" si="469"/>
        <v>-3999.9999999999145</v>
      </c>
      <c r="W347">
        <f t="shared" si="470"/>
        <v>-4445.9999999999054</v>
      </c>
      <c r="X347">
        <f t="shared" si="471"/>
        <v>13770.000000000115</v>
      </c>
      <c r="Y347">
        <f t="shared" si="472"/>
        <v>-3444.9999999999268</v>
      </c>
      <c r="Z347">
        <f t="shared" si="473"/>
        <v>0</v>
      </c>
      <c r="AA347">
        <f t="shared" si="474"/>
        <v>-3999.9999999999145</v>
      </c>
      <c r="AB347">
        <f t="shared" si="475"/>
        <v>0</v>
      </c>
      <c r="AC347">
        <f t="shared" si="476"/>
        <v>-2223.0000000001501</v>
      </c>
      <c r="AD347">
        <f t="shared" si="477"/>
        <v>-201087.99999999572</v>
      </c>
      <c r="AE347">
        <f t="shared" si="478"/>
        <v>1.9999999999999574</v>
      </c>
      <c r="AF347">
        <f t="shared" si="479"/>
        <v>150969.00000000125</v>
      </c>
      <c r="AG347">
        <f t="shared" si="480"/>
        <v>101292.00000000009</v>
      </c>
      <c r="AH347">
        <f t="shared" si="481"/>
        <v>4.0000000000000036</v>
      </c>
      <c r="AI347">
        <f t="shared" si="482"/>
        <v>-0.10855293020793344</v>
      </c>
      <c r="AJ347">
        <f t="shared" si="483"/>
        <v>55421.074270820623</v>
      </c>
      <c r="AK347">
        <f t="shared" si="484"/>
        <v>-8433.4814190985326</v>
      </c>
      <c r="AL347">
        <f t="shared" si="485"/>
        <v>13326.22632833951</v>
      </c>
      <c r="AM347" s="1">
        <f t="shared" si="486"/>
        <v>-13913.256131061018</v>
      </c>
      <c r="AN347" s="1">
        <f t="shared" si="463"/>
        <v>93235.454496076287</v>
      </c>
      <c r="AO347">
        <f t="shared" si="464"/>
        <v>0.48723888312440966</v>
      </c>
      <c r="AP347">
        <f t="shared" si="465"/>
        <v>1.695139979336729</v>
      </c>
    </row>
    <row r="348" spans="1:42" x14ac:dyDescent="0.25">
      <c r="A348" s="4">
        <v>45588</v>
      </c>
      <c r="B348">
        <f t="shared" ref="B348:N348" si="507">(B898-B897)*100</f>
        <v>0.99999999999997868</v>
      </c>
      <c r="C348">
        <f t="shared" si="507"/>
        <v>0.99999999999997868</v>
      </c>
      <c r="D348">
        <f t="shared" si="507"/>
        <v>-1.0000000000000675</v>
      </c>
      <c r="E348">
        <f t="shared" si="507"/>
        <v>0</v>
      </c>
      <c r="F348">
        <f t="shared" si="507"/>
        <v>-1.0000000000000675</v>
      </c>
      <c r="G348">
        <f t="shared" si="507"/>
        <v>-2.9999999999999361</v>
      </c>
      <c r="H348">
        <f t="shared" si="507"/>
        <v>-4.0000000000000036</v>
      </c>
      <c r="I348">
        <f t="shared" si="507"/>
        <v>-5.0000000000000266</v>
      </c>
      <c r="J348">
        <f t="shared" si="507"/>
        <v>-4.9999999999999822</v>
      </c>
      <c r="K348">
        <f t="shared" si="507"/>
        <v>-4.0000000000000036</v>
      </c>
      <c r="L348">
        <f t="shared" si="507"/>
        <v>-4.0000000000000036</v>
      </c>
      <c r="M348">
        <f t="shared" si="507"/>
        <v>-3.0000000000000249</v>
      </c>
      <c r="N348">
        <f t="shared" si="507"/>
        <v>-1.9999999999999574</v>
      </c>
      <c r="O348" s="5">
        <f t="shared" si="504"/>
        <v>3.3479141883487645E-3</v>
      </c>
      <c r="P348" s="5">
        <f t="shared" si="504"/>
        <v>1.3130412017524077E-2</v>
      </c>
      <c r="Q348" s="5">
        <f t="shared" si="504"/>
        <v>-5.6635943317947064E-3</v>
      </c>
      <c r="R348" s="5">
        <f t="shared" si="504"/>
        <v>7.9968017056446597E-4</v>
      </c>
      <c r="S348" s="5">
        <f t="shared" si="504"/>
        <v>-6.2558034809126542E-3</v>
      </c>
      <c r="U348" s="4">
        <v>45588</v>
      </c>
      <c r="V348">
        <f t="shared" si="469"/>
        <v>-3999.9999999999145</v>
      </c>
      <c r="W348">
        <f t="shared" si="470"/>
        <v>-2222.9999999999527</v>
      </c>
      <c r="X348">
        <f t="shared" si="471"/>
        <v>-4590.0000000003101</v>
      </c>
      <c r="Y348">
        <f t="shared" si="472"/>
        <v>0</v>
      </c>
      <c r="Z348">
        <f t="shared" si="473"/>
        <v>-5435.0000000003665</v>
      </c>
      <c r="AA348">
        <f t="shared" si="474"/>
        <v>5999.9999999998718</v>
      </c>
      <c r="AB348">
        <f t="shared" si="475"/>
        <v>-18256.000000000015</v>
      </c>
      <c r="AC348">
        <f t="shared" si="476"/>
        <v>11115.00000000006</v>
      </c>
      <c r="AD348">
        <f t="shared" si="477"/>
        <v>502719.9999999982</v>
      </c>
      <c r="AE348">
        <f t="shared" si="478"/>
        <v>-4.0000000000000036</v>
      </c>
      <c r="AF348">
        <f t="shared" si="479"/>
        <v>-201292.00000000017</v>
      </c>
      <c r="AG348">
        <f t="shared" si="480"/>
        <v>-75969.000000000626</v>
      </c>
      <c r="AH348">
        <f t="shared" si="481"/>
        <v>-1.9999999999999574</v>
      </c>
      <c r="AI348">
        <f t="shared" si="482"/>
        <v>0.33479141883487645</v>
      </c>
      <c r="AJ348">
        <f t="shared" si="483"/>
        <v>-131304.12017524077</v>
      </c>
      <c r="AK348">
        <f t="shared" si="484"/>
        <v>-56635.943317947065</v>
      </c>
      <c r="AL348">
        <f t="shared" si="485"/>
        <v>-19992.004264111649</v>
      </c>
      <c r="AM348" s="1">
        <f t="shared" si="486"/>
        <v>62558.03480912654</v>
      </c>
      <c r="AN348" s="1">
        <f t="shared" si="463"/>
        <v>62690.301843242632</v>
      </c>
      <c r="AO348">
        <f t="shared" si="464"/>
        <v>-0.80837875654324376</v>
      </c>
      <c r="AP348">
        <f t="shared" si="465"/>
        <v>1.8133661752653452</v>
      </c>
    </row>
    <row r="349" spans="1:42" x14ac:dyDescent="0.25">
      <c r="A349" s="4">
        <v>45587</v>
      </c>
      <c r="B349">
        <f t="shared" ref="B349:N349" si="508">(B899-B898)*100</f>
        <v>3.0000000000000249</v>
      </c>
      <c r="C349">
        <f t="shared" si="508"/>
        <v>1.0000000000000675</v>
      </c>
      <c r="D349">
        <f t="shared" si="508"/>
        <v>1.0000000000000675</v>
      </c>
      <c r="E349">
        <f t="shared" si="508"/>
        <v>0</v>
      </c>
      <c r="F349">
        <f t="shared" si="508"/>
        <v>0</v>
      </c>
      <c r="G349">
        <f t="shared" si="508"/>
        <v>0</v>
      </c>
      <c r="H349">
        <f t="shared" si="508"/>
        <v>-1.0000000000000675</v>
      </c>
      <c r="I349">
        <f t="shared" si="508"/>
        <v>-2.9999999999999805</v>
      </c>
      <c r="J349">
        <f t="shared" si="508"/>
        <v>-2.0000000000000018</v>
      </c>
      <c r="K349">
        <f t="shared" si="508"/>
        <v>-2.9999999999999361</v>
      </c>
      <c r="L349">
        <f t="shared" si="508"/>
        <v>-0.99999999999997868</v>
      </c>
      <c r="M349">
        <f t="shared" si="508"/>
        <v>-0.99999999999997868</v>
      </c>
      <c r="N349">
        <f t="shared" si="508"/>
        <v>0</v>
      </c>
      <c r="O349" s="5">
        <f t="shared" si="504"/>
        <v>-1.9294866536879941E-3</v>
      </c>
      <c r="P349" s="5">
        <f t="shared" si="504"/>
        <v>-1.7580641949178377E-3</v>
      </c>
      <c r="Q349" s="5">
        <f t="shared" si="504"/>
        <v>7.7838594734888564E-3</v>
      </c>
      <c r="R349" s="5">
        <f t="shared" si="504"/>
        <v>-3.9920212695374498E-3</v>
      </c>
      <c r="S349" s="5">
        <f t="shared" si="504"/>
        <v>-1.4026793470956909E-3</v>
      </c>
      <c r="U349" s="4">
        <v>45587</v>
      </c>
      <c r="V349">
        <f t="shared" si="469"/>
        <v>-12000.0000000001</v>
      </c>
      <c r="W349">
        <f t="shared" si="470"/>
        <v>-2223.0000000001501</v>
      </c>
      <c r="X349">
        <f t="shared" si="471"/>
        <v>4590.0000000003101</v>
      </c>
      <c r="Y349">
        <f t="shared" si="472"/>
        <v>0</v>
      </c>
      <c r="Z349">
        <f t="shared" si="473"/>
        <v>0</v>
      </c>
      <c r="AA349">
        <f t="shared" si="474"/>
        <v>0</v>
      </c>
      <c r="AB349">
        <f t="shared" si="475"/>
        <v>-4564.0000000003083</v>
      </c>
      <c r="AC349">
        <f t="shared" si="476"/>
        <v>6668.9999999999563</v>
      </c>
      <c r="AD349">
        <f t="shared" si="477"/>
        <v>201088.00000000017</v>
      </c>
      <c r="AE349">
        <f t="shared" si="478"/>
        <v>-2.9999999999999361</v>
      </c>
      <c r="AF349">
        <f t="shared" si="479"/>
        <v>-50322.99999999893</v>
      </c>
      <c r="AG349">
        <f t="shared" si="480"/>
        <v>-25322.999999999462</v>
      </c>
      <c r="AH349">
        <f t="shared" si="481"/>
        <v>0</v>
      </c>
      <c r="AI349">
        <f t="shared" si="482"/>
        <v>-0.19294866536879943</v>
      </c>
      <c r="AJ349">
        <f t="shared" si="483"/>
        <v>17580.641949178378</v>
      </c>
      <c r="AK349">
        <f t="shared" si="484"/>
        <v>77838.594734888567</v>
      </c>
      <c r="AL349">
        <f t="shared" si="485"/>
        <v>99800.531738436242</v>
      </c>
      <c r="AM349" s="1">
        <f t="shared" si="486"/>
        <v>14026.793470956909</v>
      </c>
      <c r="AN349" s="1">
        <f t="shared" si="463"/>
        <v>327157.36894479627</v>
      </c>
      <c r="AO349">
        <f t="shared" si="464"/>
        <v>2.8605430829084617</v>
      </c>
      <c r="AP349">
        <f t="shared" si="465"/>
        <v>1.9465122586257197</v>
      </c>
    </row>
    <row r="350" spans="1:42" x14ac:dyDescent="0.25">
      <c r="A350" s="4">
        <v>45586</v>
      </c>
      <c r="B350">
        <f t="shared" ref="B350:N350" si="509">(B900-B899)*100</f>
        <v>0</v>
      </c>
      <c r="C350">
        <f t="shared" si="509"/>
        <v>0</v>
      </c>
      <c r="D350">
        <f t="shared" si="509"/>
        <v>0</v>
      </c>
      <c r="E350">
        <f t="shared" si="509"/>
        <v>-0.99999999999997868</v>
      </c>
      <c r="F350">
        <f t="shared" si="509"/>
        <v>-1.9999999999999574</v>
      </c>
      <c r="G350">
        <f t="shared" si="509"/>
        <v>-4.9999999999999822</v>
      </c>
      <c r="H350">
        <f t="shared" si="509"/>
        <v>-6.9999999999999396</v>
      </c>
      <c r="I350">
        <f t="shared" si="509"/>
        <v>-9.0000000000000302</v>
      </c>
      <c r="J350">
        <f t="shared" si="509"/>
        <v>-10.000000000000009</v>
      </c>
      <c r="K350">
        <f t="shared" si="509"/>
        <v>-10.000000000000009</v>
      </c>
      <c r="L350">
        <f t="shared" si="509"/>
        <v>-11.000000000000032</v>
      </c>
      <c r="M350">
        <f t="shared" si="509"/>
        <v>-9.9999999999999645</v>
      </c>
      <c r="N350">
        <f t="shared" si="509"/>
        <v>-11.000000000000032</v>
      </c>
      <c r="O350" s="5">
        <f t="shared" si="504"/>
        <v>6.9636450005506377E-3</v>
      </c>
      <c r="P350" s="5">
        <f t="shared" si="504"/>
        <v>7.253243804696591E-4</v>
      </c>
      <c r="Q350" s="5">
        <f t="shared" si="504"/>
        <v>2.0930240198982486E-3</v>
      </c>
      <c r="R350" s="5">
        <f t="shared" si="504"/>
        <v>2.9259230875398052E-3</v>
      </c>
      <c r="S350" s="5">
        <f t="shared" si="504"/>
        <v>4.5055743550523235E-3</v>
      </c>
      <c r="U350" s="4">
        <v>45586</v>
      </c>
      <c r="V350">
        <f t="shared" si="469"/>
        <v>0</v>
      </c>
      <c r="W350">
        <f t="shared" si="470"/>
        <v>0</v>
      </c>
      <c r="X350">
        <f t="shared" si="471"/>
        <v>0</v>
      </c>
      <c r="Y350">
        <f t="shared" si="472"/>
        <v>3444.9999999999268</v>
      </c>
      <c r="Z350">
        <f t="shared" si="473"/>
        <v>-10869.999999999769</v>
      </c>
      <c r="AA350">
        <f t="shared" si="474"/>
        <v>9999.9999999999636</v>
      </c>
      <c r="AB350">
        <f t="shared" si="475"/>
        <v>-31947.999999999724</v>
      </c>
      <c r="AC350">
        <f t="shared" si="476"/>
        <v>20007.000000000065</v>
      </c>
      <c r="AD350">
        <f t="shared" si="477"/>
        <v>1005440.0000000009</v>
      </c>
      <c r="AE350">
        <f t="shared" si="478"/>
        <v>-10.000000000000009</v>
      </c>
      <c r="AF350">
        <f t="shared" si="479"/>
        <v>-553553.00000000163</v>
      </c>
      <c r="AG350">
        <f t="shared" si="480"/>
        <v>-253229.9999999991</v>
      </c>
      <c r="AH350">
        <f t="shared" si="481"/>
        <v>-11.000000000000032</v>
      </c>
      <c r="AI350">
        <f t="shared" si="482"/>
        <v>0.69636450005506378</v>
      </c>
      <c r="AJ350">
        <f t="shared" si="483"/>
        <v>-7253.2438046965908</v>
      </c>
      <c r="AK350">
        <f t="shared" si="484"/>
        <v>20930.240198982487</v>
      </c>
      <c r="AL350">
        <f t="shared" si="485"/>
        <v>-73148.077188495125</v>
      </c>
      <c r="AM350" s="1">
        <f t="shared" si="486"/>
        <v>-45055.743550523235</v>
      </c>
      <c r="AN350" s="1">
        <f t="shared" si="463"/>
        <v>84743.872019768256</v>
      </c>
      <c r="AO350">
        <f t="shared" si="464"/>
        <v>-1.5260931950359042</v>
      </c>
      <c r="AP350">
        <f t="shared" si="465"/>
        <v>3.4831345648325831</v>
      </c>
    </row>
    <row r="351" spans="1:42" x14ac:dyDescent="0.25">
      <c r="A351" s="4">
        <v>45583</v>
      </c>
      <c r="B351">
        <f t="shared" ref="B351:N351" si="510">(B901-B900)*100</f>
        <v>0.99999999999997868</v>
      </c>
      <c r="C351">
        <f t="shared" si="510"/>
        <v>0.99999999999997868</v>
      </c>
      <c r="D351">
        <f t="shared" si="510"/>
        <v>0.99999999999997868</v>
      </c>
      <c r="E351">
        <f t="shared" si="510"/>
        <v>0</v>
      </c>
      <c r="F351">
        <f t="shared" si="510"/>
        <v>0</v>
      </c>
      <c r="G351">
        <f t="shared" si="510"/>
        <v>1.9999999999999574</v>
      </c>
      <c r="H351">
        <f t="shared" si="510"/>
        <v>0.99999999999997868</v>
      </c>
      <c r="I351">
        <f t="shared" si="510"/>
        <v>3.0000000000000249</v>
      </c>
      <c r="J351">
        <f t="shared" si="510"/>
        <v>2.0000000000000018</v>
      </c>
      <c r="K351">
        <f t="shared" si="510"/>
        <v>2.0000000000000018</v>
      </c>
      <c r="L351">
        <f t="shared" si="510"/>
        <v>0.99999999999997868</v>
      </c>
      <c r="M351">
        <f t="shared" si="510"/>
        <v>0</v>
      </c>
      <c r="N351">
        <f t="shared" si="510"/>
        <v>0.99999999999997868</v>
      </c>
      <c r="O351" s="5">
        <f t="shared" si="504"/>
        <v>-1.5164342022900919E-3</v>
      </c>
      <c r="P351" s="5">
        <f t="shared" si="504"/>
        <v>5.256747297077897E-3</v>
      </c>
      <c r="Q351" s="5">
        <f t="shared" si="504"/>
        <v>3.9336108951612157E-3</v>
      </c>
      <c r="R351" s="5">
        <f t="shared" si="504"/>
        <v>-5.3262318169931301E-4</v>
      </c>
      <c r="S351" s="5">
        <f t="shared" si="504"/>
        <v>2.6655468175035995E-4</v>
      </c>
      <c r="U351" s="4">
        <v>45583</v>
      </c>
      <c r="V351">
        <f t="shared" si="469"/>
        <v>-3999.9999999999145</v>
      </c>
      <c r="W351">
        <f t="shared" si="470"/>
        <v>-2222.9999999999527</v>
      </c>
      <c r="X351">
        <f t="shared" si="471"/>
        <v>4589.9999999999018</v>
      </c>
      <c r="Y351">
        <f t="shared" si="472"/>
        <v>0</v>
      </c>
      <c r="Z351">
        <f t="shared" si="473"/>
        <v>0</v>
      </c>
      <c r="AA351">
        <f t="shared" si="474"/>
        <v>-3999.9999999999145</v>
      </c>
      <c r="AB351">
        <f t="shared" si="475"/>
        <v>4563.9999999999027</v>
      </c>
      <c r="AC351">
        <f t="shared" si="476"/>
        <v>-6669.0000000000555</v>
      </c>
      <c r="AD351">
        <f t="shared" si="477"/>
        <v>-201088.00000000017</v>
      </c>
      <c r="AE351">
        <f t="shared" si="478"/>
        <v>2.0000000000000018</v>
      </c>
      <c r="AF351">
        <f t="shared" si="479"/>
        <v>50322.99999999893</v>
      </c>
      <c r="AG351">
        <f t="shared" si="480"/>
        <v>0</v>
      </c>
      <c r="AH351">
        <f t="shared" si="481"/>
        <v>0.99999999999997868</v>
      </c>
      <c r="AI351">
        <f t="shared" si="482"/>
        <v>-0.1516434202290092</v>
      </c>
      <c r="AJ351">
        <f t="shared" si="483"/>
        <v>-52567.472970778967</v>
      </c>
      <c r="AK351">
        <f t="shared" si="484"/>
        <v>39336.108951612157</v>
      </c>
      <c r="AL351">
        <f t="shared" si="485"/>
        <v>13315.579542482825</v>
      </c>
      <c r="AM351" s="1">
        <f t="shared" si="486"/>
        <v>-2665.5468175035994</v>
      </c>
      <c r="AN351" s="1">
        <f t="shared" si="463"/>
        <v>-161081.48293760908</v>
      </c>
      <c r="AO351">
        <f t="shared" si="464"/>
        <v>-1.7178965409545353</v>
      </c>
      <c r="AP351">
        <f t="shared" si="465"/>
        <v>3.4760471526388743</v>
      </c>
    </row>
    <row r="352" spans="1:42" x14ac:dyDescent="0.25">
      <c r="A352" s="4">
        <v>45582</v>
      </c>
      <c r="B352">
        <f t="shared" ref="B352:N352" si="511">(B902-B901)*100</f>
        <v>-1.9999999999999574</v>
      </c>
      <c r="C352">
        <f t="shared" si="511"/>
        <v>-3.0000000000000249</v>
      </c>
      <c r="D352">
        <f t="shared" si="511"/>
        <v>-2.0000000000000462</v>
      </c>
      <c r="E352">
        <f t="shared" si="511"/>
        <v>-2.0000000000000462</v>
      </c>
      <c r="F352">
        <f t="shared" si="511"/>
        <v>-3.0000000000000249</v>
      </c>
      <c r="G352">
        <f t="shared" si="511"/>
        <v>-4.0000000000000036</v>
      </c>
      <c r="H352">
        <f t="shared" si="511"/>
        <v>-2.9999999999999805</v>
      </c>
      <c r="I352">
        <f t="shared" si="511"/>
        <v>-5.0000000000000266</v>
      </c>
      <c r="J352">
        <f t="shared" si="511"/>
        <v>-6.0000000000000053</v>
      </c>
      <c r="K352">
        <f t="shared" si="511"/>
        <v>-7.0000000000000284</v>
      </c>
      <c r="L352">
        <f t="shared" si="511"/>
        <v>-7.0000000000000284</v>
      </c>
      <c r="M352">
        <f t="shared" si="511"/>
        <v>-8.0000000000000071</v>
      </c>
      <c r="N352">
        <f t="shared" si="511"/>
        <v>-8.9999999999999858</v>
      </c>
      <c r="O352" s="5">
        <f t="shared" si="504"/>
        <v>1.5858891144339524E-4</v>
      </c>
      <c r="P352" s="5">
        <f t="shared" si="504"/>
        <v>-3.5231980073170167E-3</v>
      </c>
      <c r="Q352" s="5">
        <f t="shared" si="504"/>
        <v>4.2691658003558303E-3</v>
      </c>
      <c r="R352" s="5">
        <f t="shared" si="504"/>
        <v>-2.6588688889442181E-3</v>
      </c>
      <c r="S352" s="5">
        <f t="shared" si="504"/>
        <v>-3.0084424756700043E-3</v>
      </c>
      <c r="U352" s="4">
        <v>45582</v>
      </c>
      <c r="V352">
        <f t="shared" si="469"/>
        <v>7999.999999999829</v>
      </c>
      <c r="W352">
        <f t="shared" si="470"/>
        <v>6669.0000000000555</v>
      </c>
      <c r="X352">
        <f t="shared" si="471"/>
        <v>-9180.0000000002128</v>
      </c>
      <c r="Y352">
        <f t="shared" si="472"/>
        <v>6890.0000000001592</v>
      </c>
      <c r="Z352">
        <f t="shared" si="473"/>
        <v>-16305.000000000135</v>
      </c>
      <c r="AA352">
        <f t="shared" si="474"/>
        <v>8000.0000000000073</v>
      </c>
      <c r="AB352">
        <f t="shared" si="475"/>
        <v>-13691.999999999911</v>
      </c>
      <c r="AC352">
        <f t="shared" si="476"/>
        <v>11115.00000000006</v>
      </c>
      <c r="AD352">
        <f t="shared" si="477"/>
        <v>603264.00000000058</v>
      </c>
      <c r="AE352">
        <f t="shared" si="478"/>
        <v>-7.0000000000000284</v>
      </c>
      <c r="AF352">
        <f t="shared" si="479"/>
        <v>-352261.00000000146</v>
      </c>
      <c r="AG352">
        <f t="shared" si="480"/>
        <v>-202584.00000000017</v>
      </c>
      <c r="AH352">
        <f t="shared" si="481"/>
        <v>-8.9999999999999858</v>
      </c>
      <c r="AI352">
        <f t="shared" si="482"/>
        <v>1.5858891144339523E-2</v>
      </c>
      <c r="AJ352">
        <f t="shared" si="483"/>
        <v>35231.980073170169</v>
      </c>
      <c r="AK352">
        <f t="shared" si="484"/>
        <v>42691.658003558303</v>
      </c>
      <c r="AL352">
        <f t="shared" si="485"/>
        <v>66471.722223605451</v>
      </c>
      <c r="AM352" s="1">
        <f t="shared" si="486"/>
        <v>30084.424756700042</v>
      </c>
      <c r="AN352" s="1">
        <f t="shared" si="463"/>
        <v>224379.80091592396</v>
      </c>
      <c r="AO352">
        <f t="shared" si="464"/>
        <v>-2.0161314624325426</v>
      </c>
      <c r="AP352">
        <f t="shared" si="465"/>
        <v>3.4851155189515692</v>
      </c>
    </row>
    <row r="353" spans="1:42" x14ac:dyDescent="0.25">
      <c r="A353" s="4">
        <v>45581</v>
      </c>
      <c r="B353">
        <f t="shared" ref="B353:N353" si="512">(B903-B902)*100</f>
        <v>1.9999999999999574</v>
      </c>
      <c r="C353">
        <f t="shared" si="512"/>
        <v>2.0000000000000462</v>
      </c>
      <c r="D353">
        <f t="shared" si="512"/>
        <v>1.0000000000000675</v>
      </c>
      <c r="E353">
        <f t="shared" si="512"/>
        <v>2.0000000000000462</v>
      </c>
      <c r="F353">
        <f t="shared" si="512"/>
        <v>0</v>
      </c>
      <c r="G353">
        <f t="shared" si="512"/>
        <v>0.99999999999997868</v>
      </c>
      <c r="H353">
        <f t="shared" si="512"/>
        <v>2.0000000000000018</v>
      </c>
      <c r="I353">
        <f t="shared" si="512"/>
        <v>2.0000000000000018</v>
      </c>
      <c r="J353">
        <f t="shared" si="512"/>
        <v>2.0000000000000018</v>
      </c>
      <c r="K353">
        <f t="shared" si="512"/>
        <v>1.0000000000000231</v>
      </c>
      <c r="L353">
        <f t="shared" si="512"/>
        <v>1.0000000000000675</v>
      </c>
      <c r="M353">
        <f t="shared" si="512"/>
        <v>0.99999999999997868</v>
      </c>
      <c r="N353">
        <f t="shared" si="512"/>
        <v>2.0000000000000462</v>
      </c>
      <c r="O353" s="5">
        <f t="shared" si="504"/>
        <v>6.5593714730169603E-3</v>
      </c>
      <c r="P353" s="5">
        <f t="shared" si="504"/>
        <v>4.3352923725840601E-3</v>
      </c>
      <c r="Q353" s="5">
        <f t="shared" si="504"/>
        <v>9.5623725325403117E-3</v>
      </c>
      <c r="R353" s="5">
        <f t="shared" si="504"/>
        <v>5.3120851182743994E-4</v>
      </c>
      <c r="S353" s="5">
        <f t="shared" si="504"/>
        <v>1.2230593340778213E-2</v>
      </c>
      <c r="U353" s="4">
        <v>45581</v>
      </c>
      <c r="V353">
        <f t="shared" si="469"/>
        <v>-7999.999999999829</v>
      </c>
      <c r="W353">
        <f t="shared" si="470"/>
        <v>-4446.0000000001028</v>
      </c>
      <c r="X353">
        <f t="shared" si="471"/>
        <v>4590.0000000003101</v>
      </c>
      <c r="Y353">
        <f t="shared" si="472"/>
        <v>-6890.0000000001592</v>
      </c>
      <c r="Z353">
        <f t="shared" si="473"/>
        <v>0</v>
      </c>
      <c r="AA353">
        <f t="shared" si="474"/>
        <v>-1999.9999999999573</v>
      </c>
      <c r="AB353">
        <f t="shared" si="475"/>
        <v>9128.0000000000073</v>
      </c>
      <c r="AC353">
        <f t="shared" si="476"/>
        <v>-4446.0000000000036</v>
      </c>
      <c r="AD353">
        <f t="shared" si="477"/>
        <v>-201088.00000000017</v>
      </c>
      <c r="AE353">
        <f t="shared" si="478"/>
        <v>1.0000000000000231</v>
      </c>
      <c r="AF353">
        <f t="shared" si="479"/>
        <v>50323.000000003398</v>
      </c>
      <c r="AG353">
        <f t="shared" si="480"/>
        <v>25322.999999999462</v>
      </c>
      <c r="AH353">
        <f t="shared" si="481"/>
        <v>2.0000000000000462</v>
      </c>
      <c r="AI353">
        <f t="shared" si="482"/>
        <v>0.65593714730169606</v>
      </c>
      <c r="AJ353">
        <f t="shared" si="483"/>
        <v>-43352.923725840599</v>
      </c>
      <c r="AK353">
        <f t="shared" si="484"/>
        <v>95623.725325403124</v>
      </c>
      <c r="AL353">
        <f t="shared" si="485"/>
        <v>-13280.212795685999</v>
      </c>
      <c r="AM353" s="1">
        <f t="shared" si="486"/>
        <v>-122305.93340778213</v>
      </c>
      <c r="AN353" s="1">
        <f t="shared" si="463"/>
        <v>-220817.68866675533</v>
      </c>
      <c r="AO353">
        <f t="shared" si="464"/>
        <v>0.27373170971251515</v>
      </c>
      <c r="AP353">
        <f t="shared" si="465"/>
        <v>3.5425308173695629</v>
      </c>
    </row>
    <row r="354" spans="1:42" x14ac:dyDescent="0.25">
      <c r="A354" s="4">
        <v>45580</v>
      </c>
      <c r="B354">
        <f t="shared" ref="B354:N354" si="513">(B904-B903)*100</f>
        <v>4.0000000000000036</v>
      </c>
      <c r="C354">
        <f t="shared" si="513"/>
        <v>0</v>
      </c>
      <c r="D354">
        <f t="shared" si="513"/>
        <v>0</v>
      </c>
      <c r="E354">
        <f t="shared" si="513"/>
        <v>0</v>
      </c>
      <c r="F354">
        <f t="shared" si="513"/>
        <v>2.0000000000000462</v>
      </c>
      <c r="G354">
        <f t="shared" si="513"/>
        <v>0</v>
      </c>
      <c r="H354">
        <f t="shared" si="513"/>
        <v>0</v>
      </c>
      <c r="I354">
        <f t="shared" si="513"/>
        <v>-0.99999999999997868</v>
      </c>
      <c r="J354">
        <f t="shared" si="513"/>
        <v>2.0000000000000018</v>
      </c>
      <c r="K354">
        <f t="shared" si="513"/>
        <v>4.0000000000000036</v>
      </c>
      <c r="L354">
        <f t="shared" si="513"/>
        <v>4.9999999999999822</v>
      </c>
      <c r="M354">
        <f t="shared" si="513"/>
        <v>7.0000000000000284</v>
      </c>
      <c r="N354">
        <f t="shared" si="513"/>
        <v>6.9999999999999396</v>
      </c>
      <c r="O354" s="5">
        <f t="shared" si="504"/>
        <v>2.0419947611315377E-3</v>
      </c>
      <c r="P354" s="5">
        <f t="shared" si="504"/>
        <v>8.3046310922674591E-3</v>
      </c>
      <c r="Q354" s="5">
        <f t="shared" si="504"/>
        <v>-3.1081476708697195E-3</v>
      </c>
      <c r="R354" s="5">
        <f t="shared" si="504"/>
        <v>2.9267015702493797E-3</v>
      </c>
      <c r="S354" s="5">
        <f t="shared" si="504"/>
        <v>2.1095967183364105E-2</v>
      </c>
      <c r="U354" s="4">
        <v>45580</v>
      </c>
      <c r="V354">
        <f t="shared" si="469"/>
        <v>-16000.000000000015</v>
      </c>
      <c r="W354">
        <f t="shared" si="470"/>
        <v>0</v>
      </c>
      <c r="X354">
        <f t="shared" si="471"/>
        <v>0</v>
      </c>
      <c r="Y354">
        <f t="shared" si="472"/>
        <v>0</v>
      </c>
      <c r="Z354">
        <f t="shared" si="473"/>
        <v>10870.000000000251</v>
      </c>
      <c r="AA354">
        <f t="shared" si="474"/>
        <v>0</v>
      </c>
      <c r="AB354">
        <f t="shared" si="475"/>
        <v>0</v>
      </c>
      <c r="AC354">
        <f t="shared" si="476"/>
        <v>2222.9999999999527</v>
      </c>
      <c r="AD354">
        <f t="shared" si="477"/>
        <v>-201088.00000000017</v>
      </c>
      <c r="AE354">
        <f t="shared" si="478"/>
        <v>4.0000000000000036</v>
      </c>
      <c r="AF354">
        <f t="shared" si="479"/>
        <v>251614.9999999991</v>
      </c>
      <c r="AG354">
        <f t="shared" si="480"/>
        <v>177261.00000000073</v>
      </c>
      <c r="AH354">
        <f t="shared" si="481"/>
        <v>6.9999999999999396</v>
      </c>
      <c r="AI354">
        <f t="shared" si="482"/>
        <v>0.20419947611315376</v>
      </c>
      <c r="AJ354">
        <f t="shared" si="483"/>
        <v>-83046.310922674587</v>
      </c>
      <c r="AK354">
        <f t="shared" si="484"/>
        <v>-31081.476708697195</v>
      </c>
      <c r="AL354">
        <f t="shared" si="485"/>
        <v>-73167.539256234493</v>
      </c>
      <c r="AM354" s="1">
        <f t="shared" si="486"/>
        <v>-210959.67183364104</v>
      </c>
      <c r="AN354" s="1">
        <f t="shared" si="463"/>
        <v>-173362.7945217714</v>
      </c>
      <c r="AO354">
        <f t="shared" si="464"/>
        <v>0.84737606942426624</v>
      </c>
      <c r="AP354">
        <f t="shared" si="465"/>
        <v>3.5486157081947249</v>
      </c>
    </row>
    <row r="355" spans="1:42" x14ac:dyDescent="0.25">
      <c r="A355" s="4">
        <v>45576</v>
      </c>
      <c r="B355">
        <f t="shared" ref="B355:N355" si="514">(B905-B904)*100</f>
        <v>1.0000000000000675</v>
      </c>
      <c r="C355">
        <f t="shared" si="514"/>
        <v>1.9999999999999574</v>
      </c>
      <c r="D355">
        <f t="shared" si="514"/>
        <v>1.9999999999999574</v>
      </c>
      <c r="E355">
        <f t="shared" si="514"/>
        <v>0</v>
      </c>
      <c r="F355">
        <f t="shared" si="514"/>
        <v>0.99999999999997868</v>
      </c>
      <c r="G355">
        <f t="shared" si="514"/>
        <v>4.0000000000000036</v>
      </c>
      <c r="H355">
        <f t="shared" si="514"/>
        <v>2.9999999999999805</v>
      </c>
      <c r="I355">
        <f t="shared" si="514"/>
        <v>2.9999999999999805</v>
      </c>
      <c r="J355">
        <f t="shared" si="514"/>
        <v>3.0000000000000249</v>
      </c>
      <c r="K355">
        <f t="shared" si="514"/>
        <v>2.0000000000000018</v>
      </c>
      <c r="L355">
        <f t="shared" si="514"/>
        <v>0.99999999999997868</v>
      </c>
      <c r="M355">
        <f t="shared" si="514"/>
        <v>0</v>
      </c>
      <c r="N355">
        <f t="shared" si="514"/>
        <v>-0.99999999999997868</v>
      </c>
      <c r="O355" s="5">
        <f t="shared" ref="O355:S364" si="515">LN(O904/O905)</f>
        <v>7.9232364247754684E-3</v>
      </c>
      <c r="P355" s="5">
        <f t="shared" si="515"/>
        <v>2.2416550559821347E-3</v>
      </c>
      <c r="Q355" s="5">
        <f t="shared" si="515"/>
        <v>-3.8368837596763064E-3</v>
      </c>
      <c r="R355" s="5">
        <f t="shared" si="515"/>
        <v>-4.2541941321145513E-3</v>
      </c>
      <c r="S355" s="5">
        <f t="shared" si="515"/>
        <v>-1.0670302290678441E-2</v>
      </c>
      <c r="U355" s="4">
        <v>45576</v>
      </c>
      <c r="V355">
        <f t="shared" si="469"/>
        <v>-4000.0000000002701</v>
      </c>
      <c r="W355">
        <f t="shared" si="470"/>
        <v>-4445.9999999999054</v>
      </c>
      <c r="X355">
        <f t="shared" si="471"/>
        <v>9179.9999999998035</v>
      </c>
      <c r="Y355">
        <f t="shared" si="472"/>
        <v>0</v>
      </c>
      <c r="Z355">
        <f t="shared" si="473"/>
        <v>5434.9999999998845</v>
      </c>
      <c r="AA355">
        <f t="shared" si="474"/>
        <v>-8000.0000000000073</v>
      </c>
      <c r="AB355">
        <f t="shared" si="475"/>
        <v>13691.999999999911</v>
      </c>
      <c r="AC355">
        <f t="shared" si="476"/>
        <v>-6668.9999999999563</v>
      </c>
      <c r="AD355">
        <f t="shared" si="477"/>
        <v>-301632.0000000025</v>
      </c>
      <c r="AE355">
        <f t="shared" si="478"/>
        <v>2.0000000000000018</v>
      </c>
      <c r="AF355">
        <f t="shared" si="479"/>
        <v>50322.99999999893</v>
      </c>
      <c r="AG355">
        <f t="shared" si="480"/>
        <v>0</v>
      </c>
      <c r="AH355">
        <f t="shared" si="481"/>
        <v>-0.99999999999997868</v>
      </c>
      <c r="AI355">
        <f t="shared" si="482"/>
        <v>0.79232364247754683</v>
      </c>
      <c r="AJ355">
        <f t="shared" si="483"/>
        <v>-22416.550559821346</v>
      </c>
      <c r="AK355">
        <f t="shared" si="484"/>
        <v>-38368.837596763064</v>
      </c>
      <c r="AL355">
        <f t="shared" si="485"/>
        <v>106354.85330286378</v>
      </c>
      <c r="AM355" s="1">
        <f t="shared" si="486"/>
        <v>106703.0229067844</v>
      </c>
      <c r="AN355" s="1">
        <f t="shared" si="463"/>
        <v>-93842.719623297831</v>
      </c>
      <c r="AO355">
        <f t="shared" si="464"/>
        <v>-0.36147183181638098</v>
      </c>
      <c r="AP355">
        <f t="shared" si="465"/>
        <v>3.7197941836809192</v>
      </c>
    </row>
    <row r="356" spans="1:42" x14ac:dyDescent="0.25">
      <c r="A356" s="4">
        <v>45575</v>
      </c>
      <c r="B356">
        <f t="shared" ref="B356:N356" si="516">(B906-B905)*100</f>
        <v>-5.0000000000000711</v>
      </c>
      <c r="C356">
        <f t="shared" si="516"/>
        <v>0</v>
      </c>
      <c r="D356">
        <f t="shared" si="516"/>
        <v>0</v>
      </c>
      <c r="E356">
        <f t="shared" si="516"/>
        <v>0</v>
      </c>
      <c r="F356">
        <f t="shared" si="516"/>
        <v>0.99999999999997868</v>
      </c>
      <c r="G356">
        <f t="shared" si="516"/>
        <v>2.0000000000000462</v>
      </c>
      <c r="H356">
        <f t="shared" si="516"/>
        <v>1.0000000000000231</v>
      </c>
      <c r="I356">
        <f t="shared" si="516"/>
        <v>1.0000000000000231</v>
      </c>
      <c r="J356">
        <f t="shared" si="516"/>
        <v>0</v>
      </c>
      <c r="K356">
        <f t="shared" si="516"/>
        <v>-2.0000000000000018</v>
      </c>
      <c r="L356">
        <f t="shared" si="516"/>
        <v>-3.0000000000000249</v>
      </c>
      <c r="M356">
        <f t="shared" si="516"/>
        <v>-3.0000000000000249</v>
      </c>
      <c r="N356">
        <f t="shared" si="516"/>
        <v>-4.0000000000000036</v>
      </c>
      <c r="O356" s="5">
        <f t="shared" si="515"/>
        <v>1.4701930034966343E-3</v>
      </c>
      <c r="P356" s="5">
        <f t="shared" si="515"/>
        <v>-7.8227256812090449E-3</v>
      </c>
      <c r="Q356" s="5">
        <f t="shared" si="515"/>
        <v>1.3058884572072454E-3</v>
      </c>
      <c r="R356" s="5">
        <f t="shared" si="515"/>
        <v>1.3274925618652197E-3</v>
      </c>
      <c r="S356" s="5">
        <f t="shared" si="515"/>
        <v>1.8982097886621673E-4</v>
      </c>
      <c r="U356" s="4">
        <v>45575</v>
      </c>
      <c r="V356">
        <f t="shared" si="469"/>
        <v>20000.000000000284</v>
      </c>
      <c r="W356">
        <f t="shared" si="470"/>
        <v>0</v>
      </c>
      <c r="X356">
        <f t="shared" si="471"/>
        <v>0</v>
      </c>
      <c r="Y356">
        <f t="shared" si="472"/>
        <v>0</v>
      </c>
      <c r="Z356">
        <f t="shared" si="473"/>
        <v>5434.9999999998845</v>
      </c>
      <c r="AA356">
        <f t="shared" si="474"/>
        <v>-4000.0000000000923</v>
      </c>
      <c r="AB356">
        <f t="shared" si="475"/>
        <v>4564.0000000001055</v>
      </c>
      <c r="AC356">
        <f t="shared" si="476"/>
        <v>-2223.0000000000514</v>
      </c>
      <c r="AD356">
        <f t="shared" si="477"/>
        <v>0</v>
      </c>
      <c r="AE356">
        <f t="shared" si="478"/>
        <v>-2.0000000000000018</v>
      </c>
      <c r="AF356">
        <f t="shared" si="479"/>
        <v>-150969.00000000125</v>
      </c>
      <c r="AG356">
        <f t="shared" si="480"/>
        <v>-75969.000000000626</v>
      </c>
      <c r="AH356">
        <f t="shared" si="481"/>
        <v>-4.0000000000000036</v>
      </c>
      <c r="AI356">
        <f t="shared" si="482"/>
        <v>0.14701930034966343</v>
      </c>
      <c r="AJ356">
        <f t="shared" si="483"/>
        <v>78227.256812090447</v>
      </c>
      <c r="AK356">
        <f t="shared" si="484"/>
        <v>13058.884572072455</v>
      </c>
      <c r="AL356">
        <f t="shared" si="485"/>
        <v>-33187.31404663049</v>
      </c>
      <c r="AM356" s="1">
        <f t="shared" si="486"/>
        <v>-1898.2097886621673</v>
      </c>
      <c r="AN356" s="1">
        <f t="shared" si="463"/>
        <v>-146967.23543183118</v>
      </c>
      <c r="AO356">
        <f t="shared" si="464"/>
        <v>-1.9771292200056376</v>
      </c>
      <c r="AP356">
        <f t="shared" si="465"/>
        <v>3.7279229740260265</v>
      </c>
    </row>
    <row r="357" spans="1:42" x14ac:dyDescent="0.25">
      <c r="A357" s="4">
        <v>45574</v>
      </c>
      <c r="B357">
        <f t="shared" ref="B357:N357" si="517">(B907-B906)*100</f>
        <v>3.0000000000000249</v>
      </c>
      <c r="C357">
        <f t="shared" si="517"/>
        <v>0.99999999999997868</v>
      </c>
      <c r="D357">
        <f t="shared" si="517"/>
        <v>0</v>
      </c>
      <c r="E357">
        <f t="shared" si="517"/>
        <v>0</v>
      </c>
      <c r="F357">
        <f t="shared" si="517"/>
        <v>-1.9999999999999574</v>
      </c>
      <c r="G357">
        <f t="shared" si="517"/>
        <v>-3.0000000000000249</v>
      </c>
      <c r="H357">
        <f t="shared" si="517"/>
        <v>-1.0000000000000231</v>
      </c>
      <c r="I357">
        <f t="shared" si="517"/>
        <v>-3.0000000000000249</v>
      </c>
      <c r="J357">
        <f t="shared" si="517"/>
        <v>-5.0000000000000266</v>
      </c>
      <c r="K357">
        <f t="shared" si="517"/>
        <v>-3.0000000000000249</v>
      </c>
      <c r="L357">
        <f t="shared" si="517"/>
        <v>-1.9999999999999574</v>
      </c>
      <c r="M357">
        <f t="shared" si="517"/>
        <v>-3.0000000000000249</v>
      </c>
      <c r="N357">
        <f t="shared" si="517"/>
        <v>-1.9999999999999574</v>
      </c>
      <c r="O357" s="5">
        <f t="shared" si="515"/>
        <v>9.7361219103636772E-3</v>
      </c>
      <c r="P357" s="5">
        <f t="shared" si="515"/>
        <v>2.0067346960745643E-3</v>
      </c>
      <c r="Q357" s="5">
        <f t="shared" si="515"/>
        <v>8.3464678824486885E-3</v>
      </c>
      <c r="R357" s="5">
        <f t="shared" si="515"/>
        <v>5.8619938712353003E-3</v>
      </c>
      <c r="S357" s="5">
        <f t="shared" si="515"/>
        <v>7.5553294092010883E-3</v>
      </c>
      <c r="U357" s="4">
        <v>45574</v>
      </c>
      <c r="V357">
        <f t="shared" si="469"/>
        <v>-12000.0000000001</v>
      </c>
      <c r="W357">
        <f t="shared" si="470"/>
        <v>-2222.9999999999527</v>
      </c>
      <c r="X357">
        <f t="shared" si="471"/>
        <v>0</v>
      </c>
      <c r="Y357">
        <f t="shared" si="472"/>
        <v>0</v>
      </c>
      <c r="Z357">
        <f t="shared" si="473"/>
        <v>-10869.999999999769</v>
      </c>
      <c r="AA357">
        <f t="shared" si="474"/>
        <v>6000.00000000005</v>
      </c>
      <c r="AB357">
        <f t="shared" si="475"/>
        <v>-4564.0000000001055</v>
      </c>
      <c r="AC357">
        <f t="shared" si="476"/>
        <v>6669.0000000000555</v>
      </c>
      <c r="AD357">
        <f t="shared" si="477"/>
        <v>502720.00000000268</v>
      </c>
      <c r="AE357">
        <f t="shared" si="478"/>
        <v>-3.0000000000000249</v>
      </c>
      <c r="AF357">
        <f t="shared" si="479"/>
        <v>-100645.99999999786</v>
      </c>
      <c r="AG357">
        <f t="shared" si="480"/>
        <v>-75969.000000000626</v>
      </c>
      <c r="AH357">
        <f t="shared" si="481"/>
        <v>-1.9999999999999574</v>
      </c>
      <c r="AI357">
        <f t="shared" si="482"/>
        <v>0.97361219103636776</v>
      </c>
      <c r="AJ357">
        <f t="shared" si="483"/>
        <v>-20067.346960745643</v>
      </c>
      <c r="AK357">
        <f t="shared" si="484"/>
        <v>83464.67882448688</v>
      </c>
      <c r="AL357">
        <f t="shared" si="485"/>
        <v>-146549.84678088251</v>
      </c>
      <c r="AM357" s="1">
        <f t="shared" si="486"/>
        <v>-75553.294092010881</v>
      </c>
      <c r="AN357" s="1">
        <f t="shared" si="463"/>
        <v>150407.16460304323</v>
      </c>
      <c r="AO357">
        <f t="shared" si="464"/>
        <v>-2.2700748725147522</v>
      </c>
      <c r="AP357">
        <f t="shared" si="465"/>
        <v>3.7227689271486559</v>
      </c>
    </row>
    <row r="358" spans="1:42" x14ac:dyDescent="0.25">
      <c r="A358" s="4">
        <v>45573</v>
      </c>
      <c r="B358">
        <f t="shared" ref="B358:N358" si="518">(B908-B907)*100</f>
        <v>4.0000000000000036</v>
      </c>
      <c r="C358">
        <f t="shared" si="518"/>
        <v>2.0000000000000462</v>
      </c>
      <c r="D358">
        <f t="shared" si="518"/>
        <v>1.9999999999999574</v>
      </c>
      <c r="E358">
        <f t="shared" si="518"/>
        <v>1.9999999999999574</v>
      </c>
      <c r="F358">
        <f t="shared" si="518"/>
        <v>0.99999999999997868</v>
      </c>
      <c r="G358">
        <f t="shared" si="518"/>
        <v>3.0000000000000249</v>
      </c>
      <c r="H358">
        <f t="shared" si="518"/>
        <v>1.0000000000000231</v>
      </c>
      <c r="I358">
        <f t="shared" si="518"/>
        <v>3.0000000000000249</v>
      </c>
      <c r="J358">
        <f t="shared" si="518"/>
        <v>0</v>
      </c>
      <c r="K358">
        <f t="shared" si="518"/>
        <v>-2.0000000000000018</v>
      </c>
      <c r="L358">
        <f t="shared" si="518"/>
        <v>-0.99999999999997868</v>
      </c>
      <c r="M358">
        <f t="shared" si="518"/>
        <v>-0.99999999999997868</v>
      </c>
      <c r="N358">
        <f t="shared" si="518"/>
        <v>-2.0000000000000462</v>
      </c>
      <c r="O358" s="5">
        <f t="shared" si="515"/>
        <v>1.0399212249914412E-2</v>
      </c>
      <c r="P358" s="5">
        <f t="shared" si="515"/>
        <v>2.489782168881868E-3</v>
      </c>
      <c r="Q358" s="5">
        <f t="shared" si="515"/>
        <v>2.2923885471357601E-3</v>
      </c>
      <c r="R358" s="5">
        <f t="shared" si="515"/>
        <v>0</v>
      </c>
      <c r="S358" s="5">
        <f t="shared" si="515"/>
        <v>1.997496032667172E-3</v>
      </c>
      <c r="U358" s="4">
        <v>45573</v>
      </c>
      <c r="V358">
        <f t="shared" si="469"/>
        <v>-16000.000000000015</v>
      </c>
      <c r="W358">
        <f t="shared" si="470"/>
        <v>-4446.0000000001028</v>
      </c>
      <c r="X358">
        <f t="shared" si="471"/>
        <v>9179.9999999998035</v>
      </c>
      <c r="Y358">
        <f t="shared" si="472"/>
        <v>-6889.9999999998536</v>
      </c>
      <c r="Z358">
        <f t="shared" si="473"/>
        <v>5434.9999999998845</v>
      </c>
      <c r="AA358">
        <f t="shared" si="474"/>
        <v>-6000.00000000005</v>
      </c>
      <c r="AB358">
        <f t="shared" si="475"/>
        <v>4564.0000000001055</v>
      </c>
      <c r="AC358">
        <f t="shared" si="476"/>
        <v>-6669.0000000000555</v>
      </c>
      <c r="AD358">
        <f t="shared" si="477"/>
        <v>0</v>
      </c>
      <c r="AE358">
        <f t="shared" si="478"/>
        <v>-2.0000000000000018</v>
      </c>
      <c r="AF358">
        <f t="shared" si="479"/>
        <v>-50322.99999999893</v>
      </c>
      <c r="AG358">
        <f t="shared" si="480"/>
        <v>-25322.999999999462</v>
      </c>
      <c r="AH358">
        <f t="shared" si="481"/>
        <v>-2.0000000000000462</v>
      </c>
      <c r="AI358">
        <f t="shared" si="482"/>
        <v>1.0399212249914411</v>
      </c>
      <c r="AJ358">
        <f t="shared" si="483"/>
        <v>-24897.82168881868</v>
      </c>
      <c r="AK358">
        <f t="shared" si="484"/>
        <v>22923.8854713576</v>
      </c>
      <c r="AL358">
        <f t="shared" si="485"/>
        <v>0</v>
      </c>
      <c r="AM358" s="1">
        <f t="shared" si="486"/>
        <v>-19974.96032667172</v>
      </c>
      <c r="AN358" s="1">
        <f t="shared" si="463"/>
        <v>-118423.85662290647</v>
      </c>
      <c r="AO358">
        <f t="shared" si="464"/>
        <v>1.4127361528810329</v>
      </c>
      <c r="AP358">
        <f t="shared" si="465"/>
        <v>4.271220264102161</v>
      </c>
    </row>
    <row r="359" spans="1:42" x14ac:dyDescent="0.25">
      <c r="A359" s="4">
        <v>45572</v>
      </c>
      <c r="B359">
        <f t="shared" ref="B359:N359" si="519">(B909-B908)*100</f>
        <v>0.99999999999997868</v>
      </c>
      <c r="C359">
        <f t="shared" si="519"/>
        <v>0.99999999999997868</v>
      </c>
      <c r="D359">
        <f t="shared" si="519"/>
        <v>-3.9999999999999147</v>
      </c>
      <c r="E359">
        <f t="shared" si="519"/>
        <v>0.99999999999997868</v>
      </c>
      <c r="F359">
        <f t="shared" si="519"/>
        <v>0</v>
      </c>
      <c r="G359">
        <f t="shared" si="519"/>
        <v>-4.0000000000000036</v>
      </c>
      <c r="H359">
        <f t="shared" si="519"/>
        <v>-6.0000000000000053</v>
      </c>
      <c r="I359">
        <f t="shared" si="519"/>
        <v>-5.0000000000000266</v>
      </c>
      <c r="J359">
        <f t="shared" si="519"/>
        <v>-4.9999999999999822</v>
      </c>
      <c r="K359">
        <f t="shared" si="519"/>
        <v>-4.0000000000000036</v>
      </c>
      <c r="L359">
        <f t="shared" si="519"/>
        <v>-5.0000000000000266</v>
      </c>
      <c r="M359">
        <f t="shared" si="519"/>
        <v>-4.0000000000000036</v>
      </c>
      <c r="N359">
        <f t="shared" si="519"/>
        <v>-4.0000000000000036</v>
      </c>
      <c r="O359" s="5">
        <f t="shared" si="515"/>
        <v>-1.0978355447316087E-3</v>
      </c>
      <c r="P359" s="5">
        <f t="shared" si="515"/>
        <v>1.1114670672861761E-2</v>
      </c>
      <c r="Q359" s="5">
        <f t="shared" si="515"/>
        <v>4.6114782545971572E-3</v>
      </c>
      <c r="R359" s="5">
        <f t="shared" si="515"/>
        <v>2.9439336128770049E-3</v>
      </c>
      <c r="S359" s="5">
        <f t="shared" si="515"/>
        <v>2.3960430096220757E-3</v>
      </c>
      <c r="U359" s="4">
        <v>45572</v>
      </c>
      <c r="V359">
        <f t="shared" si="469"/>
        <v>-3999.9999999999145</v>
      </c>
      <c r="W359">
        <f t="shared" si="470"/>
        <v>-2222.9999999999527</v>
      </c>
      <c r="X359">
        <f t="shared" si="471"/>
        <v>-18359.999999999607</v>
      </c>
      <c r="Y359">
        <f t="shared" si="472"/>
        <v>-3444.9999999999268</v>
      </c>
      <c r="Z359">
        <f t="shared" si="473"/>
        <v>0</v>
      </c>
      <c r="AA359">
        <f t="shared" si="474"/>
        <v>8000.0000000000073</v>
      </c>
      <c r="AB359">
        <f t="shared" si="475"/>
        <v>-27384.000000000025</v>
      </c>
      <c r="AC359">
        <f t="shared" si="476"/>
        <v>11115.00000000006</v>
      </c>
      <c r="AD359">
        <f t="shared" si="477"/>
        <v>502719.9999999982</v>
      </c>
      <c r="AE359">
        <f t="shared" si="478"/>
        <v>-4.0000000000000036</v>
      </c>
      <c r="AF359">
        <f t="shared" si="479"/>
        <v>-251615.00000000134</v>
      </c>
      <c r="AG359">
        <f t="shared" si="480"/>
        <v>-101292.00000000009</v>
      </c>
      <c r="AH359">
        <f t="shared" si="481"/>
        <v>-4.0000000000000036</v>
      </c>
      <c r="AI359">
        <f t="shared" si="482"/>
        <v>-0.10978355447316086</v>
      </c>
      <c r="AJ359">
        <f t="shared" si="483"/>
        <v>-111146.70672861762</v>
      </c>
      <c r="AK359">
        <f t="shared" si="484"/>
        <v>46114.782545971575</v>
      </c>
      <c r="AL359">
        <f t="shared" si="485"/>
        <v>-73598.340321925119</v>
      </c>
      <c r="AM359" s="1">
        <f t="shared" si="486"/>
        <v>-23960.430096220756</v>
      </c>
      <c r="AN359" s="1">
        <f t="shared" si="463"/>
        <v>-49082.804384348987</v>
      </c>
      <c r="AO359">
        <f t="shared" si="464"/>
        <v>-1.0416992698066014</v>
      </c>
      <c r="AP359">
        <f t="shared" si="465"/>
        <v>4.2539283137987161</v>
      </c>
    </row>
    <row r="360" spans="1:42" x14ac:dyDescent="0.25">
      <c r="A360" s="4">
        <v>45569</v>
      </c>
      <c r="B360">
        <f t="shared" ref="B360:N360" si="520">(B910-B909)*100</f>
        <v>-1.9999999999999574</v>
      </c>
      <c r="C360">
        <f t="shared" si="520"/>
        <v>-3.0000000000000249</v>
      </c>
      <c r="D360">
        <f t="shared" si="520"/>
        <v>-5.0000000000000711</v>
      </c>
      <c r="E360">
        <f t="shared" si="520"/>
        <v>-6.9999999999999396</v>
      </c>
      <c r="F360">
        <f t="shared" si="520"/>
        <v>-8.0000000000000071</v>
      </c>
      <c r="G360">
        <f t="shared" si="520"/>
        <v>-18.00000000000006</v>
      </c>
      <c r="H360">
        <f t="shared" si="520"/>
        <v>-23</v>
      </c>
      <c r="I360">
        <f t="shared" si="520"/>
        <v>-21.999999999999975</v>
      </c>
      <c r="J360">
        <f t="shared" si="520"/>
        <v>-18.999999999999993</v>
      </c>
      <c r="K360">
        <f t="shared" si="520"/>
        <v>-16.999999999999993</v>
      </c>
      <c r="L360">
        <f t="shared" si="520"/>
        <v>-12.999999999999989</v>
      </c>
      <c r="M360">
        <f t="shared" si="520"/>
        <v>-8.9999999999999858</v>
      </c>
      <c r="N360">
        <f t="shared" si="520"/>
        <v>-8.0000000000000071</v>
      </c>
      <c r="O360" s="5">
        <f t="shared" si="515"/>
        <v>-2.9946155858459628E-3</v>
      </c>
      <c r="P360" s="5">
        <f t="shared" si="515"/>
        <v>-4.4511524420908768E-3</v>
      </c>
      <c r="Q360" s="5">
        <f t="shared" si="515"/>
        <v>1.2321518019417072E-2</v>
      </c>
      <c r="R360" s="5">
        <f t="shared" si="515"/>
        <v>1.0726737418993283E-3</v>
      </c>
      <c r="S360" s="5">
        <f t="shared" si="515"/>
        <v>-5.5663718259097855E-3</v>
      </c>
      <c r="U360" s="4">
        <v>45569</v>
      </c>
      <c r="V360">
        <f t="shared" si="469"/>
        <v>7999.999999999829</v>
      </c>
      <c r="W360">
        <f t="shared" si="470"/>
        <v>6669.0000000000555</v>
      </c>
      <c r="X360">
        <f t="shared" si="471"/>
        <v>-22950.000000000327</v>
      </c>
      <c r="Y360">
        <f t="shared" si="472"/>
        <v>24114.999999999793</v>
      </c>
      <c r="Z360">
        <f t="shared" si="473"/>
        <v>-43480.000000000036</v>
      </c>
      <c r="AA360">
        <f t="shared" si="474"/>
        <v>36000.000000000124</v>
      </c>
      <c r="AB360">
        <f t="shared" si="475"/>
        <v>-104972</v>
      </c>
      <c r="AC360">
        <f t="shared" si="476"/>
        <v>48905.999999999942</v>
      </c>
      <c r="AD360">
        <f t="shared" si="477"/>
        <v>1910335.9999999993</v>
      </c>
      <c r="AE360">
        <f t="shared" si="478"/>
        <v>-16.999999999999993</v>
      </c>
      <c r="AF360">
        <f t="shared" si="479"/>
        <v>-654198.99999999942</v>
      </c>
      <c r="AG360">
        <f t="shared" si="480"/>
        <v>-227906.99999999965</v>
      </c>
      <c r="AH360">
        <f t="shared" si="481"/>
        <v>-8.0000000000000071</v>
      </c>
      <c r="AI360">
        <f t="shared" si="482"/>
        <v>-0.29946155858459628</v>
      </c>
      <c r="AJ360">
        <f t="shared" si="483"/>
        <v>44511.524420908769</v>
      </c>
      <c r="AK360">
        <f t="shared" si="484"/>
        <v>123215.18019417072</v>
      </c>
      <c r="AL360">
        <f t="shared" si="485"/>
        <v>-26816.843547483208</v>
      </c>
      <c r="AM360" s="1">
        <f t="shared" si="486"/>
        <v>55663.718259097855</v>
      </c>
      <c r="AN360" s="1">
        <f t="shared" si="463"/>
        <v>1177066.279865135</v>
      </c>
      <c r="AO360">
        <f t="shared" si="464"/>
        <v>2.9450458602395808</v>
      </c>
      <c r="AP360">
        <f t="shared" si="465"/>
        <v>4.3633393145506911</v>
      </c>
    </row>
    <row r="361" spans="1:42" x14ac:dyDescent="0.25">
      <c r="A361" s="4">
        <v>45568</v>
      </c>
      <c r="B361">
        <f t="shared" ref="B361:N361" si="521">(B911-B910)*100</f>
        <v>-7.0000000000000284</v>
      </c>
      <c r="C361">
        <f t="shared" si="521"/>
        <v>-1.9999999999999574</v>
      </c>
      <c r="D361">
        <f t="shared" si="521"/>
        <v>1.0000000000000675</v>
      </c>
      <c r="E361">
        <f t="shared" si="521"/>
        <v>0</v>
      </c>
      <c r="F361">
        <f t="shared" si="521"/>
        <v>-0.99999999999997868</v>
      </c>
      <c r="G361">
        <f t="shared" si="521"/>
        <v>-4.9999999999999378</v>
      </c>
      <c r="H361">
        <f t="shared" si="521"/>
        <v>-7.0000000000000284</v>
      </c>
      <c r="I361">
        <f t="shared" si="521"/>
        <v>-8.0000000000000071</v>
      </c>
      <c r="J361">
        <f t="shared" si="521"/>
        <v>-7.0000000000000284</v>
      </c>
      <c r="K361">
        <f t="shared" si="521"/>
        <v>-6.0000000000000053</v>
      </c>
      <c r="L361">
        <f t="shared" si="521"/>
        <v>-6.0000000000000053</v>
      </c>
      <c r="M361">
        <f t="shared" si="521"/>
        <v>-4.9999999999999822</v>
      </c>
      <c r="N361">
        <f t="shared" si="521"/>
        <v>-4.0000000000000036</v>
      </c>
      <c r="O361" s="5">
        <f t="shared" si="515"/>
        <v>9.986431929622154E-3</v>
      </c>
      <c r="P361" s="5">
        <f t="shared" si="515"/>
        <v>7.7632800769802609E-4</v>
      </c>
      <c r="Q361" s="5">
        <f t="shared" si="515"/>
        <v>7.8481191608884074E-3</v>
      </c>
      <c r="R361" s="5">
        <f t="shared" si="515"/>
        <v>4.0328055731670299E-3</v>
      </c>
      <c r="S361" s="5">
        <f t="shared" si="515"/>
        <v>-2.5784906402160183E-3</v>
      </c>
      <c r="U361" s="4">
        <v>45568</v>
      </c>
      <c r="V361">
        <f t="shared" si="469"/>
        <v>28000.000000000113</v>
      </c>
      <c r="W361">
        <f t="shared" si="470"/>
        <v>4445.9999999999054</v>
      </c>
      <c r="X361">
        <f t="shared" si="471"/>
        <v>4590.0000000003101</v>
      </c>
      <c r="Y361">
        <f t="shared" si="472"/>
        <v>0</v>
      </c>
      <c r="Z361">
        <f t="shared" si="473"/>
        <v>-5434.9999999998845</v>
      </c>
      <c r="AA361">
        <f t="shared" si="474"/>
        <v>9999.9999999998763</v>
      </c>
      <c r="AB361">
        <f t="shared" si="475"/>
        <v>-31948.000000000131</v>
      </c>
      <c r="AC361">
        <f t="shared" si="476"/>
        <v>17784.000000000015</v>
      </c>
      <c r="AD361">
        <f t="shared" si="477"/>
        <v>703808.00000000291</v>
      </c>
      <c r="AE361">
        <f t="shared" si="478"/>
        <v>-6.0000000000000053</v>
      </c>
      <c r="AF361">
        <f t="shared" si="479"/>
        <v>-301938.00000000029</v>
      </c>
      <c r="AG361">
        <f t="shared" si="480"/>
        <v>-126614.99999999955</v>
      </c>
      <c r="AH361">
        <f t="shared" si="481"/>
        <v>-4.0000000000000036</v>
      </c>
      <c r="AI361">
        <f t="shared" si="482"/>
        <v>0.99864319296221538</v>
      </c>
      <c r="AJ361">
        <f t="shared" si="483"/>
        <v>-7763.2800769802607</v>
      </c>
      <c r="AK361">
        <f t="shared" si="484"/>
        <v>78481.191608884081</v>
      </c>
      <c r="AL361">
        <f t="shared" si="485"/>
        <v>-100820.13932917574</v>
      </c>
      <c r="AM361" s="1">
        <f t="shared" si="486"/>
        <v>25784.906402160184</v>
      </c>
      <c r="AN361" s="1">
        <f t="shared" si="463"/>
        <v>298365.67724808457</v>
      </c>
      <c r="AO361">
        <f t="shared" si="464"/>
        <v>-5.129618790845214E-2</v>
      </c>
      <c r="AP361">
        <f t="shared" si="465"/>
        <v>4.2843954167441876</v>
      </c>
    </row>
    <row r="362" spans="1:42" x14ac:dyDescent="0.25">
      <c r="A362" s="4">
        <v>45567</v>
      </c>
      <c r="B362">
        <f t="shared" ref="B362:N362" si="522">(B912-B911)*100</f>
        <v>4.0000000000000036</v>
      </c>
      <c r="C362">
        <f t="shared" si="522"/>
        <v>4.0000000000000036</v>
      </c>
      <c r="D362">
        <f t="shared" si="522"/>
        <v>1.9999999999999574</v>
      </c>
      <c r="E362">
        <f t="shared" si="522"/>
        <v>1.9999999999999574</v>
      </c>
      <c r="F362">
        <f t="shared" si="522"/>
        <v>0</v>
      </c>
      <c r="G362">
        <f t="shared" si="522"/>
        <v>-1.0000000000000231</v>
      </c>
      <c r="H362">
        <f t="shared" si="522"/>
        <v>-2.0000000000000018</v>
      </c>
      <c r="I362">
        <f t="shared" si="522"/>
        <v>-2.0000000000000018</v>
      </c>
      <c r="J362">
        <f t="shared" si="522"/>
        <v>-4.0000000000000036</v>
      </c>
      <c r="K362">
        <f t="shared" si="522"/>
        <v>-4.9999999999999822</v>
      </c>
      <c r="L362">
        <f t="shared" si="522"/>
        <v>-4.9999999999999822</v>
      </c>
      <c r="M362">
        <f t="shared" si="522"/>
        <v>-5.0000000000000711</v>
      </c>
      <c r="N362">
        <f t="shared" si="522"/>
        <v>-5.9999999999999609</v>
      </c>
      <c r="O362" s="5">
        <f t="shared" si="515"/>
        <v>-3.9698636955826242E-3</v>
      </c>
      <c r="P362" s="5">
        <f t="shared" si="515"/>
        <v>-9.0632905476988063E-3</v>
      </c>
      <c r="Q362" s="5">
        <f t="shared" si="515"/>
        <v>3.8358739725192674E-3</v>
      </c>
      <c r="R362" s="5">
        <f t="shared" si="515"/>
        <v>-1.6150743752981205E-3</v>
      </c>
      <c r="S362" s="5">
        <f t="shared" si="515"/>
        <v>-1.4647913036105948E-2</v>
      </c>
      <c r="U362" s="4">
        <v>45567</v>
      </c>
      <c r="V362">
        <f t="shared" si="469"/>
        <v>-16000.000000000015</v>
      </c>
      <c r="W362">
        <f t="shared" si="470"/>
        <v>-8892.0000000000073</v>
      </c>
      <c r="X362">
        <f t="shared" si="471"/>
        <v>9179.9999999998035</v>
      </c>
      <c r="Y362">
        <f t="shared" si="472"/>
        <v>-6889.9999999998536</v>
      </c>
      <c r="Z362">
        <f t="shared" si="473"/>
        <v>0</v>
      </c>
      <c r="AA362">
        <f t="shared" si="474"/>
        <v>2000.0000000000462</v>
      </c>
      <c r="AB362">
        <f t="shared" si="475"/>
        <v>-9128.0000000000073</v>
      </c>
      <c r="AC362">
        <f t="shared" si="476"/>
        <v>4446.0000000000036</v>
      </c>
      <c r="AD362">
        <f t="shared" si="477"/>
        <v>402176.00000000035</v>
      </c>
      <c r="AE362">
        <f t="shared" si="478"/>
        <v>-4.9999999999999822</v>
      </c>
      <c r="AF362">
        <f t="shared" si="479"/>
        <v>-251614.9999999991</v>
      </c>
      <c r="AG362">
        <f t="shared" si="480"/>
        <v>-126615.0000000018</v>
      </c>
      <c r="AH362">
        <f t="shared" si="481"/>
        <v>-5.9999999999999609</v>
      </c>
      <c r="AI362">
        <f t="shared" si="482"/>
        <v>-0.39698636955826244</v>
      </c>
      <c r="AJ362">
        <f t="shared" si="483"/>
        <v>90632.90547698806</v>
      </c>
      <c r="AK362">
        <f t="shared" si="484"/>
        <v>38358.739725192674</v>
      </c>
      <c r="AL362">
        <f t="shared" si="485"/>
        <v>40376.859382453011</v>
      </c>
      <c r="AM362" s="1">
        <f t="shared" si="486"/>
        <v>146479.13036105948</v>
      </c>
      <c r="AN362" s="1">
        <f t="shared" si="463"/>
        <v>314498.2379593231</v>
      </c>
      <c r="AO362">
        <f t="shared" si="464"/>
        <v>-2.0284619768221419</v>
      </c>
      <c r="AP362">
        <f t="shared" si="465"/>
        <v>4.6847374127438099</v>
      </c>
    </row>
    <row r="363" spans="1:42" x14ac:dyDescent="0.25">
      <c r="A363" s="4">
        <v>45566</v>
      </c>
      <c r="B363">
        <f t="shared" ref="B363:N363" si="523">(B913-B912)*100</f>
        <v>-3.0000000000000249</v>
      </c>
      <c r="C363">
        <f t="shared" si="523"/>
        <v>0</v>
      </c>
      <c r="D363">
        <f t="shared" si="523"/>
        <v>2.0000000000000462</v>
      </c>
      <c r="E363">
        <f t="shared" si="523"/>
        <v>2.0000000000000462</v>
      </c>
      <c r="F363">
        <f t="shared" si="523"/>
        <v>1.9999999999999574</v>
      </c>
      <c r="G363">
        <f t="shared" si="523"/>
        <v>2.0000000000000018</v>
      </c>
      <c r="H363">
        <f t="shared" si="523"/>
        <v>5.0000000000000266</v>
      </c>
      <c r="I363">
        <f t="shared" si="523"/>
        <v>6.0000000000000053</v>
      </c>
      <c r="J363">
        <f t="shared" si="523"/>
        <v>7.0000000000000284</v>
      </c>
      <c r="K363">
        <f t="shared" si="523"/>
        <v>6.999999999999984</v>
      </c>
      <c r="L363">
        <f t="shared" si="523"/>
        <v>6.999999999999984</v>
      </c>
      <c r="M363">
        <f t="shared" si="523"/>
        <v>5.0000000000000711</v>
      </c>
      <c r="N363">
        <f t="shared" si="523"/>
        <v>5.9999999999999609</v>
      </c>
      <c r="O363" s="5">
        <f t="shared" si="515"/>
        <v>-3.6753418722857006E-2</v>
      </c>
      <c r="P363" s="5">
        <f t="shared" si="515"/>
        <v>1.0201401358985455E-2</v>
      </c>
      <c r="Q363" s="5">
        <f t="shared" si="515"/>
        <v>-2.170812382759604E-2</v>
      </c>
      <c r="R363" s="5">
        <f t="shared" si="515"/>
        <v>-8.3032484545227624E-3</v>
      </c>
      <c r="S363" s="5">
        <f t="shared" si="515"/>
        <v>0</v>
      </c>
      <c r="U363" s="4">
        <v>45566</v>
      </c>
      <c r="V363">
        <f t="shared" si="469"/>
        <v>12000.0000000001</v>
      </c>
      <c r="W363">
        <f t="shared" si="470"/>
        <v>0</v>
      </c>
      <c r="X363">
        <f t="shared" si="471"/>
        <v>9180.0000000002128</v>
      </c>
      <c r="Y363">
        <f t="shared" si="472"/>
        <v>-6890.0000000001592</v>
      </c>
      <c r="Z363">
        <f t="shared" si="473"/>
        <v>10869.999999999769</v>
      </c>
      <c r="AA363">
        <f t="shared" si="474"/>
        <v>-4000.0000000000036</v>
      </c>
      <c r="AB363">
        <f t="shared" si="475"/>
        <v>22820.00000000012</v>
      </c>
      <c r="AC363">
        <f t="shared" si="476"/>
        <v>-13338.000000000013</v>
      </c>
      <c r="AD363">
        <f t="shared" si="477"/>
        <v>-703808.00000000291</v>
      </c>
      <c r="AE363">
        <f t="shared" si="478"/>
        <v>6.999999999999984</v>
      </c>
      <c r="AF363">
        <f t="shared" si="479"/>
        <v>352260.99999999919</v>
      </c>
      <c r="AG363">
        <f t="shared" si="480"/>
        <v>126615.0000000018</v>
      </c>
      <c r="AH363">
        <f t="shared" si="481"/>
        <v>5.9999999999999609</v>
      </c>
      <c r="AI363">
        <f t="shared" si="482"/>
        <v>-3.6753418722857005</v>
      </c>
      <c r="AJ363">
        <f t="shared" si="483"/>
        <v>-102014.01358985454</v>
      </c>
      <c r="AK363">
        <f t="shared" si="484"/>
        <v>-217081.23827596041</v>
      </c>
      <c r="AL363">
        <f t="shared" si="485"/>
        <v>207581.21136306907</v>
      </c>
      <c r="AM363" s="1">
        <f t="shared" si="486"/>
        <v>0</v>
      </c>
      <c r="AN363" s="1">
        <f t="shared" si="463"/>
        <v>-305794.71584462008</v>
      </c>
      <c r="AO363">
        <f t="shared" si="464"/>
        <v>-1.8421684031148662</v>
      </c>
      <c r="AP363">
        <f t="shared" si="465"/>
        <v>4.6750532693214355</v>
      </c>
    </row>
    <row r="364" spans="1:42" x14ac:dyDescent="0.25">
      <c r="A364" s="4">
        <v>45565</v>
      </c>
      <c r="B364">
        <f t="shared" ref="B364:N364" si="524">(B914-B913)*100</f>
        <v>-2.9999999999999361</v>
      </c>
      <c r="C364">
        <f t="shared" si="524"/>
        <v>0</v>
      </c>
      <c r="D364">
        <f t="shared" si="524"/>
        <v>-5.0000000000000711</v>
      </c>
      <c r="E364">
        <f t="shared" si="524"/>
        <v>-1.0000000000000675</v>
      </c>
      <c r="F364">
        <f t="shared" si="524"/>
        <v>-3.0000000000000249</v>
      </c>
      <c r="G364">
        <f t="shared" si="524"/>
        <v>-8.0000000000000071</v>
      </c>
      <c r="H364">
        <f t="shared" si="524"/>
        <v>-11.000000000000032</v>
      </c>
      <c r="I364">
        <f t="shared" si="524"/>
        <v>-8.9999999999999858</v>
      </c>
      <c r="J364">
        <f t="shared" si="524"/>
        <v>-8.0000000000000071</v>
      </c>
      <c r="K364">
        <f t="shared" si="524"/>
        <v>-6.999999999999984</v>
      </c>
      <c r="L364">
        <f t="shared" si="524"/>
        <v>-6.0000000000000053</v>
      </c>
      <c r="M364">
        <f t="shared" si="524"/>
        <v>-4.0000000000000036</v>
      </c>
      <c r="N364">
        <f t="shared" si="524"/>
        <v>-4.0000000000000036</v>
      </c>
      <c r="O364" s="5">
        <f t="shared" si="515"/>
        <v>0</v>
      </c>
      <c r="P364" s="5">
        <f t="shared" si="515"/>
        <v>0</v>
      </c>
      <c r="Q364" s="5">
        <f t="shared" si="515"/>
        <v>0</v>
      </c>
      <c r="R364" s="5">
        <f t="shared" si="515"/>
        <v>0</v>
      </c>
      <c r="S364" s="5">
        <f t="shared" si="515"/>
        <v>0</v>
      </c>
      <c r="U364" s="4">
        <v>45565</v>
      </c>
      <c r="V364">
        <f t="shared" si="469"/>
        <v>11999.999999999744</v>
      </c>
      <c r="W364">
        <f t="shared" si="470"/>
        <v>0</v>
      </c>
      <c r="X364">
        <f t="shared" si="471"/>
        <v>-22950.000000000327</v>
      </c>
      <c r="Y364">
        <f t="shared" si="472"/>
        <v>3445.0000000002324</v>
      </c>
      <c r="Z364">
        <f t="shared" si="473"/>
        <v>-16305.000000000135</v>
      </c>
      <c r="AA364">
        <f t="shared" si="474"/>
        <v>16000.000000000015</v>
      </c>
      <c r="AB364">
        <f t="shared" si="475"/>
        <v>-50204.000000000146</v>
      </c>
      <c r="AC364">
        <f t="shared" si="476"/>
        <v>20006.999999999967</v>
      </c>
      <c r="AD364">
        <f t="shared" si="477"/>
        <v>804352.0000000007</v>
      </c>
      <c r="AE364">
        <f t="shared" si="478"/>
        <v>-6.999999999999984</v>
      </c>
      <c r="AF364">
        <f t="shared" si="479"/>
        <v>-301938.00000000029</v>
      </c>
      <c r="AG364">
        <f t="shared" si="480"/>
        <v>-101292.00000000009</v>
      </c>
      <c r="AH364">
        <f t="shared" si="481"/>
        <v>-4.0000000000000036</v>
      </c>
      <c r="AI364">
        <f t="shared" si="482"/>
        <v>0</v>
      </c>
      <c r="AJ364">
        <f t="shared" si="483"/>
        <v>0</v>
      </c>
      <c r="AK364">
        <f t="shared" si="484"/>
        <v>0</v>
      </c>
      <c r="AL364">
        <f t="shared" si="485"/>
        <v>0</v>
      </c>
      <c r="AM364" s="1">
        <f t="shared" si="486"/>
        <v>0</v>
      </c>
      <c r="AN364" s="1">
        <f t="shared" si="463"/>
        <v>363103.99999999965</v>
      </c>
      <c r="AO364">
        <f t="shared" si="464"/>
        <v>-2.5243020863943624</v>
      </c>
      <c r="AP364">
        <f t="shared" si="465"/>
        <v>4.6842687506663268</v>
      </c>
    </row>
    <row r="365" spans="1:42" x14ac:dyDescent="0.25">
      <c r="A365" s="4">
        <v>45562</v>
      </c>
      <c r="B365">
        <f t="shared" ref="B365:N365" si="525">(B915-B914)*100</f>
        <v>0</v>
      </c>
      <c r="C365">
        <f t="shared" si="525"/>
        <v>0</v>
      </c>
      <c r="D365">
        <f t="shared" si="525"/>
        <v>0</v>
      </c>
      <c r="E365">
        <f t="shared" si="525"/>
        <v>1.0000000000000675</v>
      </c>
      <c r="F365">
        <f t="shared" si="525"/>
        <v>3.0000000000000249</v>
      </c>
      <c r="G365">
        <f t="shared" si="525"/>
        <v>6.0000000000000053</v>
      </c>
      <c r="H365">
        <f t="shared" si="525"/>
        <v>5.0000000000000266</v>
      </c>
      <c r="I365">
        <f t="shared" si="525"/>
        <v>4.9999999999999822</v>
      </c>
      <c r="J365">
        <f t="shared" si="525"/>
        <v>4.9999999999999822</v>
      </c>
      <c r="K365">
        <f t="shared" si="525"/>
        <v>4.9999999999999822</v>
      </c>
      <c r="L365">
        <f t="shared" si="525"/>
        <v>4.0000000000000036</v>
      </c>
      <c r="M365">
        <f t="shared" si="525"/>
        <v>1.9999999999999574</v>
      </c>
      <c r="N365">
        <f t="shared" si="525"/>
        <v>2.0000000000000462</v>
      </c>
      <c r="O365" s="5">
        <f t="shared" ref="O365:S374" si="526">LN(O914/O915)</f>
        <v>0</v>
      </c>
      <c r="P365" s="5">
        <f t="shared" si="526"/>
        <v>0</v>
      </c>
      <c r="Q365" s="5">
        <f t="shared" si="526"/>
        <v>0</v>
      </c>
      <c r="R365" s="5">
        <f t="shared" si="526"/>
        <v>0</v>
      </c>
      <c r="S365" s="5">
        <f t="shared" si="526"/>
        <v>0</v>
      </c>
      <c r="U365" s="4">
        <v>45562</v>
      </c>
      <c r="V365">
        <f t="shared" si="469"/>
        <v>0</v>
      </c>
      <c r="W365">
        <f t="shared" si="470"/>
        <v>0</v>
      </c>
      <c r="X365">
        <f t="shared" si="471"/>
        <v>0</v>
      </c>
      <c r="Y365">
        <f t="shared" si="472"/>
        <v>-3445.0000000002324</v>
      </c>
      <c r="Z365">
        <f t="shared" si="473"/>
        <v>16305.000000000135</v>
      </c>
      <c r="AA365">
        <f t="shared" si="474"/>
        <v>-12000.000000000011</v>
      </c>
      <c r="AB365">
        <f t="shared" si="475"/>
        <v>22820.00000000012</v>
      </c>
      <c r="AC365">
        <f t="shared" si="476"/>
        <v>-11114.99999999996</v>
      </c>
      <c r="AD365">
        <f t="shared" si="477"/>
        <v>-502719.9999999982</v>
      </c>
      <c r="AE365">
        <f t="shared" si="478"/>
        <v>4.9999999999999822</v>
      </c>
      <c r="AF365">
        <f t="shared" si="479"/>
        <v>201292.00000000017</v>
      </c>
      <c r="AG365">
        <f t="shared" si="480"/>
        <v>50645.999999998923</v>
      </c>
      <c r="AH365">
        <f t="shared" si="481"/>
        <v>2.0000000000000462</v>
      </c>
      <c r="AI365">
        <f t="shared" si="482"/>
        <v>0</v>
      </c>
      <c r="AJ365">
        <f t="shared" si="483"/>
        <v>0</v>
      </c>
      <c r="AK365">
        <f t="shared" si="484"/>
        <v>0</v>
      </c>
      <c r="AL365">
        <f t="shared" si="485"/>
        <v>0</v>
      </c>
      <c r="AM365" s="1">
        <f t="shared" si="486"/>
        <v>0</v>
      </c>
      <c r="AN365" s="1">
        <f t="shared" si="463"/>
        <v>-238209.99999999904</v>
      </c>
      <c r="AO365">
        <f t="shared" si="464"/>
        <v>-1.624737736561622</v>
      </c>
      <c r="AP365">
        <f t="shared" si="465"/>
        <v>4.6616063973564472</v>
      </c>
    </row>
    <row r="366" spans="1:42" x14ac:dyDescent="0.25">
      <c r="A366" s="4">
        <v>45561</v>
      </c>
      <c r="B366">
        <f t="shared" ref="B366:N366" si="527">(B916-B915)*100</f>
        <v>-11.000000000000032</v>
      </c>
      <c r="C366">
        <f t="shared" si="527"/>
        <v>-8.9999999999999858</v>
      </c>
      <c r="D366">
        <f t="shared" si="527"/>
        <v>1.0000000000000675</v>
      </c>
      <c r="E366">
        <f t="shared" si="527"/>
        <v>-1.0000000000000675</v>
      </c>
      <c r="F366">
        <f t="shared" si="527"/>
        <v>-1.9999999999999574</v>
      </c>
      <c r="G366">
        <f t="shared" si="527"/>
        <v>-6.999999999999984</v>
      </c>
      <c r="H366">
        <f t="shared" si="527"/>
        <v>-7.0000000000000284</v>
      </c>
      <c r="I366">
        <f t="shared" si="527"/>
        <v>-4.9999999999999822</v>
      </c>
      <c r="J366">
        <f t="shared" si="527"/>
        <v>-2.9999999999999805</v>
      </c>
      <c r="K366">
        <f t="shared" si="527"/>
        <v>0</v>
      </c>
      <c r="L366">
        <f t="shared" si="527"/>
        <v>0</v>
      </c>
      <c r="M366">
        <f t="shared" si="527"/>
        <v>0.99999999999997868</v>
      </c>
      <c r="N366">
        <f t="shared" si="527"/>
        <v>1.9999999999999574</v>
      </c>
      <c r="O366" s="5">
        <f t="shared" si="526"/>
        <v>0</v>
      </c>
      <c r="P366" s="5">
        <f t="shared" si="526"/>
        <v>0</v>
      </c>
      <c r="Q366" s="5">
        <f t="shared" si="526"/>
        <v>0</v>
      </c>
      <c r="R366" s="5">
        <f t="shared" si="526"/>
        <v>0</v>
      </c>
      <c r="S366" s="5">
        <f t="shared" si="526"/>
        <v>0</v>
      </c>
      <c r="U366" s="4">
        <v>45561</v>
      </c>
      <c r="V366">
        <f t="shared" si="469"/>
        <v>44000.000000000131</v>
      </c>
      <c r="W366">
        <f t="shared" si="470"/>
        <v>20006.999999999967</v>
      </c>
      <c r="X366">
        <f t="shared" si="471"/>
        <v>4590.0000000003101</v>
      </c>
      <c r="Y366">
        <f t="shared" si="472"/>
        <v>3445.0000000002324</v>
      </c>
      <c r="Z366">
        <f t="shared" si="473"/>
        <v>-10869.999999999769</v>
      </c>
      <c r="AA366">
        <f t="shared" si="474"/>
        <v>13999.999999999967</v>
      </c>
      <c r="AB366">
        <f t="shared" si="475"/>
        <v>-31948.000000000131</v>
      </c>
      <c r="AC366">
        <f t="shared" si="476"/>
        <v>11114.99999999996</v>
      </c>
      <c r="AD366">
        <f t="shared" si="477"/>
        <v>301631.99999999802</v>
      </c>
      <c r="AE366">
        <f t="shared" si="478"/>
        <v>0</v>
      </c>
      <c r="AF366">
        <f t="shared" si="479"/>
        <v>0</v>
      </c>
      <c r="AG366">
        <f t="shared" si="480"/>
        <v>25322.999999999462</v>
      </c>
      <c r="AH366">
        <f t="shared" si="481"/>
        <v>1.9999999999999574</v>
      </c>
      <c r="AI366">
        <f t="shared" si="482"/>
        <v>0</v>
      </c>
      <c r="AJ366">
        <f t="shared" si="483"/>
        <v>0</v>
      </c>
      <c r="AK366">
        <f t="shared" si="484"/>
        <v>0</v>
      </c>
      <c r="AL366">
        <f t="shared" si="485"/>
        <v>0</v>
      </c>
      <c r="AM366" s="1">
        <f t="shared" si="486"/>
        <v>0</v>
      </c>
      <c r="AN366" s="1">
        <f t="shared" si="463"/>
        <v>381295.9999999982</v>
      </c>
      <c r="AO366">
        <f t="shared" si="464"/>
        <v>2.0074457344775305</v>
      </c>
      <c r="AP366">
        <f t="shared" si="465"/>
        <v>4.6608163274080407</v>
      </c>
    </row>
    <row r="367" spans="1:42" x14ac:dyDescent="0.25">
      <c r="A367" s="4">
        <v>45560</v>
      </c>
      <c r="B367">
        <f t="shared" ref="B367:N367" si="528">(B917-B916)*100</f>
        <v>-0.99999999999997868</v>
      </c>
      <c r="C367">
        <f t="shared" si="528"/>
        <v>0</v>
      </c>
      <c r="D367">
        <f t="shared" si="528"/>
        <v>0</v>
      </c>
      <c r="E367">
        <f t="shared" si="528"/>
        <v>-0.99999999999997868</v>
      </c>
      <c r="F367">
        <f t="shared" si="528"/>
        <v>0</v>
      </c>
      <c r="G367">
        <f t="shared" si="528"/>
        <v>-1.0000000000000231</v>
      </c>
      <c r="H367">
        <f t="shared" si="528"/>
        <v>-3.9999999999999591</v>
      </c>
      <c r="I367">
        <f t="shared" si="528"/>
        <v>-5.0000000000000266</v>
      </c>
      <c r="J367">
        <f t="shared" si="528"/>
        <v>-4.9999999999999822</v>
      </c>
      <c r="K367">
        <f t="shared" si="528"/>
        <v>-4.9999999999999822</v>
      </c>
      <c r="L367">
        <f t="shared" si="528"/>
        <v>-4.9999999999999822</v>
      </c>
      <c r="M367">
        <f t="shared" si="528"/>
        <v>-4.9999999999999822</v>
      </c>
      <c r="N367">
        <f t="shared" si="528"/>
        <v>-4.9999999999999822</v>
      </c>
      <c r="O367" s="5">
        <f t="shared" si="526"/>
        <v>0</v>
      </c>
      <c r="P367" s="5">
        <f t="shared" si="526"/>
        <v>0</v>
      </c>
      <c r="Q367" s="5">
        <f t="shared" si="526"/>
        <v>0</v>
      </c>
      <c r="R367" s="5">
        <f t="shared" si="526"/>
        <v>0</v>
      </c>
      <c r="S367" s="5">
        <f t="shared" si="526"/>
        <v>0</v>
      </c>
      <c r="U367" s="4">
        <v>45560</v>
      </c>
      <c r="V367">
        <f t="shared" si="469"/>
        <v>3999.9999999999145</v>
      </c>
      <c r="W367">
        <f t="shared" si="470"/>
        <v>0</v>
      </c>
      <c r="X367">
        <f t="shared" si="471"/>
        <v>0</v>
      </c>
      <c r="Y367">
        <f t="shared" si="472"/>
        <v>3444.9999999999268</v>
      </c>
      <c r="Z367">
        <f t="shared" si="473"/>
        <v>0</v>
      </c>
      <c r="AA367">
        <f t="shared" si="474"/>
        <v>2000.0000000000462</v>
      </c>
      <c r="AB367">
        <f t="shared" si="475"/>
        <v>-18255.999999999814</v>
      </c>
      <c r="AC367">
        <f t="shared" si="476"/>
        <v>11115.00000000006</v>
      </c>
      <c r="AD367">
        <f t="shared" si="477"/>
        <v>502719.9999999982</v>
      </c>
      <c r="AE367">
        <f t="shared" si="478"/>
        <v>-4.9999999999999822</v>
      </c>
      <c r="AF367">
        <f t="shared" si="479"/>
        <v>-251614.9999999991</v>
      </c>
      <c r="AG367">
        <f t="shared" si="480"/>
        <v>-126614.99999999955</v>
      </c>
      <c r="AH367">
        <f t="shared" si="481"/>
        <v>-4.9999999999999822</v>
      </c>
      <c r="AI367">
        <f t="shared" si="482"/>
        <v>0</v>
      </c>
      <c r="AJ367">
        <f t="shared" si="483"/>
        <v>0</v>
      </c>
      <c r="AK367">
        <f t="shared" si="484"/>
        <v>0</v>
      </c>
      <c r="AL367">
        <f t="shared" si="485"/>
        <v>0</v>
      </c>
      <c r="AM367" s="1">
        <f t="shared" si="486"/>
        <v>0</v>
      </c>
      <c r="AN367" s="1">
        <f t="shared" si="463"/>
        <v>126783.99999999967</v>
      </c>
      <c r="AO367">
        <f t="shared" si="464"/>
        <v>-1.3463580012512006</v>
      </c>
      <c r="AP367">
        <f t="shared" si="465"/>
        <v>4.6333018884422925</v>
      </c>
    </row>
    <row r="368" spans="1:42" x14ac:dyDescent="0.25">
      <c r="A368" s="4">
        <v>45559</v>
      </c>
      <c r="B368">
        <f t="shared" ref="B368:N368" si="529">(B918-B917)*100</f>
        <v>6.9999999999999396</v>
      </c>
      <c r="C368">
        <f t="shared" si="529"/>
        <v>5.9999999999999609</v>
      </c>
      <c r="D368">
        <f t="shared" si="529"/>
        <v>2.9999999999999361</v>
      </c>
      <c r="E368">
        <f t="shared" si="529"/>
        <v>2.0000000000000462</v>
      </c>
      <c r="F368">
        <f t="shared" si="529"/>
        <v>4.0000000000000036</v>
      </c>
      <c r="G368">
        <f t="shared" si="529"/>
        <v>3.0000000000000249</v>
      </c>
      <c r="H368">
        <f t="shared" si="529"/>
        <v>7.9999999999999627</v>
      </c>
      <c r="I368">
        <f t="shared" si="529"/>
        <v>3.0000000000000249</v>
      </c>
      <c r="J368">
        <f t="shared" si="529"/>
        <v>3.9999999999999591</v>
      </c>
      <c r="K368">
        <f t="shared" si="529"/>
        <v>2.0000000000000018</v>
      </c>
      <c r="L368">
        <f t="shared" si="529"/>
        <v>0.99999999999997868</v>
      </c>
      <c r="M368">
        <f t="shared" si="529"/>
        <v>-0.99999999999997868</v>
      </c>
      <c r="N368">
        <f t="shared" si="529"/>
        <v>0</v>
      </c>
      <c r="O368" s="5">
        <f t="shared" si="526"/>
        <v>0</v>
      </c>
      <c r="P368" s="5">
        <f t="shared" si="526"/>
        <v>0</v>
      </c>
      <c r="Q368" s="5">
        <f t="shared" si="526"/>
        <v>0</v>
      </c>
      <c r="R368" s="5">
        <f t="shared" si="526"/>
        <v>0</v>
      </c>
      <c r="S368" s="5">
        <f t="shared" si="526"/>
        <v>0</v>
      </c>
      <c r="U368" s="4">
        <v>45559</v>
      </c>
      <c r="V368">
        <f t="shared" si="469"/>
        <v>-27999.99999999976</v>
      </c>
      <c r="W368">
        <f t="shared" si="470"/>
        <v>-13337.999999999913</v>
      </c>
      <c r="X368">
        <f t="shared" si="471"/>
        <v>13769.999999999707</v>
      </c>
      <c r="Y368">
        <f t="shared" si="472"/>
        <v>-6890.0000000001592</v>
      </c>
      <c r="Z368">
        <f t="shared" si="473"/>
        <v>21740.000000000018</v>
      </c>
      <c r="AA368">
        <f t="shared" si="474"/>
        <v>-6000.00000000005</v>
      </c>
      <c r="AB368">
        <f t="shared" si="475"/>
        <v>36511.999999999833</v>
      </c>
      <c r="AC368">
        <f t="shared" si="476"/>
        <v>-6669.0000000000555</v>
      </c>
      <c r="AD368">
        <f t="shared" si="477"/>
        <v>-402175.99999999587</v>
      </c>
      <c r="AE368">
        <f t="shared" si="478"/>
        <v>2.0000000000000018</v>
      </c>
      <c r="AF368">
        <f t="shared" si="479"/>
        <v>50322.99999999893</v>
      </c>
      <c r="AG368">
        <f t="shared" si="480"/>
        <v>-25322.999999999462</v>
      </c>
      <c r="AH368">
        <f t="shared" si="481"/>
        <v>0</v>
      </c>
      <c r="AI368">
        <f t="shared" si="482"/>
        <v>0</v>
      </c>
      <c r="AJ368">
        <f t="shared" si="483"/>
        <v>0</v>
      </c>
      <c r="AK368">
        <f t="shared" si="484"/>
        <v>0</v>
      </c>
      <c r="AL368">
        <f t="shared" si="485"/>
        <v>0</v>
      </c>
      <c r="AM368" s="1">
        <f t="shared" si="486"/>
        <v>0</v>
      </c>
      <c r="AN368" s="1">
        <f t="shared" si="463"/>
        <v>-366048.9999999968</v>
      </c>
      <c r="AO368">
        <f t="shared" si="464"/>
        <v>-3.6643447753807186</v>
      </c>
      <c r="AP368">
        <f t="shared" si="465"/>
        <v>5.0163836872320422</v>
      </c>
    </row>
    <row r="369" spans="1:42" x14ac:dyDescent="0.25">
      <c r="A369" s="4">
        <v>45558</v>
      </c>
      <c r="B369">
        <f t="shared" ref="B369:N369" si="530">(B919-B918)*100</f>
        <v>2.0000000000000462</v>
      </c>
      <c r="C369">
        <f t="shared" si="530"/>
        <v>4.0000000000000036</v>
      </c>
      <c r="D369">
        <f t="shared" si="530"/>
        <v>3.0000000000000249</v>
      </c>
      <c r="E369">
        <f t="shared" si="530"/>
        <v>4.9999999999999822</v>
      </c>
      <c r="F369">
        <f t="shared" si="530"/>
        <v>2.9999999999999361</v>
      </c>
      <c r="G369">
        <f t="shared" si="530"/>
        <v>0.99999999999997868</v>
      </c>
      <c r="H369">
        <f t="shared" si="530"/>
        <v>-2.0000000000000018</v>
      </c>
      <c r="I369">
        <f t="shared" si="530"/>
        <v>-1.0000000000000231</v>
      </c>
      <c r="J369">
        <f t="shared" si="530"/>
        <v>-2.9999999999999805</v>
      </c>
      <c r="K369">
        <f t="shared" si="530"/>
        <v>-3.0000000000000249</v>
      </c>
      <c r="L369">
        <f t="shared" si="530"/>
        <v>-2.0000000000000018</v>
      </c>
      <c r="M369">
        <f t="shared" si="530"/>
        <v>-2.0000000000000462</v>
      </c>
      <c r="N369">
        <f t="shared" si="530"/>
        <v>-1.9999999999999574</v>
      </c>
      <c r="O369" s="5">
        <f t="shared" si="526"/>
        <v>0</v>
      </c>
      <c r="P369" s="5">
        <f t="shared" si="526"/>
        <v>0</v>
      </c>
      <c r="Q369" s="5">
        <f t="shared" si="526"/>
        <v>0</v>
      </c>
      <c r="R369" s="5">
        <f t="shared" si="526"/>
        <v>0</v>
      </c>
      <c r="S369" s="5">
        <f t="shared" si="526"/>
        <v>0</v>
      </c>
      <c r="U369" s="4">
        <v>45558</v>
      </c>
      <c r="V369">
        <f t="shared" si="469"/>
        <v>-8000.0000000001846</v>
      </c>
      <c r="W369">
        <f t="shared" si="470"/>
        <v>-8892.0000000000073</v>
      </c>
      <c r="X369">
        <f t="shared" si="471"/>
        <v>13770.000000000115</v>
      </c>
      <c r="Y369">
        <f t="shared" si="472"/>
        <v>-17224.999999999938</v>
      </c>
      <c r="Z369">
        <f t="shared" si="473"/>
        <v>16304.999999999653</v>
      </c>
      <c r="AA369">
        <f t="shared" si="474"/>
        <v>-1999.9999999999573</v>
      </c>
      <c r="AB369">
        <f t="shared" si="475"/>
        <v>-9128.0000000000073</v>
      </c>
      <c r="AC369">
        <f t="shared" si="476"/>
        <v>2223.0000000000514</v>
      </c>
      <c r="AD369">
        <f t="shared" si="477"/>
        <v>301631.99999999802</v>
      </c>
      <c r="AE369">
        <f t="shared" si="478"/>
        <v>-3.0000000000000249</v>
      </c>
      <c r="AF369">
        <f t="shared" si="479"/>
        <v>-100646.00000000009</v>
      </c>
      <c r="AG369">
        <f t="shared" si="480"/>
        <v>-50646.000000001171</v>
      </c>
      <c r="AH369">
        <f t="shared" si="481"/>
        <v>-1.9999999999999574</v>
      </c>
      <c r="AI369">
        <f t="shared" si="482"/>
        <v>0</v>
      </c>
      <c r="AJ369">
        <f t="shared" si="483"/>
        <v>0</v>
      </c>
      <c r="AK369">
        <f t="shared" si="484"/>
        <v>0</v>
      </c>
      <c r="AL369">
        <f t="shared" si="485"/>
        <v>0</v>
      </c>
      <c r="AM369" s="1">
        <f t="shared" si="486"/>
        <v>0</v>
      </c>
      <c r="AN369" s="1">
        <f t="shared" si="463"/>
        <v>137387.99999999648</v>
      </c>
      <c r="AO369">
        <f t="shared" si="464"/>
        <v>-3.9270724588276766</v>
      </c>
      <c r="AP369">
        <f t="shared" si="465"/>
        <v>4.9715193523646342</v>
      </c>
    </row>
    <row r="370" spans="1:42" x14ac:dyDescent="0.25">
      <c r="A370" s="4">
        <v>45555</v>
      </c>
      <c r="B370">
        <f t="shared" ref="B370:N370" si="531">(B920-B919)*100</f>
        <v>1.9999999999999574</v>
      </c>
      <c r="C370">
        <f t="shared" si="531"/>
        <v>3.0000000000000249</v>
      </c>
      <c r="D370">
        <f t="shared" si="531"/>
        <v>4.9999999999999822</v>
      </c>
      <c r="E370">
        <f t="shared" si="531"/>
        <v>3.0000000000000249</v>
      </c>
      <c r="F370">
        <f t="shared" si="531"/>
        <v>3.0000000000000249</v>
      </c>
      <c r="G370">
        <f t="shared" si="531"/>
        <v>1.0000000000000231</v>
      </c>
      <c r="H370">
        <f t="shared" si="531"/>
        <v>4.0000000000000036</v>
      </c>
      <c r="I370">
        <f t="shared" si="531"/>
        <v>1.0000000000000231</v>
      </c>
      <c r="J370">
        <f t="shared" si="531"/>
        <v>1.0000000000000231</v>
      </c>
      <c r="K370">
        <f t="shared" si="531"/>
        <v>1.0000000000000231</v>
      </c>
      <c r="L370">
        <f t="shared" si="531"/>
        <v>0</v>
      </c>
      <c r="M370">
        <f t="shared" si="531"/>
        <v>1.0000000000000675</v>
      </c>
      <c r="N370">
        <f t="shared" si="531"/>
        <v>-1.0000000000000675</v>
      </c>
      <c r="O370" s="5">
        <f t="shared" si="526"/>
        <v>0</v>
      </c>
      <c r="P370" s="5">
        <f t="shared" si="526"/>
        <v>0</v>
      </c>
      <c r="Q370" s="5">
        <f t="shared" si="526"/>
        <v>0</v>
      </c>
      <c r="R370" s="5">
        <f t="shared" si="526"/>
        <v>0</v>
      </c>
      <c r="S370" s="5">
        <f t="shared" si="526"/>
        <v>0</v>
      </c>
      <c r="U370" s="4">
        <v>45555</v>
      </c>
      <c r="V370">
        <f t="shared" si="469"/>
        <v>-7999.999999999829</v>
      </c>
      <c r="W370">
        <f t="shared" si="470"/>
        <v>-6669.0000000000555</v>
      </c>
      <c r="X370">
        <f t="shared" si="471"/>
        <v>22949.99999999992</v>
      </c>
      <c r="Y370">
        <f t="shared" si="472"/>
        <v>-10335.000000000085</v>
      </c>
      <c r="Z370">
        <f t="shared" si="473"/>
        <v>16305.000000000135</v>
      </c>
      <c r="AA370">
        <f t="shared" si="474"/>
        <v>-2000.0000000000462</v>
      </c>
      <c r="AB370">
        <f t="shared" si="475"/>
        <v>18256.000000000015</v>
      </c>
      <c r="AC370">
        <f t="shared" si="476"/>
        <v>-2223.0000000000514</v>
      </c>
      <c r="AD370">
        <f t="shared" si="477"/>
        <v>-100544.00000000233</v>
      </c>
      <c r="AE370">
        <f t="shared" si="478"/>
        <v>1.0000000000000231</v>
      </c>
      <c r="AF370">
        <f t="shared" si="479"/>
        <v>0</v>
      </c>
      <c r="AG370">
        <f t="shared" si="480"/>
        <v>25323.00000000171</v>
      </c>
      <c r="AH370">
        <f t="shared" si="481"/>
        <v>-1.0000000000000675</v>
      </c>
      <c r="AI370">
        <f t="shared" si="482"/>
        <v>0</v>
      </c>
      <c r="AJ370">
        <f t="shared" si="483"/>
        <v>0</v>
      </c>
      <c r="AK370">
        <f t="shared" si="484"/>
        <v>0</v>
      </c>
      <c r="AL370">
        <f t="shared" si="485"/>
        <v>0</v>
      </c>
      <c r="AM370" s="1">
        <f t="shared" si="486"/>
        <v>0</v>
      </c>
      <c r="AN370" s="1">
        <f t="shared" si="463"/>
        <v>-46937.000000000618</v>
      </c>
      <c r="AO370">
        <f t="shared" si="464"/>
        <v>12.772593896716208</v>
      </c>
      <c r="AP370">
        <f t="shared" si="465"/>
        <v>4.9150885038288283</v>
      </c>
    </row>
    <row r="371" spans="1:42" x14ac:dyDescent="0.25">
      <c r="A371" s="4">
        <v>45554</v>
      </c>
      <c r="B371">
        <f t="shared" ref="B371:N371" si="532">(B921-B920)*100</f>
        <v>2.0000000000000462</v>
      </c>
      <c r="C371">
        <f t="shared" si="532"/>
        <v>0</v>
      </c>
      <c r="D371">
        <f t="shared" si="532"/>
        <v>4.0000000000000036</v>
      </c>
      <c r="E371">
        <f t="shared" si="532"/>
        <v>2.9999999999999361</v>
      </c>
      <c r="F371">
        <f t="shared" si="532"/>
        <v>4.0000000000000036</v>
      </c>
      <c r="G371">
        <f t="shared" si="532"/>
        <v>2.0000000000000018</v>
      </c>
      <c r="H371">
        <f t="shared" si="532"/>
        <v>2.0000000000000018</v>
      </c>
      <c r="I371">
        <f t="shared" si="532"/>
        <v>2.0000000000000018</v>
      </c>
      <c r="J371">
        <f t="shared" si="532"/>
        <v>-2.0000000000000018</v>
      </c>
      <c r="K371">
        <f t="shared" si="532"/>
        <v>-2.0000000000000018</v>
      </c>
      <c r="L371">
        <f t="shared" si="532"/>
        <v>-2.9999999999999805</v>
      </c>
      <c r="M371">
        <f t="shared" si="532"/>
        <v>-3.0000000000000249</v>
      </c>
      <c r="N371">
        <f t="shared" si="532"/>
        <v>-2.9999999999999361</v>
      </c>
      <c r="O371" s="5">
        <f t="shared" si="526"/>
        <v>0</v>
      </c>
      <c r="P371" s="5">
        <f t="shared" si="526"/>
        <v>0</v>
      </c>
      <c r="Q371" s="5">
        <f t="shared" si="526"/>
        <v>0</v>
      </c>
      <c r="R371" s="5">
        <f t="shared" si="526"/>
        <v>0</v>
      </c>
      <c r="S371" s="5">
        <f t="shared" si="526"/>
        <v>0</v>
      </c>
      <c r="U371" s="4">
        <v>45554</v>
      </c>
      <c r="V371">
        <f t="shared" si="469"/>
        <v>-8000.0000000001846</v>
      </c>
      <c r="W371">
        <f t="shared" si="470"/>
        <v>0</v>
      </c>
      <c r="X371">
        <f t="shared" si="471"/>
        <v>18360.000000000015</v>
      </c>
      <c r="Y371">
        <f t="shared" si="472"/>
        <v>-10334.99999999978</v>
      </c>
      <c r="Z371">
        <f t="shared" si="473"/>
        <v>21740.000000000018</v>
      </c>
      <c r="AA371">
        <f t="shared" si="474"/>
        <v>-4000.0000000000036</v>
      </c>
      <c r="AB371">
        <f t="shared" si="475"/>
        <v>9128.0000000000073</v>
      </c>
      <c r="AC371">
        <f t="shared" si="476"/>
        <v>-4446.0000000000036</v>
      </c>
      <c r="AD371">
        <f t="shared" si="477"/>
        <v>201088.00000000017</v>
      </c>
      <c r="AE371">
        <f t="shared" si="478"/>
        <v>-2.0000000000000018</v>
      </c>
      <c r="AF371">
        <f t="shared" si="479"/>
        <v>-150968.99999999901</v>
      </c>
      <c r="AG371">
        <f t="shared" si="480"/>
        <v>-75969.000000000626</v>
      </c>
      <c r="AH371">
        <f t="shared" si="481"/>
        <v>-2.9999999999999361</v>
      </c>
      <c r="AI371">
        <f t="shared" si="482"/>
        <v>0</v>
      </c>
      <c r="AJ371">
        <f t="shared" si="483"/>
        <v>0</v>
      </c>
      <c r="AK371">
        <f t="shared" si="484"/>
        <v>0</v>
      </c>
      <c r="AL371">
        <f t="shared" si="485"/>
        <v>0</v>
      </c>
      <c r="AM371" s="1">
        <f t="shared" si="486"/>
        <v>0</v>
      </c>
      <c r="AN371" s="1">
        <f t="shared" si="463"/>
        <v>-3407.9999999994034</v>
      </c>
      <c r="AO371">
        <f t="shared" si="464"/>
        <v>-0.97836478945664762</v>
      </c>
      <c r="AP371">
        <f t="shared" si="465"/>
        <v>3.8864186160035463</v>
      </c>
    </row>
    <row r="372" spans="1:42" x14ac:dyDescent="0.25">
      <c r="A372" s="4">
        <v>45553</v>
      </c>
      <c r="B372">
        <f t="shared" ref="B372:N372" si="533">(B922-B921)*100</f>
        <v>13.999999999999968</v>
      </c>
      <c r="C372">
        <f t="shared" si="533"/>
        <v>13.999999999999968</v>
      </c>
      <c r="D372">
        <f t="shared" si="533"/>
        <v>11.000000000000032</v>
      </c>
      <c r="E372">
        <f t="shared" si="533"/>
        <v>11.000000000000032</v>
      </c>
      <c r="F372">
        <f t="shared" si="533"/>
        <v>4.9999999999999822</v>
      </c>
      <c r="G372">
        <f t="shared" si="533"/>
        <v>4.0000000000000036</v>
      </c>
      <c r="H372">
        <f t="shared" si="533"/>
        <v>-2.0000000000000018</v>
      </c>
      <c r="I372">
        <f t="shared" si="533"/>
        <v>-4.0000000000000036</v>
      </c>
      <c r="J372">
        <f t="shared" si="533"/>
        <v>-3.0000000000000249</v>
      </c>
      <c r="K372">
        <f t="shared" si="533"/>
        <v>-5.0000000000000266</v>
      </c>
      <c r="L372">
        <f t="shared" si="533"/>
        <v>-5.0000000000000266</v>
      </c>
      <c r="M372">
        <f t="shared" si="533"/>
        <v>-6.0000000000000497</v>
      </c>
      <c r="N372">
        <f t="shared" si="533"/>
        <v>-7.0000000000000284</v>
      </c>
      <c r="O372" s="5">
        <f t="shared" si="526"/>
        <v>0</v>
      </c>
      <c r="P372" s="5">
        <f t="shared" si="526"/>
        <v>0</v>
      </c>
      <c r="Q372" s="5">
        <f t="shared" si="526"/>
        <v>0</v>
      </c>
      <c r="R372" s="5">
        <f t="shared" si="526"/>
        <v>0</v>
      </c>
      <c r="S372" s="5">
        <f t="shared" si="526"/>
        <v>0</v>
      </c>
      <c r="U372" s="4">
        <v>45553</v>
      </c>
      <c r="V372">
        <f t="shared" si="469"/>
        <v>-55999.999999999869</v>
      </c>
      <c r="W372">
        <f t="shared" si="470"/>
        <v>-31121.999999999927</v>
      </c>
      <c r="X372">
        <f t="shared" si="471"/>
        <v>50490.000000000146</v>
      </c>
      <c r="Y372">
        <f t="shared" si="472"/>
        <v>-37895.000000000109</v>
      </c>
      <c r="Z372">
        <f t="shared" si="473"/>
        <v>27174.999999999902</v>
      </c>
      <c r="AA372">
        <f t="shared" si="474"/>
        <v>-8000.0000000000073</v>
      </c>
      <c r="AB372">
        <f t="shared" si="475"/>
        <v>-9128.0000000000073</v>
      </c>
      <c r="AC372">
        <f t="shared" si="476"/>
        <v>8892.0000000000073</v>
      </c>
      <c r="AD372">
        <f t="shared" si="477"/>
        <v>301632.0000000025</v>
      </c>
      <c r="AE372">
        <f t="shared" si="478"/>
        <v>-5.0000000000000266</v>
      </c>
      <c r="AF372">
        <f t="shared" si="479"/>
        <v>-251615.00000000134</v>
      </c>
      <c r="AG372">
        <f t="shared" si="480"/>
        <v>-151938.00000000125</v>
      </c>
      <c r="AH372">
        <f t="shared" si="481"/>
        <v>-7.0000000000000284</v>
      </c>
      <c r="AI372">
        <f t="shared" si="482"/>
        <v>0</v>
      </c>
      <c r="AJ372">
        <f t="shared" si="483"/>
        <v>0</v>
      </c>
      <c r="AK372">
        <f t="shared" si="484"/>
        <v>0</v>
      </c>
      <c r="AL372">
        <f t="shared" si="485"/>
        <v>0</v>
      </c>
      <c r="AM372" s="1">
        <f t="shared" si="486"/>
        <v>0</v>
      </c>
      <c r="AN372" s="1">
        <f t="shared" si="463"/>
        <v>-157520.99999999997</v>
      </c>
      <c r="AO372">
        <f t="shared" si="464"/>
        <v>-2.1198228427623</v>
      </c>
      <c r="AP372">
        <f t="shared" si="465"/>
        <v>5.9417519015990443</v>
      </c>
    </row>
    <row r="373" spans="1:42" x14ac:dyDescent="0.25">
      <c r="A373" s="4">
        <v>45552</v>
      </c>
      <c r="B373">
        <f t="shared" ref="B373:N373" si="534">(B923-B922)*100</f>
        <v>6.0000000000000497</v>
      </c>
      <c r="C373">
        <f t="shared" si="534"/>
        <v>4.9999999999999822</v>
      </c>
      <c r="D373">
        <f t="shared" si="534"/>
        <v>0.99999999999997868</v>
      </c>
      <c r="E373">
        <f t="shared" si="534"/>
        <v>0.99999999999997868</v>
      </c>
      <c r="F373">
        <f t="shared" si="534"/>
        <v>0</v>
      </c>
      <c r="G373">
        <f t="shared" si="534"/>
        <v>-3.0000000000000249</v>
      </c>
      <c r="H373">
        <f t="shared" si="534"/>
        <v>-2.9999999999999805</v>
      </c>
      <c r="I373">
        <f t="shared" si="534"/>
        <v>-3.0000000000000249</v>
      </c>
      <c r="J373">
        <f t="shared" si="534"/>
        <v>-2.9999999999999805</v>
      </c>
      <c r="K373">
        <f t="shared" si="534"/>
        <v>-2.0000000000000018</v>
      </c>
      <c r="L373">
        <f t="shared" si="534"/>
        <v>-2.0000000000000018</v>
      </c>
      <c r="M373">
        <f t="shared" si="534"/>
        <v>-0.99999999999997868</v>
      </c>
      <c r="N373">
        <f t="shared" si="534"/>
        <v>-2.0000000000000018</v>
      </c>
      <c r="O373" s="5">
        <f t="shared" si="526"/>
        <v>0</v>
      </c>
      <c r="P373" s="5">
        <f t="shared" si="526"/>
        <v>0</v>
      </c>
      <c r="Q373" s="5">
        <f t="shared" si="526"/>
        <v>0</v>
      </c>
      <c r="R373" s="5">
        <f t="shared" si="526"/>
        <v>0</v>
      </c>
      <c r="S373" s="5">
        <f t="shared" si="526"/>
        <v>0</v>
      </c>
      <c r="U373" s="4">
        <v>45552</v>
      </c>
      <c r="V373">
        <f t="shared" si="469"/>
        <v>-24000.0000000002</v>
      </c>
      <c r="W373">
        <f t="shared" si="470"/>
        <v>-11114.99999999996</v>
      </c>
      <c r="X373">
        <f t="shared" si="471"/>
        <v>4589.9999999999018</v>
      </c>
      <c r="Y373">
        <f t="shared" si="472"/>
        <v>-3444.9999999999268</v>
      </c>
      <c r="Z373">
        <f t="shared" si="473"/>
        <v>0</v>
      </c>
      <c r="AA373">
        <f t="shared" si="474"/>
        <v>6000.00000000005</v>
      </c>
      <c r="AB373">
        <f t="shared" si="475"/>
        <v>-13691.999999999911</v>
      </c>
      <c r="AC373">
        <f t="shared" si="476"/>
        <v>6669.0000000000555</v>
      </c>
      <c r="AD373">
        <f t="shared" si="477"/>
        <v>301631.99999999802</v>
      </c>
      <c r="AE373">
        <f t="shared" si="478"/>
        <v>-2.0000000000000018</v>
      </c>
      <c r="AF373">
        <f t="shared" si="479"/>
        <v>-100646.00000000009</v>
      </c>
      <c r="AG373">
        <f t="shared" si="480"/>
        <v>-25322.999999999462</v>
      </c>
      <c r="AH373">
        <f t="shared" si="481"/>
        <v>-2.0000000000000018</v>
      </c>
      <c r="AI373">
        <f t="shared" si="482"/>
        <v>0</v>
      </c>
      <c r="AJ373">
        <f t="shared" si="483"/>
        <v>0</v>
      </c>
      <c r="AK373">
        <f t="shared" si="484"/>
        <v>0</v>
      </c>
      <c r="AL373">
        <f t="shared" si="485"/>
        <v>0</v>
      </c>
      <c r="AM373" s="1">
        <f t="shared" si="486"/>
        <v>0</v>
      </c>
      <c r="AN373" s="1">
        <f t="shared" si="463"/>
        <v>140665.99999999849</v>
      </c>
      <c r="AO373">
        <f t="shared" si="464"/>
        <v>3.1170134925511563</v>
      </c>
      <c r="AP373">
        <f t="shared" si="465"/>
        <v>5.9935827982246632</v>
      </c>
    </row>
    <row r="374" spans="1:42" x14ac:dyDescent="0.25">
      <c r="A374" s="4">
        <v>45551</v>
      </c>
      <c r="B374">
        <f t="shared" ref="B374:N374" si="535">(B924-B923)*100</f>
        <v>4.0000000000000036</v>
      </c>
      <c r="C374">
        <f t="shared" si="535"/>
        <v>7.0000000000000284</v>
      </c>
      <c r="D374">
        <f t="shared" si="535"/>
        <v>0.99999999999997868</v>
      </c>
      <c r="E374">
        <f t="shared" si="535"/>
        <v>4.0000000000000036</v>
      </c>
      <c r="F374">
        <f t="shared" si="535"/>
        <v>4.9999999999999822</v>
      </c>
      <c r="G374">
        <f t="shared" si="535"/>
        <v>4.0000000000000036</v>
      </c>
      <c r="H374">
        <f t="shared" si="535"/>
        <v>0.99999999999997868</v>
      </c>
      <c r="I374">
        <f t="shared" si="535"/>
        <v>0</v>
      </c>
      <c r="J374">
        <f t="shared" si="535"/>
        <v>2.0000000000000018</v>
      </c>
      <c r="K374">
        <f t="shared" si="535"/>
        <v>2.0000000000000018</v>
      </c>
      <c r="L374">
        <f t="shared" si="535"/>
        <v>3.0000000000000249</v>
      </c>
      <c r="M374">
        <f t="shared" si="535"/>
        <v>4.0000000000000036</v>
      </c>
      <c r="N374">
        <f t="shared" si="535"/>
        <v>4.0000000000000036</v>
      </c>
      <c r="O374" s="5">
        <f t="shared" si="526"/>
        <v>0</v>
      </c>
      <c r="P374" s="5">
        <f t="shared" si="526"/>
        <v>0</v>
      </c>
      <c r="Q374" s="5">
        <f t="shared" si="526"/>
        <v>0</v>
      </c>
      <c r="R374" s="5">
        <f t="shared" si="526"/>
        <v>0</v>
      </c>
      <c r="S374" s="5">
        <f t="shared" si="526"/>
        <v>0</v>
      </c>
      <c r="U374" s="4">
        <v>45551</v>
      </c>
      <c r="V374">
        <f t="shared" si="469"/>
        <v>-16000.000000000015</v>
      </c>
      <c r="W374">
        <f t="shared" si="470"/>
        <v>-15561.000000000064</v>
      </c>
      <c r="X374">
        <f t="shared" si="471"/>
        <v>4589.9999999999018</v>
      </c>
      <c r="Y374">
        <f t="shared" si="472"/>
        <v>-13780.000000000013</v>
      </c>
      <c r="Z374">
        <f t="shared" si="473"/>
        <v>27174.999999999902</v>
      </c>
      <c r="AA374">
        <f t="shared" si="474"/>
        <v>-8000.0000000000073</v>
      </c>
      <c r="AB374">
        <f t="shared" si="475"/>
        <v>4563.9999999999027</v>
      </c>
      <c r="AC374">
        <f t="shared" si="476"/>
        <v>0</v>
      </c>
      <c r="AD374">
        <f t="shared" si="477"/>
        <v>-201088.00000000017</v>
      </c>
      <c r="AE374">
        <f t="shared" si="478"/>
        <v>2.0000000000000018</v>
      </c>
      <c r="AF374">
        <f t="shared" si="479"/>
        <v>150969.00000000125</v>
      </c>
      <c r="AG374">
        <f t="shared" si="480"/>
        <v>101292.00000000009</v>
      </c>
      <c r="AH374">
        <f t="shared" si="481"/>
        <v>4.0000000000000036</v>
      </c>
      <c r="AI374">
        <f t="shared" si="482"/>
        <v>0</v>
      </c>
      <c r="AJ374">
        <f t="shared" si="483"/>
        <v>0</v>
      </c>
      <c r="AK374">
        <f t="shared" si="484"/>
        <v>0</v>
      </c>
      <c r="AL374">
        <f t="shared" si="485"/>
        <v>0</v>
      </c>
      <c r="AM374" s="1">
        <f t="shared" si="486"/>
        <v>0</v>
      </c>
      <c r="AN374" s="1">
        <f t="shared" si="463"/>
        <v>34167.000000000757</v>
      </c>
      <c r="AO374">
        <f t="shared" si="464"/>
        <v>-1.1678184631253272</v>
      </c>
      <c r="AP374">
        <f t="shared" si="465"/>
        <v>5.9479825631180656</v>
      </c>
    </row>
    <row r="375" spans="1:42" x14ac:dyDescent="0.25">
      <c r="A375" s="4">
        <v>45548</v>
      </c>
      <c r="B375">
        <f t="shared" ref="B375:N375" si="536">(B925-B924)*100</f>
        <v>2.9999999999999361</v>
      </c>
      <c r="C375">
        <f t="shared" si="536"/>
        <v>4.9999999999999822</v>
      </c>
      <c r="D375">
        <f t="shared" si="536"/>
        <v>8.9999999999999858</v>
      </c>
      <c r="E375">
        <f t="shared" si="536"/>
        <v>4.9999999999999822</v>
      </c>
      <c r="F375">
        <f t="shared" si="536"/>
        <v>8.0000000000000071</v>
      </c>
      <c r="G375">
        <f t="shared" si="536"/>
        <v>8.9999999999999858</v>
      </c>
      <c r="H375">
        <f t="shared" si="536"/>
        <v>7.0000000000000284</v>
      </c>
      <c r="I375">
        <f t="shared" si="536"/>
        <v>5.0000000000000266</v>
      </c>
      <c r="J375">
        <f t="shared" si="536"/>
        <v>4.0000000000000036</v>
      </c>
      <c r="K375">
        <f t="shared" si="536"/>
        <v>4.0000000000000036</v>
      </c>
      <c r="L375">
        <f t="shared" si="536"/>
        <v>2.0000000000000018</v>
      </c>
      <c r="M375">
        <f t="shared" si="536"/>
        <v>2.0000000000000462</v>
      </c>
      <c r="N375">
        <f t="shared" si="536"/>
        <v>2.0000000000000018</v>
      </c>
      <c r="O375" s="5">
        <f t="shared" ref="O375:S384" si="537">LN(O924/O925)</f>
        <v>0</v>
      </c>
      <c r="P375" s="5">
        <f t="shared" si="537"/>
        <v>0</v>
      </c>
      <c r="Q375" s="5">
        <f t="shared" si="537"/>
        <v>0</v>
      </c>
      <c r="R375" s="5">
        <f t="shared" si="537"/>
        <v>0</v>
      </c>
      <c r="S375" s="5">
        <f t="shared" si="537"/>
        <v>0</v>
      </c>
      <c r="U375" s="4">
        <v>45548</v>
      </c>
      <c r="V375">
        <f t="shared" si="469"/>
        <v>-11999.999999999744</v>
      </c>
      <c r="W375">
        <f t="shared" si="470"/>
        <v>-11114.99999999996</v>
      </c>
      <c r="X375">
        <f t="shared" si="471"/>
        <v>41309.999999999935</v>
      </c>
      <c r="Y375">
        <f t="shared" si="472"/>
        <v>-17224.999999999938</v>
      </c>
      <c r="Z375">
        <f t="shared" si="473"/>
        <v>43480.000000000036</v>
      </c>
      <c r="AA375">
        <f t="shared" si="474"/>
        <v>-17999.999999999971</v>
      </c>
      <c r="AB375">
        <f t="shared" si="475"/>
        <v>31948.000000000131</v>
      </c>
      <c r="AC375">
        <f t="shared" si="476"/>
        <v>-11115.00000000006</v>
      </c>
      <c r="AD375">
        <f t="shared" si="477"/>
        <v>-402176.00000000035</v>
      </c>
      <c r="AE375">
        <f t="shared" si="478"/>
        <v>4.0000000000000036</v>
      </c>
      <c r="AF375">
        <f t="shared" si="479"/>
        <v>100646.00000000009</v>
      </c>
      <c r="AG375">
        <f t="shared" si="480"/>
        <v>50646.000000001171</v>
      </c>
      <c r="AH375">
        <f t="shared" si="481"/>
        <v>2.0000000000000018</v>
      </c>
      <c r="AI375">
        <f t="shared" si="482"/>
        <v>0</v>
      </c>
      <c r="AJ375">
        <f t="shared" si="483"/>
        <v>0</v>
      </c>
      <c r="AK375">
        <f t="shared" si="484"/>
        <v>0</v>
      </c>
      <c r="AL375">
        <f t="shared" si="485"/>
        <v>0</v>
      </c>
      <c r="AM375" s="1">
        <f t="shared" si="486"/>
        <v>0</v>
      </c>
      <c r="AN375" s="1">
        <f t="shared" si="463"/>
        <v>-203594.99999999863</v>
      </c>
      <c r="AO375">
        <f t="shared" si="464"/>
        <v>4.9910837771823919</v>
      </c>
      <c r="AP375">
        <f t="shared" si="465"/>
        <v>5.9618306328841069</v>
      </c>
    </row>
    <row r="376" spans="1:42" x14ac:dyDescent="0.25">
      <c r="A376" s="4">
        <v>45547</v>
      </c>
      <c r="B376">
        <f t="shared" ref="B376:N376" si="538">(B926-B925)*100</f>
        <v>3.0000000000000249</v>
      </c>
      <c r="C376">
        <f t="shared" si="538"/>
        <v>-2.9999999999999361</v>
      </c>
      <c r="D376">
        <f t="shared" si="538"/>
        <v>4.0000000000000036</v>
      </c>
      <c r="E376">
        <f t="shared" si="538"/>
        <v>2.0000000000000462</v>
      </c>
      <c r="F376">
        <f t="shared" si="538"/>
        <v>4.0000000000000036</v>
      </c>
      <c r="G376">
        <f t="shared" si="538"/>
        <v>3.0000000000000249</v>
      </c>
      <c r="H376">
        <f t="shared" si="538"/>
        <v>-2.0000000000000018</v>
      </c>
      <c r="I376">
        <f t="shared" si="538"/>
        <v>-2.0000000000000018</v>
      </c>
      <c r="J376">
        <f t="shared" si="538"/>
        <v>-2.0000000000000018</v>
      </c>
      <c r="K376">
        <f t="shared" si="538"/>
        <v>-2.9999999999999805</v>
      </c>
      <c r="L376">
        <f t="shared" si="538"/>
        <v>-3.0000000000000249</v>
      </c>
      <c r="M376">
        <f t="shared" si="538"/>
        <v>-4.0000000000000036</v>
      </c>
      <c r="N376">
        <f t="shared" si="538"/>
        <v>-4.0000000000000036</v>
      </c>
      <c r="O376" s="5">
        <f t="shared" si="537"/>
        <v>0</v>
      </c>
      <c r="P376" s="5">
        <f t="shared" si="537"/>
        <v>0</v>
      </c>
      <c r="Q376" s="5">
        <f t="shared" si="537"/>
        <v>0</v>
      </c>
      <c r="R376" s="5">
        <f t="shared" si="537"/>
        <v>0</v>
      </c>
      <c r="S376" s="5">
        <f t="shared" si="537"/>
        <v>0</v>
      </c>
      <c r="U376" s="4">
        <v>45547</v>
      </c>
      <c r="V376">
        <f t="shared" si="469"/>
        <v>-12000.0000000001</v>
      </c>
      <c r="W376">
        <f t="shared" si="470"/>
        <v>6668.9999999998581</v>
      </c>
      <c r="X376">
        <f t="shared" si="471"/>
        <v>18360.000000000015</v>
      </c>
      <c r="Y376">
        <f t="shared" si="472"/>
        <v>-6890.0000000001592</v>
      </c>
      <c r="Z376">
        <f t="shared" si="473"/>
        <v>21740.000000000018</v>
      </c>
      <c r="AA376">
        <f t="shared" si="474"/>
        <v>-6000.00000000005</v>
      </c>
      <c r="AB376">
        <f t="shared" si="475"/>
        <v>-9128.0000000000073</v>
      </c>
      <c r="AC376">
        <f t="shared" si="476"/>
        <v>4446.0000000000036</v>
      </c>
      <c r="AD376">
        <f t="shared" si="477"/>
        <v>201088.00000000017</v>
      </c>
      <c r="AE376">
        <f t="shared" si="478"/>
        <v>-2.9999999999999805</v>
      </c>
      <c r="AF376">
        <f t="shared" si="479"/>
        <v>-150969.00000000125</v>
      </c>
      <c r="AG376">
        <f t="shared" si="480"/>
        <v>-101292.00000000009</v>
      </c>
      <c r="AH376">
        <f t="shared" si="481"/>
        <v>-4.0000000000000036</v>
      </c>
      <c r="AI376">
        <f t="shared" si="482"/>
        <v>0</v>
      </c>
      <c r="AJ376">
        <f t="shared" si="483"/>
        <v>0</v>
      </c>
      <c r="AK376">
        <f t="shared" si="484"/>
        <v>0</v>
      </c>
      <c r="AL376">
        <f t="shared" si="485"/>
        <v>0</v>
      </c>
      <c r="AM376" s="1">
        <f t="shared" si="486"/>
        <v>0</v>
      </c>
      <c r="AN376" s="1">
        <f t="shared" si="463"/>
        <v>-33983.000000001572</v>
      </c>
      <c r="AO376">
        <f t="shared" si="464"/>
        <v>-1.1608122240572472</v>
      </c>
      <c r="AP376">
        <f t="shared" si="465"/>
        <v>5.8506766180267791</v>
      </c>
    </row>
    <row r="377" spans="1:42" x14ac:dyDescent="0.25">
      <c r="A377" s="4">
        <v>45546</v>
      </c>
      <c r="B377">
        <f t="shared" ref="B377:N377" si="539">(B927-B926)*100</f>
        <v>-3.0000000000000249</v>
      </c>
      <c r="C377">
        <f t="shared" si="539"/>
        <v>-1.0000000000000675</v>
      </c>
      <c r="D377">
        <f t="shared" si="539"/>
        <v>-4.0000000000000036</v>
      </c>
      <c r="E377">
        <f t="shared" si="539"/>
        <v>-7.0000000000000284</v>
      </c>
      <c r="F377">
        <f t="shared" si="539"/>
        <v>-6.9999999999999396</v>
      </c>
      <c r="G377">
        <f t="shared" si="539"/>
        <v>-4.9999999999999822</v>
      </c>
      <c r="H377">
        <f t="shared" si="539"/>
        <v>-3.0000000000000249</v>
      </c>
      <c r="I377">
        <f t="shared" si="539"/>
        <v>-3.0000000000000249</v>
      </c>
      <c r="J377">
        <f t="shared" si="539"/>
        <v>-2.0000000000000018</v>
      </c>
      <c r="K377">
        <f t="shared" si="539"/>
        <v>-1.0000000000000231</v>
      </c>
      <c r="L377">
        <f t="shared" si="539"/>
        <v>0</v>
      </c>
      <c r="M377">
        <f t="shared" si="539"/>
        <v>0.99999999999997868</v>
      </c>
      <c r="N377">
        <f t="shared" si="539"/>
        <v>1.0000000000000231</v>
      </c>
      <c r="O377" s="5">
        <f t="shared" si="537"/>
        <v>0</v>
      </c>
      <c r="P377" s="5">
        <f t="shared" si="537"/>
        <v>0</v>
      </c>
      <c r="Q377" s="5">
        <f t="shared" si="537"/>
        <v>0</v>
      </c>
      <c r="R377" s="5">
        <f t="shared" si="537"/>
        <v>0</v>
      </c>
      <c r="S377" s="5">
        <f t="shared" si="537"/>
        <v>0</v>
      </c>
      <c r="U377" s="4">
        <v>45546</v>
      </c>
      <c r="V377">
        <f t="shared" si="469"/>
        <v>12000.0000000001</v>
      </c>
      <c r="W377">
        <f t="shared" si="470"/>
        <v>2223.0000000001501</v>
      </c>
      <c r="X377">
        <f t="shared" si="471"/>
        <v>-18360.000000000015</v>
      </c>
      <c r="Y377">
        <f t="shared" si="472"/>
        <v>24115.000000000098</v>
      </c>
      <c r="Z377">
        <f t="shared" si="473"/>
        <v>-38044.999999999673</v>
      </c>
      <c r="AA377">
        <f t="shared" si="474"/>
        <v>9999.9999999999636</v>
      </c>
      <c r="AB377">
        <f t="shared" si="475"/>
        <v>-13692.000000000113</v>
      </c>
      <c r="AC377">
        <f t="shared" si="476"/>
        <v>6669.0000000000555</v>
      </c>
      <c r="AD377">
        <f t="shared" si="477"/>
        <v>201088.00000000017</v>
      </c>
      <c r="AE377">
        <f t="shared" si="478"/>
        <v>-1.0000000000000231</v>
      </c>
      <c r="AF377">
        <f t="shared" si="479"/>
        <v>0</v>
      </c>
      <c r="AG377">
        <f t="shared" si="480"/>
        <v>25322.999999999462</v>
      </c>
      <c r="AH377">
        <f t="shared" si="481"/>
        <v>1.0000000000000231</v>
      </c>
      <c r="AI377">
        <f t="shared" si="482"/>
        <v>0</v>
      </c>
      <c r="AJ377">
        <f t="shared" si="483"/>
        <v>0</v>
      </c>
      <c r="AK377">
        <f t="shared" si="484"/>
        <v>0</v>
      </c>
      <c r="AL377">
        <f t="shared" si="485"/>
        <v>0</v>
      </c>
      <c r="AM377" s="1">
        <f t="shared" si="486"/>
        <v>0</v>
      </c>
      <c r="AN377" s="1">
        <f t="shared" si="463"/>
        <v>211321.00000000023</v>
      </c>
      <c r="AO377">
        <f t="shared" si="464"/>
        <v>-1.7702044684185618</v>
      </c>
      <c r="AP377">
        <f t="shared" si="465"/>
        <v>5.8490900828507248</v>
      </c>
    </row>
    <row r="378" spans="1:42" x14ac:dyDescent="0.25">
      <c r="A378" s="4">
        <v>45545</v>
      </c>
      <c r="B378">
        <f t="shared" ref="B378:N378" si="540">(B928-B927)*100</f>
        <v>7.0000000000000284</v>
      </c>
      <c r="C378">
        <f t="shared" si="540"/>
        <v>7.0000000000000284</v>
      </c>
      <c r="D378">
        <f t="shared" si="540"/>
        <v>5.0000000000000711</v>
      </c>
      <c r="E378">
        <f t="shared" si="540"/>
        <v>7.0000000000000284</v>
      </c>
      <c r="F378">
        <f t="shared" si="540"/>
        <v>2.9999999999999361</v>
      </c>
      <c r="G378">
        <f t="shared" si="540"/>
        <v>4.9999999999999822</v>
      </c>
      <c r="H378">
        <f t="shared" si="540"/>
        <v>9.0000000000000302</v>
      </c>
      <c r="I378">
        <f t="shared" si="540"/>
        <v>12.000000000000011</v>
      </c>
      <c r="J378">
        <f t="shared" si="540"/>
        <v>6.0000000000000053</v>
      </c>
      <c r="K378">
        <f t="shared" si="540"/>
        <v>5.0000000000000266</v>
      </c>
      <c r="L378">
        <f t="shared" si="540"/>
        <v>5.0000000000000266</v>
      </c>
      <c r="M378">
        <f t="shared" si="540"/>
        <v>4.0000000000000036</v>
      </c>
      <c r="N378">
        <f t="shared" si="540"/>
        <v>2.9999999999999805</v>
      </c>
      <c r="O378" s="5">
        <f t="shared" si="537"/>
        <v>0</v>
      </c>
      <c r="P378" s="5">
        <f t="shared" si="537"/>
        <v>0</v>
      </c>
      <c r="Q378" s="5">
        <f t="shared" si="537"/>
        <v>0</v>
      </c>
      <c r="R378" s="5">
        <f t="shared" si="537"/>
        <v>0</v>
      </c>
      <c r="S378" s="5">
        <f t="shared" si="537"/>
        <v>0</v>
      </c>
      <c r="U378" s="4">
        <v>45545</v>
      </c>
      <c r="V378">
        <f t="shared" si="469"/>
        <v>-28000.000000000113</v>
      </c>
      <c r="W378">
        <f t="shared" si="470"/>
        <v>-15561.000000000064</v>
      </c>
      <c r="X378">
        <f t="shared" si="471"/>
        <v>22950.000000000327</v>
      </c>
      <c r="Y378">
        <f t="shared" si="472"/>
        <v>-24115.000000000098</v>
      </c>
      <c r="Z378">
        <f t="shared" si="473"/>
        <v>16304.999999999653</v>
      </c>
      <c r="AA378">
        <f t="shared" si="474"/>
        <v>-9999.9999999999636</v>
      </c>
      <c r="AB378">
        <f t="shared" si="475"/>
        <v>41076.000000000138</v>
      </c>
      <c r="AC378">
        <f t="shared" si="476"/>
        <v>-26676.000000000025</v>
      </c>
      <c r="AD378">
        <f t="shared" si="477"/>
        <v>-603264.00000000058</v>
      </c>
      <c r="AE378">
        <f t="shared" si="478"/>
        <v>5.0000000000000266</v>
      </c>
      <c r="AF378">
        <f t="shared" si="479"/>
        <v>251615.00000000134</v>
      </c>
      <c r="AG378">
        <f t="shared" si="480"/>
        <v>101292.00000000009</v>
      </c>
      <c r="AH378">
        <f t="shared" si="481"/>
        <v>2.9999999999999805</v>
      </c>
      <c r="AI378">
        <f t="shared" si="482"/>
        <v>0</v>
      </c>
      <c r="AJ378">
        <f t="shared" si="483"/>
        <v>0</v>
      </c>
      <c r="AK378">
        <f t="shared" si="484"/>
        <v>0</v>
      </c>
      <c r="AL378">
        <f t="shared" si="485"/>
        <v>0</v>
      </c>
      <c r="AM378" s="1">
        <f t="shared" si="486"/>
        <v>0</v>
      </c>
      <c r="AN378" s="1">
        <f t="shared" si="463"/>
        <v>-274369.9999999993</v>
      </c>
      <c r="AO378">
        <f t="shared" si="464"/>
        <v>-9.7837751312583681</v>
      </c>
      <c r="AP378">
        <f t="shared" si="465"/>
        <v>6.3864291008417604</v>
      </c>
    </row>
    <row r="379" spans="1:42" x14ac:dyDescent="0.25">
      <c r="A379" s="4">
        <v>45544</v>
      </c>
      <c r="B379">
        <f t="shared" ref="B379:N379" si="541">(B929-B928)*100</f>
        <v>3.0000000000000249</v>
      </c>
      <c r="C379">
        <f t="shared" si="541"/>
        <v>3.0000000000000249</v>
      </c>
      <c r="D379">
        <f t="shared" si="541"/>
        <v>1.9999999999999574</v>
      </c>
      <c r="E379">
        <f t="shared" si="541"/>
        <v>2.9999999999999361</v>
      </c>
      <c r="F379">
        <f t="shared" si="541"/>
        <v>1.0000000000000675</v>
      </c>
      <c r="G379">
        <f t="shared" si="541"/>
        <v>-2.0000000000000462</v>
      </c>
      <c r="H379">
        <f t="shared" si="541"/>
        <v>-2.0000000000000018</v>
      </c>
      <c r="I379">
        <f t="shared" si="541"/>
        <v>0</v>
      </c>
      <c r="J379">
        <f t="shared" si="541"/>
        <v>0.99999999999997868</v>
      </c>
      <c r="K379">
        <f t="shared" si="541"/>
        <v>2.0000000000000018</v>
      </c>
      <c r="L379">
        <f t="shared" si="541"/>
        <v>2.0000000000000018</v>
      </c>
      <c r="M379">
        <f t="shared" si="541"/>
        <v>1.9999999999999574</v>
      </c>
      <c r="N379">
        <f t="shared" si="541"/>
        <v>3.0000000000000249</v>
      </c>
      <c r="O379" s="5">
        <f t="shared" si="537"/>
        <v>0</v>
      </c>
      <c r="P379" s="5">
        <f t="shared" si="537"/>
        <v>0</v>
      </c>
      <c r="Q379" s="5">
        <f t="shared" si="537"/>
        <v>0</v>
      </c>
      <c r="R379" s="5">
        <f t="shared" si="537"/>
        <v>0</v>
      </c>
      <c r="S379" s="5">
        <f t="shared" si="537"/>
        <v>0</v>
      </c>
      <c r="U379" s="4">
        <v>45544</v>
      </c>
      <c r="V379">
        <f t="shared" si="469"/>
        <v>-12000.0000000001</v>
      </c>
      <c r="W379">
        <f t="shared" si="470"/>
        <v>-6669.0000000000555</v>
      </c>
      <c r="X379">
        <f t="shared" si="471"/>
        <v>9179.9999999998035</v>
      </c>
      <c r="Y379">
        <f t="shared" si="472"/>
        <v>-10334.99999999978</v>
      </c>
      <c r="Z379">
        <f t="shared" si="473"/>
        <v>5435.0000000003665</v>
      </c>
      <c r="AA379">
        <f t="shared" si="474"/>
        <v>4000.0000000000923</v>
      </c>
      <c r="AB379">
        <f t="shared" si="475"/>
        <v>-9128.0000000000073</v>
      </c>
      <c r="AC379">
        <f t="shared" si="476"/>
        <v>0</v>
      </c>
      <c r="AD379">
        <f t="shared" si="477"/>
        <v>-100543.99999999786</v>
      </c>
      <c r="AE379">
        <f t="shared" si="478"/>
        <v>2.0000000000000018</v>
      </c>
      <c r="AF379">
        <f t="shared" si="479"/>
        <v>100646.00000000009</v>
      </c>
      <c r="AG379">
        <f t="shared" si="480"/>
        <v>50645.999999998923</v>
      </c>
      <c r="AH379">
        <f t="shared" si="481"/>
        <v>3.0000000000000249</v>
      </c>
      <c r="AI379">
        <f t="shared" si="482"/>
        <v>0</v>
      </c>
      <c r="AJ379">
        <f t="shared" si="483"/>
        <v>0</v>
      </c>
      <c r="AK379">
        <f t="shared" si="484"/>
        <v>0</v>
      </c>
      <c r="AL379">
        <f t="shared" si="485"/>
        <v>0</v>
      </c>
      <c r="AM379" s="1">
        <f t="shared" si="486"/>
        <v>0</v>
      </c>
      <c r="AN379" s="1">
        <f t="shared" si="463"/>
        <v>31236.00000000147</v>
      </c>
      <c r="AO379">
        <f t="shared" si="464"/>
        <v>-1.1010200319528129</v>
      </c>
      <c r="AP379">
        <f t="shared" si="465"/>
        <v>5.9819776033888621</v>
      </c>
    </row>
    <row r="380" spans="1:42" x14ac:dyDescent="0.25">
      <c r="A380" s="4">
        <v>45541</v>
      </c>
      <c r="B380">
        <f t="shared" ref="B380:N380" si="542">(B930-B929)*100</f>
        <v>1.9999999999999574</v>
      </c>
      <c r="C380">
        <f t="shared" si="542"/>
        <v>0.99999999999997868</v>
      </c>
      <c r="D380">
        <f t="shared" si="542"/>
        <v>2.0000000000000462</v>
      </c>
      <c r="E380">
        <f t="shared" si="542"/>
        <v>2.0000000000000462</v>
      </c>
      <c r="F380">
        <f t="shared" si="542"/>
        <v>4.0000000000000036</v>
      </c>
      <c r="G380">
        <f t="shared" si="542"/>
        <v>11.000000000000032</v>
      </c>
      <c r="H380">
        <f t="shared" si="542"/>
        <v>8.9999999999999858</v>
      </c>
      <c r="I380">
        <f t="shared" si="542"/>
        <v>6.999999999999984</v>
      </c>
      <c r="J380">
        <f t="shared" si="542"/>
        <v>4.0000000000000036</v>
      </c>
      <c r="K380">
        <f t="shared" si="542"/>
        <v>2.9999999999999805</v>
      </c>
      <c r="L380">
        <f t="shared" si="542"/>
        <v>0.99999999999997868</v>
      </c>
      <c r="M380">
        <f t="shared" si="542"/>
        <v>1.0000000000000675</v>
      </c>
      <c r="N380">
        <f t="shared" si="542"/>
        <v>-1.0000000000000675</v>
      </c>
      <c r="O380" s="5">
        <f t="shared" si="537"/>
        <v>0</v>
      </c>
      <c r="P380" s="5">
        <f t="shared" si="537"/>
        <v>0</v>
      </c>
      <c r="Q380" s="5">
        <f t="shared" si="537"/>
        <v>0</v>
      </c>
      <c r="R380" s="5">
        <f t="shared" si="537"/>
        <v>0</v>
      </c>
      <c r="S380" s="5">
        <f t="shared" si="537"/>
        <v>0</v>
      </c>
      <c r="U380" s="4">
        <v>45541</v>
      </c>
      <c r="V380">
        <f t="shared" si="469"/>
        <v>-7999.999999999829</v>
      </c>
      <c r="W380">
        <f t="shared" si="470"/>
        <v>-2222.9999999999527</v>
      </c>
      <c r="X380">
        <f t="shared" si="471"/>
        <v>9180.0000000002128</v>
      </c>
      <c r="Y380">
        <f t="shared" si="472"/>
        <v>-6890.0000000001592</v>
      </c>
      <c r="Z380">
        <f t="shared" si="473"/>
        <v>21740.000000000018</v>
      </c>
      <c r="AA380">
        <f t="shared" si="474"/>
        <v>-22000.000000000065</v>
      </c>
      <c r="AB380">
        <f t="shared" si="475"/>
        <v>41075.999999999935</v>
      </c>
      <c r="AC380">
        <f t="shared" si="476"/>
        <v>-15560.999999999964</v>
      </c>
      <c r="AD380">
        <f t="shared" si="477"/>
        <v>-402176.00000000035</v>
      </c>
      <c r="AE380">
        <f t="shared" si="478"/>
        <v>2.9999999999999805</v>
      </c>
      <c r="AF380">
        <f t="shared" si="479"/>
        <v>50322.99999999893</v>
      </c>
      <c r="AG380">
        <f t="shared" si="480"/>
        <v>25323.00000000171</v>
      </c>
      <c r="AH380">
        <f t="shared" si="481"/>
        <v>-1.0000000000000675</v>
      </c>
      <c r="AI380">
        <f t="shared" si="482"/>
        <v>0</v>
      </c>
      <c r="AJ380">
        <f t="shared" si="483"/>
        <v>0</v>
      </c>
      <c r="AK380">
        <f t="shared" si="484"/>
        <v>0</v>
      </c>
      <c r="AL380">
        <f t="shared" si="485"/>
        <v>0</v>
      </c>
      <c r="AM380" s="1">
        <f t="shared" si="486"/>
        <v>0</v>
      </c>
      <c r="AN380" s="1">
        <f t="shared" si="463"/>
        <v>-309205.99999999953</v>
      </c>
      <c r="AO380">
        <f t="shared" si="464"/>
        <v>-4.9500000000001094</v>
      </c>
      <c r="AP380">
        <f t="shared" si="465"/>
        <v>6.2547111251517107</v>
      </c>
    </row>
    <row r="381" spans="1:42" x14ac:dyDescent="0.25">
      <c r="A381" s="4">
        <v>45540</v>
      </c>
      <c r="B381">
        <f t="shared" ref="B381:N381" si="543">(B931-B930)*100</f>
        <v>3.0000000000000249</v>
      </c>
      <c r="C381">
        <f t="shared" si="543"/>
        <v>-0.99999999999997868</v>
      </c>
      <c r="D381">
        <f t="shared" si="543"/>
        <v>2.9999999999999361</v>
      </c>
      <c r="E381">
        <f t="shared" si="543"/>
        <v>0.99999999999997868</v>
      </c>
      <c r="F381">
        <f t="shared" si="543"/>
        <v>0.99999999999997868</v>
      </c>
      <c r="G381">
        <f t="shared" si="543"/>
        <v>2.0000000000000462</v>
      </c>
      <c r="H381">
        <f t="shared" si="543"/>
        <v>0.99999999999997868</v>
      </c>
      <c r="I381">
        <f t="shared" si="543"/>
        <v>2.0000000000000018</v>
      </c>
      <c r="J381">
        <f t="shared" si="543"/>
        <v>2.0000000000000018</v>
      </c>
      <c r="K381">
        <f t="shared" si="543"/>
        <v>2.0000000000000018</v>
      </c>
      <c r="L381">
        <f t="shared" si="543"/>
        <v>4.0000000000000036</v>
      </c>
      <c r="M381">
        <f t="shared" si="543"/>
        <v>2.9999999999999361</v>
      </c>
      <c r="N381">
        <f t="shared" si="543"/>
        <v>4.0000000000000036</v>
      </c>
      <c r="O381" s="5">
        <f t="shared" si="537"/>
        <v>0</v>
      </c>
      <c r="P381" s="5">
        <f t="shared" si="537"/>
        <v>0</v>
      </c>
      <c r="Q381" s="5">
        <f t="shared" si="537"/>
        <v>0</v>
      </c>
      <c r="R381" s="5">
        <f t="shared" si="537"/>
        <v>0</v>
      </c>
      <c r="S381" s="5">
        <f t="shared" si="537"/>
        <v>0</v>
      </c>
      <c r="U381" s="4">
        <v>45540</v>
      </c>
      <c r="V381">
        <f t="shared" si="469"/>
        <v>-12000.0000000001</v>
      </c>
      <c r="W381">
        <f t="shared" si="470"/>
        <v>2222.9999999999527</v>
      </c>
      <c r="X381">
        <f t="shared" si="471"/>
        <v>13769.999999999707</v>
      </c>
      <c r="Y381">
        <f t="shared" si="472"/>
        <v>-3444.9999999999268</v>
      </c>
      <c r="Z381">
        <f t="shared" si="473"/>
        <v>5434.9999999998845</v>
      </c>
      <c r="AA381">
        <f t="shared" si="474"/>
        <v>-4000.0000000000923</v>
      </c>
      <c r="AB381">
        <f t="shared" si="475"/>
        <v>4563.9999999999027</v>
      </c>
      <c r="AC381">
        <f t="shared" si="476"/>
        <v>-4446.0000000000036</v>
      </c>
      <c r="AD381">
        <f t="shared" si="477"/>
        <v>-201088.00000000017</v>
      </c>
      <c r="AE381">
        <f t="shared" si="478"/>
        <v>2.0000000000000018</v>
      </c>
      <c r="AF381">
        <f t="shared" si="479"/>
        <v>201292.00000000017</v>
      </c>
      <c r="AG381">
        <f t="shared" si="480"/>
        <v>75968.999999998385</v>
      </c>
      <c r="AH381">
        <f t="shared" si="481"/>
        <v>4.0000000000000036</v>
      </c>
      <c r="AI381">
        <f t="shared" si="482"/>
        <v>0</v>
      </c>
      <c r="AJ381">
        <f t="shared" si="483"/>
        <v>0</v>
      </c>
      <c r="AK381">
        <f t="shared" si="484"/>
        <v>0</v>
      </c>
      <c r="AL381">
        <f t="shared" si="485"/>
        <v>0</v>
      </c>
      <c r="AM381" s="1">
        <f t="shared" si="486"/>
        <v>0</v>
      </c>
      <c r="AN381" s="1">
        <f t="shared" si="463"/>
        <v>78279.999999997715</v>
      </c>
      <c r="AO381">
        <f t="shared" si="464"/>
        <v>-1.2095765899629147</v>
      </c>
      <c r="AP381">
        <f t="shared" si="465"/>
        <v>6.1196927585377443</v>
      </c>
    </row>
    <row r="382" spans="1:42" x14ac:dyDescent="0.25">
      <c r="A382" s="4">
        <v>45539</v>
      </c>
      <c r="B382">
        <f t="shared" ref="B382:N382" si="544">(B932-B931)*100</f>
        <v>4.9999999999999822</v>
      </c>
      <c r="C382">
        <f t="shared" si="544"/>
        <v>2.9999999999999361</v>
      </c>
      <c r="D382">
        <f t="shared" si="544"/>
        <v>1.0000000000000675</v>
      </c>
      <c r="E382">
        <f t="shared" si="544"/>
        <v>4.9999999999999822</v>
      </c>
      <c r="F382">
        <f t="shared" si="544"/>
        <v>5.9999999999999609</v>
      </c>
      <c r="G382">
        <f t="shared" si="544"/>
        <v>11.999999999999922</v>
      </c>
      <c r="H382">
        <f t="shared" si="544"/>
        <v>12.000000000000011</v>
      </c>
      <c r="I382">
        <f t="shared" si="544"/>
        <v>10.000000000000009</v>
      </c>
      <c r="J382">
        <f t="shared" si="544"/>
        <v>8.9999999999999858</v>
      </c>
      <c r="K382">
        <f t="shared" si="544"/>
        <v>8.0000000000000071</v>
      </c>
      <c r="L382">
        <f t="shared" si="544"/>
        <v>6.999999999999984</v>
      </c>
      <c r="M382">
        <f t="shared" si="544"/>
        <v>7.0000000000000284</v>
      </c>
      <c r="N382">
        <f t="shared" si="544"/>
        <v>7.0000000000000284</v>
      </c>
      <c r="O382" s="5">
        <f t="shared" si="537"/>
        <v>0</v>
      </c>
      <c r="P382" s="5">
        <f t="shared" si="537"/>
        <v>0</v>
      </c>
      <c r="Q382" s="5">
        <f t="shared" si="537"/>
        <v>0</v>
      </c>
      <c r="R382" s="5">
        <f t="shared" si="537"/>
        <v>0</v>
      </c>
      <c r="S382" s="5">
        <f t="shared" si="537"/>
        <v>0</v>
      </c>
      <c r="U382" s="4">
        <v>45539</v>
      </c>
      <c r="V382">
        <f t="shared" si="469"/>
        <v>-19999.999999999927</v>
      </c>
      <c r="W382">
        <f t="shared" si="470"/>
        <v>-6668.9999999998581</v>
      </c>
      <c r="X382">
        <f t="shared" si="471"/>
        <v>4590.0000000003101</v>
      </c>
      <c r="Y382">
        <f t="shared" si="472"/>
        <v>-17224.999999999938</v>
      </c>
      <c r="Z382">
        <f t="shared" si="473"/>
        <v>32609.999999999789</v>
      </c>
      <c r="AA382">
        <f t="shared" si="474"/>
        <v>-23999.999999999844</v>
      </c>
      <c r="AB382">
        <f t="shared" si="475"/>
        <v>54768.000000000051</v>
      </c>
      <c r="AC382">
        <f t="shared" si="476"/>
        <v>-22230.000000000018</v>
      </c>
      <c r="AD382">
        <f t="shared" si="477"/>
        <v>-904895.9999999986</v>
      </c>
      <c r="AE382">
        <f t="shared" si="478"/>
        <v>8.0000000000000071</v>
      </c>
      <c r="AF382">
        <f t="shared" si="479"/>
        <v>352260.99999999919</v>
      </c>
      <c r="AG382">
        <f t="shared" si="480"/>
        <v>177261.00000000073</v>
      </c>
      <c r="AH382">
        <f t="shared" si="481"/>
        <v>7.0000000000000284</v>
      </c>
      <c r="AI382">
        <f t="shared" si="482"/>
        <v>0</v>
      </c>
      <c r="AJ382">
        <f t="shared" si="483"/>
        <v>0</v>
      </c>
      <c r="AK382">
        <f t="shared" si="484"/>
        <v>0</v>
      </c>
      <c r="AL382">
        <f t="shared" si="485"/>
        <v>0</v>
      </c>
      <c r="AM382" s="1">
        <f t="shared" si="486"/>
        <v>0</v>
      </c>
      <c r="AN382" s="1">
        <f t="shared" si="463"/>
        <v>-373514.99999999814</v>
      </c>
      <c r="AO382">
        <f t="shared" si="464"/>
        <v>7.8109784865070555</v>
      </c>
      <c r="AP382">
        <f t="shared" si="465"/>
        <v>6.1006227649349078</v>
      </c>
    </row>
    <row r="383" spans="1:42" x14ac:dyDescent="0.25">
      <c r="A383" s="4">
        <v>45538</v>
      </c>
      <c r="B383">
        <f t="shared" ref="B383:N383" si="545">(B933-B932)*100</f>
        <v>3.0000000000000249</v>
      </c>
      <c r="C383">
        <f t="shared" si="545"/>
        <v>1.0000000000000675</v>
      </c>
      <c r="D383">
        <f t="shared" si="545"/>
        <v>1.9999999999999574</v>
      </c>
      <c r="E383">
        <f t="shared" si="545"/>
        <v>2.0000000000000462</v>
      </c>
      <c r="F383">
        <f t="shared" si="545"/>
        <v>8.9999999999999858</v>
      </c>
      <c r="G383">
        <f t="shared" si="545"/>
        <v>3.0000000000000249</v>
      </c>
      <c r="H383">
        <f t="shared" si="545"/>
        <v>3.0000000000000249</v>
      </c>
      <c r="I383">
        <f t="shared" si="545"/>
        <v>6.0000000000000053</v>
      </c>
      <c r="J383">
        <f t="shared" si="545"/>
        <v>6.0000000000000053</v>
      </c>
      <c r="K383">
        <f t="shared" si="545"/>
        <v>6.999999999999984</v>
      </c>
      <c r="L383">
        <f t="shared" si="545"/>
        <v>7.0000000000000284</v>
      </c>
      <c r="M383">
        <f t="shared" si="545"/>
        <v>7.0000000000000284</v>
      </c>
      <c r="N383">
        <f t="shared" si="545"/>
        <v>7.0000000000000284</v>
      </c>
      <c r="O383" s="5">
        <f t="shared" si="537"/>
        <v>0</v>
      </c>
      <c r="P383" s="5">
        <f t="shared" si="537"/>
        <v>0</v>
      </c>
      <c r="Q383" s="5">
        <f t="shared" si="537"/>
        <v>0</v>
      </c>
      <c r="R383" s="5">
        <f t="shared" si="537"/>
        <v>0</v>
      </c>
      <c r="S383" s="5">
        <f t="shared" si="537"/>
        <v>0</v>
      </c>
      <c r="U383" s="4">
        <v>45538</v>
      </c>
      <c r="V383">
        <f t="shared" si="469"/>
        <v>-12000.0000000001</v>
      </c>
      <c r="W383">
        <f t="shared" si="470"/>
        <v>-2223.0000000001501</v>
      </c>
      <c r="X383">
        <f t="shared" si="471"/>
        <v>9179.9999999998035</v>
      </c>
      <c r="Y383">
        <f t="shared" si="472"/>
        <v>-6890.0000000001592</v>
      </c>
      <c r="Z383">
        <f t="shared" si="473"/>
        <v>48914.99999999992</v>
      </c>
      <c r="AA383">
        <f t="shared" si="474"/>
        <v>-6000.00000000005</v>
      </c>
      <c r="AB383">
        <f t="shared" si="475"/>
        <v>13692.000000000113</v>
      </c>
      <c r="AC383">
        <f t="shared" si="476"/>
        <v>-13338.000000000013</v>
      </c>
      <c r="AD383">
        <f t="shared" si="477"/>
        <v>-603264.00000000058</v>
      </c>
      <c r="AE383">
        <f t="shared" si="478"/>
        <v>6.999999999999984</v>
      </c>
      <c r="AF383">
        <f t="shared" si="479"/>
        <v>352261.00000000146</v>
      </c>
      <c r="AG383">
        <f t="shared" si="480"/>
        <v>177261.00000000073</v>
      </c>
      <c r="AH383">
        <f t="shared" si="481"/>
        <v>7.0000000000000284</v>
      </c>
      <c r="AI383">
        <f t="shared" si="482"/>
        <v>0</v>
      </c>
      <c r="AJ383">
        <f t="shared" si="483"/>
        <v>0</v>
      </c>
      <c r="AK383">
        <f t="shared" si="484"/>
        <v>0</v>
      </c>
      <c r="AL383">
        <f t="shared" si="485"/>
        <v>0</v>
      </c>
      <c r="AM383" s="1">
        <f t="shared" si="486"/>
        <v>0</v>
      </c>
      <c r="AN383" s="1">
        <f t="shared" si="463"/>
        <v>-42391.999999998981</v>
      </c>
      <c r="AO383">
        <f t="shared" si="464"/>
        <v>-1.2434580285129759</v>
      </c>
      <c r="AP383">
        <f t="shared" si="465"/>
        <v>5.931611983943716</v>
      </c>
    </row>
    <row r="384" spans="1:42" x14ac:dyDescent="0.25">
      <c r="A384" s="4">
        <v>45534</v>
      </c>
      <c r="B384">
        <f t="shared" ref="B384:N384" si="546">(B934-B933)*100</f>
        <v>-0.99999999999997868</v>
      </c>
      <c r="C384">
        <f t="shared" si="546"/>
        <v>0.99999999999997868</v>
      </c>
      <c r="D384">
        <f t="shared" si="546"/>
        <v>0.99999999999997868</v>
      </c>
      <c r="E384">
        <f t="shared" si="546"/>
        <v>0</v>
      </c>
      <c r="F384">
        <f t="shared" si="546"/>
        <v>0</v>
      </c>
      <c r="G384">
        <f t="shared" si="546"/>
        <v>0</v>
      </c>
      <c r="H384">
        <f t="shared" si="546"/>
        <v>-4.0000000000000036</v>
      </c>
      <c r="I384">
        <f t="shared" si="546"/>
        <v>-3.0000000000000249</v>
      </c>
      <c r="J384">
        <f t="shared" si="546"/>
        <v>-4.9999999999999822</v>
      </c>
      <c r="K384">
        <f t="shared" si="546"/>
        <v>-4.0000000000000036</v>
      </c>
      <c r="L384">
        <f t="shared" si="546"/>
        <v>-4.0000000000000036</v>
      </c>
      <c r="M384">
        <f t="shared" si="546"/>
        <v>-4.0000000000000036</v>
      </c>
      <c r="N384">
        <f t="shared" si="546"/>
        <v>-4.9999999999999822</v>
      </c>
      <c r="O384" s="5">
        <f t="shared" si="537"/>
        <v>3.6133733985138313E-3</v>
      </c>
      <c r="P384" s="5">
        <f t="shared" si="537"/>
        <v>1.4504235695473971E-2</v>
      </c>
      <c r="Q384" s="5">
        <f t="shared" si="537"/>
        <v>5.7940756587423151E-3</v>
      </c>
      <c r="R384" s="5">
        <f t="shared" si="537"/>
        <v>0</v>
      </c>
      <c r="S384" s="5">
        <f t="shared" si="537"/>
        <v>-6.6318708282138141E-3</v>
      </c>
      <c r="U384" s="4">
        <v>45534</v>
      </c>
      <c r="V384">
        <f t="shared" si="469"/>
        <v>3999.9999999999145</v>
      </c>
      <c r="W384">
        <f t="shared" si="470"/>
        <v>-2222.9999999999527</v>
      </c>
      <c r="X384">
        <f t="shared" si="471"/>
        <v>4589.9999999999018</v>
      </c>
      <c r="Y384">
        <f t="shared" si="472"/>
        <v>0</v>
      </c>
      <c r="Z384">
        <f t="shared" si="473"/>
        <v>0</v>
      </c>
      <c r="AA384">
        <f t="shared" si="474"/>
        <v>0</v>
      </c>
      <c r="AB384">
        <f t="shared" si="475"/>
        <v>-18256.000000000015</v>
      </c>
      <c r="AC384">
        <f t="shared" si="476"/>
        <v>6669.0000000000555</v>
      </c>
      <c r="AD384">
        <f t="shared" si="477"/>
        <v>502719.9999999982</v>
      </c>
      <c r="AE384">
        <f t="shared" si="478"/>
        <v>-4.0000000000000036</v>
      </c>
      <c r="AF384">
        <f t="shared" si="479"/>
        <v>-201292.00000000017</v>
      </c>
      <c r="AG384">
        <f t="shared" si="480"/>
        <v>-101292.00000000009</v>
      </c>
      <c r="AH384">
        <f t="shared" si="481"/>
        <v>-4.9999999999999822</v>
      </c>
      <c r="AI384">
        <f t="shared" si="482"/>
        <v>0.36133733985138311</v>
      </c>
      <c r="AJ384">
        <f t="shared" si="483"/>
        <v>-145042.35695473972</v>
      </c>
      <c r="AK384">
        <f t="shared" si="484"/>
        <v>57940.756587423151</v>
      </c>
      <c r="AL384">
        <f t="shared" si="485"/>
        <v>0</v>
      </c>
      <c r="AM384" s="1">
        <f t="shared" si="486"/>
        <v>66318.708282138148</v>
      </c>
      <c r="AN384" s="1">
        <f t="shared" si="463"/>
        <v>174124.46925215924</v>
      </c>
      <c r="AO384">
        <f t="shared" si="464"/>
        <v>-2.3708818269521403</v>
      </c>
      <c r="AP384">
        <f t="shared" si="465"/>
        <v>5.9142122975763387</v>
      </c>
    </row>
    <row r="385" spans="1:42" x14ac:dyDescent="0.25">
      <c r="A385" s="4">
        <v>45533</v>
      </c>
      <c r="B385">
        <f t="shared" ref="B385:N385" si="547">(B935-B934)*100</f>
        <v>6.9999999999999396</v>
      </c>
      <c r="C385">
        <f t="shared" si="547"/>
        <v>0</v>
      </c>
      <c r="D385">
        <f t="shared" si="547"/>
        <v>-0.99999999999997868</v>
      </c>
      <c r="E385">
        <f t="shared" si="547"/>
        <v>0</v>
      </c>
      <c r="F385">
        <f t="shared" si="547"/>
        <v>-1.9999999999999574</v>
      </c>
      <c r="G385">
        <f t="shared" si="547"/>
        <v>-1.9999999999999574</v>
      </c>
      <c r="H385">
        <f t="shared" si="547"/>
        <v>-4.0000000000000036</v>
      </c>
      <c r="I385">
        <f t="shared" si="547"/>
        <v>-3.9999999999999591</v>
      </c>
      <c r="J385">
        <f t="shared" si="547"/>
        <v>-3.0000000000000249</v>
      </c>
      <c r="K385">
        <f t="shared" si="547"/>
        <v>-1.9999999999999574</v>
      </c>
      <c r="L385">
        <f t="shared" si="547"/>
        <v>-3.0000000000000249</v>
      </c>
      <c r="M385">
        <f t="shared" si="547"/>
        <v>-2.0000000000000462</v>
      </c>
      <c r="N385">
        <f t="shared" si="547"/>
        <v>-2.0000000000000462</v>
      </c>
      <c r="O385" s="5">
        <f t="shared" ref="O385:S394" si="548">LN(O934/O935)</f>
        <v>1.8681084514773239E-2</v>
      </c>
      <c r="P385" s="5">
        <f t="shared" si="548"/>
        <v>5.3055686771237434E-3</v>
      </c>
      <c r="Q385" s="5">
        <f t="shared" si="548"/>
        <v>5.2325061672855704E-3</v>
      </c>
      <c r="R385" s="5">
        <f t="shared" si="548"/>
        <v>3.2059872504280485E-3</v>
      </c>
      <c r="S385" s="5">
        <f t="shared" si="548"/>
        <v>9.7326957932318929E-3</v>
      </c>
      <c r="U385" s="4">
        <v>45533</v>
      </c>
      <c r="V385">
        <f t="shared" si="469"/>
        <v>-27999.99999999976</v>
      </c>
      <c r="W385">
        <f t="shared" si="470"/>
        <v>0</v>
      </c>
      <c r="X385">
        <f t="shared" si="471"/>
        <v>-4589.9999999999018</v>
      </c>
      <c r="Y385">
        <f t="shared" si="472"/>
        <v>0</v>
      </c>
      <c r="Z385">
        <f t="shared" si="473"/>
        <v>-10869.999999999769</v>
      </c>
      <c r="AA385">
        <f t="shared" si="474"/>
        <v>3999.9999999999145</v>
      </c>
      <c r="AB385">
        <f t="shared" si="475"/>
        <v>-18256.000000000015</v>
      </c>
      <c r="AC385">
        <f t="shared" si="476"/>
        <v>8891.9999999999091</v>
      </c>
      <c r="AD385">
        <f t="shared" si="477"/>
        <v>301632.0000000025</v>
      </c>
      <c r="AE385">
        <f t="shared" si="478"/>
        <v>-1.9999999999999574</v>
      </c>
      <c r="AF385">
        <f t="shared" si="479"/>
        <v>-150969.00000000125</v>
      </c>
      <c r="AG385">
        <f t="shared" si="480"/>
        <v>-50646.000000001171</v>
      </c>
      <c r="AH385">
        <f t="shared" si="481"/>
        <v>-2.0000000000000462</v>
      </c>
      <c r="AI385">
        <f t="shared" si="482"/>
        <v>1.8681084514773239</v>
      </c>
      <c r="AJ385">
        <f t="shared" si="483"/>
        <v>-53055.686771237437</v>
      </c>
      <c r="AK385">
        <f t="shared" si="484"/>
        <v>52325.061672855707</v>
      </c>
      <c r="AL385">
        <f t="shared" si="485"/>
        <v>-80149.681260701211</v>
      </c>
      <c r="AM385" s="1">
        <f t="shared" si="486"/>
        <v>-97326.957932318925</v>
      </c>
      <c r="AN385" s="1">
        <f t="shared" si="463"/>
        <v>-127016.39618294993</v>
      </c>
      <c r="AO385">
        <f t="shared" si="464"/>
        <v>-0.7391299371616844</v>
      </c>
      <c r="AP385">
        <f t="shared" si="465"/>
        <v>6.8752246518805054</v>
      </c>
    </row>
    <row r="386" spans="1:42" x14ac:dyDescent="0.25">
      <c r="A386" s="4">
        <v>45532</v>
      </c>
      <c r="B386">
        <f t="shared" ref="B386:N386" si="549">(B936-B935)*100</f>
        <v>2.0000000000000462</v>
      </c>
      <c r="C386">
        <f t="shared" si="549"/>
        <v>0</v>
      </c>
      <c r="D386">
        <f t="shared" si="549"/>
        <v>2.0000000000000462</v>
      </c>
      <c r="E386">
        <f t="shared" si="549"/>
        <v>0</v>
      </c>
      <c r="F386">
        <f t="shared" si="549"/>
        <v>1.9999999999999574</v>
      </c>
      <c r="G386">
        <f t="shared" si="549"/>
        <v>-2.0000000000000462</v>
      </c>
      <c r="H386">
        <f t="shared" si="549"/>
        <v>0</v>
      </c>
      <c r="I386">
        <f t="shared" si="549"/>
        <v>0</v>
      </c>
      <c r="J386">
        <f t="shared" si="549"/>
        <v>3.0000000000000249</v>
      </c>
      <c r="K386">
        <f t="shared" si="549"/>
        <v>-1.0000000000000231</v>
      </c>
      <c r="L386">
        <f t="shared" si="549"/>
        <v>-0.99999999999997868</v>
      </c>
      <c r="M386">
        <f t="shared" si="549"/>
        <v>-0.99999999999997868</v>
      </c>
      <c r="N386">
        <f t="shared" si="549"/>
        <v>0</v>
      </c>
      <c r="O386" s="5">
        <f t="shared" si="548"/>
        <v>6.2750709181420969E-3</v>
      </c>
      <c r="P386" s="5">
        <f t="shared" si="548"/>
        <v>1.4823826891065489E-2</v>
      </c>
      <c r="Q386" s="5">
        <f t="shared" si="548"/>
        <v>-3.306386285412576E-5</v>
      </c>
      <c r="R386" s="5">
        <f t="shared" si="548"/>
        <v>5.3533191856635417E-4</v>
      </c>
      <c r="S386" s="5">
        <f t="shared" si="548"/>
        <v>-3.6285321403815335E-3</v>
      </c>
      <c r="U386" s="4">
        <v>45532</v>
      </c>
      <c r="V386">
        <f t="shared" si="469"/>
        <v>-8000.0000000001846</v>
      </c>
      <c r="W386">
        <f t="shared" si="470"/>
        <v>0</v>
      </c>
      <c r="X386">
        <f t="shared" si="471"/>
        <v>9180.0000000002128</v>
      </c>
      <c r="Y386">
        <f t="shared" si="472"/>
        <v>0</v>
      </c>
      <c r="Z386">
        <f t="shared" si="473"/>
        <v>10869.999999999769</v>
      </c>
      <c r="AA386">
        <f t="shared" si="474"/>
        <v>4000.0000000000923</v>
      </c>
      <c r="AB386">
        <f t="shared" si="475"/>
        <v>0</v>
      </c>
      <c r="AC386">
        <f t="shared" si="476"/>
        <v>0</v>
      </c>
      <c r="AD386">
        <f t="shared" si="477"/>
        <v>-301632.0000000025</v>
      </c>
      <c r="AE386">
        <f t="shared" si="478"/>
        <v>-1.0000000000000231</v>
      </c>
      <c r="AF386">
        <f t="shared" si="479"/>
        <v>-50322.99999999893</v>
      </c>
      <c r="AG386">
        <f t="shared" si="480"/>
        <v>-25322.999999999462</v>
      </c>
      <c r="AH386">
        <f t="shared" si="481"/>
        <v>0</v>
      </c>
      <c r="AI386">
        <f t="shared" si="482"/>
        <v>0.62750709181420972</v>
      </c>
      <c r="AJ386">
        <f t="shared" si="483"/>
        <v>-148238.26891065488</v>
      </c>
      <c r="AK386">
        <f t="shared" si="484"/>
        <v>-330.63862854125762</v>
      </c>
      <c r="AL386">
        <f t="shared" si="485"/>
        <v>-13383.297964158854</v>
      </c>
      <c r="AM386" s="1">
        <f t="shared" si="486"/>
        <v>36285.321403815338</v>
      </c>
      <c r="AN386" s="1">
        <f t="shared" si="463"/>
        <v>-486895.25659244892</v>
      </c>
      <c r="AO386">
        <f t="shared" si="464"/>
        <v>0.87962399825117732</v>
      </c>
      <c r="AP386">
        <f t="shared" si="465"/>
        <v>6.8509563305808383</v>
      </c>
    </row>
    <row r="387" spans="1:42" x14ac:dyDescent="0.25">
      <c r="A387" s="4">
        <v>45531</v>
      </c>
      <c r="B387">
        <f t="shared" ref="B387:N387" si="550">(B937-B936)*100</f>
        <v>0</v>
      </c>
      <c r="C387">
        <f t="shared" si="550"/>
        <v>0.99999999999997868</v>
      </c>
      <c r="D387">
        <f t="shared" si="550"/>
        <v>0.99999999999997868</v>
      </c>
      <c r="E387">
        <f t="shared" si="550"/>
        <v>0.99999999999997868</v>
      </c>
      <c r="F387">
        <f t="shared" si="550"/>
        <v>2.0000000000000462</v>
      </c>
      <c r="G387">
        <f t="shared" si="550"/>
        <v>4.0000000000000036</v>
      </c>
      <c r="H387">
        <f t="shared" si="550"/>
        <v>8.0000000000000071</v>
      </c>
      <c r="I387">
        <f t="shared" si="550"/>
        <v>2.0000000000000018</v>
      </c>
      <c r="J387">
        <f t="shared" si="550"/>
        <v>0</v>
      </c>
      <c r="K387">
        <f t="shared" si="550"/>
        <v>-0.99999999999997868</v>
      </c>
      <c r="L387">
        <f t="shared" si="550"/>
        <v>-1.0000000000000231</v>
      </c>
      <c r="M387">
        <f t="shared" si="550"/>
        <v>-1.9999999999999574</v>
      </c>
      <c r="N387">
        <f t="shared" si="550"/>
        <v>-1.9999999999999574</v>
      </c>
      <c r="O387" s="5">
        <f t="shared" si="548"/>
        <v>8.7364863042927441E-4</v>
      </c>
      <c r="P387" s="5">
        <f t="shared" si="548"/>
        <v>2.5293868566501343E-3</v>
      </c>
      <c r="Q387" s="5">
        <f t="shared" si="548"/>
        <v>-4.0256109270874665E-3</v>
      </c>
      <c r="R387" s="5">
        <f t="shared" si="548"/>
        <v>-2.1396103375112513E-3</v>
      </c>
      <c r="S387" s="5">
        <f t="shared" si="548"/>
        <v>1.7986501454855409E-2</v>
      </c>
      <c r="U387" s="4">
        <v>45531</v>
      </c>
      <c r="V387">
        <f t="shared" si="469"/>
        <v>0</v>
      </c>
      <c r="W387">
        <f t="shared" si="470"/>
        <v>-2222.9999999999527</v>
      </c>
      <c r="X387">
        <f t="shared" si="471"/>
        <v>4589.9999999999018</v>
      </c>
      <c r="Y387">
        <f t="shared" si="472"/>
        <v>-3444.9999999999268</v>
      </c>
      <c r="Z387">
        <f t="shared" si="473"/>
        <v>10870.000000000251</v>
      </c>
      <c r="AA387">
        <f t="shared" si="474"/>
        <v>-8000.0000000000073</v>
      </c>
      <c r="AB387">
        <f t="shared" si="475"/>
        <v>36512.000000000029</v>
      </c>
      <c r="AC387">
        <f t="shared" si="476"/>
        <v>-4446.0000000000036</v>
      </c>
      <c r="AD387">
        <f t="shared" si="477"/>
        <v>0</v>
      </c>
      <c r="AE387">
        <f t="shared" si="478"/>
        <v>-0.99999999999997868</v>
      </c>
      <c r="AF387">
        <f t="shared" si="479"/>
        <v>-50323.000000001164</v>
      </c>
      <c r="AG387">
        <f t="shared" si="480"/>
        <v>-50645.999999998923</v>
      </c>
      <c r="AH387">
        <f t="shared" si="481"/>
        <v>-1.9999999999999574</v>
      </c>
      <c r="AI387">
        <f t="shared" si="482"/>
        <v>8.736486304292744E-2</v>
      </c>
      <c r="AJ387">
        <f t="shared" si="483"/>
        <v>-25293.868566501344</v>
      </c>
      <c r="AK387">
        <f t="shared" si="484"/>
        <v>-40256.109270874666</v>
      </c>
      <c r="AL387">
        <f t="shared" si="485"/>
        <v>53490.258437781282</v>
      </c>
      <c r="AM387" s="1">
        <f t="shared" si="486"/>
        <v>-179865.01454855409</v>
      </c>
      <c r="AN387" s="1">
        <f t="shared" si="463"/>
        <v>-259038.64658328559</v>
      </c>
      <c r="AO387">
        <f t="shared" si="464"/>
        <v>0.24716252601913391</v>
      </c>
      <c r="AP387">
        <f t="shared" si="465"/>
        <v>6.8731877092411739</v>
      </c>
    </row>
    <row r="388" spans="1:42" x14ac:dyDescent="0.25">
      <c r="A388" s="4">
        <v>45530</v>
      </c>
      <c r="B388">
        <f t="shared" ref="B388:N388" si="551">(B938-B937)*100</f>
        <v>1.9999999999999574</v>
      </c>
      <c r="C388">
        <f t="shared" si="551"/>
        <v>0.99999999999997868</v>
      </c>
      <c r="D388">
        <f t="shared" si="551"/>
        <v>0.99999999999997868</v>
      </c>
      <c r="E388">
        <f t="shared" si="551"/>
        <v>0</v>
      </c>
      <c r="F388">
        <f t="shared" si="551"/>
        <v>0.99999999999997868</v>
      </c>
      <c r="G388">
        <f t="shared" si="551"/>
        <v>-1.9999999999999574</v>
      </c>
      <c r="H388">
        <f t="shared" si="551"/>
        <v>-1.0000000000000231</v>
      </c>
      <c r="I388">
        <f t="shared" si="551"/>
        <v>-1.0000000000000231</v>
      </c>
      <c r="J388">
        <f t="shared" si="551"/>
        <v>-1.0000000000000231</v>
      </c>
      <c r="K388">
        <f t="shared" si="551"/>
        <v>-1.0000000000000231</v>
      </c>
      <c r="L388">
        <f t="shared" si="551"/>
        <v>-0.99999999999997868</v>
      </c>
      <c r="M388">
        <f t="shared" si="551"/>
        <v>-1.0000000000000675</v>
      </c>
      <c r="N388">
        <f t="shared" si="551"/>
        <v>-1.0000000000000675</v>
      </c>
      <c r="O388" s="5">
        <f t="shared" si="548"/>
        <v>-6.208155864573287E-3</v>
      </c>
      <c r="P388" s="5">
        <f t="shared" si="548"/>
        <v>-9.9312262663272819E-5</v>
      </c>
      <c r="Q388" s="5">
        <f t="shared" si="548"/>
        <v>-9.7545763769147954E-3</v>
      </c>
      <c r="R388" s="5">
        <f t="shared" si="548"/>
        <v>-5.3418804689089265E-4</v>
      </c>
      <c r="S388" s="5">
        <f t="shared" si="548"/>
        <v>1.5086083659947611E-2</v>
      </c>
      <c r="U388" s="4">
        <v>45530</v>
      </c>
      <c r="V388">
        <f t="shared" si="469"/>
        <v>-7999.999999999829</v>
      </c>
      <c r="W388">
        <f t="shared" si="470"/>
        <v>-2222.9999999999527</v>
      </c>
      <c r="X388">
        <f t="shared" si="471"/>
        <v>4589.9999999999018</v>
      </c>
      <c r="Y388">
        <f t="shared" si="472"/>
        <v>0</v>
      </c>
      <c r="Z388">
        <f t="shared" si="473"/>
        <v>5434.9999999998845</v>
      </c>
      <c r="AA388">
        <f t="shared" si="474"/>
        <v>3999.9999999999145</v>
      </c>
      <c r="AB388">
        <f t="shared" si="475"/>
        <v>-4564.0000000001055</v>
      </c>
      <c r="AC388">
        <f t="shared" si="476"/>
        <v>2223.0000000000514</v>
      </c>
      <c r="AD388">
        <f t="shared" si="477"/>
        <v>100544.00000000233</v>
      </c>
      <c r="AE388">
        <f t="shared" si="478"/>
        <v>-1.0000000000000231</v>
      </c>
      <c r="AF388">
        <f t="shared" si="479"/>
        <v>-50322.99999999893</v>
      </c>
      <c r="AG388">
        <f t="shared" si="480"/>
        <v>-25323.00000000171</v>
      </c>
      <c r="AH388">
        <f t="shared" si="481"/>
        <v>-1.0000000000000675</v>
      </c>
      <c r="AI388">
        <f t="shared" si="482"/>
        <v>-0.62081558645732871</v>
      </c>
      <c r="AJ388">
        <f t="shared" si="483"/>
        <v>993.12262663272816</v>
      </c>
      <c r="AK388">
        <f t="shared" si="484"/>
        <v>-97545.763769147961</v>
      </c>
      <c r="AL388">
        <f t="shared" si="485"/>
        <v>13354.701172272316</v>
      </c>
      <c r="AM388" s="1">
        <f t="shared" si="486"/>
        <v>-150860.83659947611</v>
      </c>
      <c r="AN388" s="1">
        <f t="shared" si="463"/>
        <v>-207702.39738530392</v>
      </c>
      <c r="AO388">
        <f t="shared" si="464"/>
        <v>-9.1888880240138651</v>
      </c>
      <c r="AP388">
        <f t="shared" si="465"/>
        <v>6.8848677502674596</v>
      </c>
    </row>
    <row r="389" spans="1:42" x14ac:dyDescent="0.25">
      <c r="A389" s="4">
        <v>45527</v>
      </c>
      <c r="B389">
        <f t="shared" ref="B389:N389" si="552">(B939-B938)*100</f>
        <v>0</v>
      </c>
      <c r="C389">
        <f t="shared" si="552"/>
        <v>0</v>
      </c>
      <c r="D389">
        <f t="shared" si="552"/>
        <v>3.0000000000000249</v>
      </c>
      <c r="E389">
        <f t="shared" si="552"/>
        <v>2.0000000000000462</v>
      </c>
      <c r="F389">
        <f t="shared" si="552"/>
        <v>4.0000000000000036</v>
      </c>
      <c r="G389">
        <f t="shared" si="552"/>
        <v>6.9999999999999396</v>
      </c>
      <c r="H389">
        <f t="shared" si="552"/>
        <v>9.0000000000000302</v>
      </c>
      <c r="I389">
        <f t="shared" si="552"/>
        <v>8.9999999999999858</v>
      </c>
      <c r="J389">
        <f t="shared" si="552"/>
        <v>7.0000000000000284</v>
      </c>
      <c r="K389">
        <f t="shared" si="552"/>
        <v>6.0000000000000053</v>
      </c>
      <c r="L389">
        <f t="shared" si="552"/>
        <v>4.9999999999999822</v>
      </c>
      <c r="M389">
        <f t="shared" si="552"/>
        <v>3.0000000000000249</v>
      </c>
      <c r="N389">
        <f t="shared" si="552"/>
        <v>3.0000000000000249</v>
      </c>
      <c r="O389" s="5">
        <f t="shared" si="548"/>
        <v>-4.7120080684505579E-3</v>
      </c>
      <c r="P389" s="5">
        <f t="shared" si="548"/>
        <v>-9.7342403185062334E-3</v>
      </c>
      <c r="Q389" s="5">
        <f t="shared" si="548"/>
        <v>1.0549728806356876E-3</v>
      </c>
      <c r="R389" s="5">
        <f t="shared" si="548"/>
        <v>-1.867414174795362E-3</v>
      </c>
      <c r="S389" s="5">
        <f t="shared" si="548"/>
        <v>-2.1131291664272793E-2</v>
      </c>
      <c r="U389" s="4">
        <v>45527</v>
      </c>
      <c r="V389">
        <f t="shared" si="469"/>
        <v>0</v>
      </c>
      <c r="W389">
        <f t="shared" si="470"/>
        <v>0</v>
      </c>
      <c r="X389">
        <f t="shared" si="471"/>
        <v>13770.000000000115</v>
      </c>
      <c r="Y389">
        <f t="shared" si="472"/>
        <v>-6890.0000000001592</v>
      </c>
      <c r="Z389">
        <f t="shared" si="473"/>
        <v>21740.000000000018</v>
      </c>
      <c r="AA389">
        <f t="shared" si="474"/>
        <v>-13999.99999999988</v>
      </c>
      <c r="AB389">
        <f t="shared" si="475"/>
        <v>41076.000000000138</v>
      </c>
      <c r="AC389">
        <f t="shared" si="476"/>
        <v>-20006.999999999967</v>
      </c>
      <c r="AD389">
        <f t="shared" si="477"/>
        <v>-703808.00000000291</v>
      </c>
      <c r="AE389">
        <f t="shared" si="478"/>
        <v>6.0000000000000053</v>
      </c>
      <c r="AF389">
        <f t="shared" si="479"/>
        <v>251614.9999999991</v>
      </c>
      <c r="AG389">
        <f t="shared" si="480"/>
        <v>75969.000000000626</v>
      </c>
      <c r="AH389">
        <f t="shared" si="481"/>
        <v>3.0000000000000249</v>
      </c>
      <c r="AI389">
        <f t="shared" si="482"/>
        <v>-0.47120080684505578</v>
      </c>
      <c r="AJ389">
        <f t="shared" si="483"/>
        <v>97342.403185062329</v>
      </c>
      <c r="AK389">
        <f t="shared" si="484"/>
        <v>10549.728806356876</v>
      </c>
      <c r="AL389">
        <f t="shared" si="485"/>
        <v>46685.354369884051</v>
      </c>
      <c r="AM389" s="1">
        <f t="shared" si="486"/>
        <v>211312.91664272794</v>
      </c>
      <c r="AN389" s="1">
        <f t="shared" si="463"/>
        <v>25363.931803221378</v>
      </c>
      <c r="AO389">
        <f t="shared" si="464"/>
        <v>-0.70910277611118377</v>
      </c>
      <c r="AP389">
        <f t="shared" si="465"/>
        <v>6.4578187067127608</v>
      </c>
    </row>
    <row r="390" spans="1:42" x14ac:dyDescent="0.25">
      <c r="A390" s="4">
        <v>45526</v>
      </c>
      <c r="B390">
        <f t="shared" ref="B390:N390" si="553">(B940-B939)*100</f>
        <v>-5.9999999999999609</v>
      </c>
      <c r="C390">
        <f t="shared" si="553"/>
        <v>-1.9999999999999574</v>
      </c>
      <c r="D390">
        <f t="shared" si="553"/>
        <v>-2.0000000000000462</v>
      </c>
      <c r="E390">
        <f t="shared" si="553"/>
        <v>-2.0000000000000462</v>
      </c>
      <c r="F390">
        <f t="shared" si="553"/>
        <v>-4.0000000000000036</v>
      </c>
      <c r="G390">
        <f t="shared" si="553"/>
        <v>-6.9999999999999396</v>
      </c>
      <c r="H390">
        <f t="shared" si="553"/>
        <v>-7.0000000000000284</v>
      </c>
      <c r="I390">
        <f t="shared" si="553"/>
        <v>-7.9999999999999627</v>
      </c>
      <c r="J390">
        <f t="shared" si="553"/>
        <v>-8.0000000000000071</v>
      </c>
      <c r="K390">
        <f t="shared" si="553"/>
        <v>-8.0000000000000071</v>
      </c>
      <c r="L390">
        <f t="shared" si="553"/>
        <v>-6.999999999999984</v>
      </c>
      <c r="M390">
        <f t="shared" si="553"/>
        <v>-5.9999999999999609</v>
      </c>
      <c r="N390">
        <f t="shared" si="553"/>
        <v>-7.0000000000000284</v>
      </c>
      <c r="O390" s="5">
        <f t="shared" si="548"/>
        <v>1.4824494666775611E-2</v>
      </c>
      <c r="P390" s="5">
        <f t="shared" si="548"/>
        <v>8.136669080314499E-3</v>
      </c>
      <c r="Q390" s="5">
        <f t="shared" si="548"/>
        <v>-3.9206153774545447E-3</v>
      </c>
      <c r="R390" s="5">
        <f t="shared" si="548"/>
        <v>1.0666667678024464E-3</v>
      </c>
      <c r="S390" s="5">
        <f t="shared" si="548"/>
        <v>6.9959896287206105E-3</v>
      </c>
      <c r="U390" s="4">
        <v>45526</v>
      </c>
      <c r="V390">
        <f t="shared" si="469"/>
        <v>23999.999999999844</v>
      </c>
      <c r="W390">
        <f t="shared" si="470"/>
        <v>4445.9999999999054</v>
      </c>
      <c r="X390">
        <f t="shared" si="471"/>
        <v>-9180.0000000002128</v>
      </c>
      <c r="Y390">
        <f t="shared" si="472"/>
        <v>6890.0000000001592</v>
      </c>
      <c r="Z390">
        <f t="shared" si="473"/>
        <v>-21740.000000000018</v>
      </c>
      <c r="AA390">
        <f t="shared" si="474"/>
        <v>13999.99999999988</v>
      </c>
      <c r="AB390">
        <f t="shared" si="475"/>
        <v>-31948.000000000131</v>
      </c>
      <c r="AC390">
        <f t="shared" si="476"/>
        <v>17783.999999999916</v>
      </c>
      <c r="AD390">
        <f t="shared" si="477"/>
        <v>804352.0000000007</v>
      </c>
      <c r="AE390">
        <f t="shared" si="478"/>
        <v>-8.0000000000000071</v>
      </c>
      <c r="AF390">
        <f t="shared" si="479"/>
        <v>-352260.99999999919</v>
      </c>
      <c r="AG390">
        <f t="shared" si="480"/>
        <v>-151937.99999999901</v>
      </c>
      <c r="AH390">
        <f t="shared" si="481"/>
        <v>-7.0000000000000284</v>
      </c>
      <c r="AI390">
        <f t="shared" si="482"/>
        <v>1.4824494666775612</v>
      </c>
      <c r="AJ390">
        <f t="shared" si="483"/>
        <v>-81366.690803144986</v>
      </c>
      <c r="AK390">
        <f t="shared" si="484"/>
        <v>-39206.153774545448</v>
      </c>
      <c r="AL390">
        <f t="shared" si="485"/>
        <v>-26666.66919506116</v>
      </c>
      <c r="AM390" s="1">
        <f t="shared" si="486"/>
        <v>-69959.896287206109</v>
      </c>
      <c r="AN390" s="1">
        <f t="shared" ref="AN390:AN453" si="554">SUM(V390:AM390)</f>
        <v>87192.072389510737</v>
      </c>
      <c r="AO390">
        <f t="shared" ref="AO390:AO453" si="555">AN390/AN391-1</f>
        <v>-1.1318665558826821</v>
      </c>
      <c r="AP390">
        <f t="shared" ref="AP390:AP453" si="556">STDEV(AO390:AO410)</f>
        <v>6.4779231521878762</v>
      </c>
    </row>
    <row r="391" spans="1:42" x14ac:dyDescent="0.25">
      <c r="A391" s="4">
        <v>45525</v>
      </c>
      <c r="B391">
        <f t="shared" ref="B391:N391" si="557">(B941-B940)*100</f>
        <v>3.0000000000000249</v>
      </c>
      <c r="C391">
        <f t="shared" si="557"/>
        <v>3.0000000000000249</v>
      </c>
      <c r="D391">
        <f t="shared" si="557"/>
        <v>3.0000000000000249</v>
      </c>
      <c r="E391">
        <f t="shared" si="557"/>
        <v>4.0000000000000036</v>
      </c>
      <c r="F391">
        <f t="shared" si="557"/>
        <v>4.9999999999999822</v>
      </c>
      <c r="G391">
        <f t="shared" si="557"/>
        <v>6.9999999999999396</v>
      </c>
      <c r="H391">
        <f t="shared" si="557"/>
        <v>7.0000000000000284</v>
      </c>
      <c r="I391">
        <f t="shared" si="557"/>
        <v>5.9999999999999609</v>
      </c>
      <c r="J391">
        <f t="shared" si="557"/>
        <v>6.0000000000000053</v>
      </c>
      <c r="K391">
        <f t="shared" si="557"/>
        <v>4.0000000000000036</v>
      </c>
      <c r="L391">
        <f t="shared" si="557"/>
        <v>2.9999999999999805</v>
      </c>
      <c r="M391">
        <f t="shared" si="557"/>
        <v>4.0000000000000036</v>
      </c>
      <c r="N391">
        <f t="shared" si="557"/>
        <v>1.0000000000000675</v>
      </c>
      <c r="O391" s="5">
        <f t="shared" si="548"/>
        <v>2.9291175013982504E-3</v>
      </c>
      <c r="P391" s="5">
        <f t="shared" si="548"/>
        <v>5.5528494701581384E-3</v>
      </c>
      <c r="Q391" s="5">
        <f t="shared" si="548"/>
        <v>-7.3220841833653814E-3</v>
      </c>
      <c r="R391" s="5">
        <f t="shared" si="548"/>
        <v>5.3376035427911536E-4</v>
      </c>
      <c r="S391" s="5">
        <f t="shared" si="548"/>
        <v>1.8122939879467965E-2</v>
      </c>
      <c r="U391" s="4">
        <v>45525</v>
      </c>
      <c r="V391">
        <f t="shared" si="469"/>
        <v>-12000.0000000001</v>
      </c>
      <c r="W391">
        <f t="shared" si="470"/>
        <v>-6669.0000000000555</v>
      </c>
      <c r="X391">
        <f t="shared" si="471"/>
        <v>13770.000000000115</v>
      </c>
      <c r="Y391">
        <f t="shared" si="472"/>
        <v>-13780.000000000013</v>
      </c>
      <c r="Z391">
        <f t="shared" si="473"/>
        <v>27174.999999999902</v>
      </c>
      <c r="AA391">
        <f t="shared" si="474"/>
        <v>-13999.99999999988</v>
      </c>
      <c r="AB391">
        <f t="shared" si="475"/>
        <v>31948.000000000131</v>
      </c>
      <c r="AC391">
        <f t="shared" si="476"/>
        <v>-13337.999999999913</v>
      </c>
      <c r="AD391">
        <f t="shared" si="477"/>
        <v>-603264.00000000058</v>
      </c>
      <c r="AE391">
        <f t="shared" si="478"/>
        <v>4.0000000000000036</v>
      </c>
      <c r="AF391">
        <f t="shared" si="479"/>
        <v>150968.99999999901</v>
      </c>
      <c r="AG391">
        <f t="shared" si="480"/>
        <v>101292.00000000009</v>
      </c>
      <c r="AH391">
        <f t="shared" si="481"/>
        <v>1.0000000000000675</v>
      </c>
      <c r="AI391">
        <f t="shared" si="482"/>
        <v>0.29291175013982501</v>
      </c>
      <c r="AJ391">
        <f t="shared" si="483"/>
        <v>-55528.494701581381</v>
      </c>
      <c r="AK391">
        <f t="shared" si="484"/>
        <v>-73220.841833653816</v>
      </c>
      <c r="AL391">
        <f t="shared" si="485"/>
        <v>-13344.008856977884</v>
      </c>
      <c r="AM391" s="1">
        <f t="shared" si="486"/>
        <v>-181229.39879467964</v>
      </c>
      <c r="AN391" s="1">
        <f t="shared" si="554"/>
        <v>-661214.45127514377</v>
      </c>
      <c r="AO391">
        <f t="shared" si="555"/>
        <v>0.63796820293845191</v>
      </c>
      <c r="AP391">
        <f t="shared" si="556"/>
        <v>6.4401492755651697</v>
      </c>
    </row>
    <row r="392" spans="1:42" x14ac:dyDescent="0.25">
      <c r="A392" s="4">
        <v>45524</v>
      </c>
      <c r="B392">
        <f t="shared" ref="B392:N392" si="558">(B942-B941)*100</f>
        <v>2.9999999999999361</v>
      </c>
      <c r="C392">
        <f t="shared" si="558"/>
        <v>2.9999999999999361</v>
      </c>
      <c r="D392">
        <f t="shared" si="558"/>
        <v>1.9999999999999574</v>
      </c>
      <c r="E392">
        <f t="shared" si="558"/>
        <v>2.0000000000000462</v>
      </c>
      <c r="F392">
        <f t="shared" si="558"/>
        <v>3.0000000000000249</v>
      </c>
      <c r="G392">
        <f t="shared" si="558"/>
        <v>5.0000000000000711</v>
      </c>
      <c r="H392">
        <f t="shared" si="558"/>
        <v>6.9999999999999396</v>
      </c>
      <c r="I392">
        <f t="shared" si="558"/>
        <v>6.0000000000000053</v>
      </c>
      <c r="J392">
        <f t="shared" si="558"/>
        <v>4.9999999999999822</v>
      </c>
      <c r="K392">
        <f t="shared" si="558"/>
        <v>4.9999999999999822</v>
      </c>
      <c r="L392">
        <f t="shared" si="558"/>
        <v>4.0000000000000036</v>
      </c>
      <c r="M392">
        <f t="shared" si="558"/>
        <v>4.0000000000000036</v>
      </c>
      <c r="N392">
        <f t="shared" si="558"/>
        <v>4.0000000000000036</v>
      </c>
      <c r="O392" s="5">
        <f t="shared" si="548"/>
        <v>5.6996973512183201E-3</v>
      </c>
      <c r="P392" s="5">
        <f t="shared" si="548"/>
        <v>-4.7246140353396707E-3</v>
      </c>
      <c r="Q392" s="5">
        <f t="shared" si="548"/>
        <v>-4.8089401391884926E-3</v>
      </c>
      <c r="R392" s="5">
        <f t="shared" si="548"/>
        <v>2.1378949885255886E-3</v>
      </c>
      <c r="S392" s="5">
        <f t="shared" si="548"/>
        <v>1.5779859667367471E-2</v>
      </c>
      <c r="U392" s="4">
        <v>45524</v>
      </c>
      <c r="V392">
        <f t="shared" si="469"/>
        <v>-11999.999999999744</v>
      </c>
      <c r="W392">
        <f t="shared" si="470"/>
        <v>-6668.9999999998581</v>
      </c>
      <c r="X392">
        <f t="shared" si="471"/>
        <v>9179.9999999998035</v>
      </c>
      <c r="Y392">
        <f t="shared" si="472"/>
        <v>-6890.0000000001592</v>
      </c>
      <c r="Z392">
        <f t="shared" si="473"/>
        <v>16305.000000000135</v>
      </c>
      <c r="AA392">
        <f t="shared" si="474"/>
        <v>-10000.000000000142</v>
      </c>
      <c r="AB392">
        <f t="shared" si="475"/>
        <v>31947.999999999724</v>
      </c>
      <c r="AC392">
        <f t="shared" si="476"/>
        <v>-13338.000000000013</v>
      </c>
      <c r="AD392">
        <f t="shared" si="477"/>
        <v>-502719.9999999982</v>
      </c>
      <c r="AE392">
        <f t="shared" si="478"/>
        <v>4.9999999999999822</v>
      </c>
      <c r="AF392">
        <f t="shared" si="479"/>
        <v>201292.00000000017</v>
      </c>
      <c r="AG392">
        <f t="shared" si="480"/>
        <v>101292.00000000009</v>
      </c>
      <c r="AH392">
        <f t="shared" si="481"/>
        <v>4.0000000000000036</v>
      </c>
      <c r="AI392">
        <f t="shared" si="482"/>
        <v>0.56996973512183202</v>
      </c>
      <c r="AJ392">
        <f t="shared" si="483"/>
        <v>47246.14035339671</v>
      </c>
      <c r="AK392">
        <f t="shared" si="484"/>
        <v>-48089.401391884923</v>
      </c>
      <c r="AL392">
        <f t="shared" si="485"/>
        <v>-53447.374713139718</v>
      </c>
      <c r="AM392" s="1">
        <f t="shared" si="486"/>
        <v>-157798.59667367471</v>
      </c>
      <c r="AN392" s="1">
        <f t="shared" si="554"/>
        <v>-403679.6624555657</v>
      </c>
      <c r="AO392">
        <f t="shared" si="555"/>
        <v>19.548192590545479</v>
      </c>
      <c r="AP392">
        <f t="shared" si="556"/>
        <v>6.5003277212074302</v>
      </c>
    </row>
    <row r="393" spans="1:42" x14ac:dyDescent="0.25">
      <c r="A393" s="4">
        <v>45523</v>
      </c>
      <c r="B393">
        <f t="shared" ref="B393:N393" si="559">(B943-B942)*100</f>
        <v>2.0000000000000462</v>
      </c>
      <c r="C393">
        <f t="shared" si="559"/>
        <v>1.0000000000000675</v>
      </c>
      <c r="D393">
        <f t="shared" si="559"/>
        <v>2.0000000000000462</v>
      </c>
      <c r="E393">
        <f t="shared" si="559"/>
        <v>1.9999999999999574</v>
      </c>
      <c r="F393">
        <f t="shared" si="559"/>
        <v>1.9999999999999574</v>
      </c>
      <c r="G393">
        <f t="shared" si="559"/>
        <v>0.99999999999997868</v>
      </c>
      <c r="H393">
        <f t="shared" si="559"/>
        <v>0</v>
      </c>
      <c r="I393">
        <f t="shared" si="559"/>
        <v>1.0000000000000231</v>
      </c>
      <c r="J393">
        <f t="shared" si="559"/>
        <v>2.0000000000000018</v>
      </c>
      <c r="K393">
        <f t="shared" si="559"/>
        <v>3.0000000000000249</v>
      </c>
      <c r="L393">
        <f t="shared" si="559"/>
        <v>3.0000000000000249</v>
      </c>
      <c r="M393">
        <f t="shared" si="559"/>
        <v>2.9999999999999361</v>
      </c>
      <c r="N393">
        <f t="shared" si="559"/>
        <v>4.0000000000000036</v>
      </c>
      <c r="O393" s="5">
        <f t="shared" si="548"/>
        <v>-7.2568592351153335E-3</v>
      </c>
      <c r="P393" s="5">
        <f t="shared" si="548"/>
        <v>0</v>
      </c>
      <c r="Q393" s="5">
        <f t="shared" si="548"/>
        <v>2.6270233794281595E-3</v>
      </c>
      <c r="R393" s="5">
        <f t="shared" si="548"/>
        <v>1.3385091009242706E-3</v>
      </c>
      <c r="S393" s="5">
        <f t="shared" si="548"/>
        <v>3.7023287637841891E-3</v>
      </c>
      <c r="U393" s="4">
        <v>45523</v>
      </c>
      <c r="V393">
        <f t="shared" ref="V393:V456" si="560">B393*B$3</f>
        <v>-8000.0000000001846</v>
      </c>
      <c r="W393">
        <f t="shared" ref="W393:W456" si="561">C393*C$3</f>
        <v>-2223.0000000001501</v>
      </c>
      <c r="X393">
        <f t="shared" ref="X393:X456" si="562">D393*D$3</f>
        <v>9180.0000000002128</v>
      </c>
      <c r="Y393">
        <f t="shared" ref="Y393:Y456" si="563">E393*E$3</f>
        <v>-6889.9999999998536</v>
      </c>
      <c r="Z393">
        <f t="shared" ref="Z393:Z456" si="564">F393*F$3</f>
        <v>10869.999999999769</v>
      </c>
      <c r="AA393">
        <f t="shared" ref="AA393:AA456" si="565">G393*G$3</f>
        <v>-1999.9999999999573</v>
      </c>
      <c r="AB393">
        <f t="shared" ref="AB393:AB456" si="566">H393*H$3</f>
        <v>0</v>
      </c>
      <c r="AC393">
        <f t="shared" ref="AC393:AC456" si="567">I393*I$3</f>
        <v>-2223.0000000000514</v>
      </c>
      <c r="AD393">
        <f t="shared" ref="AD393:AD456" si="568">J393*J$3</f>
        <v>-201088.00000000017</v>
      </c>
      <c r="AE393">
        <f t="shared" ref="AE393:AE456" si="569">K393*K$3</f>
        <v>3.0000000000000249</v>
      </c>
      <c r="AF393">
        <f t="shared" ref="AF393:AF456" si="570">L393*L$3</f>
        <v>150969.00000000125</v>
      </c>
      <c r="AG393">
        <f t="shared" ref="AG393:AG456" si="571">M393*M$3</f>
        <v>75968.999999998385</v>
      </c>
      <c r="AH393">
        <f t="shared" ref="AH393:AH456" si="572">N393*N$3</f>
        <v>4.0000000000000036</v>
      </c>
      <c r="AI393">
        <f t="shared" ref="AI393:AI456" si="573">O393*O$3</f>
        <v>-0.72568592351153338</v>
      </c>
      <c r="AJ393">
        <f t="shared" ref="AJ393:AJ456" si="574">P393*P$3</f>
        <v>0</v>
      </c>
      <c r="AK393">
        <f t="shared" ref="AK393:AK456" si="575">Q393*Q$3</f>
        <v>26270.233794281594</v>
      </c>
      <c r="AL393">
        <f t="shared" ref="AL393:AL456" si="576">R393*R$3</f>
        <v>-33462.727523106762</v>
      </c>
      <c r="AM393" s="1">
        <f t="shared" ref="AM393:AM456" si="577">S393*S$3</f>
        <v>-37023.287637841888</v>
      </c>
      <c r="AN393" s="1">
        <f t="shared" si="554"/>
        <v>-19645.507052591311</v>
      </c>
      <c r="AO393">
        <f t="shared" si="555"/>
        <v>-4.1641833027669106</v>
      </c>
      <c r="AP393">
        <f t="shared" si="556"/>
        <v>5.1677496494654429</v>
      </c>
    </row>
    <row r="394" spans="1:42" x14ac:dyDescent="0.25">
      <c r="A394" s="4">
        <v>45520</v>
      </c>
      <c r="B394">
        <f t="shared" ref="B394:N394" si="578">(B944-B943)*100</f>
        <v>0</v>
      </c>
      <c r="C394">
        <f t="shared" si="578"/>
        <v>0</v>
      </c>
      <c r="D394">
        <f t="shared" si="578"/>
        <v>0.99999999999997868</v>
      </c>
      <c r="E394">
        <f t="shared" si="578"/>
        <v>0.99999999999997868</v>
      </c>
      <c r="F394">
        <f t="shared" si="578"/>
        <v>2.0000000000000462</v>
      </c>
      <c r="G394">
        <f t="shared" si="578"/>
        <v>2.9999999999999361</v>
      </c>
      <c r="H394">
        <f t="shared" si="578"/>
        <v>2.0000000000000462</v>
      </c>
      <c r="I394">
        <f t="shared" si="578"/>
        <v>2.9999999999999805</v>
      </c>
      <c r="J394">
        <f t="shared" si="578"/>
        <v>2.0000000000000018</v>
      </c>
      <c r="K394">
        <f t="shared" si="578"/>
        <v>2.0000000000000018</v>
      </c>
      <c r="L394">
        <f t="shared" si="578"/>
        <v>2.9999999999999805</v>
      </c>
      <c r="M394">
        <f t="shared" si="578"/>
        <v>2.0000000000000462</v>
      </c>
      <c r="N394">
        <f t="shared" si="578"/>
        <v>2.9999999999999361</v>
      </c>
      <c r="O394" s="5">
        <f t="shared" si="548"/>
        <v>-3.4774015010405085E-4</v>
      </c>
      <c r="P394" s="5">
        <f t="shared" si="548"/>
        <v>4.9738973471128364E-3</v>
      </c>
      <c r="Q394" s="5">
        <f t="shared" si="548"/>
        <v>-9.5510478535010669E-4</v>
      </c>
      <c r="R394" s="5">
        <f t="shared" si="548"/>
        <v>-1.8734114939938506E-3</v>
      </c>
      <c r="S394" s="5">
        <f t="shared" si="548"/>
        <v>-9.6574820794735497E-4</v>
      </c>
      <c r="U394" s="4">
        <v>45520</v>
      </c>
      <c r="V394">
        <f t="shared" si="560"/>
        <v>0</v>
      </c>
      <c r="W394">
        <f t="shared" si="561"/>
        <v>0</v>
      </c>
      <c r="X394">
        <f t="shared" si="562"/>
        <v>4589.9999999999018</v>
      </c>
      <c r="Y394">
        <f t="shared" si="563"/>
        <v>-3444.9999999999268</v>
      </c>
      <c r="Z394">
        <f t="shared" si="564"/>
        <v>10870.000000000251</v>
      </c>
      <c r="AA394">
        <f t="shared" si="565"/>
        <v>-5999.9999999998718</v>
      </c>
      <c r="AB394">
        <f t="shared" si="566"/>
        <v>9128.000000000211</v>
      </c>
      <c r="AC394">
        <f t="shared" si="567"/>
        <v>-6668.9999999999563</v>
      </c>
      <c r="AD394">
        <f t="shared" si="568"/>
        <v>-201088.00000000017</v>
      </c>
      <c r="AE394">
        <f t="shared" si="569"/>
        <v>2.0000000000000018</v>
      </c>
      <c r="AF394">
        <f t="shared" si="570"/>
        <v>150968.99999999901</v>
      </c>
      <c r="AG394">
        <f t="shared" si="571"/>
        <v>50646.000000001171</v>
      </c>
      <c r="AH394">
        <f t="shared" si="572"/>
        <v>2.9999999999999361</v>
      </c>
      <c r="AI394">
        <f t="shared" si="573"/>
        <v>-3.4774015010405085E-2</v>
      </c>
      <c r="AJ394">
        <f t="shared" si="574"/>
        <v>-49738.973471128367</v>
      </c>
      <c r="AK394">
        <f t="shared" si="575"/>
        <v>-9551.0478535010661</v>
      </c>
      <c r="AL394">
        <f t="shared" si="576"/>
        <v>46835.287349846265</v>
      </c>
      <c r="AM394" s="1">
        <f t="shared" si="577"/>
        <v>9657.4820794735497</v>
      </c>
      <c r="AN394" s="1">
        <f t="shared" si="554"/>
        <v>6208.7133306759933</v>
      </c>
      <c r="AO394">
        <f t="shared" si="555"/>
        <v>-0.99077329160856409</v>
      </c>
      <c r="AP394">
        <f t="shared" si="556"/>
        <v>5.0774409565163294</v>
      </c>
    </row>
    <row r="395" spans="1:42" x14ac:dyDescent="0.25">
      <c r="A395" s="4">
        <v>45519</v>
      </c>
      <c r="B395">
        <f t="shared" ref="B395:N395" si="579">(B945-B944)*100</f>
        <v>-4.0000000000000036</v>
      </c>
      <c r="C395">
        <f t="shared" si="579"/>
        <v>-1.0000000000000675</v>
      </c>
      <c r="D395">
        <f t="shared" si="579"/>
        <v>-1.9999999999999574</v>
      </c>
      <c r="E395">
        <f t="shared" si="579"/>
        <v>-0.99999999999997868</v>
      </c>
      <c r="F395">
        <f t="shared" si="579"/>
        <v>-4.0000000000000036</v>
      </c>
      <c r="G395">
        <f t="shared" si="579"/>
        <v>-9.9999999999999645</v>
      </c>
      <c r="H395">
        <f t="shared" si="579"/>
        <v>-14.000000000000012</v>
      </c>
      <c r="I395">
        <f t="shared" si="579"/>
        <v>-14.000000000000012</v>
      </c>
      <c r="J395">
        <f t="shared" si="579"/>
        <v>-12.000000000000011</v>
      </c>
      <c r="K395">
        <f t="shared" si="579"/>
        <v>-10.999999999999988</v>
      </c>
      <c r="L395">
        <f t="shared" si="579"/>
        <v>-8.9999999999999858</v>
      </c>
      <c r="M395">
        <f t="shared" si="579"/>
        <v>-6.0000000000000497</v>
      </c>
      <c r="N395">
        <f t="shared" si="579"/>
        <v>-5.9999999999999609</v>
      </c>
      <c r="O395" s="5">
        <f t="shared" ref="O395:S404" si="580">LN(O944/O945)</f>
        <v>2.7302645525410555E-3</v>
      </c>
      <c r="P395" s="5">
        <f t="shared" si="580"/>
        <v>-2.2413158430138703E-3</v>
      </c>
      <c r="Q395" s="5">
        <f t="shared" si="580"/>
        <v>0</v>
      </c>
      <c r="R395" s="5">
        <f t="shared" si="580"/>
        <v>1.070091059844386E-3</v>
      </c>
      <c r="S395" s="5">
        <f t="shared" si="580"/>
        <v>-9.7605483818611442E-3</v>
      </c>
      <c r="U395" s="4">
        <v>45519</v>
      </c>
      <c r="V395">
        <f t="shared" si="560"/>
        <v>16000.000000000015</v>
      </c>
      <c r="W395">
        <f t="shared" si="561"/>
        <v>2223.0000000001501</v>
      </c>
      <c r="X395">
        <f t="shared" si="562"/>
        <v>-9179.9999999998035</v>
      </c>
      <c r="Y395">
        <f t="shared" si="563"/>
        <v>3444.9999999999268</v>
      </c>
      <c r="Z395">
        <f t="shared" si="564"/>
        <v>-21740.000000000018</v>
      </c>
      <c r="AA395">
        <f t="shared" si="565"/>
        <v>19999.999999999927</v>
      </c>
      <c r="AB395">
        <f t="shared" si="566"/>
        <v>-63896.000000000058</v>
      </c>
      <c r="AC395">
        <f t="shared" si="567"/>
        <v>31122.000000000029</v>
      </c>
      <c r="AD395">
        <f t="shared" si="568"/>
        <v>1206528.0000000012</v>
      </c>
      <c r="AE395">
        <f t="shared" si="569"/>
        <v>-10.999999999999988</v>
      </c>
      <c r="AF395">
        <f t="shared" si="570"/>
        <v>-452906.9999999993</v>
      </c>
      <c r="AG395">
        <f t="shared" si="571"/>
        <v>-151938.00000000125</v>
      </c>
      <c r="AH395">
        <f t="shared" si="572"/>
        <v>-5.9999999999999609</v>
      </c>
      <c r="AI395">
        <f t="shared" si="573"/>
        <v>0.27302645525410557</v>
      </c>
      <c r="AJ395">
        <f t="shared" si="574"/>
        <v>22413.158430138705</v>
      </c>
      <c r="AK395">
        <f t="shared" si="575"/>
        <v>0</v>
      </c>
      <c r="AL395">
        <f t="shared" si="576"/>
        <v>-26752.276496109651</v>
      </c>
      <c r="AM395" s="1">
        <f t="shared" si="577"/>
        <v>97605.483818611436</v>
      </c>
      <c r="AN395" s="1">
        <f t="shared" si="554"/>
        <v>672906.63877909665</v>
      </c>
      <c r="AO395">
        <f t="shared" si="555"/>
        <v>1.7251575625746405</v>
      </c>
      <c r="AP395">
        <f t="shared" si="556"/>
        <v>5.0616176062496949</v>
      </c>
    </row>
    <row r="396" spans="1:42" x14ac:dyDescent="0.25">
      <c r="A396" s="4">
        <v>45518</v>
      </c>
      <c r="B396">
        <f t="shared" ref="B396:N396" si="581">(B946-B945)*100</f>
        <v>-0.99999999999997868</v>
      </c>
      <c r="C396">
        <f t="shared" si="581"/>
        <v>0</v>
      </c>
      <c r="D396">
        <f t="shared" si="581"/>
        <v>0</v>
      </c>
      <c r="E396">
        <f t="shared" si="581"/>
        <v>-3.0000000000000249</v>
      </c>
      <c r="F396">
        <f t="shared" si="581"/>
        <v>-3.0000000000000249</v>
      </c>
      <c r="G396">
        <f t="shared" si="581"/>
        <v>-1.9999999999999574</v>
      </c>
      <c r="H396">
        <f t="shared" si="581"/>
        <v>-0.99999999999997868</v>
      </c>
      <c r="I396">
        <f t="shared" si="581"/>
        <v>-0.99999999999997868</v>
      </c>
      <c r="J396">
        <f t="shared" si="581"/>
        <v>1.0000000000000231</v>
      </c>
      <c r="K396">
        <f t="shared" si="581"/>
        <v>2.0000000000000018</v>
      </c>
      <c r="L396">
        <f t="shared" si="581"/>
        <v>2.0000000000000018</v>
      </c>
      <c r="M396">
        <f t="shared" si="581"/>
        <v>3.0000000000000249</v>
      </c>
      <c r="N396">
        <f t="shared" si="581"/>
        <v>4.0000000000000036</v>
      </c>
      <c r="O396" s="5">
        <f t="shared" si="580"/>
        <v>-6.8208473200130088E-3</v>
      </c>
      <c r="P396" s="5">
        <f t="shared" si="580"/>
        <v>-3.6996156364154345E-3</v>
      </c>
      <c r="Q396" s="5">
        <f t="shared" si="580"/>
        <v>3.4330344069733685E-4</v>
      </c>
      <c r="R396" s="5">
        <f t="shared" si="580"/>
        <v>-1.6047074853016573E-3</v>
      </c>
      <c r="S396" s="5">
        <f t="shared" si="580"/>
        <v>-9.0611742826049394E-3</v>
      </c>
      <c r="U396" s="4">
        <v>45518</v>
      </c>
      <c r="V396">
        <f t="shared" si="560"/>
        <v>3999.9999999999145</v>
      </c>
      <c r="W396">
        <f t="shared" si="561"/>
        <v>0</v>
      </c>
      <c r="X396">
        <f t="shared" si="562"/>
        <v>0</v>
      </c>
      <c r="Y396">
        <f t="shared" si="563"/>
        <v>10335.000000000085</v>
      </c>
      <c r="Z396">
        <f t="shared" si="564"/>
        <v>-16305.000000000135</v>
      </c>
      <c r="AA396">
        <f t="shared" si="565"/>
        <v>3999.9999999999145</v>
      </c>
      <c r="AB396">
        <f t="shared" si="566"/>
        <v>-4563.9999999999027</v>
      </c>
      <c r="AC396">
        <f t="shared" si="567"/>
        <v>2222.9999999999527</v>
      </c>
      <c r="AD396">
        <f t="shared" si="568"/>
        <v>-100544.00000000233</v>
      </c>
      <c r="AE396">
        <f t="shared" si="569"/>
        <v>2.0000000000000018</v>
      </c>
      <c r="AF396">
        <f t="shared" si="570"/>
        <v>100646.00000000009</v>
      </c>
      <c r="AG396">
        <f t="shared" si="571"/>
        <v>75969.000000000626</v>
      </c>
      <c r="AH396">
        <f t="shared" si="572"/>
        <v>4.0000000000000036</v>
      </c>
      <c r="AI396">
        <f t="shared" si="573"/>
        <v>-0.68208473200130093</v>
      </c>
      <c r="AJ396">
        <f t="shared" si="574"/>
        <v>36996.156364154347</v>
      </c>
      <c r="AK396">
        <f t="shared" si="575"/>
        <v>3433.0344069733683</v>
      </c>
      <c r="AL396">
        <f t="shared" si="576"/>
        <v>40117.687132541432</v>
      </c>
      <c r="AM396" s="1">
        <f t="shared" si="577"/>
        <v>90611.742826049391</v>
      </c>
      <c r="AN396" s="1">
        <f t="shared" si="554"/>
        <v>246923.93864498474</v>
      </c>
      <c r="AO396">
        <f t="shared" si="555"/>
        <v>-2.0307905791061218</v>
      </c>
      <c r="AP396">
        <f t="shared" si="556"/>
        <v>5.1514538246395114</v>
      </c>
    </row>
    <row r="397" spans="1:42" x14ac:dyDescent="0.25">
      <c r="A397" s="4">
        <v>45517</v>
      </c>
      <c r="B397">
        <f t="shared" ref="B397:N397" si="582">(B947-B946)*100</f>
        <v>4.9999999999999822</v>
      </c>
      <c r="C397">
        <f t="shared" si="582"/>
        <v>1.0000000000000675</v>
      </c>
      <c r="D397">
        <f t="shared" si="582"/>
        <v>0.99999999999997868</v>
      </c>
      <c r="E397">
        <f t="shared" si="582"/>
        <v>2.0000000000000462</v>
      </c>
      <c r="F397">
        <f t="shared" si="582"/>
        <v>4.9999999999999822</v>
      </c>
      <c r="G397">
        <f t="shared" si="582"/>
        <v>6.9999999999999396</v>
      </c>
      <c r="H397">
        <f t="shared" si="582"/>
        <v>7.9999999999999627</v>
      </c>
      <c r="I397">
        <f t="shared" si="582"/>
        <v>6.999999999999984</v>
      </c>
      <c r="J397">
        <f t="shared" si="582"/>
        <v>6.999999999999984</v>
      </c>
      <c r="K397">
        <f t="shared" si="582"/>
        <v>5.9999999999999609</v>
      </c>
      <c r="L397">
        <f t="shared" si="582"/>
        <v>4.9999999999999822</v>
      </c>
      <c r="M397">
        <f t="shared" si="582"/>
        <v>4.9999999999999822</v>
      </c>
      <c r="N397">
        <f t="shared" si="582"/>
        <v>3.0000000000000249</v>
      </c>
      <c r="O397" s="5">
        <f t="shared" si="580"/>
        <v>-6.558571923929536E-4</v>
      </c>
      <c r="P397" s="5">
        <f t="shared" si="580"/>
        <v>-4.0069309114303458E-3</v>
      </c>
      <c r="Q397" s="5">
        <f t="shared" si="580"/>
        <v>-7.0793425604086821E-4</v>
      </c>
      <c r="R397" s="5">
        <f t="shared" si="580"/>
        <v>0</v>
      </c>
      <c r="S397" s="5">
        <f t="shared" si="580"/>
        <v>-4.3427985525479381E-3</v>
      </c>
      <c r="U397" s="4">
        <v>45517</v>
      </c>
      <c r="V397">
        <f t="shared" si="560"/>
        <v>-19999.999999999927</v>
      </c>
      <c r="W397">
        <f t="shared" si="561"/>
        <v>-2223.0000000001501</v>
      </c>
      <c r="X397">
        <f t="shared" si="562"/>
        <v>4589.9999999999018</v>
      </c>
      <c r="Y397">
        <f t="shared" si="563"/>
        <v>-6890.0000000001592</v>
      </c>
      <c r="Z397">
        <f t="shared" si="564"/>
        <v>27174.999999999902</v>
      </c>
      <c r="AA397">
        <f t="shared" si="565"/>
        <v>-13999.99999999988</v>
      </c>
      <c r="AB397">
        <f t="shared" si="566"/>
        <v>36511.999999999833</v>
      </c>
      <c r="AC397">
        <f t="shared" si="567"/>
        <v>-15560.999999999964</v>
      </c>
      <c r="AD397">
        <f t="shared" si="568"/>
        <v>-703807.99999999837</v>
      </c>
      <c r="AE397">
        <f t="shared" si="569"/>
        <v>5.9999999999999609</v>
      </c>
      <c r="AF397">
        <f t="shared" si="570"/>
        <v>251614.9999999991</v>
      </c>
      <c r="AG397">
        <f t="shared" si="571"/>
        <v>126614.99999999955</v>
      </c>
      <c r="AH397">
        <f t="shared" si="572"/>
        <v>3.0000000000000249</v>
      </c>
      <c r="AI397">
        <f t="shared" si="573"/>
        <v>-6.5585719239295362E-2</v>
      </c>
      <c r="AJ397">
        <f t="shared" si="574"/>
        <v>40069.309114303462</v>
      </c>
      <c r="AK397">
        <f t="shared" si="575"/>
        <v>-7079.3425604086824</v>
      </c>
      <c r="AL397">
        <f t="shared" si="576"/>
        <v>0</v>
      </c>
      <c r="AM397" s="1">
        <f t="shared" si="577"/>
        <v>43427.98552547938</v>
      </c>
      <c r="AN397" s="1">
        <f t="shared" si="554"/>
        <v>-239548.11350634537</v>
      </c>
      <c r="AO397">
        <f t="shared" si="555"/>
        <v>-0.41601057233111904</v>
      </c>
      <c r="AP397">
        <f t="shared" si="556"/>
        <v>5.1393253494102504</v>
      </c>
    </row>
    <row r="398" spans="1:42" x14ac:dyDescent="0.25">
      <c r="A398" s="4">
        <v>45516</v>
      </c>
      <c r="B398">
        <f t="shared" ref="B398:N398" si="583">(B948-B947)*100</f>
        <v>0.99999999999997868</v>
      </c>
      <c r="C398">
        <f t="shared" si="583"/>
        <v>0</v>
      </c>
      <c r="D398">
        <f t="shared" si="583"/>
        <v>0</v>
      </c>
      <c r="E398">
        <f t="shared" si="583"/>
        <v>1.9999999999999574</v>
      </c>
      <c r="F398">
        <f t="shared" si="583"/>
        <v>0</v>
      </c>
      <c r="G398">
        <f t="shared" si="583"/>
        <v>3.0000000000000249</v>
      </c>
      <c r="H398">
        <f t="shared" si="583"/>
        <v>4.0000000000000036</v>
      </c>
      <c r="I398">
        <f t="shared" si="583"/>
        <v>4.0000000000000036</v>
      </c>
      <c r="J398">
        <f t="shared" si="583"/>
        <v>4.9999999999999822</v>
      </c>
      <c r="K398">
        <f t="shared" si="583"/>
        <v>5.0000000000000266</v>
      </c>
      <c r="L398">
        <f t="shared" si="583"/>
        <v>4.0000000000000036</v>
      </c>
      <c r="M398">
        <f t="shared" si="583"/>
        <v>3.0000000000000249</v>
      </c>
      <c r="N398">
        <f t="shared" si="583"/>
        <v>4.0000000000000036</v>
      </c>
      <c r="O398" s="5">
        <f t="shared" si="580"/>
        <v>-3.7084209014814607E-3</v>
      </c>
      <c r="P398" s="5">
        <f t="shared" si="580"/>
        <v>-5.3152656162013751E-3</v>
      </c>
      <c r="Q398" s="5">
        <f t="shared" si="580"/>
        <v>-4.8775366780775369E-3</v>
      </c>
      <c r="R398" s="5">
        <f t="shared" si="580"/>
        <v>1.8724092671171789E-3</v>
      </c>
      <c r="S398" s="5">
        <f t="shared" si="580"/>
        <v>1.3478323856982534E-2</v>
      </c>
      <c r="U398" s="4">
        <v>45516</v>
      </c>
      <c r="V398">
        <f t="shared" si="560"/>
        <v>-3999.9999999999145</v>
      </c>
      <c r="W398">
        <f t="shared" si="561"/>
        <v>0</v>
      </c>
      <c r="X398">
        <f t="shared" si="562"/>
        <v>0</v>
      </c>
      <c r="Y398">
        <f t="shared" si="563"/>
        <v>-6889.9999999998536</v>
      </c>
      <c r="Z398">
        <f t="shared" si="564"/>
        <v>0</v>
      </c>
      <c r="AA398">
        <f t="shared" si="565"/>
        <v>-6000.00000000005</v>
      </c>
      <c r="AB398">
        <f t="shared" si="566"/>
        <v>18256.000000000015</v>
      </c>
      <c r="AC398">
        <f t="shared" si="567"/>
        <v>-8892.0000000000073</v>
      </c>
      <c r="AD398">
        <f t="shared" si="568"/>
        <v>-502719.9999999982</v>
      </c>
      <c r="AE398">
        <f t="shared" si="569"/>
        <v>5.0000000000000266</v>
      </c>
      <c r="AF398">
        <f t="shared" si="570"/>
        <v>201292.00000000017</v>
      </c>
      <c r="AG398">
        <f t="shared" si="571"/>
        <v>75969.000000000626</v>
      </c>
      <c r="AH398">
        <f t="shared" si="572"/>
        <v>4.0000000000000036</v>
      </c>
      <c r="AI398">
        <f t="shared" si="573"/>
        <v>-0.37084209014814606</v>
      </c>
      <c r="AJ398">
        <f t="shared" si="574"/>
        <v>53152.656162013751</v>
      </c>
      <c r="AK398">
        <f t="shared" si="575"/>
        <v>-48775.366780775366</v>
      </c>
      <c r="AL398">
        <f t="shared" si="576"/>
        <v>-46810.231677929471</v>
      </c>
      <c r="AM398" s="1">
        <f t="shared" si="577"/>
        <v>-134783.23856982533</v>
      </c>
      <c r="AN398" s="1">
        <f t="shared" si="554"/>
        <v>-410192.55170860374</v>
      </c>
      <c r="AO398">
        <f t="shared" si="555"/>
        <v>11.364105598688296</v>
      </c>
      <c r="AP398">
        <f t="shared" si="556"/>
        <v>5.1781048589196779</v>
      </c>
    </row>
    <row r="399" spans="1:42" x14ac:dyDescent="0.25">
      <c r="A399" s="4">
        <v>45513</v>
      </c>
      <c r="B399">
        <f t="shared" ref="B399:N399" si="584">(B949-B948)*100</f>
        <v>0.99999999999997868</v>
      </c>
      <c r="C399">
        <f t="shared" si="584"/>
        <v>1.9999999999999574</v>
      </c>
      <c r="D399">
        <f t="shared" si="584"/>
        <v>0.99999999999997868</v>
      </c>
      <c r="E399">
        <f t="shared" si="584"/>
        <v>-0.99999999999997868</v>
      </c>
      <c r="F399">
        <f t="shared" si="584"/>
        <v>-0.99999999999997868</v>
      </c>
      <c r="G399">
        <f t="shared" si="584"/>
        <v>-1.9999999999999574</v>
      </c>
      <c r="H399">
        <f t="shared" si="584"/>
        <v>-0.99999999999997868</v>
      </c>
      <c r="I399">
        <f t="shared" si="584"/>
        <v>0</v>
      </c>
      <c r="J399">
        <f t="shared" si="584"/>
        <v>3.0000000000000249</v>
      </c>
      <c r="K399">
        <f t="shared" si="584"/>
        <v>4.0000000000000036</v>
      </c>
      <c r="L399">
        <f t="shared" si="584"/>
        <v>5.0000000000000266</v>
      </c>
      <c r="M399">
        <f t="shared" si="584"/>
        <v>4.9999999999999822</v>
      </c>
      <c r="N399">
        <f t="shared" si="584"/>
        <v>4.9999999999999822</v>
      </c>
      <c r="O399" s="5">
        <f t="shared" si="580"/>
        <v>-1.8997524997230689E-2</v>
      </c>
      <c r="P399" s="5">
        <f t="shared" si="580"/>
        <v>3.1207411813355926E-3</v>
      </c>
      <c r="Q399" s="5">
        <f t="shared" si="580"/>
        <v>-7.208426122638052E-3</v>
      </c>
      <c r="R399" s="5">
        <f t="shared" si="580"/>
        <v>2.9494591699597999E-3</v>
      </c>
      <c r="S399" s="5">
        <f t="shared" si="580"/>
        <v>-7.3656972426373903E-3</v>
      </c>
      <c r="U399" s="4">
        <v>45513</v>
      </c>
      <c r="V399">
        <f t="shared" si="560"/>
        <v>-3999.9999999999145</v>
      </c>
      <c r="W399">
        <f t="shared" si="561"/>
        <v>-4445.9999999999054</v>
      </c>
      <c r="X399">
        <f t="shared" si="562"/>
        <v>4589.9999999999018</v>
      </c>
      <c r="Y399">
        <f t="shared" si="563"/>
        <v>3444.9999999999268</v>
      </c>
      <c r="Z399">
        <f t="shared" si="564"/>
        <v>-5434.9999999998845</v>
      </c>
      <c r="AA399">
        <f t="shared" si="565"/>
        <v>3999.9999999999145</v>
      </c>
      <c r="AB399">
        <f t="shared" si="566"/>
        <v>-4563.9999999999027</v>
      </c>
      <c r="AC399">
        <f t="shared" si="567"/>
        <v>0</v>
      </c>
      <c r="AD399">
        <f t="shared" si="568"/>
        <v>-301632.0000000025</v>
      </c>
      <c r="AE399">
        <f t="shared" si="569"/>
        <v>4.0000000000000036</v>
      </c>
      <c r="AF399">
        <f t="shared" si="570"/>
        <v>251615.00000000134</v>
      </c>
      <c r="AG399">
        <f t="shared" si="571"/>
        <v>126614.99999999955</v>
      </c>
      <c r="AH399">
        <f t="shared" si="572"/>
        <v>4.9999999999999822</v>
      </c>
      <c r="AI399">
        <f t="shared" si="573"/>
        <v>-1.8997524997230688</v>
      </c>
      <c r="AJ399">
        <f t="shared" si="574"/>
        <v>-31207.411813355928</v>
      </c>
      <c r="AK399">
        <f t="shared" si="575"/>
        <v>-72084.26122638052</v>
      </c>
      <c r="AL399">
        <f t="shared" si="576"/>
        <v>-73736.47924899499</v>
      </c>
      <c r="AM399" s="1">
        <f t="shared" si="577"/>
        <v>73656.972426373904</v>
      </c>
      <c r="AN399" s="1">
        <f t="shared" si="554"/>
        <v>-33176.079614858754</v>
      </c>
      <c r="AO399">
        <f t="shared" si="555"/>
        <v>-1.0563802640442135</v>
      </c>
      <c r="AP399">
        <f t="shared" si="556"/>
        <v>4.647984008834066</v>
      </c>
    </row>
    <row r="400" spans="1:42" x14ac:dyDescent="0.25">
      <c r="A400" s="4">
        <v>45512</v>
      </c>
      <c r="B400">
        <f t="shared" ref="B400:N400" si="585">(B950-B949)*100</f>
        <v>-4.9999999999999822</v>
      </c>
      <c r="C400">
        <f t="shared" si="585"/>
        <v>0.99999999999997868</v>
      </c>
      <c r="D400">
        <f t="shared" si="585"/>
        <v>0</v>
      </c>
      <c r="E400">
        <f t="shared" si="585"/>
        <v>0</v>
      </c>
      <c r="F400">
        <f t="shared" si="585"/>
        <v>-1.9999999999999574</v>
      </c>
      <c r="G400">
        <f t="shared" si="585"/>
        <v>-3.0000000000000249</v>
      </c>
      <c r="H400">
        <f t="shared" si="585"/>
        <v>-4.0000000000000036</v>
      </c>
      <c r="I400">
        <f t="shared" si="585"/>
        <v>-4.9999999999999822</v>
      </c>
      <c r="J400">
        <f t="shared" si="585"/>
        <v>-4.0000000000000036</v>
      </c>
      <c r="K400">
        <f t="shared" si="585"/>
        <v>-4.0000000000000036</v>
      </c>
      <c r="L400">
        <f t="shared" si="585"/>
        <v>-3.0000000000000249</v>
      </c>
      <c r="M400">
        <f t="shared" si="585"/>
        <v>-3.0000000000000249</v>
      </c>
      <c r="N400">
        <f t="shared" si="585"/>
        <v>-2.0000000000000462</v>
      </c>
      <c r="O400" s="5">
        <f t="shared" si="580"/>
        <v>1.4074597678797698E-3</v>
      </c>
      <c r="P400" s="5">
        <f t="shared" si="580"/>
        <v>-1.9464503877911838E-2</v>
      </c>
      <c r="Q400" s="5">
        <f t="shared" si="580"/>
        <v>-3.4053566755655384E-3</v>
      </c>
      <c r="R400" s="5">
        <f t="shared" si="580"/>
        <v>-3.2171609517755752E-3</v>
      </c>
      <c r="S400" s="5">
        <f t="shared" si="580"/>
        <v>-1.6641563520265572E-2</v>
      </c>
      <c r="U400" s="4">
        <v>45512</v>
      </c>
      <c r="V400">
        <f t="shared" si="560"/>
        <v>19999.999999999927</v>
      </c>
      <c r="W400">
        <f t="shared" si="561"/>
        <v>-2222.9999999999527</v>
      </c>
      <c r="X400">
        <f t="shared" si="562"/>
        <v>0</v>
      </c>
      <c r="Y400">
        <f t="shared" si="563"/>
        <v>0</v>
      </c>
      <c r="Z400">
        <f t="shared" si="564"/>
        <v>-10869.999999999769</v>
      </c>
      <c r="AA400">
        <f t="shared" si="565"/>
        <v>6000.00000000005</v>
      </c>
      <c r="AB400">
        <f t="shared" si="566"/>
        <v>-18256.000000000015</v>
      </c>
      <c r="AC400">
        <f t="shared" si="567"/>
        <v>11114.99999999996</v>
      </c>
      <c r="AD400">
        <f t="shared" si="568"/>
        <v>402176.00000000035</v>
      </c>
      <c r="AE400">
        <f t="shared" si="569"/>
        <v>-4.0000000000000036</v>
      </c>
      <c r="AF400">
        <f t="shared" si="570"/>
        <v>-150969.00000000125</v>
      </c>
      <c r="AG400">
        <f t="shared" si="571"/>
        <v>-75969.000000000626</v>
      </c>
      <c r="AH400">
        <f t="shared" si="572"/>
        <v>-2.0000000000000462</v>
      </c>
      <c r="AI400">
        <f t="shared" si="573"/>
        <v>0.14074597678797698</v>
      </c>
      <c r="AJ400">
        <f t="shared" si="574"/>
        <v>194645.03877911839</v>
      </c>
      <c r="AK400">
        <f t="shared" si="575"/>
        <v>-34053.566755655382</v>
      </c>
      <c r="AL400">
        <f t="shared" si="576"/>
        <v>80429.023794389374</v>
      </c>
      <c r="AM400" s="1">
        <f t="shared" si="577"/>
        <v>166415.63520265571</v>
      </c>
      <c r="AN400" s="1">
        <f t="shared" si="554"/>
        <v>588434.27176648355</v>
      </c>
      <c r="AO400">
        <f t="shared" si="555"/>
        <v>9.1434403352602711</v>
      </c>
      <c r="AP400">
        <f t="shared" si="556"/>
        <v>4.6973086552624208</v>
      </c>
    </row>
    <row r="401" spans="1:42" x14ac:dyDescent="0.25">
      <c r="A401" s="4">
        <v>45511</v>
      </c>
      <c r="B401">
        <f t="shared" ref="B401:N401" si="586">(B951-B950)*100</f>
        <v>0</v>
      </c>
      <c r="C401">
        <f t="shared" si="586"/>
        <v>0</v>
      </c>
      <c r="D401">
        <f t="shared" si="586"/>
        <v>0</v>
      </c>
      <c r="E401">
        <f t="shared" si="586"/>
        <v>-3.0000000000000249</v>
      </c>
      <c r="F401">
        <f t="shared" si="586"/>
        <v>0.99999999999997868</v>
      </c>
      <c r="G401">
        <f t="shared" si="586"/>
        <v>0.99999999999997868</v>
      </c>
      <c r="H401">
        <f t="shared" si="586"/>
        <v>-0.99999999999997868</v>
      </c>
      <c r="I401">
        <f t="shared" si="586"/>
        <v>-5.0000000000000266</v>
      </c>
      <c r="J401">
        <f t="shared" si="586"/>
        <v>-6.0000000000000053</v>
      </c>
      <c r="K401">
        <f t="shared" si="586"/>
        <v>-6.0000000000000053</v>
      </c>
      <c r="L401">
        <f t="shared" si="586"/>
        <v>-6.0000000000000053</v>
      </c>
      <c r="M401">
        <f t="shared" si="586"/>
        <v>-6.9999999999999396</v>
      </c>
      <c r="N401">
        <f t="shared" si="586"/>
        <v>-8.0000000000000071</v>
      </c>
      <c r="O401" s="5">
        <f t="shared" si="580"/>
        <v>-7.7254746437879444E-3</v>
      </c>
      <c r="P401" s="5">
        <f t="shared" si="580"/>
        <v>0</v>
      </c>
      <c r="Q401" s="5">
        <f t="shared" si="580"/>
        <v>-1.0909676390264878E-2</v>
      </c>
      <c r="R401" s="5">
        <f t="shared" si="580"/>
        <v>4.0230710021107651E-3</v>
      </c>
      <c r="S401" s="5">
        <f t="shared" si="580"/>
        <v>-1.233136224898429E-2</v>
      </c>
      <c r="U401" s="4">
        <v>45511</v>
      </c>
      <c r="V401">
        <f t="shared" si="560"/>
        <v>0</v>
      </c>
      <c r="W401">
        <f t="shared" si="561"/>
        <v>0</v>
      </c>
      <c r="X401">
        <f t="shared" si="562"/>
        <v>0</v>
      </c>
      <c r="Y401">
        <f t="shared" si="563"/>
        <v>10335.000000000085</v>
      </c>
      <c r="Z401">
        <f t="shared" si="564"/>
        <v>5434.9999999998845</v>
      </c>
      <c r="AA401">
        <f t="shared" si="565"/>
        <v>-1999.9999999999573</v>
      </c>
      <c r="AB401">
        <f t="shared" si="566"/>
        <v>-4563.9999999999027</v>
      </c>
      <c r="AC401">
        <f t="shared" si="567"/>
        <v>11115.00000000006</v>
      </c>
      <c r="AD401">
        <f t="shared" si="568"/>
        <v>603264.00000000058</v>
      </c>
      <c r="AE401">
        <f t="shared" si="569"/>
        <v>-6.0000000000000053</v>
      </c>
      <c r="AF401">
        <f t="shared" si="570"/>
        <v>-301938.00000000029</v>
      </c>
      <c r="AG401">
        <f t="shared" si="571"/>
        <v>-177260.99999999846</v>
      </c>
      <c r="AH401">
        <f t="shared" si="572"/>
        <v>-8.0000000000000071</v>
      </c>
      <c r="AI401">
        <f t="shared" si="573"/>
        <v>-0.7725474643787944</v>
      </c>
      <c r="AJ401">
        <f t="shared" si="574"/>
        <v>0</v>
      </c>
      <c r="AK401">
        <f t="shared" si="575"/>
        <v>-109096.76390264877</v>
      </c>
      <c r="AL401">
        <f t="shared" si="576"/>
        <v>-100576.77505276912</v>
      </c>
      <c r="AM401" s="1">
        <f t="shared" si="577"/>
        <v>123313.62248984291</v>
      </c>
      <c r="AN401" s="1">
        <f t="shared" si="554"/>
        <v>58011.310986962577</v>
      </c>
      <c r="AO401">
        <f t="shared" si="555"/>
        <v>-0.70527086743909106</v>
      </c>
      <c r="AP401">
        <f t="shared" si="556"/>
        <v>4.2626922433854837</v>
      </c>
    </row>
    <row r="402" spans="1:42" x14ac:dyDescent="0.25">
      <c r="A402" s="4">
        <v>45510</v>
      </c>
      <c r="B402">
        <f t="shared" ref="B402:N402" si="587">(B952-B951)*100</f>
        <v>1.9999999999999574</v>
      </c>
      <c r="C402">
        <f t="shared" si="587"/>
        <v>0</v>
      </c>
      <c r="D402">
        <f t="shared" si="587"/>
        <v>0.99999999999997868</v>
      </c>
      <c r="E402">
        <f t="shared" si="587"/>
        <v>-4.0000000000000036</v>
      </c>
      <c r="F402">
        <f t="shared" si="587"/>
        <v>-8.9999999999999858</v>
      </c>
      <c r="G402">
        <f t="shared" si="587"/>
        <v>-12.000000000000011</v>
      </c>
      <c r="H402">
        <f t="shared" si="587"/>
        <v>-10.000000000000009</v>
      </c>
      <c r="I402">
        <f t="shared" si="587"/>
        <v>-4.9999999999999822</v>
      </c>
      <c r="J402">
        <f t="shared" si="587"/>
        <v>-10.999999999999988</v>
      </c>
      <c r="K402">
        <f t="shared" si="587"/>
        <v>-12.999999999999989</v>
      </c>
      <c r="L402">
        <f t="shared" si="587"/>
        <v>-12.000000000000011</v>
      </c>
      <c r="M402">
        <f t="shared" si="587"/>
        <v>-12.000000000000011</v>
      </c>
      <c r="N402">
        <f t="shared" si="587"/>
        <v>-12.000000000000011</v>
      </c>
      <c r="O402" s="5">
        <f t="shared" si="580"/>
        <v>-1.958579880233173E-2</v>
      </c>
      <c r="P402" s="5">
        <f t="shared" si="580"/>
        <v>-4.6031387387498101E-3</v>
      </c>
      <c r="Q402" s="5">
        <f t="shared" si="580"/>
        <v>6.7691018576323233E-3</v>
      </c>
      <c r="R402" s="5">
        <f t="shared" si="580"/>
        <v>0</v>
      </c>
      <c r="S402" s="5">
        <f t="shared" si="580"/>
        <v>6.6028207997588517E-3</v>
      </c>
      <c r="U402" s="4">
        <v>45510</v>
      </c>
      <c r="V402">
        <f t="shared" si="560"/>
        <v>-7999.999999999829</v>
      </c>
      <c r="W402">
        <f t="shared" si="561"/>
        <v>0</v>
      </c>
      <c r="X402">
        <f t="shared" si="562"/>
        <v>4589.9999999999018</v>
      </c>
      <c r="Y402">
        <f t="shared" si="563"/>
        <v>13780.000000000013</v>
      </c>
      <c r="Z402">
        <f t="shared" si="564"/>
        <v>-48914.99999999992</v>
      </c>
      <c r="AA402">
        <f t="shared" si="565"/>
        <v>24000.000000000022</v>
      </c>
      <c r="AB402">
        <f t="shared" si="566"/>
        <v>-45640.000000000044</v>
      </c>
      <c r="AC402">
        <f t="shared" si="567"/>
        <v>11114.99999999996</v>
      </c>
      <c r="AD402">
        <f t="shared" si="568"/>
        <v>1105983.9999999988</v>
      </c>
      <c r="AE402">
        <f t="shared" si="569"/>
        <v>-12.999999999999989</v>
      </c>
      <c r="AF402">
        <f t="shared" si="570"/>
        <v>-603876.00000000058</v>
      </c>
      <c r="AG402">
        <f t="shared" si="571"/>
        <v>-303876.00000000029</v>
      </c>
      <c r="AH402">
        <f t="shared" si="572"/>
        <v>-12.000000000000011</v>
      </c>
      <c r="AI402">
        <f t="shared" si="573"/>
        <v>-1.9585798802331731</v>
      </c>
      <c r="AJ402">
        <f t="shared" si="574"/>
        <v>46031.3873874981</v>
      </c>
      <c r="AK402">
        <f t="shared" si="575"/>
        <v>67691.018576323229</v>
      </c>
      <c r="AL402">
        <f t="shared" si="576"/>
        <v>0</v>
      </c>
      <c r="AM402" s="1">
        <f t="shared" si="577"/>
        <v>-66028.207997588514</v>
      </c>
      <c r="AN402" s="1">
        <f t="shared" si="554"/>
        <v>196829.23938635056</v>
      </c>
      <c r="AO402">
        <f t="shared" si="555"/>
        <v>8.2258364839770337E-2</v>
      </c>
      <c r="AP402">
        <f t="shared" si="556"/>
        <v>4.2600246587252597</v>
      </c>
    </row>
    <row r="403" spans="1:42" x14ac:dyDescent="0.25">
      <c r="A403" s="4">
        <v>45509</v>
      </c>
      <c r="B403">
        <f t="shared" ref="B403:N403" si="588">(B953-B952)*100</f>
        <v>2.0000000000000462</v>
      </c>
      <c r="C403">
        <f t="shared" si="588"/>
        <v>0</v>
      </c>
      <c r="D403">
        <f t="shared" si="588"/>
        <v>-5.9999999999999609</v>
      </c>
      <c r="E403">
        <f t="shared" si="588"/>
        <v>0</v>
      </c>
      <c r="F403">
        <f t="shared" si="588"/>
        <v>-3.0000000000000249</v>
      </c>
      <c r="G403">
        <f t="shared" si="588"/>
        <v>-0.99999999999997868</v>
      </c>
      <c r="H403">
        <f t="shared" si="588"/>
        <v>-1.0000000000000231</v>
      </c>
      <c r="I403">
        <f t="shared" si="588"/>
        <v>-0.99999999999997868</v>
      </c>
      <c r="J403">
        <f t="shared" si="588"/>
        <v>0</v>
      </c>
      <c r="K403">
        <f t="shared" si="588"/>
        <v>2.0000000000000018</v>
      </c>
      <c r="L403">
        <f t="shared" si="588"/>
        <v>2.0000000000000018</v>
      </c>
      <c r="M403">
        <f t="shared" si="588"/>
        <v>3.0000000000000249</v>
      </c>
      <c r="N403">
        <f t="shared" si="588"/>
        <v>5.0000000000000711</v>
      </c>
      <c r="O403" s="5">
        <f t="shared" si="580"/>
        <v>4.8693207874332027E-3</v>
      </c>
      <c r="P403" s="5">
        <f t="shared" si="580"/>
        <v>5.0138709350554768E-3</v>
      </c>
      <c r="Q403" s="5">
        <f t="shared" si="580"/>
        <v>1.2878144171451458E-2</v>
      </c>
      <c r="R403" s="5">
        <f t="shared" si="580"/>
        <v>-4.0230710021108285E-3</v>
      </c>
      <c r="S403" s="5">
        <f t="shared" si="580"/>
        <v>1.21787000972638E-2</v>
      </c>
      <c r="U403" s="4">
        <v>45509</v>
      </c>
      <c r="V403">
        <f t="shared" si="560"/>
        <v>-8000.0000000001846</v>
      </c>
      <c r="W403">
        <f t="shared" si="561"/>
        <v>0</v>
      </c>
      <c r="X403">
        <f t="shared" si="562"/>
        <v>-27539.999999999822</v>
      </c>
      <c r="Y403">
        <f t="shared" si="563"/>
        <v>0</v>
      </c>
      <c r="Z403">
        <f t="shared" si="564"/>
        <v>-16305.000000000135</v>
      </c>
      <c r="AA403">
        <f t="shared" si="565"/>
        <v>1999.9999999999573</v>
      </c>
      <c r="AB403">
        <f t="shared" si="566"/>
        <v>-4564.0000000001055</v>
      </c>
      <c r="AC403">
        <f t="shared" si="567"/>
        <v>2222.9999999999527</v>
      </c>
      <c r="AD403">
        <f t="shared" si="568"/>
        <v>0</v>
      </c>
      <c r="AE403">
        <f t="shared" si="569"/>
        <v>2.0000000000000018</v>
      </c>
      <c r="AF403">
        <f t="shared" si="570"/>
        <v>100646.00000000009</v>
      </c>
      <c r="AG403">
        <f t="shared" si="571"/>
        <v>75969.000000000626</v>
      </c>
      <c r="AH403">
        <f t="shared" si="572"/>
        <v>5.0000000000000711</v>
      </c>
      <c r="AI403">
        <f t="shared" si="573"/>
        <v>0.48693207874332028</v>
      </c>
      <c r="AJ403">
        <f t="shared" si="574"/>
        <v>-50138.709350554767</v>
      </c>
      <c r="AK403">
        <f t="shared" si="575"/>
        <v>128781.44171451459</v>
      </c>
      <c r="AL403">
        <f t="shared" si="576"/>
        <v>100576.77505277071</v>
      </c>
      <c r="AM403" s="1">
        <f t="shared" si="577"/>
        <v>-121787.00097263799</v>
      </c>
      <c r="AN403" s="1">
        <f t="shared" si="554"/>
        <v>181868.99337617165</v>
      </c>
      <c r="AO403">
        <f t="shared" si="555"/>
        <v>-1.1653162981742322</v>
      </c>
      <c r="AP403">
        <f t="shared" si="556"/>
        <v>4.2748948616435802</v>
      </c>
    </row>
    <row r="404" spans="1:42" x14ac:dyDescent="0.25">
      <c r="A404" s="4">
        <v>45506</v>
      </c>
      <c r="B404">
        <f t="shared" ref="B404:N404" si="589">(B954-B953)*100</f>
        <v>0.99999999999997868</v>
      </c>
      <c r="C404">
        <f t="shared" si="589"/>
        <v>3.0000000000000249</v>
      </c>
      <c r="D404">
        <f t="shared" si="589"/>
        <v>8.0000000000000071</v>
      </c>
      <c r="E404">
        <f t="shared" si="589"/>
        <v>14.000000000000057</v>
      </c>
      <c r="F404">
        <f t="shared" si="589"/>
        <v>20.000000000000018</v>
      </c>
      <c r="G404">
        <f t="shared" si="589"/>
        <v>29.000000000000004</v>
      </c>
      <c r="H404">
        <f t="shared" si="589"/>
        <v>28.000000000000025</v>
      </c>
      <c r="I404">
        <f t="shared" si="589"/>
        <v>25.999999999999979</v>
      </c>
      <c r="J404">
        <f t="shared" si="589"/>
        <v>21.999999999999975</v>
      </c>
      <c r="K404">
        <f t="shared" si="589"/>
        <v>20.999999999999996</v>
      </c>
      <c r="L404">
        <f t="shared" si="589"/>
        <v>19.000000000000039</v>
      </c>
      <c r="M404">
        <f t="shared" si="589"/>
        <v>15.999999999999925</v>
      </c>
      <c r="N404">
        <f t="shared" si="589"/>
        <v>15.999999999999925</v>
      </c>
      <c r="O404" s="5">
        <f t="shared" si="580"/>
        <v>1.201336779411389E-2</v>
      </c>
      <c r="P404" s="5">
        <f t="shared" si="580"/>
        <v>1.2425540713107287E-2</v>
      </c>
      <c r="Q404" s="5">
        <f t="shared" si="580"/>
        <v>-5.1415087343386545E-3</v>
      </c>
      <c r="R404" s="5">
        <f t="shared" si="580"/>
        <v>-1.3374349994129161E-3</v>
      </c>
      <c r="S404" s="5">
        <f t="shared" si="580"/>
        <v>2.057830065767792E-2</v>
      </c>
      <c r="U404" s="4">
        <v>45506</v>
      </c>
      <c r="V404">
        <f t="shared" si="560"/>
        <v>-3999.9999999999145</v>
      </c>
      <c r="W404">
        <f t="shared" si="561"/>
        <v>-6669.0000000000555</v>
      </c>
      <c r="X404">
        <f t="shared" si="562"/>
        <v>36720.000000000029</v>
      </c>
      <c r="Y404">
        <f t="shared" si="563"/>
        <v>-48230.000000000196</v>
      </c>
      <c r="Z404">
        <f t="shared" si="564"/>
        <v>108700.0000000001</v>
      </c>
      <c r="AA404">
        <f t="shared" si="565"/>
        <v>-58000.000000000007</v>
      </c>
      <c r="AB404">
        <f t="shared" si="566"/>
        <v>127792.00000000012</v>
      </c>
      <c r="AC404">
        <f t="shared" si="567"/>
        <v>-57797.999999999949</v>
      </c>
      <c r="AD404">
        <f t="shared" si="568"/>
        <v>-2211967.9999999977</v>
      </c>
      <c r="AE404">
        <f t="shared" si="569"/>
        <v>20.999999999999996</v>
      </c>
      <c r="AF404">
        <f t="shared" si="570"/>
        <v>956137.00000000198</v>
      </c>
      <c r="AG404">
        <f t="shared" si="571"/>
        <v>405167.99999999814</v>
      </c>
      <c r="AH404">
        <f t="shared" si="572"/>
        <v>15.999999999999925</v>
      </c>
      <c r="AI404">
        <f t="shared" si="573"/>
        <v>1.2013367794113889</v>
      </c>
      <c r="AJ404">
        <f t="shared" si="574"/>
        <v>-124255.40713107288</v>
      </c>
      <c r="AK404">
        <f t="shared" si="575"/>
        <v>-51415.087343386542</v>
      </c>
      <c r="AL404">
        <f t="shared" si="576"/>
        <v>33435.874985322902</v>
      </c>
      <c r="AM404" s="1">
        <f t="shared" si="577"/>
        <v>-205783.00657677921</v>
      </c>
      <c r="AN404" s="1">
        <f t="shared" si="554"/>
        <v>-1100127.424729134</v>
      </c>
      <c r="AO404">
        <f t="shared" si="555"/>
        <v>0.25952404075039981</v>
      </c>
      <c r="AP404">
        <f t="shared" si="556"/>
        <v>4.3373295346156651</v>
      </c>
    </row>
    <row r="405" spans="1:42" x14ac:dyDescent="0.25">
      <c r="A405" s="4">
        <v>45505</v>
      </c>
      <c r="B405">
        <f t="shared" ref="B405:N405" si="590">(B955-B954)*100</f>
        <v>-5.9999999999999609</v>
      </c>
      <c r="C405">
        <f t="shared" si="590"/>
        <v>4.9999999999999822</v>
      </c>
      <c r="D405">
        <f t="shared" si="590"/>
        <v>4.0000000000000036</v>
      </c>
      <c r="E405">
        <f t="shared" si="590"/>
        <v>4.0000000000000036</v>
      </c>
      <c r="F405">
        <f t="shared" si="590"/>
        <v>5.9999999999999609</v>
      </c>
      <c r="G405">
        <f t="shared" si="590"/>
        <v>11.000000000000032</v>
      </c>
      <c r="H405">
        <f t="shared" si="590"/>
        <v>12.999999999999989</v>
      </c>
      <c r="I405">
        <f t="shared" si="590"/>
        <v>13.999999999999968</v>
      </c>
      <c r="J405">
        <f t="shared" si="590"/>
        <v>13.000000000000034</v>
      </c>
      <c r="K405">
        <f t="shared" si="590"/>
        <v>10.999999999999988</v>
      </c>
      <c r="L405">
        <f t="shared" si="590"/>
        <v>9.9999999999999645</v>
      </c>
      <c r="M405">
        <f t="shared" si="590"/>
        <v>9.0000000000000746</v>
      </c>
      <c r="N405">
        <f t="shared" si="590"/>
        <v>8.0000000000000071</v>
      </c>
      <c r="O405" s="5">
        <f t="shared" ref="O405:S414" si="591">LN(O954/O955)</f>
        <v>1.0591725322910419E-3</v>
      </c>
      <c r="P405" s="5">
        <f t="shared" si="591"/>
        <v>5.0457399258455214E-3</v>
      </c>
      <c r="Q405" s="5">
        <f t="shared" si="591"/>
        <v>-1.3471335509854611E-2</v>
      </c>
      <c r="R405" s="5">
        <f t="shared" si="591"/>
        <v>3.749334868887812E-3</v>
      </c>
      <c r="S405" s="5">
        <f t="shared" si="591"/>
        <v>7.4911924188316393E-3</v>
      </c>
      <c r="U405" s="4">
        <v>45505</v>
      </c>
      <c r="V405">
        <f t="shared" si="560"/>
        <v>23999.999999999844</v>
      </c>
      <c r="W405">
        <f t="shared" si="561"/>
        <v>-11114.99999999996</v>
      </c>
      <c r="X405">
        <f t="shared" si="562"/>
        <v>18360.000000000015</v>
      </c>
      <c r="Y405">
        <f t="shared" si="563"/>
        <v>-13780.000000000013</v>
      </c>
      <c r="Z405">
        <f t="shared" si="564"/>
        <v>32609.999999999789</v>
      </c>
      <c r="AA405">
        <f t="shared" si="565"/>
        <v>-22000.000000000065</v>
      </c>
      <c r="AB405">
        <f t="shared" si="566"/>
        <v>59331.999999999949</v>
      </c>
      <c r="AC405">
        <f t="shared" si="567"/>
        <v>-31121.999999999927</v>
      </c>
      <c r="AD405">
        <f t="shared" si="568"/>
        <v>-1307072.0000000035</v>
      </c>
      <c r="AE405">
        <f t="shared" si="569"/>
        <v>10.999999999999988</v>
      </c>
      <c r="AF405">
        <f t="shared" si="570"/>
        <v>503229.9999999982</v>
      </c>
      <c r="AG405">
        <f t="shared" si="571"/>
        <v>227907.00000000189</v>
      </c>
      <c r="AH405">
        <f t="shared" si="572"/>
        <v>8.0000000000000071</v>
      </c>
      <c r="AI405">
        <f t="shared" si="573"/>
        <v>0.1059172532291042</v>
      </c>
      <c r="AJ405">
        <f t="shared" si="574"/>
        <v>-50457.399258455211</v>
      </c>
      <c r="AK405">
        <f t="shared" si="575"/>
        <v>-134713.3550985461</v>
      </c>
      <c r="AL405">
        <f t="shared" si="576"/>
        <v>-93733.371722195297</v>
      </c>
      <c r="AM405" s="1">
        <f t="shared" si="577"/>
        <v>-74911.924188316392</v>
      </c>
      <c r="AN405" s="1">
        <f t="shared" si="554"/>
        <v>-873446.9443502638</v>
      </c>
      <c r="AO405">
        <f t="shared" si="555"/>
        <v>17.511527407212775</v>
      </c>
      <c r="AP405">
        <f t="shared" si="556"/>
        <v>4.3434308957986634</v>
      </c>
    </row>
    <row r="406" spans="1:42" x14ac:dyDescent="0.25">
      <c r="A406" s="4">
        <v>45504</v>
      </c>
      <c r="B406">
        <f t="shared" ref="B406:N406" si="592">(B956-B955)*100</f>
        <v>0.99999999999997868</v>
      </c>
      <c r="C406">
        <f t="shared" si="592"/>
        <v>-0.99999999999997868</v>
      </c>
      <c r="D406">
        <f t="shared" si="592"/>
        <v>-0.99999999999997868</v>
      </c>
      <c r="E406">
        <f t="shared" si="592"/>
        <v>2.9999999999999361</v>
      </c>
      <c r="F406">
        <f t="shared" si="592"/>
        <v>2.0000000000000462</v>
      </c>
      <c r="G406">
        <f t="shared" si="592"/>
        <v>4.9999999999999822</v>
      </c>
      <c r="H406">
        <f t="shared" si="592"/>
        <v>5.9999999999999609</v>
      </c>
      <c r="I406">
        <f t="shared" si="592"/>
        <v>6.0000000000000497</v>
      </c>
      <c r="J406">
        <f t="shared" si="592"/>
        <v>6.0000000000000053</v>
      </c>
      <c r="K406">
        <f t="shared" si="592"/>
        <v>5.9999999999999609</v>
      </c>
      <c r="L406">
        <f t="shared" si="592"/>
        <v>6.0000000000000497</v>
      </c>
      <c r="M406">
        <f t="shared" si="592"/>
        <v>5.9999999999999609</v>
      </c>
      <c r="N406">
        <f t="shared" si="592"/>
        <v>5.0000000000000711</v>
      </c>
      <c r="O406" s="5">
        <f t="shared" si="591"/>
        <v>1.5731750440640617E-3</v>
      </c>
      <c r="P406" s="5">
        <f t="shared" si="591"/>
        <v>-3.843647503982992E-3</v>
      </c>
      <c r="Q406" s="5">
        <f t="shared" si="591"/>
        <v>-5.2268177577355762E-5</v>
      </c>
      <c r="R406" s="5">
        <f t="shared" si="591"/>
        <v>0</v>
      </c>
      <c r="S406" s="5">
        <f t="shared" si="591"/>
        <v>-6.6065101539024354E-3</v>
      </c>
      <c r="U406" s="4">
        <v>45504</v>
      </c>
      <c r="V406">
        <f t="shared" si="560"/>
        <v>-3999.9999999999145</v>
      </c>
      <c r="W406">
        <f t="shared" si="561"/>
        <v>2222.9999999999527</v>
      </c>
      <c r="X406">
        <f t="shared" si="562"/>
        <v>-4589.9999999999018</v>
      </c>
      <c r="Y406">
        <f t="shared" si="563"/>
        <v>-10334.99999999978</v>
      </c>
      <c r="Z406">
        <f t="shared" si="564"/>
        <v>10870.000000000251</v>
      </c>
      <c r="AA406">
        <f t="shared" si="565"/>
        <v>-9999.9999999999636</v>
      </c>
      <c r="AB406">
        <f t="shared" si="566"/>
        <v>27383.999999999822</v>
      </c>
      <c r="AC406">
        <f t="shared" si="567"/>
        <v>-13338.000000000111</v>
      </c>
      <c r="AD406">
        <f t="shared" si="568"/>
        <v>-603264.00000000058</v>
      </c>
      <c r="AE406">
        <f t="shared" si="569"/>
        <v>5.9999999999999609</v>
      </c>
      <c r="AF406">
        <f t="shared" si="570"/>
        <v>301938.0000000025</v>
      </c>
      <c r="AG406">
        <f t="shared" si="571"/>
        <v>151937.99999999901</v>
      </c>
      <c r="AH406">
        <f t="shared" si="572"/>
        <v>5.0000000000000711</v>
      </c>
      <c r="AI406">
        <f t="shared" si="573"/>
        <v>0.15731750440640616</v>
      </c>
      <c r="AJ406">
        <f t="shared" si="574"/>
        <v>38436.475039829922</v>
      </c>
      <c r="AK406">
        <f t="shared" si="575"/>
        <v>-522.68177577355766</v>
      </c>
      <c r="AL406">
        <f t="shared" si="576"/>
        <v>0</v>
      </c>
      <c r="AM406" s="1">
        <f t="shared" si="577"/>
        <v>66065.101539024356</v>
      </c>
      <c r="AN406" s="1">
        <f t="shared" si="554"/>
        <v>-47183.947879413594</v>
      </c>
      <c r="AO406">
        <f t="shared" si="555"/>
        <v>1.3109644131677993</v>
      </c>
      <c r="AP406">
        <f t="shared" si="556"/>
        <v>2.2363235436209439</v>
      </c>
    </row>
    <row r="407" spans="1:42" x14ac:dyDescent="0.25">
      <c r="A407" s="4">
        <v>45503</v>
      </c>
      <c r="B407">
        <f t="shared" ref="B407:N407" si="593">(B957-B956)*100</f>
        <v>0</v>
      </c>
      <c r="C407">
        <f t="shared" si="593"/>
        <v>0.99999999999997868</v>
      </c>
      <c r="D407">
        <f t="shared" si="593"/>
        <v>0.99999999999997868</v>
      </c>
      <c r="E407">
        <f t="shared" si="593"/>
        <v>1.0000000000000675</v>
      </c>
      <c r="F407">
        <f t="shared" si="593"/>
        <v>1.9999999999999574</v>
      </c>
      <c r="G407">
        <f t="shared" si="593"/>
        <v>0.99999999999997868</v>
      </c>
      <c r="H407">
        <f t="shared" si="593"/>
        <v>1.0000000000000675</v>
      </c>
      <c r="I407">
        <f t="shared" si="593"/>
        <v>3.0000000000000249</v>
      </c>
      <c r="J407">
        <f t="shared" si="593"/>
        <v>1.9999999999999574</v>
      </c>
      <c r="K407">
        <f t="shared" si="593"/>
        <v>2.0000000000000462</v>
      </c>
      <c r="L407">
        <f t="shared" si="593"/>
        <v>1.9999999999999574</v>
      </c>
      <c r="M407">
        <f t="shared" si="593"/>
        <v>0.99999999999997868</v>
      </c>
      <c r="N407">
        <f t="shared" si="593"/>
        <v>1.9999999999999574</v>
      </c>
      <c r="O407" s="5">
        <f t="shared" si="591"/>
        <v>9.3801166118443618E-4</v>
      </c>
      <c r="P407" s="5">
        <f t="shared" si="591"/>
        <v>3.2241312476807447E-3</v>
      </c>
      <c r="Q407" s="5">
        <f t="shared" si="591"/>
        <v>6.6494906557430624E-3</v>
      </c>
      <c r="R407" s="5">
        <f t="shared" si="591"/>
        <v>-3.4819909293192621E-3</v>
      </c>
      <c r="S407" s="5">
        <f t="shared" si="591"/>
        <v>7.2292888406408993E-3</v>
      </c>
      <c r="U407" s="4">
        <v>45503</v>
      </c>
      <c r="V407">
        <f t="shared" si="560"/>
        <v>0</v>
      </c>
      <c r="W407">
        <f t="shared" si="561"/>
        <v>-2222.9999999999527</v>
      </c>
      <c r="X407">
        <f t="shared" si="562"/>
        <v>4589.9999999999018</v>
      </c>
      <c r="Y407">
        <f t="shared" si="563"/>
        <v>-3445.0000000002324</v>
      </c>
      <c r="Z407">
        <f t="shared" si="564"/>
        <v>10869.999999999769</v>
      </c>
      <c r="AA407">
        <f t="shared" si="565"/>
        <v>-1999.9999999999573</v>
      </c>
      <c r="AB407">
        <f t="shared" si="566"/>
        <v>4564.0000000003083</v>
      </c>
      <c r="AC407">
        <f t="shared" si="567"/>
        <v>-6669.0000000000555</v>
      </c>
      <c r="AD407">
        <f t="shared" si="568"/>
        <v>-201087.99999999572</v>
      </c>
      <c r="AE407">
        <f t="shared" si="569"/>
        <v>2.0000000000000462</v>
      </c>
      <c r="AF407">
        <f t="shared" si="570"/>
        <v>100645.99999999786</v>
      </c>
      <c r="AG407">
        <f t="shared" si="571"/>
        <v>25322.999999999462</v>
      </c>
      <c r="AH407">
        <f t="shared" si="572"/>
        <v>1.9999999999999574</v>
      </c>
      <c r="AI407">
        <f t="shared" si="573"/>
        <v>9.3801166118443621E-2</v>
      </c>
      <c r="AJ407">
        <f t="shared" si="574"/>
        <v>-32241.312476807449</v>
      </c>
      <c r="AK407">
        <f t="shared" si="575"/>
        <v>66494.90655743063</v>
      </c>
      <c r="AL407">
        <f t="shared" si="576"/>
        <v>87049.773232981548</v>
      </c>
      <c r="AM407" s="1">
        <f t="shared" si="577"/>
        <v>-72292.888406408994</v>
      </c>
      <c r="AN407" s="1">
        <f t="shared" si="554"/>
        <v>-20417.427291636777</v>
      </c>
      <c r="AO407">
        <f t="shared" si="555"/>
        <v>-0.76005953743650856</v>
      </c>
      <c r="AP407">
        <f t="shared" si="556"/>
        <v>2.2004117088005413</v>
      </c>
    </row>
    <row r="408" spans="1:42" x14ac:dyDescent="0.25">
      <c r="A408" s="4">
        <v>45502</v>
      </c>
      <c r="B408">
        <f t="shared" ref="B408:N408" si="594">(B958-B957)*100</f>
        <v>-0.99999999999997868</v>
      </c>
      <c r="C408">
        <f t="shared" si="594"/>
        <v>0</v>
      </c>
      <c r="D408">
        <f t="shared" si="594"/>
        <v>-3.0000000000000249</v>
      </c>
      <c r="E408">
        <f t="shared" si="594"/>
        <v>0</v>
      </c>
      <c r="F408">
        <f t="shared" si="594"/>
        <v>0</v>
      </c>
      <c r="G408">
        <f t="shared" si="594"/>
        <v>0</v>
      </c>
      <c r="H408">
        <f t="shared" si="594"/>
        <v>0</v>
      </c>
      <c r="I408">
        <f t="shared" si="594"/>
        <v>0.99999999999997868</v>
      </c>
      <c r="J408">
        <f t="shared" si="594"/>
        <v>0.99999999999997868</v>
      </c>
      <c r="K408">
        <f t="shared" si="594"/>
        <v>1.9999999999999574</v>
      </c>
      <c r="L408">
        <f t="shared" si="594"/>
        <v>3.0000000000000249</v>
      </c>
      <c r="M408">
        <f t="shared" si="594"/>
        <v>2.0000000000000462</v>
      </c>
      <c r="N408">
        <f t="shared" si="594"/>
        <v>3.0000000000000249</v>
      </c>
      <c r="O408" s="5">
        <f t="shared" si="591"/>
        <v>2.4792364078888158E-4</v>
      </c>
      <c r="P408" s="5">
        <f t="shared" si="591"/>
        <v>1.0884915071202381E-2</v>
      </c>
      <c r="Q408" s="5">
        <f t="shared" si="591"/>
        <v>3.056365938933909E-3</v>
      </c>
      <c r="R408" s="5">
        <f t="shared" si="591"/>
        <v>0</v>
      </c>
      <c r="S408" s="5">
        <f t="shared" si="591"/>
        <v>9.5891256610415171E-3</v>
      </c>
      <c r="U408" s="4">
        <v>45502</v>
      </c>
      <c r="V408">
        <f t="shared" si="560"/>
        <v>3999.9999999999145</v>
      </c>
      <c r="W408">
        <f t="shared" si="561"/>
        <v>0</v>
      </c>
      <c r="X408">
        <f t="shared" si="562"/>
        <v>-13770.000000000115</v>
      </c>
      <c r="Y408">
        <f t="shared" si="563"/>
        <v>0</v>
      </c>
      <c r="Z408">
        <f t="shared" si="564"/>
        <v>0</v>
      </c>
      <c r="AA408">
        <f t="shared" si="565"/>
        <v>0</v>
      </c>
      <c r="AB408">
        <f t="shared" si="566"/>
        <v>0</v>
      </c>
      <c r="AC408">
        <f t="shared" si="567"/>
        <v>-2222.9999999999527</v>
      </c>
      <c r="AD408">
        <f t="shared" si="568"/>
        <v>-100543.99999999786</v>
      </c>
      <c r="AE408">
        <f t="shared" si="569"/>
        <v>1.9999999999999574</v>
      </c>
      <c r="AF408">
        <f t="shared" si="570"/>
        <v>150969.00000000125</v>
      </c>
      <c r="AG408">
        <f t="shared" si="571"/>
        <v>50646.000000001171</v>
      </c>
      <c r="AH408">
        <f t="shared" si="572"/>
        <v>3.0000000000000249</v>
      </c>
      <c r="AI408">
        <f t="shared" si="573"/>
        <v>2.4792364078888157E-2</v>
      </c>
      <c r="AJ408">
        <f t="shared" si="574"/>
        <v>-108849.15071202381</v>
      </c>
      <c r="AK408">
        <f t="shared" si="575"/>
        <v>30563.659389339089</v>
      </c>
      <c r="AL408">
        <f t="shared" si="576"/>
        <v>0</v>
      </c>
      <c r="AM408" s="1">
        <f t="shared" si="577"/>
        <v>-95891.256610415177</v>
      </c>
      <c r="AN408" s="1">
        <f t="shared" si="554"/>
        <v>-85093.723140731425</v>
      </c>
      <c r="AO408">
        <f t="shared" si="555"/>
        <v>-0.55062829612609288</v>
      </c>
      <c r="AP408">
        <f t="shared" si="556"/>
        <v>2.2005119202137808</v>
      </c>
    </row>
    <row r="409" spans="1:42" x14ac:dyDescent="0.25">
      <c r="A409" s="4">
        <v>45499</v>
      </c>
      <c r="B409">
        <f t="shared" ref="B409:N409" si="595">(B959-B958)*100</f>
        <v>0</v>
      </c>
      <c r="C409">
        <f t="shared" si="595"/>
        <v>0.99999999999997868</v>
      </c>
      <c r="D409">
        <f t="shared" si="595"/>
        <v>0.99999999999997868</v>
      </c>
      <c r="E409">
        <f t="shared" si="595"/>
        <v>0.99999999999997868</v>
      </c>
      <c r="F409">
        <f t="shared" si="595"/>
        <v>1.0000000000000675</v>
      </c>
      <c r="G409">
        <f t="shared" si="595"/>
        <v>4.0000000000000036</v>
      </c>
      <c r="H409">
        <f t="shared" si="595"/>
        <v>4.9999999999999822</v>
      </c>
      <c r="I409">
        <f t="shared" si="595"/>
        <v>5.9999999999999609</v>
      </c>
      <c r="J409">
        <f t="shared" si="595"/>
        <v>7.0000000000000284</v>
      </c>
      <c r="K409">
        <f t="shared" si="595"/>
        <v>8.0000000000000071</v>
      </c>
      <c r="L409">
        <f t="shared" si="595"/>
        <v>6.9999999999999396</v>
      </c>
      <c r="M409">
        <f t="shared" si="595"/>
        <v>5.9999999999999609</v>
      </c>
      <c r="N409">
        <f t="shared" si="595"/>
        <v>4.9999999999999822</v>
      </c>
      <c r="O409" s="5">
        <f t="shared" si="591"/>
        <v>1.1164176561175288E-3</v>
      </c>
      <c r="P409" s="5">
        <f t="shared" si="591"/>
        <v>-1.3903719001239607E-3</v>
      </c>
      <c r="Q409" s="5">
        <f t="shared" si="591"/>
        <v>-1.4766533286841934E-3</v>
      </c>
      <c r="R409" s="5">
        <f t="shared" si="591"/>
        <v>0</v>
      </c>
      <c r="S409" s="5">
        <f t="shared" si="591"/>
        <v>-5.2581509325041965E-4</v>
      </c>
      <c r="U409" s="4">
        <v>45499</v>
      </c>
      <c r="V409">
        <f t="shared" si="560"/>
        <v>0</v>
      </c>
      <c r="W409">
        <f t="shared" si="561"/>
        <v>-2222.9999999999527</v>
      </c>
      <c r="X409">
        <f t="shared" si="562"/>
        <v>4589.9999999999018</v>
      </c>
      <c r="Y409">
        <f t="shared" si="563"/>
        <v>-3444.9999999999268</v>
      </c>
      <c r="Z409">
        <f t="shared" si="564"/>
        <v>5435.0000000003665</v>
      </c>
      <c r="AA409">
        <f t="shared" si="565"/>
        <v>-8000.0000000000073</v>
      </c>
      <c r="AB409">
        <f t="shared" si="566"/>
        <v>22819.99999999992</v>
      </c>
      <c r="AC409">
        <f t="shared" si="567"/>
        <v>-13337.999999999913</v>
      </c>
      <c r="AD409">
        <f t="shared" si="568"/>
        <v>-703808.00000000291</v>
      </c>
      <c r="AE409">
        <f t="shared" si="569"/>
        <v>8.0000000000000071</v>
      </c>
      <c r="AF409">
        <f t="shared" si="570"/>
        <v>352260.99999999697</v>
      </c>
      <c r="AG409">
        <f t="shared" si="571"/>
        <v>151937.99999999901</v>
      </c>
      <c r="AH409">
        <f t="shared" si="572"/>
        <v>4.9999999999999822</v>
      </c>
      <c r="AI409">
        <f t="shared" si="573"/>
        <v>0.11164176561175287</v>
      </c>
      <c r="AJ409">
        <f t="shared" si="574"/>
        <v>13903.719001239606</v>
      </c>
      <c r="AK409">
        <f t="shared" si="575"/>
        <v>-14766.533286841934</v>
      </c>
      <c r="AL409">
        <f t="shared" si="576"/>
        <v>0</v>
      </c>
      <c r="AM409" s="1">
        <f t="shared" si="577"/>
        <v>5258.1509325041961</v>
      </c>
      <c r="AN409" s="1">
        <f t="shared" si="554"/>
        <v>-189361.55171133913</v>
      </c>
      <c r="AO409">
        <f t="shared" si="555"/>
        <v>-1.4169539013385837</v>
      </c>
      <c r="AP409">
        <f t="shared" si="556"/>
        <v>2.2013065864177515</v>
      </c>
    </row>
    <row r="410" spans="1:42" x14ac:dyDescent="0.25">
      <c r="A410" s="4">
        <v>45498</v>
      </c>
      <c r="B410">
        <f t="shared" ref="B410:N410" si="596">(B960-B959)*100</f>
        <v>0.99999999999997868</v>
      </c>
      <c r="C410">
        <f t="shared" si="596"/>
        <v>-1.9999999999999574</v>
      </c>
      <c r="D410">
        <f t="shared" si="596"/>
        <v>1.0000000000000675</v>
      </c>
      <c r="E410">
        <f t="shared" si="596"/>
        <v>0</v>
      </c>
      <c r="F410">
        <f t="shared" si="596"/>
        <v>0</v>
      </c>
      <c r="G410">
        <f t="shared" si="596"/>
        <v>-0.99999999999997868</v>
      </c>
      <c r="H410">
        <f t="shared" si="596"/>
        <v>-4.0000000000000036</v>
      </c>
      <c r="I410">
        <f t="shared" si="596"/>
        <v>-1.9999999999999574</v>
      </c>
      <c r="J410">
        <f t="shared" si="596"/>
        <v>-0.99999999999997868</v>
      </c>
      <c r="K410">
        <f t="shared" si="596"/>
        <v>2.0000000000000462</v>
      </c>
      <c r="L410">
        <f t="shared" si="596"/>
        <v>1.0000000000000675</v>
      </c>
      <c r="M410">
        <f t="shared" si="596"/>
        <v>3.0000000000000249</v>
      </c>
      <c r="N410">
        <f t="shared" si="596"/>
        <v>4.0000000000000036</v>
      </c>
      <c r="O410" s="5">
        <f t="shared" si="591"/>
        <v>9.9341868346212916E-4</v>
      </c>
      <c r="P410" s="5">
        <f t="shared" si="591"/>
        <v>-2.3542542315400927E-3</v>
      </c>
      <c r="Q410" s="5">
        <f t="shared" si="591"/>
        <v>2.2157984882017643E-3</v>
      </c>
      <c r="R410" s="5">
        <f t="shared" si="591"/>
        <v>-9.3147712745473739E-3</v>
      </c>
      <c r="S410" s="5">
        <f t="shared" si="591"/>
        <v>4.4483261801957861E-3</v>
      </c>
      <c r="U410" s="4">
        <v>45498</v>
      </c>
      <c r="V410">
        <f t="shared" si="560"/>
        <v>-3999.9999999999145</v>
      </c>
      <c r="W410">
        <f t="shared" si="561"/>
        <v>4445.9999999999054</v>
      </c>
      <c r="X410">
        <f t="shared" si="562"/>
        <v>4590.0000000003101</v>
      </c>
      <c r="Y410">
        <f t="shared" si="563"/>
        <v>0</v>
      </c>
      <c r="Z410">
        <f t="shared" si="564"/>
        <v>0</v>
      </c>
      <c r="AA410">
        <f t="shared" si="565"/>
        <v>1999.9999999999573</v>
      </c>
      <c r="AB410">
        <f t="shared" si="566"/>
        <v>-18256.000000000015</v>
      </c>
      <c r="AC410">
        <f t="shared" si="567"/>
        <v>4445.9999999999054</v>
      </c>
      <c r="AD410">
        <f t="shared" si="568"/>
        <v>100543.99999999786</v>
      </c>
      <c r="AE410">
        <f t="shared" si="569"/>
        <v>2.0000000000000462</v>
      </c>
      <c r="AF410">
        <f t="shared" si="570"/>
        <v>50323.000000003398</v>
      </c>
      <c r="AG410">
        <f t="shared" si="571"/>
        <v>75969.000000000626</v>
      </c>
      <c r="AH410">
        <f t="shared" si="572"/>
        <v>4.0000000000000036</v>
      </c>
      <c r="AI410">
        <f t="shared" si="573"/>
        <v>9.9341868346212919E-2</v>
      </c>
      <c r="AJ410">
        <f t="shared" si="574"/>
        <v>23542.542315400926</v>
      </c>
      <c r="AK410">
        <f t="shared" si="575"/>
        <v>22157.984882017645</v>
      </c>
      <c r="AL410">
        <f t="shared" si="576"/>
        <v>232869.28186368436</v>
      </c>
      <c r="AM410" s="1">
        <f t="shared" si="577"/>
        <v>-44483.261801957859</v>
      </c>
      <c r="AN410" s="1">
        <f t="shared" si="554"/>
        <v>454154.64660101547</v>
      </c>
      <c r="AO410">
        <f t="shared" si="555"/>
        <v>-1.4976129726670451</v>
      </c>
      <c r="AP410">
        <f t="shared" si="556"/>
        <v>2.2309321681043417</v>
      </c>
    </row>
    <row r="411" spans="1:42" x14ac:dyDescent="0.25">
      <c r="A411" s="4">
        <v>45497</v>
      </c>
      <c r="B411">
        <f t="shared" ref="B411:N411" si="597">(B961-B960)*100</f>
        <v>-0.99999999999997868</v>
      </c>
      <c r="C411">
        <f t="shared" si="597"/>
        <v>0.99999999999997868</v>
      </c>
      <c r="D411">
        <f t="shared" si="597"/>
        <v>0.99999999999997868</v>
      </c>
      <c r="E411">
        <f t="shared" si="597"/>
        <v>0.99999999999997868</v>
      </c>
      <c r="F411">
        <f t="shared" si="597"/>
        <v>2.9999999999999361</v>
      </c>
      <c r="G411">
        <f t="shared" si="597"/>
        <v>2.9999999999999361</v>
      </c>
      <c r="H411">
        <f t="shared" si="597"/>
        <v>3.0000000000000249</v>
      </c>
      <c r="I411">
        <f t="shared" si="597"/>
        <v>1.9999999999999574</v>
      </c>
      <c r="J411">
        <f t="shared" si="597"/>
        <v>3.0000000000000249</v>
      </c>
      <c r="K411">
        <f t="shared" si="597"/>
        <v>-2.0000000000000462</v>
      </c>
      <c r="L411">
        <f t="shared" si="597"/>
        <v>-3.0000000000000249</v>
      </c>
      <c r="M411">
        <f t="shared" si="597"/>
        <v>-6.0000000000000497</v>
      </c>
      <c r="N411">
        <f t="shared" si="597"/>
        <v>-5.9999999999999609</v>
      </c>
      <c r="O411" s="5">
        <f t="shared" si="591"/>
        <v>9.6124577610484565E-3</v>
      </c>
      <c r="P411" s="5">
        <f t="shared" si="591"/>
        <v>6.2073445743337308E-3</v>
      </c>
      <c r="Q411" s="5">
        <f t="shared" si="591"/>
        <v>-2.5424770657346643E-3</v>
      </c>
      <c r="R411" s="5">
        <f t="shared" si="591"/>
        <v>5.3120974848898843E-3</v>
      </c>
      <c r="S411" s="5">
        <f t="shared" si="591"/>
        <v>1.102927202701116E-2</v>
      </c>
      <c r="U411" s="4">
        <v>45497</v>
      </c>
      <c r="V411">
        <f t="shared" si="560"/>
        <v>3999.9999999999145</v>
      </c>
      <c r="W411">
        <f t="shared" si="561"/>
        <v>-2222.9999999999527</v>
      </c>
      <c r="X411">
        <f t="shared" si="562"/>
        <v>4589.9999999999018</v>
      </c>
      <c r="Y411">
        <f t="shared" si="563"/>
        <v>-3444.9999999999268</v>
      </c>
      <c r="Z411">
        <f t="shared" si="564"/>
        <v>16304.999999999653</v>
      </c>
      <c r="AA411">
        <f t="shared" si="565"/>
        <v>-5999.9999999998718</v>
      </c>
      <c r="AB411">
        <f t="shared" si="566"/>
        <v>13692.000000000113</v>
      </c>
      <c r="AC411">
        <f t="shared" si="567"/>
        <v>-4445.9999999999054</v>
      </c>
      <c r="AD411">
        <f t="shared" si="568"/>
        <v>-301632.0000000025</v>
      </c>
      <c r="AE411">
        <f t="shared" si="569"/>
        <v>-2.0000000000000462</v>
      </c>
      <c r="AF411">
        <f t="shared" si="570"/>
        <v>-150969.00000000125</v>
      </c>
      <c r="AG411">
        <f t="shared" si="571"/>
        <v>-151938.00000000125</v>
      </c>
      <c r="AH411">
        <f t="shared" si="572"/>
        <v>-5.9999999999999609</v>
      </c>
      <c r="AI411">
        <f t="shared" si="573"/>
        <v>0.96124577610484563</v>
      </c>
      <c r="AJ411">
        <f t="shared" si="574"/>
        <v>-62073.44574333731</v>
      </c>
      <c r="AK411">
        <f t="shared" si="575"/>
        <v>-25424.770657346642</v>
      </c>
      <c r="AL411">
        <f t="shared" si="576"/>
        <v>-132802.43712224709</v>
      </c>
      <c r="AM411" s="1">
        <f t="shared" si="577"/>
        <v>-110292.7202701116</v>
      </c>
      <c r="AN411" s="1">
        <f t="shared" si="554"/>
        <v>-912666.41254727147</v>
      </c>
      <c r="AO411">
        <f t="shared" si="555"/>
        <v>3.6893094961010524</v>
      </c>
      <c r="AP411">
        <f t="shared" si="556"/>
        <v>2.2274707887680623</v>
      </c>
    </row>
    <row r="412" spans="1:42" x14ac:dyDescent="0.25">
      <c r="A412" s="4">
        <v>45496</v>
      </c>
      <c r="B412">
        <f t="shared" ref="B412:N412" si="598">(B962-B961)*100</f>
        <v>0</v>
      </c>
      <c r="C412">
        <f t="shared" si="598"/>
        <v>0</v>
      </c>
      <c r="D412">
        <f t="shared" si="598"/>
        <v>1.9999999999999574</v>
      </c>
      <c r="E412">
        <f t="shared" si="598"/>
        <v>0.99999999999997868</v>
      </c>
      <c r="F412">
        <f t="shared" si="598"/>
        <v>2.0000000000000462</v>
      </c>
      <c r="G412">
        <f t="shared" si="598"/>
        <v>3.0000000000000249</v>
      </c>
      <c r="H412">
        <f t="shared" si="598"/>
        <v>9.9999999999999645</v>
      </c>
      <c r="I412">
        <f t="shared" si="598"/>
        <v>3.0000000000000249</v>
      </c>
      <c r="J412">
        <f t="shared" si="598"/>
        <v>1.9999999999999574</v>
      </c>
      <c r="K412">
        <f t="shared" si="598"/>
        <v>2.0000000000000462</v>
      </c>
      <c r="L412">
        <f t="shared" si="598"/>
        <v>0.99999999999997868</v>
      </c>
      <c r="M412">
        <f t="shared" si="598"/>
        <v>1.0000000000000675</v>
      </c>
      <c r="N412">
        <f t="shared" si="598"/>
        <v>0</v>
      </c>
      <c r="O412" s="5">
        <f t="shared" si="591"/>
        <v>3.7522822506491E-3</v>
      </c>
      <c r="P412" s="5">
        <f t="shared" si="591"/>
        <v>4.8686195663446069E-3</v>
      </c>
      <c r="Q412" s="5">
        <f t="shared" si="591"/>
        <v>5.631674744780382E-3</v>
      </c>
      <c r="R412" s="5">
        <f t="shared" si="591"/>
        <v>0</v>
      </c>
      <c r="S412" s="5">
        <f t="shared" si="591"/>
        <v>1.2639396395824284E-2</v>
      </c>
      <c r="U412" s="4">
        <v>45496</v>
      </c>
      <c r="V412">
        <f t="shared" si="560"/>
        <v>0</v>
      </c>
      <c r="W412">
        <f t="shared" si="561"/>
        <v>0</v>
      </c>
      <c r="X412">
        <f t="shared" si="562"/>
        <v>9179.9999999998035</v>
      </c>
      <c r="Y412">
        <f t="shared" si="563"/>
        <v>-3444.9999999999268</v>
      </c>
      <c r="Z412">
        <f t="shared" si="564"/>
        <v>10870.000000000251</v>
      </c>
      <c r="AA412">
        <f t="shared" si="565"/>
        <v>-6000.00000000005</v>
      </c>
      <c r="AB412">
        <f t="shared" si="566"/>
        <v>45639.99999999984</v>
      </c>
      <c r="AC412">
        <f t="shared" si="567"/>
        <v>-6669.0000000000555</v>
      </c>
      <c r="AD412">
        <f t="shared" si="568"/>
        <v>-201087.99999999572</v>
      </c>
      <c r="AE412">
        <f t="shared" si="569"/>
        <v>2.0000000000000462</v>
      </c>
      <c r="AF412">
        <f t="shared" si="570"/>
        <v>50322.99999999893</v>
      </c>
      <c r="AG412">
        <f t="shared" si="571"/>
        <v>25323.00000000171</v>
      </c>
      <c r="AH412">
        <f t="shared" si="572"/>
        <v>0</v>
      </c>
      <c r="AI412">
        <f t="shared" si="573"/>
        <v>0.37522822506490999</v>
      </c>
      <c r="AJ412">
        <f t="shared" si="574"/>
        <v>-48686.195663446066</v>
      </c>
      <c r="AK412">
        <f t="shared" si="575"/>
        <v>56316.74744780382</v>
      </c>
      <c r="AL412">
        <f t="shared" si="576"/>
        <v>0</v>
      </c>
      <c r="AM412" s="1">
        <f t="shared" si="577"/>
        <v>-126393.96395824284</v>
      </c>
      <c r="AN412" s="1">
        <f t="shared" si="554"/>
        <v>-194627.03694565524</v>
      </c>
      <c r="AO412">
        <f t="shared" si="555"/>
        <v>-1.9555188502528384</v>
      </c>
      <c r="AP412">
        <f t="shared" si="556"/>
        <v>2.0665646057769642</v>
      </c>
    </row>
    <row r="413" spans="1:42" x14ac:dyDescent="0.25">
      <c r="A413" s="4">
        <v>45495</v>
      </c>
      <c r="B413">
        <f t="shared" ref="B413:N413" si="599">(B963-B962)*100</f>
        <v>-0.99999999999997868</v>
      </c>
      <c r="C413">
        <f t="shared" si="599"/>
        <v>0.99999999999997868</v>
      </c>
      <c r="D413">
        <f t="shared" si="599"/>
        <v>0</v>
      </c>
      <c r="E413">
        <f t="shared" si="599"/>
        <v>0</v>
      </c>
      <c r="F413">
        <f t="shared" si="599"/>
        <v>0</v>
      </c>
      <c r="G413">
        <f t="shared" si="599"/>
        <v>-0.99999999999997868</v>
      </c>
      <c r="H413">
        <f t="shared" si="599"/>
        <v>-0.99999999999997868</v>
      </c>
      <c r="I413">
        <f t="shared" si="599"/>
        <v>-0.99999999999997868</v>
      </c>
      <c r="J413">
        <f t="shared" si="599"/>
        <v>-0.99999999999997868</v>
      </c>
      <c r="K413">
        <f t="shared" si="599"/>
        <v>-2.0000000000000462</v>
      </c>
      <c r="L413">
        <f t="shared" si="599"/>
        <v>-0.99999999999997868</v>
      </c>
      <c r="M413">
        <f t="shared" si="599"/>
        <v>-2.0000000000000462</v>
      </c>
      <c r="N413">
        <f t="shared" si="599"/>
        <v>-3.0000000000000249</v>
      </c>
      <c r="O413" s="5">
        <f t="shared" si="591"/>
        <v>9.8978727655886891E-4</v>
      </c>
      <c r="P413" s="5">
        <f t="shared" si="591"/>
        <v>-1.0556027016596945E-2</v>
      </c>
      <c r="Q413" s="5">
        <f t="shared" si="591"/>
        <v>3.8430553901826416E-3</v>
      </c>
      <c r="R413" s="5">
        <f t="shared" si="591"/>
        <v>7.9925407211977662E-4</v>
      </c>
      <c r="S413" s="5">
        <f t="shared" si="591"/>
        <v>-7.8671710168195449E-3</v>
      </c>
      <c r="U413" s="4">
        <v>45495</v>
      </c>
      <c r="V413">
        <f t="shared" si="560"/>
        <v>3999.9999999999145</v>
      </c>
      <c r="W413">
        <f t="shared" si="561"/>
        <v>-2222.9999999999527</v>
      </c>
      <c r="X413">
        <f t="shared" si="562"/>
        <v>0</v>
      </c>
      <c r="Y413">
        <f t="shared" si="563"/>
        <v>0</v>
      </c>
      <c r="Z413">
        <f t="shared" si="564"/>
        <v>0</v>
      </c>
      <c r="AA413">
        <f t="shared" si="565"/>
        <v>1999.9999999999573</v>
      </c>
      <c r="AB413">
        <f t="shared" si="566"/>
        <v>-4563.9999999999027</v>
      </c>
      <c r="AC413">
        <f t="shared" si="567"/>
        <v>2222.9999999999527</v>
      </c>
      <c r="AD413">
        <f t="shared" si="568"/>
        <v>100543.99999999786</v>
      </c>
      <c r="AE413">
        <f t="shared" si="569"/>
        <v>-2.0000000000000462</v>
      </c>
      <c r="AF413">
        <f t="shared" si="570"/>
        <v>-50322.99999999893</v>
      </c>
      <c r="AG413">
        <f t="shared" si="571"/>
        <v>-50646.000000001171</v>
      </c>
      <c r="AH413">
        <f t="shared" si="572"/>
        <v>-3.0000000000000249</v>
      </c>
      <c r="AI413">
        <f t="shared" si="573"/>
        <v>9.8978727655886889E-2</v>
      </c>
      <c r="AJ413">
        <f t="shared" si="574"/>
        <v>105560.27016596946</v>
      </c>
      <c r="AK413">
        <f t="shared" si="575"/>
        <v>38430.553901826417</v>
      </c>
      <c r="AL413">
        <f t="shared" si="576"/>
        <v>-19981.351802994417</v>
      </c>
      <c r="AM413" s="1">
        <f t="shared" si="577"/>
        <v>78671.710168195452</v>
      </c>
      <c r="AN413" s="1">
        <f t="shared" si="554"/>
        <v>203687.2814117223</v>
      </c>
      <c r="AO413">
        <f t="shared" si="555"/>
        <v>-4.8246569539699857E-2</v>
      </c>
      <c r="AP413">
        <f t="shared" si="556"/>
        <v>2.5215192913610815</v>
      </c>
    </row>
    <row r="414" spans="1:42" x14ac:dyDescent="0.25">
      <c r="A414" s="4">
        <v>45492</v>
      </c>
      <c r="B414">
        <f t="shared" ref="B414:N414" si="600">(B964-B963)*100</f>
        <v>0</v>
      </c>
      <c r="C414">
        <f t="shared" si="600"/>
        <v>0</v>
      </c>
      <c r="D414">
        <f t="shared" si="600"/>
        <v>0</v>
      </c>
      <c r="E414">
        <f t="shared" si="600"/>
        <v>1.0000000000000675</v>
      </c>
      <c r="F414">
        <f t="shared" si="600"/>
        <v>-0.99999999999997868</v>
      </c>
      <c r="G414">
        <f t="shared" si="600"/>
        <v>-0.99999999999997868</v>
      </c>
      <c r="H414">
        <f t="shared" si="600"/>
        <v>-3.0000000000000249</v>
      </c>
      <c r="I414">
        <f t="shared" si="600"/>
        <v>-4.0000000000000036</v>
      </c>
      <c r="J414">
        <f t="shared" si="600"/>
        <v>-4.9999999999999822</v>
      </c>
      <c r="K414">
        <f t="shared" si="600"/>
        <v>-4.0000000000000036</v>
      </c>
      <c r="L414">
        <f t="shared" si="600"/>
        <v>-4.9999999999999822</v>
      </c>
      <c r="M414">
        <f t="shared" si="600"/>
        <v>-4.0000000000000036</v>
      </c>
      <c r="N414">
        <f t="shared" si="600"/>
        <v>-4.0000000000000036</v>
      </c>
      <c r="O414" s="5">
        <f t="shared" si="591"/>
        <v>2.1088118266286847E-3</v>
      </c>
      <c r="P414" s="5">
        <f t="shared" si="591"/>
        <v>-1.7567956614776684E-3</v>
      </c>
      <c r="Q414" s="5">
        <f t="shared" si="591"/>
        <v>1.9591832092298294E-2</v>
      </c>
      <c r="R414" s="5">
        <f t="shared" si="591"/>
        <v>3.2034197175376438E-3</v>
      </c>
      <c r="S414" s="5">
        <f t="shared" si="591"/>
        <v>5.7513337482291028E-3</v>
      </c>
      <c r="U414" s="4">
        <v>45492</v>
      </c>
      <c r="V414">
        <f t="shared" si="560"/>
        <v>0</v>
      </c>
      <c r="W414">
        <f t="shared" si="561"/>
        <v>0</v>
      </c>
      <c r="X414">
        <f t="shared" si="562"/>
        <v>0</v>
      </c>
      <c r="Y414">
        <f t="shared" si="563"/>
        <v>-3445.0000000002324</v>
      </c>
      <c r="Z414">
        <f t="shared" si="564"/>
        <v>-5434.9999999998845</v>
      </c>
      <c r="AA414">
        <f t="shared" si="565"/>
        <v>1999.9999999999573</v>
      </c>
      <c r="AB414">
        <f t="shared" si="566"/>
        <v>-13692.000000000113</v>
      </c>
      <c r="AC414">
        <f t="shared" si="567"/>
        <v>8892.0000000000073</v>
      </c>
      <c r="AD414">
        <f t="shared" si="568"/>
        <v>502719.9999999982</v>
      </c>
      <c r="AE414">
        <f t="shared" si="569"/>
        <v>-4.0000000000000036</v>
      </c>
      <c r="AF414">
        <f t="shared" si="570"/>
        <v>-251614.9999999991</v>
      </c>
      <c r="AG414">
        <f t="shared" si="571"/>
        <v>-101292.00000000009</v>
      </c>
      <c r="AH414">
        <f t="shared" si="572"/>
        <v>-4.0000000000000036</v>
      </c>
      <c r="AI414">
        <f t="shared" si="573"/>
        <v>0.21088118266286848</v>
      </c>
      <c r="AJ414">
        <f t="shared" si="574"/>
        <v>17567.956614776685</v>
      </c>
      <c r="AK414">
        <f t="shared" si="575"/>
        <v>195918.32092298294</v>
      </c>
      <c r="AL414">
        <f t="shared" si="576"/>
        <v>-80085.492938441093</v>
      </c>
      <c r="AM414" s="1">
        <f t="shared" si="577"/>
        <v>-57513.337482291026</v>
      </c>
      <c r="AN414" s="1">
        <f t="shared" si="554"/>
        <v>214012.65799820889</v>
      </c>
      <c r="AO414">
        <f t="shared" si="555"/>
        <v>-2.1277771911792454</v>
      </c>
      <c r="AP414">
        <f t="shared" si="556"/>
        <v>2.5136901824955378</v>
      </c>
    </row>
    <row r="415" spans="1:42" x14ac:dyDescent="0.25">
      <c r="A415" s="4">
        <v>45491</v>
      </c>
      <c r="B415">
        <f t="shared" ref="B415:N415" si="601">(B965-B964)*100</f>
        <v>-1.0000000000000675</v>
      </c>
      <c r="C415">
        <f t="shared" si="601"/>
        <v>-1.9999999999999574</v>
      </c>
      <c r="D415">
        <f t="shared" si="601"/>
        <v>0</v>
      </c>
      <c r="E415">
        <f t="shared" si="601"/>
        <v>0</v>
      </c>
      <c r="F415">
        <f t="shared" si="601"/>
        <v>0</v>
      </c>
      <c r="G415">
        <f t="shared" si="601"/>
        <v>-1.0000000000000675</v>
      </c>
      <c r="H415">
        <f t="shared" si="601"/>
        <v>-4.0000000000000036</v>
      </c>
      <c r="I415">
        <f t="shared" si="601"/>
        <v>-4.9999999999999822</v>
      </c>
      <c r="J415">
        <f t="shared" si="601"/>
        <v>-4.0000000000000036</v>
      </c>
      <c r="K415">
        <f t="shared" si="601"/>
        <v>-4.9999999999999822</v>
      </c>
      <c r="L415">
        <f t="shared" si="601"/>
        <v>-4.0000000000000036</v>
      </c>
      <c r="M415">
        <f t="shared" si="601"/>
        <v>-4.9999999999999822</v>
      </c>
      <c r="N415">
        <f t="shared" si="601"/>
        <v>-4.0000000000000036</v>
      </c>
      <c r="O415" s="5">
        <f t="shared" ref="O415:S424" si="602">LN(O964/O965)</f>
        <v>1.373443335355049E-2</v>
      </c>
      <c r="P415" s="5">
        <f t="shared" si="602"/>
        <v>1.2262767617497549E-2</v>
      </c>
      <c r="Q415" s="5">
        <f t="shared" si="602"/>
        <v>1.213525013867987E-2</v>
      </c>
      <c r="R415" s="5">
        <f t="shared" si="602"/>
        <v>4.8244532063816611E-3</v>
      </c>
      <c r="S415" s="5">
        <f t="shared" si="602"/>
        <v>1.4544488562141149E-2</v>
      </c>
      <c r="U415" s="4">
        <v>45491</v>
      </c>
      <c r="V415">
        <f t="shared" si="560"/>
        <v>4000.0000000002701</v>
      </c>
      <c r="W415">
        <f t="shared" si="561"/>
        <v>4445.9999999999054</v>
      </c>
      <c r="X415">
        <f t="shared" si="562"/>
        <v>0</v>
      </c>
      <c r="Y415">
        <f t="shared" si="563"/>
        <v>0</v>
      </c>
      <c r="Z415">
        <f t="shared" si="564"/>
        <v>0</v>
      </c>
      <c r="AA415">
        <f t="shared" si="565"/>
        <v>2000.0000000001351</v>
      </c>
      <c r="AB415">
        <f t="shared" si="566"/>
        <v>-18256.000000000015</v>
      </c>
      <c r="AC415">
        <f t="shared" si="567"/>
        <v>11114.99999999996</v>
      </c>
      <c r="AD415">
        <f t="shared" si="568"/>
        <v>402176.00000000035</v>
      </c>
      <c r="AE415">
        <f t="shared" si="569"/>
        <v>-4.9999999999999822</v>
      </c>
      <c r="AF415">
        <f t="shared" si="570"/>
        <v>-201292.00000000017</v>
      </c>
      <c r="AG415">
        <f t="shared" si="571"/>
        <v>-126614.99999999955</v>
      </c>
      <c r="AH415">
        <f t="shared" si="572"/>
        <v>-4.0000000000000036</v>
      </c>
      <c r="AI415">
        <f t="shared" si="573"/>
        <v>1.373443335355049</v>
      </c>
      <c r="AJ415">
        <f t="shared" si="574"/>
        <v>-122627.67617497548</v>
      </c>
      <c r="AK415">
        <f t="shared" si="575"/>
        <v>121352.5013867987</v>
      </c>
      <c r="AL415">
        <f t="shared" si="576"/>
        <v>-120611.33015954153</v>
      </c>
      <c r="AM415" s="1">
        <f t="shared" si="577"/>
        <v>-145444.88562141149</v>
      </c>
      <c r="AN415" s="1">
        <f t="shared" si="554"/>
        <v>-189765.01712579359</v>
      </c>
      <c r="AO415">
        <f t="shared" si="555"/>
        <v>-0.21466017752655209</v>
      </c>
      <c r="AP415">
        <f t="shared" si="556"/>
        <v>2.5065745325871602</v>
      </c>
    </row>
    <row r="416" spans="1:42" x14ac:dyDescent="0.25">
      <c r="A416" s="4">
        <v>45490</v>
      </c>
      <c r="B416">
        <f t="shared" ref="B416:N416" si="603">(B966-B965)*100</f>
        <v>1.0000000000000675</v>
      </c>
      <c r="C416">
        <f t="shared" si="603"/>
        <v>0</v>
      </c>
      <c r="D416">
        <f t="shared" si="603"/>
        <v>0</v>
      </c>
      <c r="E416">
        <f t="shared" si="603"/>
        <v>0</v>
      </c>
      <c r="F416">
        <f t="shared" si="603"/>
        <v>0</v>
      </c>
      <c r="G416">
        <f t="shared" si="603"/>
        <v>0</v>
      </c>
      <c r="H416">
        <f t="shared" si="603"/>
        <v>0.99999999999997868</v>
      </c>
      <c r="I416">
        <f t="shared" si="603"/>
        <v>1.9999999999999574</v>
      </c>
      <c r="J416">
        <f t="shared" si="603"/>
        <v>1.9999999999999574</v>
      </c>
      <c r="K416">
        <f t="shared" si="603"/>
        <v>2.0000000000000462</v>
      </c>
      <c r="L416">
        <f t="shared" si="603"/>
        <v>0.99999999999997868</v>
      </c>
      <c r="M416">
        <f t="shared" si="603"/>
        <v>2.0000000000000462</v>
      </c>
      <c r="N416">
        <f t="shared" si="603"/>
        <v>0.99999999999997868</v>
      </c>
      <c r="O416" s="5">
        <f t="shared" si="602"/>
        <v>7.2702224063390048E-3</v>
      </c>
      <c r="P416" s="5">
        <f t="shared" si="602"/>
        <v>2.8194977419519268E-3</v>
      </c>
      <c r="Q416" s="5">
        <f t="shared" si="602"/>
        <v>7.1392093886947896E-4</v>
      </c>
      <c r="R416" s="5">
        <f t="shared" si="602"/>
        <v>2.9597761415984108E-3</v>
      </c>
      <c r="S416" s="5">
        <f t="shared" si="602"/>
        <v>4.2586828533555561E-3</v>
      </c>
      <c r="U416" s="4">
        <v>45490</v>
      </c>
      <c r="V416">
        <f t="shared" si="560"/>
        <v>-4000.0000000002701</v>
      </c>
      <c r="W416">
        <f t="shared" si="561"/>
        <v>0</v>
      </c>
      <c r="X416">
        <f t="shared" si="562"/>
        <v>0</v>
      </c>
      <c r="Y416">
        <f t="shared" si="563"/>
        <v>0</v>
      </c>
      <c r="Z416">
        <f t="shared" si="564"/>
        <v>0</v>
      </c>
      <c r="AA416">
        <f t="shared" si="565"/>
        <v>0</v>
      </c>
      <c r="AB416">
        <f t="shared" si="566"/>
        <v>4563.9999999999027</v>
      </c>
      <c r="AC416">
        <f t="shared" si="567"/>
        <v>-4445.9999999999054</v>
      </c>
      <c r="AD416">
        <f t="shared" si="568"/>
        <v>-201087.99999999572</v>
      </c>
      <c r="AE416">
        <f t="shared" si="569"/>
        <v>2.0000000000000462</v>
      </c>
      <c r="AF416">
        <f t="shared" si="570"/>
        <v>50322.99999999893</v>
      </c>
      <c r="AG416">
        <f t="shared" si="571"/>
        <v>50646.000000001171</v>
      </c>
      <c r="AH416">
        <f t="shared" si="572"/>
        <v>0.99999999999997868</v>
      </c>
      <c r="AI416">
        <f t="shared" si="573"/>
        <v>0.72702224063390053</v>
      </c>
      <c r="AJ416">
        <f t="shared" si="574"/>
        <v>-28194.977419519269</v>
      </c>
      <c r="AK416">
        <f t="shared" si="575"/>
        <v>7139.2093886947896</v>
      </c>
      <c r="AL416">
        <f t="shared" si="576"/>
        <v>-73994.403539960273</v>
      </c>
      <c r="AM416" s="1">
        <f t="shared" si="577"/>
        <v>-42586.828533555563</v>
      </c>
      <c r="AN416" s="1">
        <f t="shared" si="554"/>
        <v>-241634.27308209558</v>
      </c>
      <c r="AO416">
        <f t="shared" si="555"/>
        <v>-2.9260534934161431</v>
      </c>
      <c r="AP416">
        <f t="shared" si="556"/>
        <v>2.5150765872418157</v>
      </c>
    </row>
    <row r="417" spans="1:42" x14ac:dyDescent="0.25">
      <c r="A417" s="4">
        <v>45489</v>
      </c>
      <c r="B417">
        <f t="shared" ref="B417:N417" si="604">(B967-B966)*100</f>
        <v>0</v>
      </c>
      <c r="C417">
        <f t="shared" si="604"/>
        <v>0.99999999999997868</v>
      </c>
      <c r="D417">
        <f t="shared" si="604"/>
        <v>0</v>
      </c>
      <c r="E417">
        <f t="shared" si="604"/>
        <v>0</v>
      </c>
      <c r="F417">
        <f t="shared" si="604"/>
        <v>0</v>
      </c>
      <c r="G417">
        <f t="shared" si="604"/>
        <v>0</v>
      </c>
      <c r="H417">
        <f t="shared" si="604"/>
        <v>1.0000000000000675</v>
      </c>
      <c r="I417">
        <f t="shared" si="604"/>
        <v>2.0000000000000462</v>
      </c>
      <c r="J417">
        <f t="shared" si="604"/>
        <v>4.0000000000000036</v>
      </c>
      <c r="K417">
        <f t="shared" si="604"/>
        <v>4.9999999999999822</v>
      </c>
      <c r="L417">
        <f t="shared" si="604"/>
        <v>6.0000000000000497</v>
      </c>
      <c r="M417">
        <f t="shared" si="604"/>
        <v>7.9999999999999183</v>
      </c>
      <c r="N417">
        <f t="shared" si="604"/>
        <v>8.0000000000000071</v>
      </c>
      <c r="O417" s="5">
        <f t="shared" si="602"/>
        <v>-5.3109992430714556E-3</v>
      </c>
      <c r="P417" s="5">
        <f t="shared" si="602"/>
        <v>9.0255368072863548E-3</v>
      </c>
      <c r="Q417" s="5">
        <f t="shared" si="602"/>
        <v>0</v>
      </c>
      <c r="R417" s="5">
        <f t="shared" si="602"/>
        <v>-1.8845072207917949E-3</v>
      </c>
      <c r="S417" s="5">
        <f t="shared" si="602"/>
        <v>-6.8344858336977319E-3</v>
      </c>
      <c r="U417" s="4">
        <v>45489</v>
      </c>
      <c r="V417">
        <f t="shared" si="560"/>
        <v>0</v>
      </c>
      <c r="W417">
        <f t="shared" si="561"/>
        <v>-2222.9999999999527</v>
      </c>
      <c r="X417">
        <f t="shared" si="562"/>
        <v>0</v>
      </c>
      <c r="Y417">
        <f t="shared" si="563"/>
        <v>0</v>
      </c>
      <c r="Z417">
        <f t="shared" si="564"/>
        <v>0</v>
      </c>
      <c r="AA417">
        <f t="shared" si="565"/>
        <v>0</v>
      </c>
      <c r="AB417">
        <f t="shared" si="566"/>
        <v>4564.0000000003083</v>
      </c>
      <c r="AC417">
        <f t="shared" si="567"/>
        <v>-4446.0000000001028</v>
      </c>
      <c r="AD417">
        <f t="shared" si="568"/>
        <v>-402176.00000000035</v>
      </c>
      <c r="AE417">
        <f t="shared" si="569"/>
        <v>4.9999999999999822</v>
      </c>
      <c r="AF417">
        <f t="shared" si="570"/>
        <v>301938.0000000025</v>
      </c>
      <c r="AG417">
        <f t="shared" si="571"/>
        <v>202583.99999999793</v>
      </c>
      <c r="AH417">
        <f t="shared" si="572"/>
        <v>8.0000000000000071</v>
      </c>
      <c r="AI417">
        <f t="shared" si="573"/>
        <v>-0.53109992430714559</v>
      </c>
      <c r="AJ417">
        <f t="shared" si="574"/>
        <v>-90255.368072863552</v>
      </c>
      <c r="AK417">
        <f t="shared" si="575"/>
        <v>0</v>
      </c>
      <c r="AL417">
        <f t="shared" si="576"/>
        <v>47112.680519794871</v>
      </c>
      <c r="AM417" s="1">
        <f t="shared" si="577"/>
        <v>68344.858336977326</v>
      </c>
      <c r="AN417" s="1">
        <f t="shared" si="554"/>
        <v>125455.63968398466</v>
      </c>
      <c r="AO417">
        <f t="shared" si="555"/>
        <v>-1.6282406963750304</v>
      </c>
      <c r="AP417">
        <f t="shared" si="556"/>
        <v>2.4748290794075567</v>
      </c>
    </row>
    <row r="418" spans="1:42" x14ac:dyDescent="0.25">
      <c r="A418" s="4">
        <v>45488</v>
      </c>
      <c r="B418">
        <f t="shared" ref="B418:N418" si="605">(B968-B967)*100</f>
        <v>-1.0000000000000675</v>
      </c>
      <c r="C418">
        <f t="shared" si="605"/>
        <v>0.99999999999997868</v>
      </c>
      <c r="D418">
        <f t="shared" si="605"/>
        <v>0</v>
      </c>
      <c r="E418">
        <f t="shared" si="605"/>
        <v>0.99999999999997868</v>
      </c>
      <c r="F418">
        <f t="shared" si="605"/>
        <v>0</v>
      </c>
      <c r="G418">
        <f t="shared" si="605"/>
        <v>2.0000000000000462</v>
      </c>
      <c r="H418">
        <f t="shared" si="605"/>
        <v>0.99999999999997868</v>
      </c>
      <c r="I418">
        <f t="shared" si="605"/>
        <v>-1.0000000000000675</v>
      </c>
      <c r="J418">
        <f t="shared" si="605"/>
        <v>-3.0000000000000249</v>
      </c>
      <c r="K418">
        <f t="shared" si="605"/>
        <v>-3.0000000000000249</v>
      </c>
      <c r="L418">
        <f t="shared" si="605"/>
        <v>-5.0000000000000711</v>
      </c>
      <c r="M418">
        <f t="shared" si="605"/>
        <v>-5.9999999999999609</v>
      </c>
      <c r="N418">
        <f t="shared" si="605"/>
        <v>-7.0000000000000284</v>
      </c>
      <c r="O418" s="5">
        <f t="shared" si="602"/>
        <v>6.2336140478114037E-4</v>
      </c>
      <c r="P418" s="5">
        <f t="shared" si="602"/>
        <v>6.5298265454744112E-3</v>
      </c>
      <c r="Q418" s="5">
        <f t="shared" si="602"/>
        <v>1.341352328038975E-3</v>
      </c>
      <c r="R418" s="5">
        <f t="shared" si="602"/>
        <v>-1.3439055913275063E-3</v>
      </c>
      <c r="S418" s="5">
        <f t="shared" si="602"/>
        <v>8.0594549373146779E-3</v>
      </c>
      <c r="U418" s="4">
        <v>45488</v>
      </c>
      <c r="V418">
        <f t="shared" si="560"/>
        <v>4000.0000000002701</v>
      </c>
      <c r="W418">
        <f t="shared" si="561"/>
        <v>-2222.9999999999527</v>
      </c>
      <c r="X418">
        <f t="shared" si="562"/>
        <v>0</v>
      </c>
      <c r="Y418">
        <f t="shared" si="563"/>
        <v>-3444.9999999999268</v>
      </c>
      <c r="Z418">
        <f t="shared" si="564"/>
        <v>0</v>
      </c>
      <c r="AA418">
        <f t="shared" si="565"/>
        <v>-4000.0000000000923</v>
      </c>
      <c r="AB418">
        <f t="shared" si="566"/>
        <v>4563.9999999999027</v>
      </c>
      <c r="AC418">
        <f t="shared" si="567"/>
        <v>2223.0000000001501</v>
      </c>
      <c r="AD418">
        <f t="shared" si="568"/>
        <v>301632.0000000025</v>
      </c>
      <c r="AE418">
        <f t="shared" si="569"/>
        <v>-3.0000000000000249</v>
      </c>
      <c r="AF418">
        <f t="shared" si="570"/>
        <v>-251615.00000000358</v>
      </c>
      <c r="AG418">
        <f t="shared" si="571"/>
        <v>-151937.99999999901</v>
      </c>
      <c r="AH418">
        <f t="shared" si="572"/>
        <v>-7.0000000000000284</v>
      </c>
      <c r="AI418">
        <f t="shared" si="573"/>
        <v>6.233614047811404E-2</v>
      </c>
      <c r="AJ418">
        <f t="shared" si="574"/>
        <v>-65298.265454744113</v>
      </c>
      <c r="AK418">
        <f t="shared" si="575"/>
        <v>13413.523280389749</v>
      </c>
      <c r="AL418">
        <f t="shared" si="576"/>
        <v>33597.63978318766</v>
      </c>
      <c r="AM418" s="1">
        <f t="shared" si="577"/>
        <v>-80594.549373146772</v>
      </c>
      <c r="AN418" s="1">
        <f t="shared" si="554"/>
        <v>-199693.58942817274</v>
      </c>
      <c r="AO418">
        <f t="shared" si="555"/>
        <v>-2.0368874105615915</v>
      </c>
      <c r="AP418">
        <f t="shared" si="556"/>
        <v>2.4741423246177119</v>
      </c>
    </row>
    <row r="419" spans="1:42" x14ac:dyDescent="0.25">
      <c r="A419" s="4">
        <v>45485</v>
      </c>
      <c r="B419">
        <f t="shared" ref="B419:N419" si="606">(B969-B968)*100</f>
        <v>1.0000000000000675</v>
      </c>
      <c r="C419">
        <f t="shared" si="606"/>
        <v>1.0000000000000675</v>
      </c>
      <c r="D419">
        <f t="shared" si="606"/>
        <v>1.0000000000000675</v>
      </c>
      <c r="E419">
        <f t="shared" si="606"/>
        <v>0</v>
      </c>
      <c r="F419">
        <f t="shared" si="606"/>
        <v>1.9999999999999574</v>
      </c>
      <c r="G419">
        <f t="shared" si="606"/>
        <v>4.0000000000000036</v>
      </c>
      <c r="H419">
        <f t="shared" si="606"/>
        <v>4.9999999999999822</v>
      </c>
      <c r="I419">
        <f t="shared" si="606"/>
        <v>4.0000000000000036</v>
      </c>
      <c r="J419">
        <f t="shared" si="606"/>
        <v>3.0000000000000249</v>
      </c>
      <c r="K419">
        <f t="shared" si="606"/>
        <v>2.0000000000000462</v>
      </c>
      <c r="L419">
        <f t="shared" si="606"/>
        <v>2.0000000000000462</v>
      </c>
      <c r="M419">
        <f t="shared" si="606"/>
        <v>0.99999999999997868</v>
      </c>
      <c r="N419">
        <f t="shared" si="606"/>
        <v>2.0000000000000462</v>
      </c>
      <c r="O419" s="5">
        <f t="shared" si="602"/>
        <v>7.8989206806215524E-3</v>
      </c>
      <c r="P419" s="5">
        <f t="shared" si="602"/>
        <v>-1.4814710917117672E-2</v>
      </c>
      <c r="Q419" s="5">
        <f t="shared" si="602"/>
        <v>-1.0876689747794084E-2</v>
      </c>
      <c r="R419" s="5">
        <f t="shared" si="602"/>
        <v>-8.8247664554366567E-3</v>
      </c>
      <c r="S419" s="5">
        <f t="shared" si="602"/>
        <v>-9.3083299871247038E-3</v>
      </c>
      <c r="U419" s="4">
        <v>45485</v>
      </c>
      <c r="V419">
        <f t="shared" si="560"/>
        <v>-4000.0000000002701</v>
      </c>
      <c r="W419">
        <f t="shared" si="561"/>
        <v>-2223.0000000001501</v>
      </c>
      <c r="X419">
        <f t="shared" si="562"/>
        <v>4590.0000000003101</v>
      </c>
      <c r="Y419">
        <f t="shared" si="563"/>
        <v>0</v>
      </c>
      <c r="Z419">
        <f t="shared" si="564"/>
        <v>10869.999999999769</v>
      </c>
      <c r="AA419">
        <f t="shared" si="565"/>
        <v>-8000.0000000000073</v>
      </c>
      <c r="AB419">
        <f t="shared" si="566"/>
        <v>22819.99999999992</v>
      </c>
      <c r="AC419">
        <f t="shared" si="567"/>
        <v>-8892.0000000000073</v>
      </c>
      <c r="AD419">
        <f t="shared" si="568"/>
        <v>-301632.0000000025</v>
      </c>
      <c r="AE419">
        <f t="shared" si="569"/>
        <v>2.0000000000000462</v>
      </c>
      <c r="AF419">
        <f t="shared" si="570"/>
        <v>100646.00000000233</v>
      </c>
      <c r="AG419">
        <f t="shared" si="571"/>
        <v>25322.999999999462</v>
      </c>
      <c r="AH419">
        <f t="shared" si="572"/>
        <v>2.0000000000000462</v>
      </c>
      <c r="AI419">
        <f t="shared" si="573"/>
        <v>0.78989206806215528</v>
      </c>
      <c r="AJ419">
        <f t="shared" si="574"/>
        <v>148147.10917117671</v>
      </c>
      <c r="AK419">
        <f t="shared" si="575"/>
        <v>-108766.89747794083</v>
      </c>
      <c r="AL419">
        <f t="shared" si="576"/>
        <v>220619.16138591641</v>
      </c>
      <c r="AM419" s="1">
        <f t="shared" si="577"/>
        <v>93083.299871247043</v>
      </c>
      <c r="AN419" s="1">
        <f t="shared" si="554"/>
        <v>192589.46284246631</v>
      </c>
      <c r="AO419">
        <f t="shared" si="555"/>
        <v>-1.4100018495095161</v>
      </c>
      <c r="AP419">
        <f t="shared" si="556"/>
        <v>2.4879316943853782</v>
      </c>
    </row>
    <row r="420" spans="1:42" x14ac:dyDescent="0.25">
      <c r="A420" s="4">
        <v>45484</v>
      </c>
      <c r="B420">
        <f t="shared" ref="B420:N420" si="607">(B970-B969)*100</f>
        <v>-2.0000000000000462</v>
      </c>
      <c r="C420">
        <f t="shared" si="607"/>
        <v>-3.0000000000000249</v>
      </c>
      <c r="D420">
        <f t="shared" si="607"/>
        <v>1.9999999999999574</v>
      </c>
      <c r="E420">
        <f t="shared" si="607"/>
        <v>4.9999999999999822</v>
      </c>
      <c r="F420">
        <f t="shared" si="607"/>
        <v>8.0000000000000071</v>
      </c>
      <c r="G420">
        <f t="shared" si="607"/>
        <v>9.9999999999999645</v>
      </c>
      <c r="H420">
        <f t="shared" si="607"/>
        <v>12.000000000000011</v>
      </c>
      <c r="I420">
        <f t="shared" si="607"/>
        <v>12.000000000000011</v>
      </c>
      <c r="J420">
        <f t="shared" si="607"/>
        <v>11.000000000000032</v>
      </c>
      <c r="K420">
        <f t="shared" si="607"/>
        <v>8.9999999999999858</v>
      </c>
      <c r="L420">
        <f t="shared" si="607"/>
        <v>8.0000000000000071</v>
      </c>
      <c r="M420">
        <f t="shared" si="607"/>
        <v>7.0000000000000284</v>
      </c>
      <c r="N420">
        <f t="shared" si="607"/>
        <v>5.9999999999999609</v>
      </c>
      <c r="O420" s="5">
        <f t="shared" si="602"/>
        <v>2.4615738732336329E-3</v>
      </c>
      <c r="P420" s="5">
        <f t="shared" si="602"/>
        <v>3.3964432927361425E-3</v>
      </c>
      <c r="Q420" s="5">
        <f t="shared" si="602"/>
        <v>-1.453160615483896E-2</v>
      </c>
      <c r="R420" s="5">
        <f t="shared" si="602"/>
        <v>-6.6339635627794633E-3</v>
      </c>
      <c r="S420" s="5">
        <f t="shared" si="602"/>
        <v>-1.1630881015840691E-3</v>
      </c>
      <c r="U420" s="4">
        <v>45484</v>
      </c>
      <c r="V420">
        <f t="shared" si="560"/>
        <v>8000.0000000001846</v>
      </c>
      <c r="W420">
        <f t="shared" si="561"/>
        <v>6669.0000000000555</v>
      </c>
      <c r="X420">
        <f t="shared" si="562"/>
        <v>9179.9999999998035</v>
      </c>
      <c r="Y420">
        <f t="shared" si="563"/>
        <v>-17224.999999999938</v>
      </c>
      <c r="Z420">
        <f t="shared" si="564"/>
        <v>43480.000000000036</v>
      </c>
      <c r="AA420">
        <f t="shared" si="565"/>
        <v>-19999.999999999927</v>
      </c>
      <c r="AB420">
        <f t="shared" si="566"/>
        <v>54768.000000000051</v>
      </c>
      <c r="AC420">
        <f t="shared" si="567"/>
        <v>-26676.000000000025</v>
      </c>
      <c r="AD420">
        <f t="shared" si="568"/>
        <v>-1105984.0000000033</v>
      </c>
      <c r="AE420">
        <f t="shared" si="569"/>
        <v>8.9999999999999858</v>
      </c>
      <c r="AF420">
        <f t="shared" si="570"/>
        <v>402584.00000000035</v>
      </c>
      <c r="AG420">
        <f t="shared" si="571"/>
        <v>177261.00000000073</v>
      </c>
      <c r="AH420">
        <f t="shared" si="572"/>
        <v>5.9999999999999609</v>
      </c>
      <c r="AI420">
        <f t="shared" si="573"/>
        <v>0.24615738732336329</v>
      </c>
      <c r="AJ420">
        <f t="shared" si="574"/>
        <v>-33964.432927361428</v>
      </c>
      <c r="AK420">
        <f t="shared" si="575"/>
        <v>-145316.06154838961</v>
      </c>
      <c r="AL420">
        <f t="shared" si="576"/>
        <v>165849.0890694866</v>
      </c>
      <c r="AM420" s="1">
        <f t="shared" si="577"/>
        <v>11630.88101584069</v>
      </c>
      <c r="AN420" s="1">
        <f t="shared" si="554"/>
        <v>-469728.27823303838</v>
      </c>
      <c r="AO420">
        <f t="shared" si="555"/>
        <v>-2.8841941652450824</v>
      </c>
      <c r="AP420">
        <f t="shared" si="556"/>
        <v>2.4955021542486104</v>
      </c>
    </row>
    <row r="421" spans="1:42" x14ac:dyDescent="0.25">
      <c r="A421" s="4">
        <v>45483</v>
      </c>
      <c r="B421">
        <f t="shared" ref="B421:N421" si="608">(B971-B970)*100</f>
        <v>-0.99999999999997868</v>
      </c>
      <c r="C421">
        <f t="shared" si="608"/>
        <v>0.99999999999997868</v>
      </c>
      <c r="D421">
        <f t="shared" si="608"/>
        <v>0</v>
      </c>
      <c r="E421">
        <f t="shared" si="608"/>
        <v>0</v>
      </c>
      <c r="F421">
        <f t="shared" si="608"/>
        <v>0.99999999999997868</v>
      </c>
      <c r="G421">
        <f t="shared" si="608"/>
        <v>0.99999999999997868</v>
      </c>
      <c r="H421">
        <f t="shared" si="608"/>
        <v>0</v>
      </c>
      <c r="I421">
        <f t="shared" si="608"/>
        <v>-0.99999999999997868</v>
      </c>
      <c r="J421">
        <f t="shared" si="608"/>
        <v>0</v>
      </c>
      <c r="K421">
        <f t="shared" si="608"/>
        <v>0.99999999999997868</v>
      </c>
      <c r="L421">
        <f t="shared" si="608"/>
        <v>1.9999999999999574</v>
      </c>
      <c r="M421">
        <f t="shared" si="608"/>
        <v>0.99999999999997868</v>
      </c>
      <c r="N421">
        <f t="shared" si="608"/>
        <v>2.0000000000000462</v>
      </c>
      <c r="O421" s="5">
        <f t="shared" si="602"/>
        <v>-7.7528353771894737E-3</v>
      </c>
      <c r="P421" s="5">
        <f t="shared" si="602"/>
        <v>-1.1635671286887949E-2</v>
      </c>
      <c r="Q421" s="5">
        <f t="shared" si="602"/>
        <v>-7.3311290790784092E-3</v>
      </c>
      <c r="R421" s="5">
        <f t="shared" si="602"/>
        <v>-5.2882074209628118E-4</v>
      </c>
      <c r="S421" s="5">
        <f t="shared" si="602"/>
        <v>-5.9627130286903684E-3</v>
      </c>
      <c r="U421" s="4">
        <v>45483</v>
      </c>
      <c r="V421">
        <f t="shared" si="560"/>
        <v>3999.9999999999145</v>
      </c>
      <c r="W421">
        <f t="shared" si="561"/>
        <v>-2222.9999999999527</v>
      </c>
      <c r="X421">
        <f t="shared" si="562"/>
        <v>0</v>
      </c>
      <c r="Y421">
        <f t="shared" si="563"/>
        <v>0</v>
      </c>
      <c r="Z421">
        <f t="shared" si="564"/>
        <v>5434.9999999998845</v>
      </c>
      <c r="AA421">
        <f t="shared" si="565"/>
        <v>-1999.9999999999573</v>
      </c>
      <c r="AB421">
        <f t="shared" si="566"/>
        <v>0</v>
      </c>
      <c r="AC421">
        <f t="shared" si="567"/>
        <v>2222.9999999999527</v>
      </c>
      <c r="AD421">
        <f t="shared" si="568"/>
        <v>0</v>
      </c>
      <c r="AE421">
        <f t="shared" si="569"/>
        <v>0.99999999999997868</v>
      </c>
      <c r="AF421">
        <f t="shared" si="570"/>
        <v>100645.99999999786</v>
      </c>
      <c r="AG421">
        <f t="shared" si="571"/>
        <v>25322.999999999462</v>
      </c>
      <c r="AH421">
        <f t="shared" si="572"/>
        <v>2.0000000000000462</v>
      </c>
      <c r="AI421">
        <f t="shared" si="573"/>
        <v>-0.77528353771894731</v>
      </c>
      <c r="AJ421">
        <f t="shared" si="574"/>
        <v>116356.71286887949</v>
      </c>
      <c r="AK421">
        <f t="shared" si="575"/>
        <v>-73311.290790784085</v>
      </c>
      <c r="AL421">
        <f t="shared" si="576"/>
        <v>13220.518552407029</v>
      </c>
      <c r="AM421" s="1">
        <f t="shared" si="577"/>
        <v>59627.130286903681</v>
      </c>
      <c r="AN421" s="1">
        <f t="shared" si="554"/>
        <v>249299.29563386555</v>
      </c>
      <c r="AO421">
        <f t="shared" si="555"/>
        <v>0.73619837677672795</v>
      </c>
      <c r="AP421">
        <f t="shared" si="556"/>
        <v>2.4463805205135056</v>
      </c>
    </row>
    <row r="422" spans="1:42" x14ac:dyDescent="0.25">
      <c r="A422" s="4">
        <v>45482</v>
      </c>
      <c r="B422">
        <f t="shared" ref="B422:N422" si="609">(B972-B971)*100</f>
        <v>3.0000000000000249</v>
      </c>
      <c r="C422">
        <f t="shared" si="609"/>
        <v>2.0000000000000462</v>
      </c>
      <c r="D422">
        <f t="shared" si="609"/>
        <v>0</v>
      </c>
      <c r="E422">
        <f t="shared" si="609"/>
        <v>0</v>
      </c>
      <c r="F422">
        <f t="shared" si="609"/>
        <v>-0.99999999999997868</v>
      </c>
      <c r="G422">
        <f t="shared" si="609"/>
        <v>-2.9999999999999361</v>
      </c>
      <c r="H422">
        <f t="shared" si="609"/>
        <v>0</v>
      </c>
      <c r="I422">
        <f t="shared" si="609"/>
        <v>3.0000000000000249</v>
      </c>
      <c r="J422">
        <f t="shared" si="609"/>
        <v>-0.99999999999997868</v>
      </c>
      <c r="K422">
        <f t="shared" si="609"/>
        <v>-1.9999999999999574</v>
      </c>
      <c r="L422">
        <f t="shared" si="609"/>
        <v>-1.9999999999999574</v>
      </c>
      <c r="M422">
        <f t="shared" si="609"/>
        <v>-1.9999999999999574</v>
      </c>
      <c r="N422">
        <f t="shared" si="609"/>
        <v>-3.0000000000000249</v>
      </c>
      <c r="O422" s="5">
        <f t="shared" si="602"/>
        <v>-6.1044542962102469E-3</v>
      </c>
      <c r="P422" s="5">
        <f t="shared" si="602"/>
        <v>-8.8190204089334864E-3</v>
      </c>
      <c r="Q422" s="5">
        <f t="shared" si="602"/>
        <v>6.0448311881176201E-3</v>
      </c>
      <c r="R422" s="5">
        <f t="shared" si="602"/>
        <v>-1.0568032687656222E-3</v>
      </c>
      <c r="S422" s="5">
        <f t="shared" si="602"/>
        <v>-4.1834189527553984E-3</v>
      </c>
      <c r="U422" s="4">
        <v>45482</v>
      </c>
      <c r="V422">
        <f t="shared" si="560"/>
        <v>-12000.0000000001</v>
      </c>
      <c r="W422">
        <f t="shared" si="561"/>
        <v>-4446.0000000001028</v>
      </c>
      <c r="X422">
        <f t="shared" si="562"/>
        <v>0</v>
      </c>
      <c r="Y422">
        <f t="shared" si="563"/>
        <v>0</v>
      </c>
      <c r="Z422">
        <f t="shared" si="564"/>
        <v>-5434.9999999998845</v>
      </c>
      <c r="AA422">
        <f t="shared" si="565"/>
        <v>5999.9999999998718</v>
      </c>
      <c r="AB422">
        <f t="shared" si="566"/>
        <v>0</v>
      </c>
      <c r="AC422">
        <f t="shared" si="567"/>
        <v>-6669.0000000000555</v>
      </c>
      <c r="AD422">
        <f t="shared" si="568"/>
        <v>100543.99999999786</v>
      </c>
      <c r="AE422">
        <f t="shared" si="569"/>
        <v>-1.9999999999999574</v>
      </c>
      <c r="AF422">
        <f t="shared" si="570"/>
        <v>-100645.99999999786</v>
      </c>
      <c r="AG422">
        <f t="shared" si="571"/>
        <v>-50645.999999998923</v>
      </c>
      <c r="AH422">
        <f t="shared" si="572"/>
        <v>-3.0000000000000249</v>
      </c>
      <c r="AI422">
        <f t="shared" si="573"/>
        <v>-0.61044542962102466</v>
      </c>
      <c r="AJ422">
        <f t="shared" si="574"/>
        <v>88190.20408933486</v>
      </c>
      <c r="AK422">
        <f t="shared" si="575"/>
        <v>60448.311881176203</v>
      </c>
      <c r="AL422">
        <f t="shared" si="576"/>
        <v>26420.081719140555</v>
      </c>
      <c r="AM422" s="1">
        <f t="shared" si="577"/>
        <v>41834.189527553986</v>
      </c>
      <c r="AN422" s="1">
        <f t="shared" si="554"/>
        <v>143589.17677177681</v>
      </c>
      <c r="AO422">
        <f t="shared" si="555"/>
        <v>-0.35290279301999461</v>
      </c>
      <c r="AP422">
        <f t="shared" si="556"/>
        <v>2.4544870710669007</v>
      </c>
    </row>
    <row r="423" spans="1:42" x14ac:dyDescent="0.25">
      <c r="A423" s="4">
        <v>45481</v>
      </c>
      <c r="B423">
        <f t="shared" ref="B423:N423" si="610">(B973-B972)*100</f>
        <v>0</v>
      </c>
      <c r="C423">
        <f t="shared" si="610"/>
        <v>0</v>
      </c>
      <c r="D423">
        <f t="shared" si="610"/>
        <v>0</v>
      </c>
      <c r="E423">
        <f t="shared" si="610"/>
        <v>0</v>
      </c>
      <c r="F423">
        <f t="shared" si="610"/>
        <v>0.99999999999997868</v>
      </c>
      <c r="G423">
        <f t="shared" si="610"/>
        <v>-0.99999999999997868</v>
      </c>
      <c r="H423">
        <f t="shared" si="610"/>
        <v>-2.0000000000000462</v>
      </c>
      <c r="I423">
        <f t="shared" si="610"/>
        <v>-1.0000000000000675</v>
      </c>
      <c r="J423">
        <f t="shared" si="610"/>
        <v>-1.0000000000000675</v>
      </c>
      <c r="K423">
        <f t="shared" si="610"/>
        <v>0</v>
      </c>
      <c r="L423">
        <f t="shared" si="610"/>
        <v>0</v>
      </c>
      <c r="M423">
        <f t="shared" si="610"/>
        <v>0</v>
      </c>
      <c r="N423">
        <f t="shared" si="610"/>
        <v>0.99999999999997868</v>
      </c>
      <c r="O423" s="5">
        <f t="shared" si="602"/>
        <v>-4.5585579104680911E-3</v>
      </c>
      <c r="P423" s="5">
        <f t="shared" si="602"/>
        <v>-8.1200295660437492E-3</v>
      </c>
      <c r="Q423" s="5">
        <f t="shared" si="602"/>
        <v>-3.2512354447104021E-3</v>
      </c>
      <c r="R423" s="5">
        <f t="shared" si="602"/>
        <v>-7.9187017467718295E-4</v>
      </c>
      <c r="S423" s="5">
        <f t="shared" si="602"/>
        <v>-5.2338143269810176E-3</v>
      </c>
      <c r="U423" s="4">
        <v>45481</v>
      </c>
      <c r="V423">
        <f t="shared" si="560"/>
        <v>0</v>
      </c>
      <c r="W423">
        <f t="shared" si="561"/>
        <v>0</v>
      </c>
      <c r="X423">
        <f t="shared" si="562"/>
        <v>0</v>
      </c>
      <c r="Y423">
        <f t="shared" si="563"/>
        <v>0</v>
      </c>
      <c r="Z423">
        <f t="shared" si="564"/>
        <v>5434.9999999998845</v>
      </c>
      <c r="AA423">
        <f t="shared" si="565"/>
        <v>1999.9999999999573</v>
      </c>
      <c r="AB423">
        <f t="shared" si="566"/>
        <v>-9128.000000000211</v>
      </c>
      <c r="AC423">
        <f t="shared" si="567"/>
        <v>2223.0000000001501</v>
      </c>
      <c r="AD423">
        <f t="shared" si="568"/>
        <v>100544.00000000678</v>
      </c>
      <c r="AE423">
        <f t="shared" si="569"/>
        <v>0</v>
      </c>
      <c r="AF423">
        <f t="shared" si="570"/>
        <v>0</v>
      </c>
      <c r="AG423">
        <f t="shared" si="571"/>
        <v>0</v>
      </c>
      <c r="AH423">
        <f t="shared" si="572"/>
        <v>0.99999999999997868</v>
      </c>
      <c r="AI423">
        <f t="shared" si="573"/>
        <v>-0.45585579104680912</v>
      </c>
      <c r="AJ423">
        <f t="shared" si="574"/>
        <v>81200.295660437492</v>
      </c>
      <c r="AK423">
        <f t="shared" si="575"/>
        <v>-32512.354447104022</v>
      </c>
      <c r="AL423">
        <f t="shared" si="576"/>
        <v>19796.754366929574</v>
      </c>
      <c r="AM423" s="1">
        <f t="shared" si="577"/>
        <v>52338.143269810178</v>
      </c>
      <c r="AN423" s="1">
        <f t="shared" si="554"/>
        <v>221897.38299428875</v>
      </c>
      <c r="AO423">
        <f t="shared" si="555"/>
        <v>-1.5065341861951131</v>
      </c>
      <c r="AP423">
        <f t="shared" si="556"/>
        <v>2.8415659881826207</v>
      </c>
    </row>
    <row r="424" spans="1:42" x14ac:dyDescent="0.25">
      <c r="A424" s="4">
        <v>45478</v>
      </c>
      <c r="B424">
        <f t="shared" ref="B424:N424" si="611">(B974-B973)*100</f>
        <v>0.99999999999997868</v>
      </c>
      <c r="C424">
        <f t="shared" si="611"/>
        <v>0.99999999999997868</v>
      </c>
      <c r="D424">
        <f t="shared" si="611"/>
        <v>0.99999999999997868</v>
      </c>
      <c r="E424">
        <f t="shared" si="611"/>
        <v>0.99999999999997868</v>
      </c>
      <c r="F424">
        <f t="shared" si="611"/>
        <v>2.0000000000000462</v>
      </c>
      <c r="G424">
        <f t="shared" si="611"/>
        <v>5.9999999999999609</v>
      </c>
      <c r="H424">
        <f t="shared" si="611"/>
        <v>11.000000000000032</v>
      </c>
      <c r="I424">
        <f t="shared" si="611"/>
        <v>9.0000000000000746</v>
      </c>
      <c r="J424">
        <f t="shared" si="611"/>
        <v>11.000000000000032</v>
      </c>
      <c r="K424">
        <f t="shared" si="611"/>
        <v>9.9999999999999645</v>
      </c>
      <c r="L424">
        <f t="shared" si="611"/>
        <v>8.0000000000000071</v>
      </c>
      <c r="M424">
        <f t="shared" si="611"/>
        <v>6.9999999999999396</v>
      </c>
      <c r="N424">
        <f t="shared" si="611"/>
        <v>6.0000000000000497</v>
      </c>
      <c r="O424" s="5">
        <f t="shared" si="602"/>
        <v>-1.6115555356592318E-2</v>
      </c>
      <c r="P424" s="5">
        <f t="shared" si="602"/>
        <v>-5.2470221216922722E-3</v>
      </c>
      <c r="Q424" s="5">
        <f t="shared" si="602"/>
        <v>-1.1085622726332647E-2</v>
      </c>
      <c r="R424" s="5">
        <f t="shared" si="602"/>
        <v>-2.6350476380050023E-3</v>
      </c>
      <c r="S424" s="5">
        <f t="shared" si="602"/>
        <v>-5.6575521319080233E-3</v>
      </c>
      <c r="U424" s="4">
        <v>45478</v>
      </c>
      <c r="V424">
        <f t="shared" si="560"/>
        <v>-3999.9999999999145</v>
      </c>
      <c r="W424">
        <f t="shared" si="561"/>
        <v>-2222.9999999999527</v>
      </c>
      <c r="X424">
        <f t="shared" si="562"/>
        <v>4589.9999999999018</v>
      </c>
      <c r="Y424">
        <f t="shared" si="563"/>
        <v>-3444.9999999999268</v>
      </c>
      <c r="Z424">
        <f t="shared" si="564"/>
        <v>10870.000000000251</v>
      </c>
      <c r="AA424">
        <f t="shared" si="565"/>
        <v>-11999.999999999922</v>
      </c>
      <c r="AB424">
        <f t="shared" si="566"/>
        <v>50204.000000000146</v>
      </c>
      <c r="AC424">
        <f t="shared" si="567"/>
        <v>-20007.000000000167</v>
      </c>
      <c r="AD424">
        <f t="shared" si="568"/>
        <v>-1105984.0000000033</v>
      </c>
      <c r="AE424">
        <f t="shared" si="569"/>
        <v>9.9999999999999645</v>
      </c>
      <c r="AF424">
        <f t="shared" si="570"/>
        <v>402584.00000000035</v>
      </c>
      <c r="AG424">
        <f t="shared" si="571"/>
        <v>177260.99999999846</v>
      </c>
      <c r="AH424">
        <f t="shared" si="572"/>
        <v>6.0000000000000497</v>
      </c>
      <c r="AI424">
        <f t="shared" si="573"/>
        <v>-1.6115555356592319</v>
      </c>
      <c r="AJ424">
        <f t="shared" si="574"/>
        <v>52470.22121692272</v>
      </c>
      <c r="AK424">
        <f t="shared" si="575"/>
        <v>-110856.22726332647</v>
      </c>
      <c r="AL424">
        <f t="shared" si="576"/>
        <v>65876.190950125063</v>
      </c>
      <c r="AM424" s="1">
        <f t="shared" si="577"/>
        <v>56575.521319080231</v>
      </c>
      <c r="AN424" s="1">
        <f t="shared" si="554"/>
        <v>-438069.90533273807</v>
      </c>
      <c r="AO424">
        <f t="shared" si="555"/>
        <v>-3.4844666119368877</v>
      </c>
      <c r="AP424">
        <f t="shared" si="556"/>
        <v>2.8386637311596794</v>
      </c>
    </row>
    <row r="425" spans="1:42" x14ac:dyDescent="0.25">
      <c r="A425" s="4">
        <v>45476</v>
      </c>
      <c r="B425">
        <f t="shared" ref="B425:N425" si="612">(B975-B974)*100</f>
        <v>-0.99999999999997868</v>
      </c>
      <c r="C425">
        <f t="shared" si="612"/>
        <v>-7.0000000000000284</v>
      </c>
      <c r="D425">
        <f t="shared" si="612"/>
        <v>0</v>
      </c>
      <c r="E425">
        <f t="shared" si="612"/>
        <v>-2.9999999999999361</v>
      </c>
      <c r="F425">
        <f t="shared" si="612"/>
        <v>0</v>
      </c>
      <c r="G425">
        <f t="shared" si="612"/>
        <v>3.0000000000000249</v>
      </c>
      <c r="H425">
        <f t="shared" si="612"/>
        <v>3.0000000000000249</v>
      </c>
      <c r="I425">
        <f t="shared" si="612"/>
        <v>5.9999999999999609</v>
      </c>
      <c r="J425">
        <f t="shared" si="612"/>
        <v>5.9999999999999609</v>
      </c>
      <c r="K425">
        <f t="shared" si="612"/>
        <v>7.0000000000000284</v>
      </c>
      <c r="L425">
        <f t="shared" si="612"/>
        <v>6.9999999999999396</v>
      </c>
      <c r="M425">
        <f t="shared" si="612"/>
        <v>7.0000000000000284</v>
      </c>
      <c r="N425">
        <f t="shared" si="612"/>
        <v>6.9999999999999396</v>
      </c>
      <c r="O425" s="5">
        <f t="shared" ref="O425:S434" si="613">LN(O974/O975)</f>
        <v>-1.446699125684715E-2</v>
      </c>
      <c r="P425" s="5">
        <f t="shared" si="613"/>
        <v>-6.1934741667576416E-3</v>
      </c>
      <c r="Q425" s="5">
        <f t="shared" si="613"/>
        <v>3.2788995360766085E-3</v>
      </c>
      <c r="R425" s="5">
        <f t="shared" si="613"/>
        <v>-3.4152141430867228E-3</v>
      </c>
      <c r="S425" s="5">
        <f t="shared" si="613"/>
        <v>-4.5698878908524412E-3</v>
      </c>
      <c r="U425" s="4">
        <v>45476</v>
      </c>
      <c r="V425">
        <f t="shared" si="560"/>
        <v>3999.9999999999145</v>
      </c>
      <c r="W425">
        <f t="shared" si="561"/>
        <v>15561.000000000064</v>
      </c>
      <c r="X425">
        <f t="shared" si="562"/>
        <v>0</v>
      </c>
      <c r="Y425">
        <f t="shared" si="563"/>
        <v>10334.99999999978</v>
      </c>
      <c r="Z425">
        <f t="shared" si="564"/>
        <v>0</v>
      </c>
      <c r="AA425">
        <f t="shared" si="565"/>
        <v>-6000.00000000005</v>
      </c>
      <c r="AB425">
        <f t="shared" si="566"/>
        <v>13692.000000000113</v>
      </c>
      <c r="AC425">
        <f t="shared" si="567"/>
        <v>-13337.999999999913</v>
      </c>
      <c r="AD425">
        <f t="shared" si="568"/>
        <v>-603263.99999999604</v>
      </c>
      <c r="AE425">
        <f t="shared" si="569"/>
        <v>7.0000000000000284</v>
      </c>
      <c r="AF425">
        <f t="shared" si="570"/>
        <v>352260.99999999697</v>
      </c>
      <c r="AG425">
        <f t="shared" si="571"/>
        <v>177261.00000000073</v>
      </c>
      <c r="AH425">
        <f t="shared" si="572"/>
        <v>6.9999999999999396</v>
      </c>
      <c r="AI425">
        <f t="shared" si="573"/>
        <v>-1.446699125684715</v>
      </c>
      <c r="AJ425">
        <f t="shared" si="574"/>
        <v>61934.741667576418</v>
      </c>
      <c r="AK425">
        <f t="shared" si="575"/>
        <v>32788.995360766086</v>
      </c>
      <c r="AL425">
        <f t="shared" si="576"/>
        <v>85380.353577168076</v>
      </c>
      <c r="AM425" s="1">
        <f t="shared" si="577"/>
        <v>45698.878908524413</v>
      </c>
      <c r="AN425" s="1">
        <f t="shared" si="554"/>
        <v>176323.52281491086</v>
      </c>
      <c r="AO425">
        <f t="shared" si="555"/>
        <v>1.0295807712704659</v>
      </c>
      <c r="AP425">
        <f t="shared" si="556"/>
        <v>2.7790565330745252</v>
      </c>
    </row>
    <row r="426" spans="1:42" x14ac:dyDescent="0.25">
      <c r="A426" s="4">
        <v>45475</v>
      </c>
      <c r="B426">
        <f t="shared" ref="B426:N426" si="614">(B976-B975)*100</f>
        <v>0</v>
      </c>
      <c r="C426">
        <f t="shared" si="614"/>
        <v>1.0000000000000675</v>
      </c>
      <c r="D426">
        <f t="shared" si="614"/>
        <v>0</v>
      </c>
      <c r="E426">
        <f t="shared" si="614"/>
        <v>0.99999999999997868</v>
      </c>
      <c r="F426">
        <f t="shared" si="614"/>
        <v>0.99999999999997868</v>
      </c>
      <c r="G426">
        <f t="shared" si="614"/>
        <v>2.9999999999999361</v>
      </c>
      <c r="H426">
        <f t="shared" si="614"/>
        <v>2.9999999999999361</v>
      </c>
      <c r="I426">
        <f t="shared" si="614"/>
        <v>4.0000000000000036</v>
      </c>
      <c r="J426">
        <f t="shared" si="614"/>
        <v>5.0000000000000711</v>
      </c>
      <c r="K426">
        <f t="shared" si="614"/>
        <v>4.9999999999999822</v>
      </c>
      <c r="L426">
        <f t="shared" si="614"/>
        <v>5.0000000000000711</v>
      </c>
      <c r="M426">
        <f t="shared" si="614"/>
        <v>4.9999999999999822</v>
      </c>
      <c r="N426">
        <f t="shared" si="614"/>
        <v>4.0000000000000036</v>
      </c>
      <c r="O426" s="5">
        <f t="shared" si="613"/>
        <v>1.3930078492270978E-2</v>
      </c>
      <c r="P426" s="5">
        <f t="shared" si="613"/>
        <v>-1.5726126751591184E-3</v>
      </c>
      <c r="Q426" s="5">
        <f t="shared" si="613"/>
        <v>-4.7663685940733963E-4</v>
      </c>
      <c r="R426" s="5">
        <f t="shared" si="613"/>
        <v>-6.0138761457650628E-3</v>
      </c>
      <c r="S426" s="5">
        <f t="shared" si="613"/>
        <v>-5.148276493123825E-3</v>
      </c>
      <c r="U426" s="4">
        <v>45475</v>
      </c>
      <c r="V426">
        <f t="shared" si="560"/>
        <v>0</v>
      </c>
      <c r="W426">
        <f t="shared" si="561"/>
        <v>-2223.0000000001501</v>
      </c>
      <c r="X426">
        <f t="shared" si="562"/>
        <v>0</v>
      </c>
      <c r="Y426">
        <f t="shared" si="563"/>
        <v>-3444.9999999999268</v>
      </c>
      <c r="Z426">
        <f t="shared" si="564"/>
        <v>5434.9999999998845</v>
      </c>
      <c r="AA426">
        <f t="shared" si="565"/>
        <v>-5999.9999999998718</v>
      </c>
      <c r="AB426">
        <f t="shared" si="566"/>
        <v>13691.999999999709</v>
      </c>
      <c r="AC426">
        <f t="shared" si="567"/>
        <v>-8892.0000000000073</v>
      </c>
      <c r="AD426">
        <f t="shared" si="568"/>
        <v>-502720.00000000716</v>
      </c>
      <c r="AE426">
        <f t="shared" si="569"/>
        <v>4.9999999999999822</v>
      </c>
      <c r="AF426">
        <f t="shared" si="570"/>
        <v>251615.00000000358</v>
      </c>
      <c r="AG426">
        <f t="shared" si="571"/>
        <v>126614.99999999955</v>
      </c>
      <c r="AH426">
        <f t="shared" si="572"/>
        <v>4.0000000000000036</v>
      </c>
      <c r="AI426">
        <f t="shared" si="573"/>
        <v>1.3930078492270979</v>
      </c>
      <c r="AJ426">
        <f t="shared" si="574"/>
        <v>15726.126751591184</v>
      </c>
      <c r="AK426">
        <f t="shared" si="575"/>
        <v>-4766.3685940733967</v>
      </c>
      <c r="AL426">
        <f t="shared" si="576"/>
        <v>150346.90364412658</v>
      </c>
      <c r="AM426" s="1">
        <f t="shared" si="577"/>
        <v>51482.764931238249</v>
      </c>
      <c r="AN426" s="1">
        <f t="shared" si="554"/>
        <v>86876.819740727457</v>
      </c>
      <c r="AO426">
        <f t="shared" si="555"/>
        <v>6.0191744726262684</v>
      </c>
      <c r="AP426">
        <f t="shared" si="556"/>
        <v>3.7423456786692757</v>
      </c>
    </row>
    <row r="427" spans="1:42" x14ac:dyDescent="0.25">
      <c r="A427" s="4">
        <v>45474</v>
      </c>
      <c r="B427">
        <f t="shared" ref="B427:N427" si="615">(B977-B976)*100</f>
        <v>-1.0000000000000675</v>
      </c>
      <c r="C427">
        <f t="shared" si="615"/>
        <v>-1.0000000000000675</v>
      </c>
      <c r="D427">
        <f t="shared" si="615"/>
        <v>1.0000000000000675</v>
      </c>
      <c r="E427">
        <f t="shared" si="615"/>
        <v>0</v>
      </c>
      <c r="F427">
        <f t="shared" si="615"/>
        <v>-4.0000000000000036</v>
      </c>
      <c r="G427">
        <f t="shared" si="615"/>
        <v>-0.99999999999997868</v>
      </c>
      <c r="H427">
        <f t="shared" si="615"/>
        <v>-5.9999999999999609</v>
      </c>
      <c r="I427">
        <f t="shared" si="615"/>
        <v>-6.0000000000000497</v>
      </c>
      <c r="J427">
        <f t="shared" si="615"/>
        <v>-11.000000000000032</v>
      </c>
      <c r="K427">
        <f t="shared" si="615"/>
        <v>-12.000000000000011</v>
      </c>
      <c r="L427">
        <f t="shared" si="615"/>
        <v>-12.000000000000011</v>
      </c>
      <c r="M427">
        <f t="shared" si="615"/>
        <v>-14.999999999999947</v>
      </c>
      <c r="N427">
        <f t="shared" si="615"/>
        <v>-12.999999999999989</v>
      </c>
      <c r="O427" s="5">
        <f t="shared" si="613"/>
        <v>5.4541022928014989E-3</v>
      </c>
      <c r="P427" s="5">
        <f t="shared" si="613"/>
        <v>0</v>
      </c>
      <c r="Q427" s="5">
        <f t="shared" si="613"/>
        <v>-7.0488220269045339E-3</v>
      </c>
      <c r="R427" s="5">
        <f t="shared" si="613"/>
        <v>-1.0422095784437539E-3</v>
      </c>
      <c r="S427" s="5">
        <f t="shared" si="613"/>
        <v>4.2455493754488026E-3</v>
      </c>
      <c r="U427" s="4">
        <v>45474</v>
      </c>
      <c r="V427">
        <f t="shared" si="560"/>
        <v>4000.0000000002701</v>
      </c>
      <c r="W427">
        <f t="shared" si="561"/>
        <v>2223.0000000001501</v>
      </c>
      <c r="X427">
        <f t="shared" si="562"/>
        <v>4590.0000000003101</v>
      </c>
      <c r="Y427">
        <f t="shared" si="563"/>
        <v>0</v>
      </c>
      <c r="Z427">
        <f t="shared" si="564"/>
        <v>-21740.000000000018</v>
      </c>
      <c r="AA427">
        <f t="shared" si="565"/>
        <v>1999.9999999999573</v>
      </c>
      <c r="AB427">
        <f t="shared" si="566"/>
        <v>-27383.999999999822</v>
      </c>
      <c r="AC427">
        <f t="shared" si="567"/>
        <v>13338.000000000111</v>
      </c>
      <c r="AD427">
        <f t="shared" si="568"/>
        <v>1105984.0000000033</v>
      </c>
      <c r="AE427">
        <f t="shared" si="569"/>
        <v>-12.000000000000011</v>
      </c>
      <c r="AF427">
        <f t="shared" si="570"/>
        <v>-603876.00000000058</v>
      </c>
      <c r="AG427">
        <f t="shared" si="571"/>
        <v>-379844.99999999866</v>
      </c>
      <c r="AH427">
        <f t="shared" si="572"/>
        <v>-12.999999999999989</v>
      </c>
      <c r="AI427">
        <f t="shared" si="573"/>
        <v>0.54541022928014993</v>
      </c>
      <c r="AJ427">
        <f t="shared" si="574"/>
        <v>0</v>
      </c>
      <c r="AK427">
        <f t="shared" si="575"/>
        <v>-70488.220269045341</v>
      </c>
      <c r="AL427">
        <f t="shared" si="576"/>
        <v>26055.23946109385</v>
      </c>
      <c r="AM427" s="1">
        <f t="shared" si="577"/>
        <v>-42455.493754488023</v>
      </c>
      <c r="AN427" s="1">
        <f t="shared" si="554"/>
        <v>12377.070847794719</v>
      </c>
      <c r="AO427">
        <f t="shared" si="555"/>
        <v>-1.4171308263414091</v>
      </c>
      <c r="AP427">
        <f t="shared" si="556"/>
        <v>3.4036292060927318</v>
      </c>
    </row>
    <row r="428" spans="1:42" x14ac:dyDescent="0.25">
      <c r="A428" s="4">
        <v>45471</v>
      </c>
      <c r="B428">
        <f t="shared" ref="B428:N428" si="616">(B978-B977)*100</f>
        <v>1.0000000000000675</v>
      </c>
      <c r="C428">
        <f t="shared" si="616"/>
        <v>-0.99999999999997868</v>
      </c>
      <c r="D428">
        <f t="shared" si="616"/>
        <v>0.99999999999997868</v>
      </c>
      <c r="E428">
        <f t="shared" si="616"/>
        <v>0</v>
      </c>
      <c r="F428">
        <f t="shared" si="616"/>
        <v>1.9999999999999574</v>
      </c>
      <c r="G428">
        <f t="shared" si="616"/>
        <v>0.99999999999997868</v>
      </c>
      <c r="H428">
        <f t="shared" si="616"/>
        <v>-0.99999999999997868</v>
      </c>
      <c r="I428">
        <f t="shared" si="616"/>
        <v>-2.9999999999999361</v>
      </c>
      <c r="J428">
        <f t="shared" si="616"/>
        <v>-4.0000000000000036</v>
      </c>
      <c r="K428">
        <f t="shared" si="616"/>
        <v>-6.0000000000000497</v>
      </c>
      <c r="L428">
        <f t="shared" si="616"/>
        <v>-7.0000000000000284</v>
      </c>
      <c r="M428">
        <f t="shared" si="616"/>
        <v>-8.0000000000000071</v>
      </c>
      <c r="N428">
        <f t="shared" si="616"/>
        <v>-8.0000000000000071</v>
      </c>
      <c r="O428" s="5">
        <f t="shared" si="613"/>
        <v>6.4975141055084252E-3</v>
      </c>
      <c r="P428" s="5">
        <f t="shared" si="613"/>
        <v>-7.3463327922158725E-3</v>
      </c>
      <c r="Q428" s="5">
        <f t="shared" si="613"/>
        <v>3.4126850058273949E-3</v>
      </c>
      <c r="R428" s="5">
        <f t="shared" si="613"/>
        <v>2.6075634070807695E-3</v>
      </c>
      <c r="S428" s="5">
        <f t="shared" si="613"/>
        <v>-6.6821341427001756E-3</v>
      </c>
      <c r="U428" s="4">
        <v>45471</v>
      </c>
      <c r="V428">
        <f t="shared" si="560"/>
        <v>-4000.0000000002701</v>
      </c>
      <c r="W428">
        <f t="shared" si="561"/>
        <v>2222.9999999999527</v>
      </c>
      <c r="X428">
        <f t="shared" si="562"/>
        <v>4589.9999999999018</v>
      </c>
      <c r="Y428">
        <f t="shared" si="563"/>
        <v>0</v>
      </c>
      <c r="Z428">
        <f t="shared" si="564"/>
        <v>10869.999999999769</v>
      </c>
      <c r="AA428">
        <f t="shared" si="565"/>
        <v>-1999.9999999999573</v>
      </c>
      <c r="AB428">
        <f t="shared" si="566"/>
        <v>-4563.9999999999027</v>
      </c>
      <c r="AC428">
        <f t="shared" si="567"/>
        <v>6668.9999999998581</v>
      </c>
      <c r="AD428">
        <f t="shared" si="568"/>
        <v>402176.00000000035</v>
      </c>
      <c r="AE428">
        <f t="shared" si="569"/>
        <v>-6.0000000000000497</v>
      </c>
      <c r="AF428">
        <f t="shared" si="570"/>
        <v>-352261.00000000146</v>
      </c>
      <c r="AG428">
        <f t="shared" si="571"/>
        <v>-202584.00000000017</v>
      </c>
      <c r="AH428">
        <f t="shared" si="572"/>
        <v>-8.0000000000000071</v>
      </c>
      <c r="AI428">
        <f t="shared" si="573"/>
        <v>0.64975141055084251</v>
      </c>
      <c r="AJ428">
        <f t="shared" si="574"/>
        <v>73463.327922158729</v>
      </c>
      <c r="AK428">
        <f t="shared" si="575"/>
        <v>34126.850058273951</v>
      </c>
      <c r="AL428">
        <f t="shared" si="576"/>
        <v>-65189.085177019238</v>
      </c>
      <c r="AM428" s="1">
        <f t="shared" si="577"/>
        <v>66821.341427001753</v>
      </c>
      <c r="AN428" s="1">
        <f t="shared" si="554"/>
        <v>-29671.916018176169</v>
      </c>
      <c r="AO428">
        <f t="shared" si="555"/>
        <v>-0.81305499656235647</v>
      </c>
      <c r="AP428">
        <f t="shared" si="556"/>
        <v>3.4044607745353375</v>
      </c>
    </row>
    <row r="429" spans="1:42" x14ac:dyDescent="0.25">
      <c r="A429" s="4">
        <v>45470</v>
      </c>
      <c r="B429">
        <f t="shared" ref="B429:N429" si="617">(B979-B978)*100</f>
        <v>-4.0000000000000036</v>
      </c>
      <c r="C429">
        <f t="shared" si="617"/>
        <v>0</v>
      </c>
      <c r="D429">
        <f t="shared" si="617"/>
        <v>0.99999999999997868</v>
      </c>
      <c r="E429">
        <f t="shared" si="617"/>
        <v>0.99999999999997868</v>
      </c>
      <c r="F429">
        <f t="shared" si="617"/>
        <v>1.0000000000000675</v>
      </c>
      <c r="G429">
        <f t="shared" si="617"/>
        <v>3.0000000000000249</v>
      </c>
      <c r="H429">
        <f t="shared" si="617"/>
        <v>0.99999999999997868</v>
      </c>
      <c r="I429">
        <f t="shared" si="617"/>
        <v>4.0000000000000036</v>
      </c>
      <c r="J429">
        <f t="shared" si="617"/>
        <v>3.0000000000000249</v>
      </c>
      <c r="K429">
        <f t="shared" si="617"/>
        <v>5.0000000000000711</v>
      </c>
      <c r="L429">
        <f t="shared" si="617"/>
        <v>3.0000000000000249</v>
      </c>
      <c r="M429">
        <f t="shared" si="617"/>
        <v>1.9999999999999574</v>
      </c>
      <c r="N429">
        <f t="shared" si="617"/>
        <v>2.0000000000000462</v>
      </c>
      <c r="O429" s="5">
        <f t="shared" si="613"/>
        <v>2.3930395756528904E-3</v>
      </c>
      <c r="P429" s="5">
        <f t="shared" si="613"/>
        <v>7.225464961041944E-3</v>
      </c>
      <c r="Q429" s="5">
        <f t="shared" si="613"/>
        <v>5.7881003247124731E-3</v>
      </c>
      <c r="R429" s="5">
        <f t="shared" si="613"/>
        <v>1.306335914055457E-3</v>
      </c>
      <c r="S429" s="5">
        <f t="shared" si="613"/>
        <v>2.3930222223208309E-3</v>
      </c>
      <c r="U429" s="4">
        <v>45470</v>
      </c>
      <c r="V429">
        <f t="shared" si="560"/>
        <v>16000.000000000015</v>
      </c>
      <c r="W429">
        <f t="shared" si="561"/>
        <v>0</v>
      </c>
      <c r="X429">
        <f t="shared" si="562"/>
        <v>4589.9999999999018</v>
      </c>
      <c r="Y429">
        <f t="shared" si="563"/>
        <v>-3444.9999999999268</v>
      </c>
      <c r="Z429">
        <f t="shared" si="564"/>
        <v>5435.0000000003665</v>
      </c>
      <c r="AA429">
        <f t="shared" si="565"/>
        <v>-6000.00000000005</v>
      </c>
      <c r="AB429">
        <f t="shared" si="566"/>
        <v>4563.9999999999027</v>
      </c>
      <c r="AC429">
        <f t="shared" si="567"/>
        <v>-8892.0000000000073</v>
      </c>
      <c r="AD429">
        <f t="shared" si="568"/>
        <v>-301632.0000000025</v>
      </c>
      <c r="AE429">
        <f t="shared" si="569"/>
        <v>5.0000000000000711</v>
      </c>
      <c r="AF429">
        <f t="shared" si="570"/>
        <v>150969.00000000125</v>
      </c>
      <c r="AG429">
        <f t="shared" si="571"/>
        <v>50645.999999998923</v>
      </c>
      <c r="AH429">
        <f t="shared" si="572"/>
        <v>2.0000000000000462</v>
      </c>
      <c r="AI429">
        <f t="shared" si="573"/>
        <v>0.23930395756528905</v>
      </c>
      <c r="AJ429">
        <f t="shared" si="574"/>
        <v>-72254.649610419438</v>
      </c>
      <c r="AK429">
        <f t="shared" si="575"/>
        <v>57881.003247124732</v>
      </c>
      <c r="AL429">
        <f t="shared" si="576"/>
        <v>-32658.397851386424</v>
      </c>
      <c r="AM429" s="1">
        <f t="shared" si="577"/>
        <v>-23930.222223208308</v>
      </c>
      <c r="AN429" s="1">
        <f t="shared" si="554"/>
        <v>-158720.02713393403</v>
      </c>
      <c r="AO429">
        <f t="shared" si="555"/>
        <v>-0.39671221343924246</v>
      </c>
      <c r="AP429">
        <f t="shared" si="556"/>
        <v>3.4053769780059771</v>
      </c>
    </row>
    <row r="430" spans="1:42" x14ac:dyDescent="0.25">
      <c r="A430" s="4">
        <v>45469</v>
      </c>
      <c r="B430">
        <f t="shared" ref="B430:N430" si="618">(B980-B979)*100</f>
        <v>-1.0000000000000675</v>
      </c>
      <c r="C430">
        <f t="shared" si="618"/>
        <v>0</v>
      </c>
      <c r="D430">
        <f t="shared" si="618"/>
        <v>-0.99999999999997868</v>
      </c>
      <c r="E430">
        <f t="shared" si="618"/>
        <v>-1.9999999999999574</v>
      </c>
      <c r="F430">
        <f t="shared" si="618"/>
        <v>0.99999999999997868</v>
      </c>
      <c r="G430">
        <f t="shared" si="618"/>
        <v>-3.0000000000000249</v>
      </c>
      <c r="H430">
        <f t="shared" si="618"/>
        <v>-5.9999999999999609</v>
      </c>
      <c r="I430">
        <f t="shared" si="618"/>
        <v>-8.0000000000000071</v>
      </c>
      <c r="J430">
        <f t="shared" si="618"/>
        <v>-7.0000000000000284</v>
      </c>
      <c r="K430">
        <f t="shared" si="618"/>
        <v>-8.9999999999999858</v>
      </c>
      <c r="L430">
        <f t="shared" si="618"/>
        <v>-8.9999999999999858</v>
      </c>
      <c r="M430">
        <f t="shared" si="618"/>
        <v>-8.9999999999999858</v>
      </c>
      <c r="N430">
        <f t="shared" si="618"/>
        <v>-8.9999999999999858</v>
      </c>
      <c r="O430" s="5">
        <f t="shared" si="613"/>
        <v>1.4765240063058079E-2</v>
      </c>
      <c r="P430" s="5">
        <f t="shared" si="613"/>
        <v>8.6181270186069803E-3</v>
      </c>
      <c r="Q430" s="5">
        <f t="shared" si="613"/>
        <v>6.2631701117984756E-4</v>
      </c>
      <c r="R430" s="5">
        <f t="shared" si="613"/>
        <v>3.4044814865434778E-3</v>
      </c>
      <c r="S430" s="5">
        <f t="shared" si="613"/>
        <v>1.2917406875538337E-2</v>
      </c>
      <c r="U430" s="4">
        <v>45469</v>
      </c>
      <c r="V430">
        <f t="shared" si="560"/>
        <v>4000.0000000002701</v>
      </c>
      <c r="W430">
        <f t="shared" si="561"/>
        <v>0</v>
      </c>
      <c r="X430">
        <f t="shared" si="562"/>
        <v>-4589.9999999999018</v>
      </c>
      <c r="Y430">
        <f t="shared" si="563"/>
        <v>6889.9999999998536</v>
      </c>
      <c r="Z430">
        <f t="shared" si="564"/>
        <v>5434.9999999998845</v>
      </c>
      <c r="AA430">
        <f t="shared" si="565"/>
        <v>6000.00000000005</v>
      </c>
      <c r="AB430">
        <f t="shared" si="566"/>
        <v>-27383.999999999822</v>
      </c>
      <c r="AC430">
        <f t="shared" si="567"/>
        <v>17784.000000000015</v>
      </c>
      <c r="AD430">
        <f t="shared" si="568"/>
        <v>703808.00000000291</v>
      </c>
      <c r="AE430">
        <f t="shared" si="569"/>
        <v>-8.9999999999999858</v>
      </c>
      <c r="AF430">
        <f t="shared" si="570"/>
        <v>-452906.9999999993</v>
      </c>
      <c r="AG430">
        <f t="shared" si="571"/>
        <v>-227906.99999999965</v>
      </c>
      <c r="AH430">
        <f t="shared" si="572"/>
        <v>-8.9999999999999858</v>
      </c>
      <c r="AI430">
        <f t="shared" si="573"/>
        <v>1.4765240063058078</v>
      </c>
      <c r="AJ430">
        <f t="shared" si="574"/>
        <v>-86181.2701860698</v>
      </c>
      <c r="AK430">
        <f t="shared" si="575"/>
        <v>6263.1701117984758</v>
      </c>
      <c r="AL430">
        <f t="shared" si="576"/>
        <v>-85112.037163586952</v>
      </c>
      <c r="AM430" s="1">
        <f t="shared" si="577"/>
        <v>-129174.06875538337</v>
      </c>
      <c r="AN430" s="1">
        <f t="shared" si="554"/>
        <v>-263091.72946923104</v>
      </c>
      <c r="AO430">
        <f t="shared" si="555"/>
        <v>1.1631294096526434</v>
      </c>
      <c r="AP430">
        <f t="shared" si="556"/>
        <v>3.4076111391235999</v>
      </c>
    </row>
    <row r="431" spans="1:42" x14ac:dyDescent="0.25">
      <c r="A431" s="4">
        <v>45468</v>
      </c>
      <c r="B431">
        <f t="shared" ref="B431:N431" si="619">(B981-B980)*100</f>
        <v>-0.99999999999997868</v>
      </c>
      <c r="C431">
        <f t="shared" si="619"/>
        <v>0</v>
      </c>
      <c r="D431">
        <f t="shared" si="619"/>
        <v>0.99999999999997868</v>
      </c>
      <c r="E431">
        <f t="shared" si="619"/>
        <v>0.99999999999997868</v>
      </c>
      <c r="F431">
        <f t="shared" si="619"/>
        <v>0</v>
      </c>
      <c r="G431">
        <f t="shared" si="619"/>
        <v>0</v>
      </c>
      <c r="H431">
        <f t="shared" si="619"/>
        <v>5.9999999999999609</v>
      </c>
      <c r="I431">
        <f t="shared" si="619"/>
        <v>0.99999999999997868</v>
      </c>
      <c r="J431">
        <f t="shared" si="619"/>
        <v>1.9999999999999574</v>
      </c>
      <c r="K431">
        <f t="shared" si="619"/>
        <v>1.9999999999999574</v>
      </c>
      <c r="L431">
        <f t="shared" si="619"/>
        <v>1.9999999999999574</v>
      </c>
      <c r="M431">
        <f t="shared" si="619"/>
        <v>2.0000000000000462</v>
      </c>
      <c r="N431">
        <f t="shared" si="619"/>
        <v>1.9999999999999574</v>
      </c>
      <c r="O431" s="5">
        <f t="shared" si="613"/>
        <v>5.347087779134032E-3</v>
      </c>
      <c r="P431" s="5">
        <f t="shared" si="613"/>
        <v>2.8077904059570866E-3</v>
      </c>
      <c r="Q431" s="5">
        <f t="shared" si="613"/>
        <v>4.6619138640628258E-3</v>
      </c>
      <c r="R431" s="5">
        <f t="shared" si="613"/>
        <v>1.3125083915954175E-3</v>
      </c>
      <c r="S431" s="5">
        <f t="shared" si="613"/>
        <v>8.7868574966213676E-3</v>
      </c>
      <c r="U431" s="4">
        <v>45468</v>
      </c>
      <c r="V431">
        <f t="shared" si="560"/>
        <v>3999.9999999999145</v>
      </c>
      <c r="W431">
        <f t="shared" si="561"/>
        <v>0</v>
      </c>
      <c r="X431">
        <f t="shared" si="562"/>
        <v>4589.9999999999018</v>
      </c>
      <c r="Y431">
        <f t="shared" si="563"/>
        <v>-3444.9999999999268</v>
      </c>
      <c r="Z431">
        <f t="shared" si="564"/>
        <v>0</v>
      </c>
      <c r="AA431">
        <f t="shared" si="565"/>
        <v>0</v>
      </c>
      <c r="AB431">
        <f t="shared" si="566"/>
        <v>27383.999999999822</v>
      </c>
      <c r="AC431">
        <f t="shared" si="567"/>
        <v>-2222.9999999999527</v>
      </c>
      <c r="AD431">
        <f t="shared" si="568"/>
        <v>-201087.99999999572</v>
      </c>
      <c r="AE431">
        <f t="shared" si="569"/>
        <v>1.9999999999999574</v>
      </c>
      <c r="AF431">
        <f t="shared" si="570"/>
        <v>100645.99999999786</v>
      </c>
      <c r="AG431">
        <f t="shared" si="571"/>
        <v>50646.000000001171</v>
      </c>
      <c r="AH431">
        <f t="shared" si="572"/>
        <v>1.9999999999999574</v>
      </c>
      <c r="AI431">
        <f t="shared" si="573"/>
        <v>0.53470877791340321</v>
      </c>
      <c r="AJ431">
        <f t="shared" si="574"/>
        <v>-28077.904059570865</v>
      </c>
      <c r="AK431">
        <f t="shared" si="575"/>
        <v>46619.138640628255</v>
      </c>
      <c r="AL431">
        <f t="shared" si="576"/>
        <v>-32812.709789885441</v>
      </c>
      <c r="AM431" s="1">
        <f t="shared" si="577"/>
        <v>-87868.57496621368</v>
      </c>
      <c r="AN431" s="1">
        <f t="shared" si="554"/>
        <v>-121625.51546626074</v>
      </c>
      <c r="AO431">
        <f t="shared" si="555"/>
        <v>-1.3128442043352675</v>
      </c>
      <c r="AP431">
        <f t="shared" si="556"/>
        <v>3.3657480676649114</v>
      </c>
    </row>
    <row r="432" spans="1:42" x14ac:dyDescent="0.25">
      <c r="A432" s="4">
        <v>45467</v>
      </c>
      <c r="B432">
        <f t="shared" ref="B432:N432" si="620">(B982-B981)*100</f>
        <v>0</v>
      </c>
      <c r="C432">
        <f t="shared" si="620"/>
        <v>0</v>
      </c>
      <c r="D432">
        <f t="shared" si="620"/>
        <v>-0.99999999999997868</v>
      </c>
      <c r="E432">
        <f t="shared" si="620"/>
        <v>0</v>
      </c>
      <c r="F432">
        <f t="shared" si="620"/>
        <v>-0.99999999999997868</v>
      </c>
      <c r="G432">
        <f t="shared" si="620"/>
        <v>0</v>
      </c>
      <c r="H432">
        <f t="shared" si="620"/>
        <v>-0.99999999999997868</v>
      </c>
      <c r="I432">
        <f t="shared" si="620"/>
        <v>-0.99999999999997868</v>
      </c>
      <c r="J432">
        <f t="shared" si="620"/>
        <v>-0.99999999999997868</v>
      </c>
      <c r="K432">
        <f t="shared" si="620"/>
        <v>0</v>
      </c>
      <c r="L432">
        <f t="shared" si="620"/>
        <v>0</v>
      </c>
      <c r="M432">
        <f t="shared" si="620"/>
        <v>0.99999999999997868</v>
      </c>
      <c r="N432">
        <f t="shared" si="620"/>
        <v>0.99999999999997868</v>
      </c>
      <c r="O432" s="5">
        <f t="shared" si="613"/>
        <v>-7.6746064357575E-3</v>
      </c>
      <c r="P432" s="5">
        <f t="shared" si="613"/>
        <v>-1.4560954546439053E-2</v>
      </c>
      <c r="Q432" s="5">
        <f t="shared" si="613"/>
        <v>1.0100554439065771E-2</v>
      </c>
      <c r="R432" s="5">
        <f t="shared" si="613"/>
        <v>2.1036031948717462E-3</v>
      </c>
      <c r="S432" s="5">
        <f t="shared" si="613"/>
        <v>-8.1247190965446723E-3</v>
      </c>
      <c r="U432" s="4">
        <v>45467</v>
      </c>
      <c r="V432">
        <f t="shared" si="560"/>
        <v>0</v>
      </c>
      <c r="W432">
        <f t="shared" si="561"/>
        <v>0</v>
      </c>
      <c r="X432">
        <f t="shared" si="562"/>
        <v>-4589.9999999999018</v>
      </c>
      <c r="Y432">
        <f t="shared" si="563"/>
        <v>0</v>
      </c>
      <c r="Z432">
        <f t="shared" si="564"/>
        <v>-5434.9999999998845</v>
      </c>
      <c r="AA432">
        <f t="shared" si="565"/>
        <v>0</v>
      </c>
      <c r="AB432">
        <f t="shared" si="566"/>
        <v>-4563.9999999999027</v>
      </c>
      <c r="AC432">
        <f t="shared" si="567"/>
        <v>2222.9999999999527</v>
      </c>
      <c r="AD432">
        <f t="shared" si="568"/>
        <v>100543.99999999786</v>
      </c>
      <c r="AE432">
        <f t="shared" si="569"/>
        <v>0</v>
      </c>
      <c r="AF432">
        <f t="shared" si="570"/>
        <v>0</v>
      </c>
      <c r="AG432">
        <f t="shared" si="571"/>
        <v>25322.999999999462</v>
      </c>
      <c r="AH432">
        <f t="shared" si="572"/>
        <v>0.99999999999997868</v>
      </c>
      <c r="AI432">
        <f t="shared" si="573"/>
        <v>-0.76746064357575006</v>
      </c>
      <c r="AJ432">
        <f t="shared" si="574"/>
        <v>145609.54546439054</v>
      </c>
      <c r="AK432">
        <f t="shared" si="575"/>
        <v>101005.54439065771</v>
      </c>
      <c r="AL432">
        <f t="shared" si="576"/>
        <v>-52590.079871793656</v>
      </c>
      <c r="AM432" s="1">
        <f t="shared" si="577"/>
        <v>81247.190965446716</v>
      </c>
      <c r="AN432" s="1">
        <f t="shared" si="554"/>
        <v>388773.43348805531</v>
      </c>
      <c r="AO432">
        <f t="shared" si="555"/>
        <v>1.5562459340748651</v>
      </c>
      <c r="AP432">
        <f t="shared" si="556"/>
        <v>3.4135845382648005</v>
      </c>
    </row>
    <row r="433" spans="1:42" x14ac:dyDescent="0.25">
      <c r="A433" s="4">
        <v>45464</v>
      </c>
      <c r="B433">
        <f t="shared" ref="B433:N433" si="621">(B983-B982)*100</f>
        <v>0</v>
      </c>
      <c r="C433">
        <f t="shared" si="621"/>
        <v>0</v>
      </c>
      <c r="D433">
        <f t="shared" si="621"/>
        <v>0.99999999999997868</v>
      </c>
      <c r="E433">
        <f t="shared" si="621"/>
        <v>0.99999999999997868</v>
      </c>
      <c r="F433">
        <f t="shared" si="621"/>
        <v>0.99999999999997868</v>
      </c>
      <c r="G433">
        <f t="shared" si="621"/>
        <v>0</v>
      </c>
      <c r="H433">
        <f t="shared" si="621"/>
        <v>0</v>
      </c>
      <c r="I433">
        <f t="shared" si="621"/>
        <v>0</v>
      </c>
      <c r="J433">
        <f t="shared" si="621"/>
        <v>0</v>
      </c>
      <c r="K433">
        <f t="shared" si="621"/>
        <v>0</v>
      </c>
      <c r="L433">
        <f t="shared" si="621"/>
        <v>0</v>
      </c>
      <c r="M433">
        <f t="shared" si="621"/>
        <v>0</v>
      </c>
      <c r="N433">
        <f t="shared" si="621"/>
        <v>0</v>
      </c>
      <c r="O433" s="5">
        <f t="shared" si="613"/>
        <v>2.9816704708060262E-3</v>
      </c>
      <c r="P433" s="5">
        <f t="shared" si="613"/>
        <v>-5.5292770082660857E-3</v>
      </c>
      <c r="Q433" s="5">
        <f t="shared" si="613"/>
        <v>-7.5047457976022951E-3</v>
      </c>
      <c r="R433" s="5">
        <f t="shared" si="613"/>
        <v>-1.0523547406340737E-3</v>
      </c>
      <c r="S433" s="5">
        <f t="shared" si="613"/>
        <v>-1.389531698618271E-2</v>
      </c>
      <c r="U433" s="4">
        <v>45464</v>
      </c>
      <c r="V433">
        <f t="shared" si="560"/>
        <v>0</v>
      </c>
      <c r="W433">
        <f t="shared" si="561"/>
        <v>0</v>
      </c>
      <c r="X433">
        <f t="shared" si="562"/>
        <v>4589.9999999999018</v>
      </c>
      <c r="Y433">
        <f t="shared" si="563"/>
        <v>-3444.9999999999268</v>
      </c>
      <c r="Z433">
        <f t="shared" si="564"/>
        <v>5434.9999999998845</v>
      </c>
      <c r="AA433">
        <f t="shared" si="565"/>
        <v>0</v>
      </c>
      <c r="AB433">
        <f t="shared" si="566"/>
        <v>0</v>
      </c>
      <c r="AC433">
        <f t="shared" si="567"/>
        <v>0</v>
      </c>
      <c r="AD433">
        <f t="shared" si="568"/>
        <v>0</v>
      </c>
      <c r="AE433">
        <f t="shared" si="569"/>
        <v>0</v>
      </c>
      <c r="AF433">
        <f t="shared" si="570"/>
        <v>0</v>
      </c>
      <c r="AG433">
        <f t="shared" si="571"/>
        <v>0</v>
      </c>
      <c r="AH433">
        <f t="shared" si="572"/>
        <v>0</v>
      </c>
      <c r="AI433">
        <f t="shared" si="573"/>
        <v>0.2981670470806026</v>
      </c>
      <c r="AJ433">
        <f t="shared" si="574"/>
        <v>55292.770082660856</v>
      </c>
      <c r="AK433">
        <f t="shared" si="575"/>
        <v>-75047.457976022954</v>
      </c>
      <c r="AL433">
        <f t="shared" si="576"/>
        <v>26308.868515851842</v>
      </c>
      <c r="AM433" s="1">
        <f t="shared" si="577"/>
        <v>138953.1698618271</v>
      </c>
      <c r="AN433" s="1">
        <f t="shared" si="554"/>
        <v>152087.64865136379</v>
      </c>
      <c r="AO433">
        <f t="shared" si="555"/>
        <v>-7.3603356410177989</v>
      </c>
      <c r="AP433">
        <f t="shared" si="556"/>
        <v>3.3441276837184852</v>
      </c>
    </row>
    <row r="434" spans="1:42" x14ac:dyDescent="0.25">
      <c r="A434" s="4">
        <v>45463</v>
      </c>
      <c r="B434">
        <f t="shared" ref="B434:N434" si="622">(B984-B983)*100</f>
        <v>-1.9999999999999574</v>
      </c>
      <c r="C434">
        <f t="shared" si="622"/>
        <v>0</v>
      </c>
      <c r="D434">
        <f t="shared" si="622"/>
        <v>0</v>
      </c>
      <c r="E434">
        <f t="shared" si="622"/>
        <v>-0.99999999999997868</v>
      </c>
      <c r="F434">
        <f t="shared" si="622"/>
        <v>0</v>
      </c>
      <c r="G434">
        <f t="shared" si="622"/>
        <v>-0.99999999999997868</v>
      </c>
      <c r="H434">
        <f t="shared" si="622"/>
        <v>-0.99999999999997868</v>
      </c>
      <c r="I434">
        <f t="shared" si="622"/>
        <v>-2.0000000000000462</v>
      </c>
      <c r="J434">
        <f t="shared" si="622"/>
        <v>-1.9999999999999574</v>
      </c>
      <c r="K434">
        <f t="shared" si="622"/>
        <v>-3.0000000000000249</v>
      </c>
      <c r="L434">
        <f t="shared" si="622"/>
        <v>-3.0000000000000249</v>
      </c>
      <c r="M434">
        <f t="shared" si="622"/>
        <v>-2.0000000000000462</v>
      </c>
      <c r="N434">
        <f t="shared" si="622"/>
        <v>-2.9999999999999361</v>
      </c>
      <c r="O434" s="5">
        <f t="shared" si="613"/>
        <v>3.3234276634023724E-3</v>
      </c>
      <c r="P434" s="5">
        <f t="shared" si="613"/>
        <v>5.7678602586846714E-3</v>
      </c>
      <c r="Q434" s="5">
        <f t="shared" si="613"/>
        <v>-4.024365083171182E-3</v>
      </c>
      <c r="R434" s="5">
        <f t="shared" si="613"/>
        <v>-1.5764585503444939E-3</v>
      </c>
      <c r="S434" s="5">
        <f t="shared" si="613"/>
        <v>-2.1804566933517145E-3</v>
      </c>
      <c r="U434" s="4">
        <v>45463</v>
      </c>
      <c r="V434">
        <f t="shared" si="560"/>
        <v>7999.999999999829</v>
      </c>
      <c r="W434">
        <f t="shared" si="561"/>
        <v>0</v>
      </c>
      <c r="X434">
        <f t="shared" si="562"/>
        <v>0</v>
      </c>
      <c r="Y434">
        <f t="shared" si="563"/>
        <v>3444.9999999999268</v>
      </c>
      <c r="Z434">
        <f t="shared" si="564"/>
        <v>0</v>
      </c>
      <c r="AA434">
        <f t="shared" si="565"/>
        <v>1999.9999999999573</v>
      </c>
      <c r="AB434">
        <f t="shared" si="566"/>
        <v>-4563.9999999999027</v>
      </c>
      <c r="AC434">
        <f t="shared" si="567"/>
        <v>4446.0000000001028</v>
      </c>
      <c r="AD434">
        <f t="shared" si="568"/>
        <v>201087.99999999572</v>
      </c>
      <c r="AE434">
        <f t="shared" si="569"/>
        <v>-3.0000000000000249</v>
      </c>
      <c r="AF434">
        <f t="shared" si="570"/>
        <v>-150969.00000000125</v>
      </c>
      <c r="AG434">
        <f t="shared" si="571"/>
        <v>-50646.000000001171</v>
      </c>
      <c r="AH434">
        <f t="shared" si="572"/>
        <v>-2.9999999999999361</v>
      </c>
      <c r="AI434">
        <f t="shared" si="573"/>
        <v>0.33234276634023724</v>
      </c>
      <c r="AJ434">
        <f t="shared" si="574"/>
        <v>-57678.602586846711</v>
      </c>
      <c r="AK434">
        <f t="shared" si="575"/>
        <v>-40243.650831711821</v>
      </c>
      <c r="AL434">
        <f t="shared" si="576"/>
        <v>39411.46375861235</v>
      </c>
      <c r="AM434" s="1">
        <f t="shared" si="577"/>
        <v>21804.566933517144</v>
      </c>
      <c r="AN434" s="1">
        <f t="shared" si="554"/>
        <v>-23911.890383669484</v>
      </c>
      <c r="AO434">
        <f t="shared" si="555"/>
        <v>-0.83130378772372604</v>
      </c>
      <c r="AP434">
        <f t="shared" si="556"/>
        <v>3.1016406802307159</v>
      </c>
    </row>
    <row r="435" spans="1:42" x14ac:dyDescent="0.25">
      <c r="A435" s="4">
        <v>45461</v>
      </c>
      <c r="B435">
        <f t="shared" ref="B435:N435" si="623">(B985-B984)*100</f>
        <v>4.9999999999999822</v>
      </c>
      <c r="C435">
        <f t="shared" si="623"/>
        <v>0.99999999999997868</v>
      </c>
      <c r="D435">
        <f t="shared" si="623"/>
        <v>1.9999999999999574</v>
      </c>
      <c r="E435">
        <f t="shared" si="623"/>
        <v>0.99999999999997868</v>
      </c>
      <c r="F435">
        <f t="shared" si="623"/>
        <v>1.9999999999999574</v>
      </c>
      <c r="G435">
        <f t="shared" si="623"/>
        <v>2.0000000000000462</v>
      </c>
      <c r="H435">
        <f t="shared" si="623"/>
        <v>5.9999999999999609</v>
      </c>
      <c r="I435">
        <f t="shared" si="623"/>
        <v>7.0000000000000284</v>
      </c>
      <c r="J435">
        <f t="shared" si="623"/>
        <v>5.9999999999999609</v>
      </c>
      <c r="K435">
        <f t="shared" si="623"/>
        <v>6.0000000000000497</v>
      </c>
      <c r="L435">
        <f t="shared" si="623"/>
        <v>6.0000000000000497</v>
      </c>
      <c r="M435">
        <f t="shared" si="623"/>
        <v>4.9999999999999822</v>
      </c>
      <c r="N435">
        <f t="shared" si="623"/>
        <v>4.0000000000000036</v>
      </c>
      <c r="O435" s="5">
        <f t="shared" ref="O435:S444" si="624">LN(O984/O985)</f>
        <v>-1.0351393741178014E-3</v>
      </c>
      <c r="P435" s="5">
        <f t="shared" si="624"/>
        <v>4.5899343777895309E-3</v>
      </c>
      <c r="Q435" s="5">
        <f t="shared" si="624"/>
        <v>1.0936562961324657E-2</v>
      </c>
      <c r="R435" s="5">
        <f t="shared" si="624"/>
        <v>4.2094247897050321E-3</v>
      </c>
      <c r="S435" s="5">
        <f t="shared" si="624"/>
        <v>-7.2520166078012599E-3</v>
      </c>
      <c r="U435" s="4">
        <v>45461</v>
      </c>
      <c r="V435">
        <f t="shared" si="560"/>
        <v>-19999.999999999927</v>
      </c>
      <c r="W435">
        <f t="shared" si="561"/>
        <v>-2222.9999999999527</v>
      </c>
      <c r="X435">
        <f t="shared" si="562"/>
        <v>9179.9999999998035</v>
      </c>
      <c r="Y435">
        <f t="shared" si="563"/>
        <v>-3444.9999999999268</v>
      </c>
      <c r="Z435">
        <f t="shared" si="564"/>
        <v>10869.999999999769</v>
      </c>
      <c r="AA435">
        <f t="shared" si="565"/>
        <v>-4000.0000000000923</v>
      </c>
      <c r="AB435">
        <f t="shared" si="566"/>
        <v>27383.999999999822</v>
      </c>
      <c r="AC435">
        <f t="shared" si="567"/>
        <v>-15561.000000000064</v>
      </c>
      <c r="AD435">
        <f t="shared" si="568"/>
        <v>-603263.99999999604</v>
      </c>
      <c r="AE435">
        <f t="shared" si="569"/>
        <v>6.0000000000000497</v>
      </c>
      <c r="AF435">
        <f t="shared" si="570"/>
        <v>301938.0000000025</v>
      </c>
      <c r="AG435">
        <f t="shared" si="571"/>
        <v>126614.99999999955</v>
      </c>
      <c r="AH435">
        <f t="shared" si="572"/>
        <v>4.0000000000000036</v>
      </c>
      <c r="AI435">
        <f t="shared" si="573"/>
        <v>-0.10351393741178014</v>
      </c>
      <c r="AJ435">
        <f t="shared" si="574"/>
        <v>-45899.343777895308</v>
      </c>
      <c r="AK435">
        <f t="shared" si="575"/>
        <v>109365.62961324658</v>
      </c>
      <c r="AL435">
        <f t="shared" si="576"/>
        <v>-105235.6197426258</v>
      </c>
      <c r="AM435" s="1">
        <f t="shared" si="577"/>
        <v>72520.166078012597</v>
      </c>
      <c r="AN435" s="1">
        <f t="shared" si="554"/>
        <v>-141745.27134319389</v>
      </c>
      <c r="AO435">
        <f t="shared" si="555"/>
        <v>-1.7687442316589364</v>
      </c>
      <c r="AP435">
        <f t="shared" si="556"/>
        <v>3.2243130595171516</v>
      </c>
    </row>
    <row r="436" spans="1:42" x14ac:dyDescent="0.25">
      <c r="A436" s="4">
        <v>45460</v>
      </c>
      <c r="B436">
        <f t="shared" ref="B436:N436" si="625">(B986-B985)*100</f>
        <v>1.9999999999999574</v>
      </c>
      <c r="C436">
        <f t="shared" si="625"/>
        <v>0</v>
      </c>
      <c r="D436">
        <f t="shared" si="625"/>
        <v>-0.99999999999997868</v>
      </c>
      <c r="E436">
        <f t="shared" si="625"/>
        <v>-0.99999999999997868</v>
      </c>
      <c r="F436">
        <f t="shared" si="625"/>
        <v>-2.9999999999999361</v>
      </c>
      <c r="G436">
        <f t="shared" si="625"/>
        <v>-4.0000000000000036</v>
      </c>
      <c r="H436">
        <f t="shared" si="625"/>
        <v>-8.0000000000000071</v>
      </c>
      <c r="I436">
        <f t="shared" si="625"/>
        <v>-8.9999999999999858</v>
      </c>
      <c r="J436">
        <f t="shared" si="625"/>
        <v>-8.0000000000000071</v>
      </c>
      <c r="K436">
        <f t="shared" si="625"/>
        <v>-8.0000000000000071</v>
      </c>
      <c r="L436">
        <f t="shared" si="625"/>
        <v>-8.0000000000000071</v>
      </c>
      <c r="M436">
        <f t="shared" si="625"/>
        <v>-5.9999999999999609</v>
      </c>
      <c r="N436">
        <f t="shared" si="625"/>
        <v>-6.0000000000000497</v>
      </c>
      <c r="O436" s="5">
        <f t="shared" si="624"/>
        <v>9.280464551121529E-3</v>
      </c>
      <c r="P436" s="5">
        <f t="shared" si="624"/>
        <v>-1.2105804748156774E-4</v>
      </c>
      <c r="Q436" s="5">
        <f t="shared" si="624"/>
        <v>9.7189015836341725E-3</v>
      </c>
      <c r="R436" s="5">
        <f t="shared" si="624"/>
        <v>3.4332530752656997E-3</v>
      </c>
      <c r="S436" s="5">
        <f t="shared" si="624"/>
        <v>4.4044721129293885E-3</v>
      </c>
      <c r="U436" s="4">
        <v>45460</v>
      </c>
      <c r="V436">
        <f t="shared" si="560"/>
        <v>-7999.999999999829</v>
      </c>
      <c r="W436">
        <f t="shared" si="561"/>
        <v>0</v>
      </c>
      <c r="X436">
        <f t="shared" si="562"/>
        <v>-4589.9999999999018</v>
      </c>
      <c r="Y436">
        <f t="shared" si="563"/>
        <v>3444.9999999999268</v>
      </c>
      <c r="Z436">
        <f t="shared" si="564"/>
        <v>-16304.999999999653</v>
      </c>
      <c r="AA436">
        <f t="shared" si="565"/>
        <v>8000.0000000000073</v>
      </c>
      <c r="AB436">
        <f t="shared" si="566"/>
        <v>-36512.000000000029</v>
      </c>
      <c r="AC436">
        <f t="shared" si="567"/>
        <v>20006.999999999967</v>
      </c>
      <c r="AD436">
        <f t="shared" si="568"/>
        <v>804352.0000000007</v>
      </c>
      <c r="AE436">
        <f t="shared" si="569"/>
        <v>-8.0000000000000071</v>
      </c>
      <c r="AF436">
        <f t="shared" si="570"/>
        <v>-402584.00000000035</v>
      </c>
      <c r="AG436">
        <f t="shared" si="571"/>
        <v>-151937.99999999901</v>
      </c>
      <c r="AH436">
        <f t="shared" si="572"/>
        <v>-6.0000000000000497</v>
      </c>
      <c r="AI436">
        <f t="shared" si="573"/>
        <v>0.92804645511215289</v>
      </c>
      <c r="AJ436">
        <f t="shared" si="574"/>
        <v>1210.5804748156775</v>
      </c>
      <c r="AK436">
        <f t="shared" si="575"/>
        <v>97189.015836341729</v>
      </c>
      <c r="AL436">
        <f t="shared" si="576"/>
        <v>-85831.326881642497</v>
      </c>
      <c r="AM436" s="1">
        <f t="shared" si="577"/>
        <v>-44044.721129293888</v>
      </c>
      <c r="AN436" s="1">
        <f t="shared" si="554"/>
        <v>184385.47634667793</v>
      </c>
      <c r="AO436">
        <f t="shared" si="555"/>
        <v>0.2370429959595004</v>
      </c>
      <c r="AP436">
        <f t="shared" si="556"/>
        <v>3.2290990232056016</v>
      </c>
    </row>
    <row r="437" spans="1:42" x14ac:dyDescent="0.25">
      <c r="A437" s="4">
        <v>45457</v>
      </c>
      <c r="B437">
        <f t="shared" ref="B437:N437" si="626">(B987-B986)*100</f>
        <v>0</v>
      </c>
      <c r="C437">
        <f t="shared" si="626"/>
        <v>0</v>
      </c>
      <c r="D437">
        <f t="shared" si="626"/>
        <v>0</v>
      </c>
      <c r="E437">
        <f t="shared" si="626"/>
        <v>0</v>
      </c>
      <c r="F437">
        <f t="shared" si="626"/>
        <v>0</v>
      </c>
      <c r="G437">
        <f t="shared" si="626"/>
        <v>0</v>
      </c>
      <c r="H437">
        <f t="shared" si="626"/>
        <v>0.99999999999997868</v>
      </c>
      <c r="I437">
        <f t="shared" si="626"/>
        <v>0.99999999999997868</v>
      </c>
      <c r="J437">
        <f t="shared" si="626"/>
        <v>2.0000000000000462</v>
      </c>
      <c r="K437">
        <f t="shared" si="626"/>
        <v>3.0000000000000249</v>
      </c>
      <c r="L437">
        <f t="shared" si="626"/>
        <v>4.0000000000000036</v>
      </c>
      <c r="M437">
        <f t="shared" si="626"/>
        <v>4.0000000000000036</v>
      </c>
      <c r="N437">
        <f t="shared" si="626"/>
        <v>6.0000000000000497</v>
      </c>
      <c r="O437" s="5">
        <f t="shared" si="624"/>
        <v>-6.3941926812009836E-3</v>
      </c>
      <c r="P437" s="5">
        <f t="shared" si="624"/>
        <v>-4.2278253468579228E-3</v>
      </c>
      <c r="Q437" s="5">
        <f t="shared" si="624"/>
        <v>5.0481204049250793E-3</v>
      </c>
      <c r="R437" s="5">
        <f t="shared" si="624"/>
        <v>2.118644860285155E-3</v>
      </c>
      <c r="S437" s="5">
        <f t="shared" si="624"/>
        <v>-5.414712990071944E-4</v>
      </c>
      <c r="U437" s="4">
        <v>45457</v>
      </c>
      <c r="V437">
        <f t="shared" si="560"/>
        <v>0</v>
      </c>
      <c r="W437">
        <f t="shared" si="561"/>
        <v>0</v>
      </c>
      <c r="X437">
        <f t="shared" si="562"/>
        <v>0</v>
      </c>
      <c r="Y437">
        <f t="shared" si="563"/>
        <v>0</v>
      </c>
      <c r="Z437">
        <f t="shared" si="564"/>
        <v>0</v>
      </c>
      <c r="AA437">
        <f t="shared" si="565"/>
        <v>0</v>
      </c>
      <c r="AB437">
        <f t="shared" si="566"/>
        <v>4563.9999999999027</v>
      </c>
      <c r="AC437">
        <f t="shared" si="567"/>
        <v>-2222.9999999999527</v>
      </c>
      <c r="AD437">
        <f t="shared" si="568"/>
        <v>-201088.00000000466</v>
      </c>
      <c r="AE437">
        <f t="shared" si="569"/>
        <v>3.0000000000000249</v>
      </c>
      <c r="AF437">
        <f t="shared" si="570"/>
        <v>201292.00000000017</v>
      </c>
      <c r="AG437">
        <f t="shared" si="571"/>
        <v>101292.00000000009</v>
      </c>
      <c r="AH437">
        <f t="shared" si="572"/>
        <v>6.0000000000000497</v>
      </c>
      <c r="AI437">
        <f t="shared" si="573"/>
        <v>-0.63941926812009831</v>
      </c>
      <c r="AJ437">
        <f t="shared" si="574"/>
        <v>42278.253468579227</v>
      </c>
      <c r="AK437">
        <f t="shared" si="575"/>
        <v>50481.204049250795</v>
      </c>
      <c r="AL437">
        <f t="shared" si="576"/>
        <v>-52966.121507128875</v>
      </c>
      <c r="AM437" s="1">
        <f t="shared" si="577"/>
        <v>5414.7129900719438</v>
      </c>
      <c r="AN437" s="1">
        <f t="shared" si="554"/>
        <v>149053.40958150054</v>
      </c>
      <c r="AO437">
        <f t="shared" si="555"/>
        <v>-1.2758248694610683</v>
      </c>
      <c r="AP437">
        <f t="shared" si="556"/>
        <v>3.1949863642638854</v>
      </c>
    </row>
    <row r="438" spans="1:42" x14ac:dyDescent="0.25">
      <c r="A438" s="4">
        <v>45456</v>
      </c>
      <c r="B438">
        <f t="shared" ref="B438:N438" si="627">(B988-B987)*100</f>
        <v>0</v>
      </c>
      <c r="C438">
        <f t="shared" si="627"/>
        <v>0</v>
      </c>
      <c r="D438">
        <f t="shared" si="627"/>
        <v>0</v>
      </c>
      <c r="E438">
        <f t="shared" si="627"/>
        <v>1.9999999999999574</v>
      </c>
      <c r="F438">
        <f t="shared" si="627"/>
        <v>1.9999999999999574</v>
      </c>
      <c r="G438">
        <f t="shared" si="627"/>
        <v>5.9999999999999609</v>
      </c>
      <c r="H438">
        <f t="shared" si="627"/>
        <v>7.0000000000000284</v>
      </c>
      <c r="I438">
        <f t="shared" si="627"/>
        <v>6.0000000000000497</v>
      </c>
      <c r="J438">
        <f t="shared" si="627"/>
        <v>8.0000000000000071</v>
      </c>
      <c r="K438">
        <f t="shared" si="627"/>
        <v>7.9999999999999183</v>
      </c>
      <c r="L438">
        <f t="shared" si="627"/>
        <v>6.9999999999999396</v>
      </c>
      <c r="M438">
        <f t="shared" si="627"/>
        <v>5.9999999999999609</v>
      </c>
      <c r="N438">
        <f t="shared" si="627"/>
        <v>6.9999999999999396</v>
      </c>
      <c r="O438" s="5">
        <f t="shared" si="624"/>
        <v>1.5390466513367771E-3</v>
      </c>
      <c r="P438" s="5">
        <f t="shared" si="624"/>
        <v>3.1001163062589467E-2</v>
      </c>
      <c r="Q438" s="5">
        <f t="shared" si="624"/>
        <v>-1.0135809759910986E-2</v>
      </c>
      <c r="R438" s="5">
        <f t="shared" si="624"/>
        <v>-2.6507621096244569E-4</v>
      </c>
      <c r="S438" s="5">
        <f t="shared" si="624"/>
        <v>-1.5389918849293535E-2</v>
      </c>
      <c r="U438" s="4">
        <v>45456</v>
      </c>
      <c r="V438">
        <f t="shared" si="560"/>
        <v>0</v>
      </c>
      <c r="W438">
        <f t="shared" si="561"/>
        <v>0</v>
      </c>
      <c r="X438">
        <f t="shared" si="562"/>
        <v>0</v>
      </c>
      <c r="Y438">
        <f t="shared" si="563"/>
        <v>-6889.9999999998536</v>
      </c>
      <c r="Z438">
        <f t="shared" si="564"/>
        <v>10869.999999999769</v>
      </c>
      <c r="AA438">
        <f t="shared" si="565"/>
        <v>-11999.999999999922</v>
      </c>
      <c r="AB438">
        <f t="shared" si="566"/>
        <v>31948.000000000131</v>
      </c>
      <c r="AC438">
        <f t="shared" si="567"/>
        <v>-13338.000000000111</v>
      </c>
      <c r="AD438">
        <f t="shared" si="568"/>
        <v>-804352.0000000007</v>
      </c>
      <c r="AE438">
        <f t="shared" si="569"/>
        <v>7.9999999999999183</v>
      </c>
      <c r="AF438">
        <f t="shared" si="570"/>
        <v>352260.99999999697</v>
      </c>
      <c r="AG438">
        <f t="shared" si="571"/>
        <v>151937.99999999901</v>
      </c>
      <c r="AH438">
        <f t="shared" si="572"/>
        <v>6.9999999999999396</v>
      </c>
      <c r="AI438">
        <f t="shared" si="573"/>
        <v>0.1539046651336777</v>
      </c>
      <c r="AJ438">
        <f t="shared" si="574"/>
        <v>-310011.63062589464</v>
      </c>
      <c r="AK438">
        <f t="shared" si="575"/>
        <v>-101358.09759910985</v>
      </c>
      <c r="AL438">
        <f t="shared" si="576"/>
        <v>6626.9052740611423</v>
      </c>
      <c r="AM438" s="1">
        <f t="shared" si="577"/>
        <v>153899.18849293535</v>
      </c>
      <c r="AN438" s="1">
        <f t="shared" si="554"/>
        <v>-540391.4805533475</v>
      </c>
      <c r="AO438">
        <f t="shared" si="555"/>
        <v>-2.7297946550598584E-2</v>
      </c>
      <c r="AP438">
        <f t="shared" si="556"/>
        <v>5.4127944322892718</v>
      </c>
    </row>
    <row r="439" spans="1:42" x14ac:dyDescent="0.25">
      <c r="A439" s="4">
        <v>45455</v>
      </c>
      <c r="B439">
        <f t="shared" ref="B439:N439" si="628">(B989-B988)*100</f>
        <v>-0.99999999999997868</v>
      </c>
      <c r="C439">
        <f t="shared" si="628"/>
        <v>0</v>
      </c>
      <c r="D439">
        <f t="shared" si="628"/>
        <v>0.99999999999997868</v>
      </c>
      <c r="E439">
        <f t="shared" si="628"/>
        <v>-0.99999999999997868</v>
      </c>
      <c r="F439">
        <f t="shared" si="628"/>
        <v>0.99999999999997868</v>
      </c>
      <c r="G439">
        <f t="shared" si="628"/>
        <v>4.0000000000000036</v>
      </c>
      <c r="H439">
        <f t="shared" si="628"/>
        <v>5.9999999999999609</v>
      </c>
      <c r="I439">
        <f t="shared" si="628"/>
        <v>8.9999999999999858</v>
      </c>
      <c r="J439">
        <f t="shared" si="628"/>
        <v>8.9999999999999858</v>
      </c>
      <c r="K439">
        <f t="shared" si="628"/>
        <v>9.0000000000000746</v>
      </c>
      <c r="L439">
        <f t="shared" si="628"/>
        <v>8.0000000000000071</v>
      </c>
      <c r="M439">
        <f t="shared" si="628"/>
        <v>6.0000000000000497</v>
      </c>
      <c r="N439">
        <f t="shared" si="628"/>
        <v>6.0000000000000497</v>
      </c>
      <c r="O439" s="5">
        <f t="shared" si="624"/>
        <v>6.8243762868053816E-3</v>
      </c>
      <c r="P439" s="5">
        <f t="shared" si="624"/>
        <v>6.6391217087389352E-3</v>
      </c>
      <c r="Q439" s="5">
        <f t="shared" si="624"/>
        <v>1.0176354928717684E-3</v>
      </c>
      <c r="R439" s="5">
        <f t="shared" si="624"/>
        <v>7.9543952225397108E-4</v>
      </c>
      <c r="S439" s="5">
        <f t="shared" si="624"/>
        <v>1.4594487935436886E-2</v>
      </c>
      <c r="U439" s="4">
        <v>45455</v>
      </c>
      <c r="V439">
        <f t="shared" si="560"/>
        <v>3999.9999999999145</v>
      </c>
      <c r="W439">
        <f t="shared" si="561"/>
        <v>0</v>
      </c>
      <c r="X439">
        <f t="shared" si="562"/>
        <v>4589.9999999999018</v>
      </c>
      <c r="Y439">
        <f t="shared" si="563"/>
        <v>3444.9999999999268</v>
      </c>
      <c r="Z439">
        <f t="shared" si="564"/>
        <v>5434.9999999998845</v>
      </c>
      <c r="AA439">
        <f t="shared" si="565"/>
        <v>-8000.0000000000073</v>
      </c>
      <c r="AB439">
        <f t="shared" si="566"/>
        <v>27383.999999999822</v>
      </c>
      <c r="AC439">
        <f t="shared" si="567"/>
        <v>-20006.999999999967</v>
      </c>
      <c r="AD439">
        <f t="shared" si="568"/>
        <v>-904895.9999999986</v>
      </c>
      <c r="AE439">
        <f t="shared" si="569"/>
        <v>9.0000000000000746</v>
      </c>
      <c r="AF439">
        <f t="shared" si="570"/>
        <v>402584.00000000035</v>
      </c>
      <c r="AG439">
        <f t="shared" si="571"/>
        <v>151938.00000000125</v>
      </c>
      <c r="AH439">
        <f t="shared" si="572"/>
        <v>6.0000000000000497</v>
      </c>
      <c r="AI439">
        <f t="shared" si="573"/>
        <v>0.68243762868053814</v>
      </c>
      <c r="AJ439">
        <f t="shared" si="574"/>
        <v>-66391.217087389348</v>
      </c>
      <c r="AK439">
        <f t="shared" si="575"/>
        <v>10176.354928717683</v>
      </c>
      <c r="AL439">
        <f t="shared" si="576"/>
        <v>-19885.988056349277</v>
      </c>
      <c r="AM439" s="1">
        <f t="shared" si="577"/>
        <v>-145944.87935436887</v>
      </c>
      <c r="AN439" s="1">
        <f t="shared" si="554"/>
        <v>-555557.04713175865</v>
      </c>
      <c r="AO439">
        <f t="shared" si="555"/>
        <v>1.0868796837087391</v>
      </c>
      <c r="AP439">
        <f t="shared" si="556"/>
        <v>5.4082795538501003</v>
      </c>
    </row>
    <row r="440" spans="1:42" x14ac:dyDescent="0.25">
      <c r="A440" s="4">
        <v>45454</v>
      </c>
      <c r="B440">
        <f t="shared" ref="B440:N440" si="629">(B990-B989)*100</f>
        <v>0.99999999999997868</v>
      </c>
      <c r="C440">
        <f t="shared" si="629"/>
        <v>1.0000000000000675</v>
      </c>
      <c r="D440">
        <f t="shared" si="629"/>
        <v>0</v>
      </c>
      <c r="E440">
        <f t="shared" si="629"/>
        <v>0</v>
      </c>
      <c r="F440">
        <f t="shared" si="629"/>
        <v>1.0000000000000675</v>
      </c>
      <c r="G440">
        <f t="shared" si="629"/>
        <v>-0.99999999999997868</v>
      </c>
      <c r="H440">
        <f t="shared" si="629"/>
        <v>6.0000000000000497</v>
      </c>
      <c r="I440">
        <f t="shared" si="629"/>
        <v>4.9999999999999822</v>
      </c>
      <c r="J440">
        <f t="shared" si="629"/>
        <v>7.0000000000000284</v>
      </c>
      <c r="K440">
        <f t="shared" si="629"/>
        <v>6.9999999999999396</v>
      </c>
      <c r="L440">
        <f t="shared" si="629"/>
        <v>8.0000000000000071</v>
      </c>
      <c r="M440">
        <f t="shared" si="629"/>
        <v>5.9999999999999609</v>
      </c>
      <c r="N440">
        <f t="shared" si="629"/>
        <v>5.9999999999999609</v>
      </c>
      <c r="O440" s="5">
        <f t="shared" si="624"/>
        <v>-2.6403086678093803E-3</v>
      </c>
      <c r="P440" s="5">
        <f t="shared" si="624"/>
        <v>1.5761509171656939E-2</v>
      </c>
      <c r="Q440" s="5">
        <f t="shared" si="624"/>
        <v>6.9562473453839598E-3</v>
      </c>
      <c r="R440" s="5">
        <f t="shared" si="624"/>
        <v>-2.3844229074324887E-3</v>
      </c>
      <c r="S440" s="5">
        <f t="shared" si="624"/>
        <v>1.059799103440019E-2</v>
      </c>
      <c r="U440" s="4">
        <v>45454</v>
      </c>
      <c r="V440">
        <f t="shared" si="560"/>
        <v>-3999.9999999999145</v>
      </c>
      <c r="W440">
        <f t="shared" si="561"/>
        <v>-2223.0000000001501</v>
      </c>
      <c r="X440">
        <f t="shared" si="562"/>
        <v>0</v>
      </c>
      <c r="Y440">
        <f t="shared" si="563"/>
        <v>0</v>
      </c>
      <c r="Z440">
        <f t="shared" si="564"/>
        <v>5435.0000000003665</v>
      </c>
      <c r="AA440">
        <f t="shared" si="565"/>
        <v>1999.9999999999573</v>
      </c>
      <c r="AB440">
        <f t="shared" si="566"/>
        <v>27384.000000000226</v>
      </c>
      <c r="AC440">
        <f t="shared" si="567"/>
        <v>-11114.99999999996</v>
      </c>
      <c r="AD440">
        <f t="shared" si="568"/>
        <v>-703808.00000000291</v>
      </c>
      <c r="AE440">
        <f t="shared" si="569"/>
        <v>6.9999999999999396</v>
      </c>
      <c r="AF440">
        <f t="shared" si="570"/>
        <v>402584.00000000035</v>
      </c>
      <c r="AG440">
        <f t="shared" si="571"/>
        <v>151937.99999999901</v>
      </c>
      <c r="AH440">
        <f t="shared" si="572"/>
        <v>5.9999999999999609</v>
      </c>
      <c r="AI440">
        <f t="shared" si="573"/>
        <v>-0.26403086678093801</v>
      </c>
      <c r="AJ440">
        <f t="shared" si="574"/>
        <v>-157615.09171656938</v>
      </c>
      <c r="AK440">
        <f t="shared" si="575"/>
        <v>69562.473453839601</v>
      </c>
      <c r="AL440">
        <f t="shared" si="576"/>
        <v>59610.572685812214</v>
      </c>
      <c r="AM440" s="1">
        <f t="shared" si="577"/>
        <v>-105979.91034400191</v>
      </c>
      <c r="AN440" s="1">
        <f t="shared" si="554"/>
        <v>-266214.21995178924</v>
      </c>
      <c r="AO440">
        <f t="shared" si="555"/>
        <v>0.63677205472322451</v>
      </c>
      <c r="AP440">
        <f t="shared" si="556"/>
        <v>5.4239642581566514</v>
      </c>
    </row>
    <row r="441" spans="1:42" x14ac:dyDescent="0.25">
      <c r="A441" s="4">
        <v>45453</v>
      </c>
      <c r="B441">
        <f t="shared" ref="B441:N441" si="630">(B991-B990)*100</f>
        <v>0</v>
      </c>
      <c r="C441">
        <f t="shared" si="630"/>
        <v>-1.0000000000000675</v>
      </c>
      <c r="D441">
        <f t="shared" si="630"/>
        <v>0</v>
      </c>
      <c r="E441">
        <f t="shared" si="630"/>
        <v>0.99999999999997868</v>
      </c>
      <c r="F441">
        <f t="shared" si="630"/>
        <v>0</v>
      </c>
      <c r="G441">
        <f t="shared" si="630"/>
        <v>0.99999999999997868</v>
      </c>
      <c r="H441">
        <f t="shared" si="630"/>
        <v>0</v>
      </c>
      <c r="I441">
        <f t="shared" si="630"/>
        <v>3.0000000000000249</v>
      </c>
      <c r="J441">
        <f t="shared" si="630"/>
        <v>-2.0000000000000462</v>
      </c>
      <c r="K441">
        <f t="shared" si="630"/>
        <v>-1.9999999999999574</v>
      </c>
      <c r="L441">
        <f t="shared" si="630"/>
        <v>-4.0000000000000036</v>
      </c>
      <c r="M441">
        <f t="shared" si="630"/>
        <v>-4.0000000000000036</v>
      </c>
      <c r="N441">
        <f t="shared" si="630"/>
        <v>-4.0000000000000036</v>
      </c>
      <c r="O441" s="5">
        <f t="shared" si="624"/>
        <v>1.6231499861941775E-2</v>
      </c>
      <c r="P441" s="5">
        <f t="shared" si="624"/>
        <v>0</v>
      </c>
      <c r="Q441" s="5">
        <f t="shared" si="624"/>
        <v>6.9939922483133543E-3</v>
      </c>
      <c r="R441" s="5">
        <f t="shared" si="624"/>
        <v>6.3711391512537591E-3</v>
      </c>
      <c r="S441" s="5">
        <f t="shared" si="624"/>
        <v>-3.8084060020329752E-3</v>
      </c>
      <c r="U441" s="4">
        <v>45453</v>
      </c>
      <c r="V441">
        <f t="shared" si="560"/>
        <v>0</v>
      </c>
      <c r="W441">
        <f t="shared" si="561"/>
        <v>2223.0000000001501</v>
      </c>
      <c r="X441">
        <f t="shared" si="562"/>
        <v>0</v>
      </c>
      <c r="Y441">
        <f t="shared" si="563"/>
        <v>-3444.9999999999268</v>
      </c>
      <c r="Z441">
        <f t="shared" si="564"/>
        <v>0</v>
      </c>
      <c r="AA441">
        <f t="shared" si="565"/>
        <v>-1999.9999999999573</v>
      </c>
      <c r="AB441">
        <f t="shared" si="566"/>
        <v>0</v>
      </c>
      <c r="AC441">
        <f t="shared" si="567"/>
        <v>-6669.0000000000555</v>
      </c>
      <c r="AD441">
        <f t="shared" si="568"/>
        <v>201088.00000000466</v>
      </c>
      <c r="AE441">
        <f t="shared" si="569"/>
        <v>-1.9999999999999574</v>
      </c>
      <c r="AF441">
        <f t="shared" si="570"/>
        <v>-201292.00000000017</v>
      </c>
      <c r="AG441">
        <f t="shared" si="571"/>
        <v>-101292.00000000009</v>
      </c>
      <c r="AH441">
        <f t="shared" si="572"/>
        <v>-4.0000000000000036</v>
      </c>
      <c r="AI441">
        <f t="shared" si="573"/>
        <v>1.6231499861941774</v>
      </c>
      <c r="AJ441">
        <f t="shared" si="574"/>
        <v>0</v>
      </c>
      <c r="AK441">
        <f t="shared" si="575"/>
        <v>69939.922483133545</v>
      </c>
      <c r="AL441">
        <f t="shared" si="576"/>
        <v>-159278.47878134399</v>
      </c>
      <c r="AM441" s="1">
        <f t="shared" si="577"/>
        <v>38084.060020329751</v>
      </c>
      <c r="AN441" s="1">
        <f t="shared" si="554"/>
        <v>-162645.87312788991</v>
      </c>
      <c r="AO441">
        <f t="shared" si="555"/>
        <v>-1.4302715279238838</v>
      </c>
      <c r="AP441">
        <f t="shared" si="556"/>
        <v>5.4110154655602196</v>
      </c>
    </row>
    <row r="442" spans="1:42" x14ac:dyDescent="0.25">
      <c r="A442" s="4">
        <v>45450</v>
      </c>
      <c r="B442">
        <f t="shared" ref="B442:N442" si="631">(B992-B991)*100</f>
        <v>1.0000000000000675</v>
      </c>
      <c r="C442">
        <f t="shared" si="631"/>
        <v>0</v>
      </c>
      <c r="D442">
        <f t="shared" si="631"/>
        <v>-0.99999999999997868</v>
      </c>
      <c r="E442">
        <f t="shared" si="631"/>
        <v>-1.9999999999999574</v>
      </c>
      <c r="F442">
        <f t="shared" si="631"/>
        <v>-4.0000000000000036</v>
      </c>
      <c r="G442">
        <f t="shared" si="631"/>
        <v>-8.9999999999999858</v>
      </c>
      <c r="H442">
        <f t="shared" si="631"/>
        <v>-15.000000000000036</v>
      </c>
      <c r="I442">
        <f t="shared" si="631"/>
        <v>-16.000000000000014</v>
      </c>
      <c r="J442">
        <f t="shared" si="631"/>
        <v>-16.999999999999993</v>
      </c>
      <c r="K442">
        <f t="shared" si="631"/>
        <v>-16.999999999999993</v>
      </c>
      <c r="L442">
        <f t="shared" si="631"/>
        <v>-14.999999999999947</v>
      </c>
      <c r="M442">
        <f t="shared" si="631"/>
        <v>-12.999999999999989</v>
      </c>
      <c r="N442">
        <f t="shared" si="631"/>
        <v>-12.000000000000011</v>
      </c>
      <c r="O442" s="5">
        <f t="shared" si="624"/>
        <v>2.2943400566686842E-3</v>
      </c>
      <c r="P442" s="5">
        <f t="shared" si="624"/>
        <v>-6.8384414578068306E-4</v>
      </c>
      <c r="Q442" s="5">
        <f t="shared" si="624"/>
        <v>4.6237766089677482E-3</v>
      </c>
      <c r="R442" s="5">
        <f t="shared" si="624"/>
        <v>0</v>
      </c>
      <c r="S442" s="5">
        <f t="shared" si="624"/>
        <v>2.6191191714238601E-2</v>
      </c>
      <c r="U442" s="4">
        <v>45450</v>
      </c>
      <c r="V442">
        <f t="shared" si="560"/>
        <v>-4000.0000000002701</v>
      </c>
      <c r="W442">
        <f t="shared" si="561"/>
        <v>0</v>
      </c>
      <c r="X442">
        <f t="shared" si="562"/>
        <v>-4589.9999999999018</v>
      </c>
      <c r="Y442">
        <f t="shared" si="563"/>
        <v>6889.9999999998536</v>
      </c>
      <c r="Z442">
        <f t="shared" si="564"/>
        <v>-21740.000000000018</v>
      </c>
      <c r="AA442">
        <f t="shared" si="565"/>
        <v>17999.999999999971</v>
      </c>
      <c r="AB442">
        <f t="shared" si="566"/>
        <v>-68460.00000000016</v>
      </c>
      <c r="AC442">
        <f t="shared" si="567"/>
        <v>35568.000000000029</v>
      </c>
      <c r="AD442">
        <f t="shared" si="568"/>
        <v>1709247.9999999993</v>
      </c>
      <c r="AE442">
        <f t="shared" si="569"/>
        <v>-16.999999999999993</v>
      </c>
      <c r="AF442">
        <f t="shared" si="570"/>
        <v>-754844.99999999732</v>
      </c>
      <c r="AG442">
        <f t="shared" si="571"/>
        <v>-329198.99999999971</v>
      </c>
      <c r="AH442">
        <f t="shared" si="572"/>
        <v>-12.000000000000011</v>
      </c>
      <c r="AI442">
        <f t="shared" si="573"/>
        <v>0.22943400566686842</v>
      </c>
      <c r="AJ442">
        <f t="shared" si="574"/>
        <v>6838.4414578068308</v>
      </c>
      <c r="AK442">
        <f t="shared" si="575"/>
        <v>46237.766089677483</v>
      </c>
      <c r="AL442">
        <f t="shared" si="576"/>
        <v>0</v>
      </c>
      <c r="AM442" s="1">
        <f t="shared" si="577"/>
        <v>-261911.91714238602</v>
      </c>
      <c r="AN442" s="1">
        <f t="shared" si="554"/>
        <v>378007.51983910584</v>
      </c>
      <c r="AO442">
        <f t="shared" si="555"/>
        <v>-2.0594866106367498</v>
      </c>
      <c r="AP442">
        <f t="shared" si="556"/>
        <v>5.4781440613499877</v>
      </c>
    </row>
    <row r="443" spans="1:42" x14ac:dyDescent="0.25">
      <c r="A443" s="4">
        <v>45449</v>
      </c>
      <c r="B443">
        <f t="shared" ref="B443:N443" si="632">(B993-B992)*100</f>
        <v>0</v>
      </c>
      <c r="C443">
        <f t="shared" si="632"/>
        <v>1.0000000000000675</v>
      </c>
      <c r="D443">
        <f t="shared" si="632"/>
        <v>0</v>
      </c>
      <c r="E443">
        <f t="shared" si="632"/>
        <v>0.99999999999997868</v>
      </c>
      <c r="F443">
        <f t="shared" si="632"/>
        <v>0.99999999999997868</v>
      </c>
      <c r="G443">
        <f t="shared" si="632"/>
        <v>0</v>
      </c>
      <c r="H443">
        <f t="shared" si="632"/>
        <v>0</v>
      </c>
      <c r="I443">
        <f t="shared" si="632"/>
        <v>0.99999999999997868</v>
      </c>
      <c r="J443">
        <f t="shared" si="632"/>
        <v>1.9999999999999574</v>
      </c>
      <c r="K443">
        <f t="shared" si="632"/>
        <v>0.99999999999997868</v>
      </c>
      <c r="L443">
        <f t="shared" si="632"/>
        <v>0.99999999999997868</v>
      </c>
      <c r="M443">
        <f t="shared" si="632"/>
        <v>0.99999999999997868</v>
      </c>
      <c r="N443">
        <f t="shared" si="632"/>
        <v>1.0000000000000675</v>
      </c>
      <c r="O443" s="5">
        <f t="shared" si="624"/>
        <v>-3.0327177419855241E-3</v>
      </c>
      <c r="P443" s="5">
        <f t="shared" si="624"/>
        <v>-8.6113067453633845E-4</v>
      </c>
      <c r="Q443" s="5">
        <f t="shared" si="624"/>
        <v>9.7150624216323415E-4</v>
      </c>
      <c r="R443" s="5">
        <f t="shared" si="624"/>
        <v>1.8659208399221868E-3</v>
      </c>
      <c r="S443" s="5">
        <f t="shared" si="624"/>
        <v>2.0056571355714797E-2</v>
      </c>
      <c r="U443" s="4">
        <v>45449</v>
      </c>
      <c r="V443">
        <f t="shared" si="560"/>
        <v>0</v>
      </c>
      <c r="W443">
        <f t="shared" si="561"/>
        <v>-2223.0000000001501</v>
      </c>
      <c r="X443">
        <f t="shared" si="562"/>
        <v>0</v>
      </c>
      <c r="Y443">
        <f t="shared" si="563"/>
        <v>-3444.9999999999268</v>
      </c>
      <c r="Z443">
        <f t="shared" si="564"/>
        <v>5434.9999999998845</v>
      </c>
      <c r="AA443">
        <f t="shared" si="565"/>
        <v>0</v>
      </c>
      <c r="AB443">
        <f t="shared" si="566"/>
        <v>0</v>
      </c>
      <c r="AC443">
        <f t="shared" si="567"/>
        <v>-2222.9999999999527</v>
      </c>
      <c r="AD443">
        <f t="shared" si="568"/>
        <v>-201087.99999999572</v>
      </c>
      <c r="AE443">
        <f t="shared" si="569"/>
        <v>0.99999999999997868</v>
      </c>
      <c r="AF443">
        <f t="shared" si="570"/>
        <v>50322.99999999893</v>
      </c>
      <c r="AG443">
        <f t="shared" si="571"/>
        <v>25322.999999999462</v>
      </c>
      <c r="AH443">
        <f t="shared" si="572"/>
        <v>1.0000000000000675</v>
      </c>
      <c r="AI443">
        <f t="shared" si="573"/>
        <v>-0.30327177419855239</v>
      </c>
      <c r="AJ443">
        <f t="shared" si="574"/>
        <v>8611.3067453633848</v>
      </c>
      <c r="AK443">
        <f t="shared" si="575"/>
        <v>9715.0624216323413</v>
      </c>
      <c r="AL443">
        <f t="shared" si="576"/>
        <v>-46648.020998054672</v>
      </c>
      <c r="AM443" s="1">
        <f t="shared" si="577"/>
        <v>-200565.71355714797</v>
      </c>
      <c r="AN443" s="1">
        <f t="shared" si="554"/>
        <v>-356783.6686599786</v>
      </c>
      <c r="AO443">
        <f t="shared" si="555"/>
        <v>-7.1635610299563863</v>
      </c>
      <c r="AP443">
        <f t="shared" si="556"/>
        <v>5.4722021243066425</v>
      </c>
    </row>
    <row r="444" spans="1:42" x14ac:dyDescent="0.25">
      <c r="A444" s="4">
        <v>45448</v>
      </c>
      <c r="B444">
        <f t="shared" ref="B444:N444" si="633">(B994-B993)*100</f>
        <v>0</v>
      </c>
      <c r="C444">
        <f t="shared" si="633"/>
        <v>0</v>
      </c>
      <c r="D444">
        <f t="shared" si="633"/>
        <v>0.99999999999997868</v>
      </c>
      <c r="E444">
        <f t="shared" si="633"/>
        <v>-0.99999999999997868</v>
      </c>
      <c r="F444">
        <f t="shared" si="633"/>
        <v>0.99999999999997868</v>
      </c>
      <c r="G444">
        <f t="shared" si="633"/>
        <v>3.0000000000000249</v>
      </c>
      <c r="H444">
        <f t="shared" si="633"/>
        <v>4.9999999999999822</v>
      </c>
      <c r="I444">
        <f t="shared" si="633"/>
        <v>4.9999999999999822</v>
      </c>
      <c r="J444">
        <f t="shared" si="633"/>
        <v>4.0000000000000036</v>
      </c>
      <c r="K444">
        <f t="shared" si="633"/>
        <v>4.0000000000000036</v>
      </c>
      <c r="L444">
        <f t="shared" si="633"/>
        <v>4.0000000000000036</v>
      </c>
      <c r="M444">
        <f t="shared" si="633"/>
        <v>4.0000000000000036</v>
      </c>
      <c r="N444">
        <f t="shared" si="633"/>
        <v>4.0000000000000036</v>
      </c>
      <c r="O444" s="5">
        <f t="shared" si="624"/>
        <v>2.9188246874406547E-3</v>
      </c>
      <c r="P444" s="5">
        <f t="shared" si="624"/>
        <v>4.2666233879180035E-4</v>
      </c>
      <c r="Q444" s="5">
        <f t="shared" si="624"/>
        <v>-2.8345971960849589E-3</v>
      </c>
      <c r="R444" s="5">
        <f t="shared" si="624"/>
        <v>1.067805760830137E-3</v>
      </c>
      <c r="S444" s="5">
        <f t="shared" si="624"/>
        <v>-1.9760241096270004E-2</v>
      </c>
      <c r="U444" s="4">
        <v>45448</v>
      </c>
      <c r="V444">
        <f t="shared" si="560"/>
        <v>0</v>
      </c>
      <c r="W444">
        <f t="shared" si="561"/>
        <v>0</v>
      </c>
      <c r="X444">
        <f t="shared" si="562"/>
        <v>4589.9999999999018</v>
      </c>
      <c r="Y444">
        <f t="shared" si="563"/>
        <v>3444.9999999999268</v>
      </c>
      <c r="Z444">
        <f t="shared" si="564"/>
        <v>5434.9999999998845</v>
      </c>
      <c r="AA444">
        <f t="shared" si="565"/>
        <v>-6000.00000000005</v>
      </c>
      <c r="AB444">
        <f t="shared" si="566"/>
        <v>22819.99999999992</v>
      </c>
      <c r="AC444">
        <f t="shared" si="567"/>
        <v>-11114.99999999996</v>
      </c>
      <c r="AD444">
        <f t="shared" si="568"/>
        <v>-402176.00000000035</v>
      </c>
      <c r="AE444">
        <f t="shared" si="569"/>
        <v>4.0000000000000036</v>
      </c>
      <c r="AF444">
        <f t="shared" si="570"/>
        <v>201292.00000000017</v>
      </c>
      <c r="AG444">
        <f t="shared" si="571"/>
        <v>101292.00000000009</v>
      </c>
      <c r="AH444">
        <f t="shared" si="572"/>
        <v>4.0000000000000036</v>
      </c>
      <c r="AI444">
        <f t="shared" si="573"/>
        <v>0.29188246874406548</v>
      </c>
      <c r="AJ444">
        <f t="shared" si="574"/>
        <v>-4266.6233879180036</v>
      </c>
      <c r="AK444">
        <f t="shared" si="575"/>
        <v>-28345.971960849591</v>
      </c>
      <c r="AL444">
        <f t="shared" si="576"/>
        <v>-26695.144020753425</v>
      </c>
      <c r="AM444" s="1">
        <f t="shared" si="577"/>
        <v>197602.41096270003</v>
      </c>
      <c r="AN444" s="1">
        <f t="shared" si="554"/>
        <v>57885.963475647324</v>
      </c>
      <c r="AO444">
        <f t="shared" si="555"/>
        <v>-1.0941175875875395</v>
      </c>
      <c r="AP444">
        <f t="shared" si="556"/>
        <v>5.4679409990691967</v>
      </c>
    </row>
    <row r="445" spans="1:42" x14ac:dyDescent="0.25">
      <c r="A445" s="4">
        <v>45447</v>
      </c>
      <c r="B445">
        <f t="shared" ref="B445:N445" si="634">(B995-B994)*100</f>
        <v>0.99999999999997868</v>
      </c>
      <c r="C445">
        <f t="shared" si="634"/>
        <v>0.99999999999997868</v>
      </c>
      <c r="D445">
        <f t="shared" si="634"/>
        <v>0</v>
      </c>
      <c r="E445">
        <f t="shared" si="634"/>
        <v>0.99999999999997868</v>
      </c>
      <c r="F445">
        <f t="shared" si="634"/>
        <v>0.99999999999997868</v>
      </c>
      <c r="G445">
        <f t="shared" si="634"/>
        <v>2.9999999999999361</v>
      </c>
      <c r="H445">
        <f t="shared" si="634"/>
        <v>5.0000000000000711</v>
      </c>
      <c r="I445">
        <f t="shared" si="634"/>
        <v>7.0000000000000284</v>
      </c>
      <c r="J445">
        <f t="shared" si="634"/>
        <v>7.0000000000000284</v>
      </c>
      <c r="K445">
        <f t="shared" si="634"/>
        <v>8.0000000000000071</v>
      </c>
      <c r="L445">
        <f t="shared" si="634"/>
        <v>8.0000000000000071</v>
      </c>
      <c r="M445">
        <f t="shared" si="634"/>
        <v>7.0000000000000284</v>
      </c>
      <c r="N445">
        <f t="shared" si="634"/>
        <v>6.9999999999999396</v>
      </c>
      <c r="O445" s="5">
        <f t="shared" ref="O445:S454" si="635">LN(O994/O995)</f>
        <v>5.9778958454036321E-3</v>
      </c>
      <c r="P445" s="5">
        <f t="shared" si="635"/>
        <v>1.8277639336590577E-2</v>
      </c>
      <c r="Q445" s="5">
        <f t="shared" si="635"/>
        <v>-9.6783257891865926E-3</v>
      </c>
      <c r="R445" s="5">
        <f t="shared" si="635"/>
        <v>4.5509381182243696E-3</v>
      </c>
      <c r="S445" s="5">
        <f t="shared" si="635"/>
        <v>9.4784244137111773E-3</v>
      </c>
      <c r="U445" s="4">
        <v>45447</v>
      </c>
      <c r="V445">
        <f t="shared" si="560"/>
        <v>-3999.9999999999145</v>
      </c>
      <c r="W445">
        <f t="shared" si="561"/>
        <v>-2222.9999999999527</v>
      </c>
      <c r="X445">
        <f t="shared" si="562"/>
        <v>0</v>
      </c>
      <c r="Y445">
        <f t="shared" si="563"/>
        <v>-3444.9999999999268</v>
      </c>
      <c r="Z445">
        <f t="shared" si="564"/>
        <v>5434.9999999998845</v>
      </c>
      <c r="AA445">
        <f t="shared" si="565"/>
        <v>-5999.9999999998718</v>
      </c>
      <c r="AB445">
        <f t="shared" si="566"/>
        <v>22820.000000000324</v>
      </c>
      <c r="AC445">
        <f t="shared" si="567"/>
        <v>-15561.000000000064</v>
      </c>
      <c r="AD445">
        <f t="shared" si="568"/>
        <v>-703808.00000000291</v>
      </c>
      <c r="AE445">
        <f t="shared" si="569"/>
        <v>8.0000000000000071</v>
      </c>
      <c r="AF445">
        <f t="shared" si="570"/>
        <v>402584.00000000035</v>
      </c>
      <c r="AG445">
        <f t="shared" si="571"/>
        <v>177261.00000000073</v>
      </c>
      <c r="AH445">
        <f t="shared" si="572"/>
        <v>6.9999999999999396</v>
      </c>
      <c r="AI445">
        <f t="shared" si="573"/>
        <v>0.59778958454036324</v>
      </c>
      <c r="AJ445">
        <f t="shared" si="574"/>
        <v>-182776.39336590577</v>
      </c>
      <c r="AK445">
        <f t="shared" si="575"/>
        <v>-96783.257891865927</v>
      </c>
      <c r="AL445">
        <f t="shared" si="576"/>
        <v>-113773.45295560925</v>
      </c>
      <c r="AM445" s="1">
        <f t="shared" si="577"/>
        <v>-94784.244137111775</v>
      </c>
      <c r="AN445" s="1">
        <f t="shared" si="554"/>
        <v>-615038.75056090951</v>
      </c>
      <c r="AO445">
        <f t="shared" si="555"/>
        <v>-0.14078990995150287</v>
      </c>
      <c r="AP445">
        <f t="shared" si="556"/>
        <v>5.4676469534584111</v>
      </c>
    </row>
    <row r="446" spans="1:42" x14ac:dyDescent="0.25">
      <c r="A446" s="4">
        <v>45446</v>
      </c>
      <c r="B446">
        <f t="shared" ref="B446:N446" si="636">(B996-B995)*100</f>
        <v>-0.99999999999997868</v>
      </c>
      <c r="C446">
        <f t="shared" si="636"/>
        <v>-0.99999999999997868</v>
      </c>
      <c r="D446">
        <f t="shared" si="636"/>
        <v>-5.9999999999999609</v>
      </c>
      <c r="E446">
        <f t="shared" si="636"/>
        <v>0</v>
      </c>
      <c r="F446">
        <f t="shared" si="636"/>
        <v>3.0000000000000249</v>
      </c>
      <c r="G446">
        <f t="shared" si="636"/>
        <v>4.0000000000000036</v>
      </c>
      <c r="H446">
        <f t="shared" si="636"/>
        <v>6.9999999999999396</v>
      </c>
      <c r="I446">
        <f t="shared" si="636"/>
        <v>7.0000000000000284</v>
      </c>
      <c r="J446">
        <f t="shared" si="636"/>
        <v>9.9999999999999645</v>
      </c>
      <c r="K446">
        <f t="shared" si="636"/>
        <v>10.999999999999943</v>
      </c>
      <c r="L446">
        <f t="shared" si="636"/>
        <v>9.9999999999999645</v>
      </c>
      <c r="M446">
        <f t="shared" si="636"/>
        <v>10.000000000000053</v>
      </c>
      <c r="N446">
        <f t="shared" si="636"/>
        <v>10.000000000000053</v>
      </c>
      <c r="O446" s="5">
        <f t="shared" si="635"/>
        <v>-8.2074386902078423E-4</v>
      </c>
      <c r="P446" s="5">
        <f t="shared" si="635"/>
        <v>0</v>
      </c>
      <c r="Q446" s="5">
        <f t="shared" si="635"/>
        <v>-1.3189809787937544E-3</v>
      </c>
      <c r="R446" s="5">
        <f t="shared" si="635"/>
        <v>1.0738256065415915E-3</v>
      </c>
      <c r="S446" s="5">
        <f t="shared" si="635"/>
        <v>4.3019928537908148E-2</v>
      </c>
      <c r="U446" s="4">
        <v>45446</v>
      </c>
      <c r="V446">
        <f t="shared" si="560"/>
        <v>3999.9999999999145</v>
      </c>
      <c r="W446">
        <f t="shared" si="561"/>
        <v>2222.9999999999527</v>
      </c>
      <c r="X446">
        <f t="shared" si="562"/>
        <v>-27539.999999999822</v>
      </c>
      <c r="Y446">
        <f t="shared" si="563"/>
        <v>0</v>
      </c>
      <c r="Z446">
        <f t="shared" si="564"/>
        <v>16305.000000000135</v>
      </c>
      <c r="AA446">
        <f t="shared" si="565"/>
        <v>-8000.0000000000073</v>
      </c>
      <c r="AB446">
        <f t="shared" si="566"/>
        <v>31947.999999999724</v>
      </c>
      <c r="AC446">
        <f t="shared" si="567"/>
        <v>-15561.000000000064</v>
      </c>
      <c r="AD446">
        <f t="shared" si="568"/>
        <v>-1005439.9999999964</v>
      </c>
      <c r="AE446">
        <f t="shared" si="569"/>
        <v>10.999999999999943</v>
      </c>
      <c r="AF446">
        <f t="shared" si="570"/>
        <v>503229.9999999982</v>
      </c>
      <c r="AG446">
        <f t="shared" si="571"/>
        <v>253230.00000000134</v>
      </c>
      <c r="AH446">
        <f t="shared" si="572"/>
        <v>10.000000000000053</v>
      </c>
      <c r="AI446">
        <f t="shared" si="573"/>
        <v>-8.2074386902078425E-2</v>
      </c>
      <c r="AJ446">
        <f t="shared" si="574"/>
        <v>0</v>
      </c>
      <c r="AK446">
        <f t="shared" si="575"/>
        <v>-13189.809787937544</v>
      </c>
      <c r="AL446">
        <f t="shared" si="576"/>
        <v>-26845.640163539789</v>
      </c>
      <c r="AM446" s="1">
        <f t="shared" si="577"/>
        <v>-430199.2853790815</v>
      </c>
      <c r="AN446" s="1">
        <f t="shared" si="554"/>
        <v>-715818.8174049427</v>
      </c>
      <c r="AO446">
        <f t="shared" si="555"/>
        <v>-12.453245001003756</v>
      </c>
      <c r="AP446">
        <f t="shared" si="556"/>
        <v>5.4806274268064366</v>
      </c>
    </row>
    <row r="447" spans="1:42" x14ac:dyDescent="0.25">
      <c r="A447" s="4">
        <v>45443</v>
      </c>
      <c r="B447">
        <f t="shared" ref="B447:N447" si="637">(B997-B996)*100</f>
        <v>0</v>
      </c>
      <c r="C447">
        <f t="shared" si="637"/>
        <v>0</v>
      </c>
      <c r="D447">
        <f t="shared" si="637"/>
        <v>0</v>
      </c>
      <c r="E447">
        <f t="shared" si="637"/>
        <v>2.0000000000000462</v>
      </c>
      <c r="F447">
        <f t="shared" si="637"/>
        <v>0</v>
      </c>
      <c r="G447">
        <f t="shared" si="637"/>
        <v>1.0000000000000675</v>
      </c>
      <c r="H447">
        <f t="shared" si="637"/>
        <v>3.0000000000000249</v>
      </c>
      <c r="I447">
        <f t="shared" si="637"/>
        <v>4.9999999999999822</v>
      </c>
      <c r="J447">
        <f t="shared" si="637"/>
        <v>5.0000000000000711</v>
      </c>
      <c r="K447">
        <f t="shared" si="637"/>
        <v>5.0000000000000711</v>
      </c>
      <c r="L447">
        <f t="shared" si="637"/>
        <v>4.0000000000000036</v>
      </c>
      <c r="M447">
        <f t="shared" si="637"/>
        <v>2.9999999999999361</v>
      </c>
      <c r="N447">
        <f t="shared" si="637"/>
        <v>4.0000000000000036</v>
      </c>
      <c r="O447" s="5">
        <f t="shared" si="635"/>
        <v>8.507265195503641E-3</v>
      </c>
      <c r="P447" s="5">
        <f t="shared" si="635"/>
        <v>-1.2417090070895062E-4</v>
      </c>
      <c r="Q447" s="5">
        <f t="shared" si="635"/>
        <v>1.129472747175536E-2</v>
      </c>
      <c r="R447" s="5">
        <f t="shared" si="635"/>
        <v>-6.4257249209704447E-3</v>
      </c>
      <c r="S447" s="5">
        <f t="shared" si="635"/>
        <v>-1.9429257143866135E-3</v>
      </c>
      <c r="U447" s="4">
        <v>45443</v>
      </c>
      <c r="V447">
        <f t="shared" si="560"/>
        <v>0</v>
      </c>
      <c r="W447">
        <f t="shared" si="561"/>
        <v>0</v>
      </c>
      <c r="X447">
        <f t="shared" si="562"/>
        <v>0</v>
      </c>
      <c r="Y447">
        <f t="shared" si="563"/>
        <v>-6890.0000000001592</v>
      </c>
      <c r="Z447">
        <f t="shared" si="564"/>
        <v>0</v>
      </c>
      <c r="AA447">
        <f t="shared" si="565"/>
        <v>-2000.0000000001351</v>
      </c>
      <c r="AB447">
        <f t="shared" si="566"/>
        <v>13692.000000000113</v>
      </c>
      <c r="AC447">
        <f t="shared" si="567"/>
        <v>-11114.99999999996</v>
      </c>
      <c r="AD447">
        <f t="shared" si="568"/>
        <v>-502720.00000000716</v>
      </c>
      <c r="AE447">
        <f t="shared" si="569"/>
        <v>5.0000000000000711</v>
      </c>
      <c r="AF447">
        <f t="shared" si="570"/>
        <v>201292.00000000017</v>
      </c>
      <c r="AG447">
        <f t="shared" si="571"/>
        <v>75968.999999998385</v>
      </c>
      <c r="AH447">
        <f t="shared" si="572"/>
        <v>4.0000000000000036</v>
      </c>
      <c r="AI447">
        <f t="shared" si="573"/>
        <v>0.85072651955036416</v>
      </c>
      <c r="AJ447">
        <f t="shared" si="574"/>
        <v>1241.7090070895063</v>
      </c>
      <c r="AK447">
        <f t="shared" si="575"/>
        <v>112947.27471755359</v>
      </c>
      <c r="AL447">
        <f t="shared" si="576"/>
        <v>160643.12302426112</v>
      </c>
      <c r="AM447" s="1">
        <f t="shared" si="577"/>
        <v>19429.257143866136</v>
      </c>
      <c r="AN447" s="1">
        <f t="shared" si="554"/>
        <v>62499.214619281149</v>
      </c>
      <c r="AO447">
        <f t="shared" si="555"/>
        <v>1.3268350276688632</v>
      </c>
      <c r="AP447">
        <f t="shared" si="556"/>
        <v>4.809862822662808</v>
      </c>
    </row>
    <row r="448" spans="1:42" x14ac:dyDescent="0.25">
      <c r="A448" s="4">
        <v>45442</v>
      </c>
      <c r="B448">
        <f t="shared" ref="B448:N448" si="638">(B998-B997)*100</f>
        <v>1.9999999999999574</v>
      </c>
      <c r="C448">
        <f t="shared" si="638"/>
        <v>0</v>
      </c>
      <c r="D448">
        <f t="shared" si="638"/>
        <v>0</v>
      </c>
      <c r="E448">
        <f t="shared" si="638"/>
        <v>-1.0000000000000675</v>
      </c>
      <c r="F448">
        <f t="shared" si="638"/>
        <v>0.99999999999997868</v>
      </c>
      <c r="G448">
        <f t="shared" si="638"/>
        <v>2.9999999999999361</v>
      </c>
      <c r="H448">
        <f t="shared" si="638"/>
        <v>4.0000000000000036</v>
      </c>
      <c r="I448">
        <f t="shared" si="638"/>
        <v>4.9999999999999822</v>
      </c>
      <c r="J448">
        <f t="shared" si="638"/>
        <v>5.9999999999999609</v>
      </c>
      <c r="K448">
        <f t="shared" si="638"/>
        <v>5.9999999999999609</v>
      </c>
      <c r="L448">
        <f t="shared" si="638"/>
        <v>6.0000000000000497</v>
      </c>
      <c r="M448">
        <f t="shared" si="638"/>
        <v>6.0000000000000497</v>
      </c>
      <c r="N448">
        <f t="shared" si="638"/>
        <v>4.9999999999999822</v>
      </c>
      <c r="O448" s="5">
        <f t="shared" si="635"/>
        <v>0</v>
      </c>
      <c r="P448" s="5">
        <f t="shared" si="635"/>
        <v>-2.8723182188526938E-3</v>
      </c>
      <c r="Q448" s="5">
        <f t="shared" si="635"/>
        <v>1.0566052447445936E-2</v>
      </c>
      <c r="R448" s="5">
        <f t="shared" si="635"/>
        <v>-2.665246780281579E-3</v>
      </c>
      <c r="S448" s="5">
        <f t="shared" si="635"/>
        <v>2.6798693184953166E-3</v>
      </c>
      <c r="U448" s="4">
        <v>45442</v>
      </c>
      <c r="V448">
        <f t="shared" si="560"/>
        <v>-7999.999999999829</v>
      </c>
      <c r="W448">
        <f t="shared" si="561"/>
        <v>0</v>
      </c>
      <c r="X448">
        <f t="shared" si="562"/>
        <v>0</v>
      </c>
      <c r="Y448">
        <f t="shared" si="563"/>
        <v>3445.0000000002324</v>
      </c>
      <c r="Z448">
        <f t="shared" si="564"/>
        <v>5434.9999999998845</v>
      </c>
      <c r="AA448">
        <f t="shared" si="565"/>
        <v>-5999.9999999998718</v>
      </c>
      <c r="AB448">
        <f t="shared" si="566"/>
        <v>18256.000000000015</v>
      </c>
      <c r="AC448">
        <f t="shared" si="567"/>
        <v>-11114.99999999996</v>
      </c>
      <c r="AD448">
        <f t="shared" si="568"/>
        <v>-603263.99999999604</v>
      </c>
      <c r="AE448">
        <f t="shared" si="569"/>
        <v>5.9999999999999609</v>
      </c>
      <c r="AF448">
        <f t="shared" si="570"/>
        <v>301938.0000000025</v>
      </c>
      <c r="AG448">
        <f t="shared" si="571"/>
        <v>151938.00000000125</v>
      </c>
      <c r="AH448">
        <f t="shared" si="572"/>
        <v>4.9999999999999822</v>
      </c>
      <c r="AI448">
        <f t="shared" si="573"/>
        <v>0</v>
      </c>
      <c r="AJ448">
        <f t="shared" si="574"/>
        <v>28723.182188526938</v>
      </c>
      <c r="AK448">
        <f t="shared" si="575"/>
        <v>105660.52447445935</v>
      </c>
      <c r="AL448">
        <f t="shared" si="576"/>
        <v>66631.169507039478</v>
      </c>
      <c r="AM448" s="1">
        <f t="shared" si="577"/>
        <v>-26798.693184953165</v>
      </c>
      <c r="AN448" s="1">
        <f t="shared" si="554"/>
        <v>26860.182985080774</v>
      </c>
      <c r="AO448">
        <f t="shared" si="555"/>
        <v>-1.2128755503744699</v>
      </c>
      <c r="AP448">
        <f t="shared" si="556"/>
        <v>4.8002826237922358</v>
      </c>
    </row>
    <row r="449" spans="1:42" x14ac:dyDescent="0.25">
      <c r="A449" s="4">
        <v>45441</v>
      </c>
      <c r="B449">
        <f t="shared" ref="B449:N449" si="639">(B999-B998)*100</f>
        <v>0</v>
      </c>
      <c r="C449">
        <f t="shared" si="639"/>
        <v>0</v>
      </c>
      <c r="D449">
        <f t="shared" si="639"/>
        <v>0</v>
      </c>
      <c r="E449">
        <f t="shared" si="639"/>
        <v>4.0000000000000036</v>
      </c>
      <c r="F449">
        <f t="shared" si="639"/>
        <v>0</v>
      </c>
      <c r="G449">
        <f t="shared" si="639"/>
        <v>-0.99999999999997868</v>
      </c>
      <c r="H449">
        <f t="shared" si="639"/>
        <v>-1.9999999999999574</v>
      </c>
      <c r="I449">
        <f t="shared" si="639"/>
        <v>-4.0000000000000036</v>
      </c>
      <c r="J449">
        <f t="shared" si="639"/>
        <v>-7.0000000000000284</v>
      </c>
      <c r="K449">
        <f t="shared" si="639"/>
        <v>-7.0000000000000284</v>
      </c>
      <c r="L449">
        <f t="shared" si="639"/>
        <v>-7.0000000000000284</v>
      </c>
      <c r="M449">
        <f t="shared" si="639"/>
        <v>-8.0000000000000071</v>
      </c>
      <c r="N449">
        <f t="shared" si="639"/>
        <v>-8.0000000000000071</v>
      </c>
      <c r="O449" s="5">
        <f t="shared" si="635"/>
        <v>8.3861984761574287E-3</v>
      </c>
      <c r="P449" s="5">
        <f t="shared" si="635"/>
        <v>8.9905130597721979E-3</v>
      </c>
      <c r="Q449" s="5">
        <f t="shared" si="635"/>
        <v>-2.3910020788097822E-3</v>
      </c>
      <c r="R449" s="5">
        <f t="shared" si="635"/>
        <v>2.3984022156560555E-3</v>
      </c>
      <c r="S449" s="5">
        <f t="shared" si="635"/>
        <v>8.9335499323561929E-3</v>
      </c>
      <c r="U449" s="4">
        <v>45441</v>
      </c>
      <c r="V449">
        <f t="shared" si="560"/>
        <v>0</v>
      </c>
      <c r="W449">
        <f t="shared" si="561"/>
        <v>0</v>
      </c>
      <c r="X449">
        <f t="shared" si="562"/>
        <v>0</v>
      </c>
      <c r="Y449">
        <f t="shared" si="563"/>
        <v>-13780.000000000013</v>
      </c>
      <c r="Z449">
        <f t="shared" si="564"/>
        <v>0</v>
      </c>
      <c r="AA449">
        <f t="shared" si="565"/>
        <v>1999.9999999999573</v>
      </c>
      <c r="AB449">
        <f t="shared" si="566"/>
        <v>-9127.9999999998054</v>
      </c>
      <c r="AC449">
        <f t="shared" si="567"/>
        <v>8892.0000000000073</v>
      </c>
      <c r="AD449">
        <f t="shared" si="568"/>
        <v>703808.00000000291</v>
      </c>
      <c r="AE449">
        <f t="shared" si="569"/>
        <v>-7.0000000000000284</v>
      </c>
      <c r="AF449">
        <f t="shared" si="570"/>
        <v>-352261.00000000146</v>
      </c>
      <c r="AG449">
        <f t="shared" si="571"/>
        <v>-202584.00000000017</v>
      </c>
      <c r="AH449">
        <f t="shared" si="572"/>
        <v>-8.0000000000000071</v>
      </c>
      <c r="AI449">
        <f t="shared" si="573"/>
        <v>0.83861984761574282</v>
      </c>
      <c r="AJ449">
        <f t="shared" si="574"/>
        <v>-89905.130597721974</v>
      </c>
      <c r="AK449">
        <f t="shared" si="575"/>
        <v>-23910.020788097823</v>
      </c>
      <c r="AL449">
        <f t="shared" si="576"/>
        <v>-59960.055391401387</v>
      </c>
      <c r="AM449" s="1">
        <f t="shared" si="577"/>
        <v>-89335.499323561933</v>
      </c>
      <c r="AN449" s="1">
        <f t="shared" si="554"/>
        <v>-126177.86748093412</v>
      </c>
      <c r="AO449">
        <f t="shared" si="555"/>
        <v>-0.73611302422697689</v>
      </c>
      <c r="AP449">
        <f t="shared" si="556"/>
        <v>4.8123200817038976</v>
      </c>
    </row>
    <row r="450" spans="1:42" x14ac:dyDescent="0.25">
      <c r="A450" s="4">
        <v>45440</v>
      </c>
      <c r="B450">
        <f t="shared" ref="B450:N450" si="640">(B1000-B999)*100</f>
        <v>5.9999999999999609</v>
      </c>
      <c r="C450">
        <f t="shared" si="640"/>
        <v>4.9999999999999822</v>
      </c>
      <c r="D450">
        <f t="shared" si="640"/>
        <v>0</v>
      </c>
      <c r="E450">
        <f t="shared" si="640"/>
        <v>0</v>
      </c>
      <c r="F450">
        <f t="shared" si="640"/>
        <v>1.0000000000000675</v>
      </c>
      <c r="G450">
        <f t="shared" si="640"/>
        <v>0</v>
      </c>
      <c r="H450">
        <f t="shared" si="640"/>
        <v>-1.0000000000000675</v>
      </c>
      <c r="I450">
        <f t="shared" si="640"/>
        <v>-4.0000000000000036</v>
      </c>
      <c r="J450">
        <f t="shared" si="640"/>
        <v>-2.9999999999999361</v>
      </c>
      <c r="K450">
        <f t="shared" si="640"/>
        <v>-6.9999999999999396</v>
      </c>
      <c r="L450">
        <f t="shared" si="640"/>
        <v>-8.0000000000000071</v>
      </c>
      <c r="M450">
        <f t="shared" si="640"/>
        <v>-8.9999999999999858</v>
      </c>
      <c r="N450">
        <f t="shared" si="640"/>
        <v>-8.9999999999999858</v>
      </c>
      <c r="O450" s="5">
        <f t="shared" si="635"/>
        <v>5.8229815309934535E-4</v>
      </c>
      <c r="P450" s="5">
        <f t="shared" si="635"/>
        <v>-8.474517176290516E-3</v>
      </c>
      <c r="Q450" s="5">
        <f t="shared" si="635"/>
        <v>-9.5842611136755292E-3</v>
      </c>
      <c r="R450" s="5">
        <f t="shared" si="635"/>
        <v>1.8694090101667061E-3</v>
      </c>
      <c r="S450" s="5">
        <f t="shared" si="635"/>
        <v>6.6091568404231631E-3</v>
      </c>
      <c r="U450" s="4">
        <v>45440</v>
      </c>
      <c r="V450">
        <f t="shared" si="560"/>
        <v>-23999.999999999844</v>
      </c>
      <c r="W450">
        <f t="shared" si="561"/>
        <v>-11114.99999999996</v>
      </c>
      <c r="X450">
        <f t="shared" si="562"/>
        <v>0</v>
      </c>
      <c r="Y450">
        <f t="shared" si="563"/>
        <v>0</v>
      </c>
      <c r="Z450">
        <f t="shared" si="564"/>
        <v>5435.0000000003665</v>
      </c>
      <c r="AA450">
        <f t="shared" si="565"/>
        <v>0</v>
      </c>
      <c r="AB450">
        <f t="shared" si="566"/>
        <v>-4564.0000000003083</v>
      </c>
      <c r="AC450">
        <f t="shared" si="567"/>
        <v>8892.0000000000073</v>
      </c>
      <c r="AD450">
        <f t="shared" si="568"/>
        <v>301631.9999999936</v>
      </c>
      <c r="AE450">
        <f t="shared" si="569"/>
        <v>-6.9999999999999396</v>
      </c>
      <c r="AF450">
        <f t="shared" si="570"/>
        <v>-402584.00000000035</v>
      </c>
      <c r="AG450">
        <f t="shared" si="571"/>
        <v>-227906.99999999965</v>
      </c>
      <c r="AH450">
        <f t="shared" si="572"/>
        <v>-8.9999999999999858</v>
      </c>
      <c r="AI450">
        <f t="shared" si="573"/>
        <v>5.8229815309934534E-2</v>
      </c>
      <c r="AJ450">
        <f t="shared" si="574"/>
        <v>84745.171762905156</v>
      </c>
      <c r="AK450">
        <f t="shared" si="575"/>
        <v>-95842.611136755295</v>
      </c>
      <c r="AL450">
        <f t="shared" si="576"/>
        <v>-46735.22525416765</v>
      </c>
      <c r="AM450" s="1">
        <f t="shared" si="577"/>
        <v>-66091.568404231628</v>
      </c>
      <c r="AN450" s="1">
        <f t="shared" si="554"/>
        <v>-478151.17480244022</v>
      </c>
      <c r="AO450">
        <f t="shared" si="555"/>
        <v>-3.011523363272993</v>
      </c>
      <c r="AP450">
        <f t="shared" si="556"/>
        <v>4.8120988707848564</v>
      </c>
    </row>
    <row r="451" spans="1:42" x14ac:dyDescent="0.25">
      <c r="A451" s="4">
        <v>45436</v>
      </c>
      <c r="B451">
        <f t="shared" ref="B451:N451" si="641">(B1001-B1000)*100</f>
        <v>-4.9999999999999822</v>
      </c>
      <c r="C451">
        <f t="shared" si="641"/>
        <v>-4.9999999999999822</v>
      </c>
      <c r="D451">
        <f t="shared" si="641"/>
        <v>0</v>
      </c>
      <c r="E451">
        <f t="shared" si="641"/>
        <v>0</v>
      </c>
      <c r="F451">
        <f t="shared" si="641"/>
        <v>0</v>
      </c>
      <c r="G451">
        <f t="shared" si="641"/>
        <v>-0.99999999999997868</v>
      </c>
      <c r="H451">
        <f t="shared" si="641"/>
        <v>-1.9999999999999574</v>
      </c>
      <c r="I451">
        <f t="shared" si="641"/>
        <v>0</v>
      </c>
      <c r="J451">
        <f t="shared" si="641"/>
        <v>-1.0000000000000675</v>
      </c>
      <c r="K451">
        <f t="shared" si="641"/>
        <v>0.99999999999997868</v>
      </c>
      <c r="L451">
        <f t="shared" si="641"/>
        <v>0.99999999999997868</v>
      </c>
      <c r="M451">
        <f t="shared" si="641"/>
        <v>1.9999999999999574</v>
      </c>
      <c r="N451">
        <f t="shared" si="641"/>
        <v>0.99999999999997868</v>
      </c>
      <c r="O451" s="5">
        <f t="shared" si="635"/>
        <v>1.2628104062928178E-3</v>
      </c>
      <c r="P451" s="5">
        <f t="shared" si="635"/>
        <v>1.8080852142623167E-3</v>
      </c>
      <c r="Q451" s="5">
        <f t="shared" si="635"/>
        <v>4.7198508457755367E-3</v>
      </c>
      <c r="R451" s="5">
        <f t="shared" si="635"/>
        <v>1.6051367812284368E-3</v>
      </c>
      <c r="S451" s="5">
        <f t="shared" si="635"/>
        <v>-2.3214638034331748E-3</v>
      </c>
      <c r="U451" s="4">
        <v>45436</v>
      </c>
      <c r="V451">
        <f t="shared" si="560"/>
        <v>19999.999999999927</v>
      </c>
      <c r="W451">
        <f t="shared" si="561"/>
        <v>11114.99999999996</v>
      </c>
      <c r="X451">
        <f t="shared" si="562"/>
        <v>0</v>
      </c>
      <c r="Y451">
        <f t="shared" si="563"/>
        <v>0</v>
      </c>
      <c r="Z451">
        <f t="shared" si="564"/>
        <v>0</v>
      </c>
      <c r="AA451">
        <f t="shared" si="565"/>
        <v>1999.9999999999573</v>
      </c>
      <c r="AB451">
        <f t="shared" si="566"/>
        <v>-9127.9999999998054</v>
      </c>
      <c r="AC451">
        <f t="shared" si="567"/>
        <v>0</v>
      </c>
      <c r="AD451">
        <f t="shared" si="568"/>
        <v>100544.00000000678</v>
      </c>
      <c r="AE451">
        <f t="shared" si="569"/>
        <v>0.99999999999997868</v>
      </c>
      <c r="AF451">
        <f t="shared" si="570"/>
        <v>50322.99999999893</v>
      </c>
      <c r="AG451">
        <f t="shared" si="571"/>
        <v>50645.999999998923</v>
      </c>
      <c r="AH451">
        <f t="shared" si="572"/>
        <v>0.99999999999997868</v>
      </c>
      <c r="AI451">
        <f t="shared" si="573"/>
        <v>0.12628104062928178</v>
      </c>
      <c r="AJ451">
        <f t="shared" si="574"/>
        <v>-18080.852142623167</v>
      </c>
      <c r="AK451">
        <f t="shared" si="575"/>
        <v>47198.508457755364</v>
      </c>
      <c r="AL451">
        <f t="shared" si="576"/>
        <v>-40128.419530710918</v>
      </c>
      <c r="AM451" s="1">
        <f t="shared" si="577"/>
        <v>23214.638034331747</v>
      </c>
      <c r="AN451" s="1">
        <f t="shared" si="554"/>
        <v>237706.00109979839</v>
      </c>
      <c r="AO451">
        <f t="shared" si="555"/>
        <v>-8.1208586167687891E-2</v>
      </c>
      <c r="AP451">
        <f t="shared" si="556"/>
        <v>5.1937762263166007</v>
      </c>
    </row>
    <row r="452" spans="1:42" x14ac:dyDescent="0.25">
      <c r="A452" s="4">
        <v>45435</v>
      </c>
      <c r="B452">
        <f t="shared" ref="B452:N452" si="642">(B1002-B1001)*100</f>
        <v>-1.9999999999999574</v>
      </c>
      <c r="C452">
        <f t="shared" si="642"/>
        <v>0</v>
      </c>
      <c r="D452">
        <f t="shared" si="642"/>
        <v>-0.99999999999997868</v>
      </c>
      <c r="E452">
        <f t="shared" si="642"/>
        <v>-0.99999999999997868</v>
      </c>
      <c r="F452">
        <f t="shared" si="642"/>
        <v>-1.0000000000000675</v>
      </c>
      <c r="G452">
        <f t="shared" si="642"/>
        <v>-4.0000000000000036</v>
      </c>
      <c r="H452">
        <f t="shared" si="642"/>
        <v>-4.9999999999999822</v>
      </c>
      <c r="I452">
        <f t="shared" si="642"/>
        <v>-7.0000000000000284</v>
      </c>
      <c r="J452">
        <f t="shared" si="642"/>
        <v>-4.9999999999999822</v>
      </c>
      <c r="K452">
        <f t="shared" si="642"/>
        <v>-5.9999999999999609</v>
      </c>
      <c r="L452">
        <f t="shared" si="642"/>
        <v>-4.0000000000000036</v>
      </c>
      <c r="M452">
        <f t="shared" si="642"/>
        <v>-4.0000000000000036</v>
      </c>
      <c r="N452">
        <f t="shared" si="642"/>
        <v>-3.0000000000000249</v>
      </c>
      <c r="O452" s="5">
        <f t="shared" si="635"/>
        <v>-1.1463100760766187E-3</v>
      </c>
      <c r="P452" s="5">
        <f t="shared" si="635"/>
        <v>1.0787030323209153E-2</v>
      </c>
      <c r="Q452" s="5">
        <f t="shared" si="635"/>
        <v>1.99620351394936E-2</v>
      </c>
      <c r="R452" s="5">
        <f t="shared" si="635"/>
        <v>0</v>
      </c>
      <c r="S452" s="5">
        <f t="shared" si="635"/>
        <v>3.5321975240149854E-3</v>
      </c>
      <c r="U452" s="4">
        <v>45435</v>
      </c>
      <c r="V452">
        <f t="shared" si="560"/>
        <v>7999.999999999829</v>
      </c>
      <c r="W452">
        <f t="shared" si="561"/>
        <v>0</v>
      </c>
      <c r="X452">
        <f t="shared" si="562"/>
        <v>-4589.9999999999018</v>
      </c>
      <c r="Y452">
        <f t="shared" si="563"/>
        <v>3444.9999999999268</v>
      </c>
      <c r="Z452">
        <f t="shared" si="564"/>
        <v>-5435.0000000003665</v>
      </c>
      <c r="AA452">
        <f t="shared" si="565"/>
        <v>8000.0000000000073</v>
      </c>
      <c r="AB452">
        <f t="shared" si="566"/>
        <v>-22819.99999999992</v>
      </c>
      <c r="AC452">
        <f t="shared" si="567"/>
        <v>15561.000000000064</v>
      </c>
      <c r="AD452">
        <f t="shared" si="568"/>
        <v>502719.9999999982</v>
      </c>
      <c r="AE452">
        <f t="shared" si="569"/>
        <v>-5.9999999999999609</v>
      </c>
      <c r="AF452">
        <f t="shared" si="570"/>
        <v>-201292.00000000017</v>
      </c>
      <c r="AG452">
        <f t="shared" si="571"/>
        <v>-101292.00000000009</v>
      </c>
      <c r="AH452">
        <f t="shared" si="572"/>
        <v>-3.0000000000000249</v>
      </c>
      <c r="AI452">
        <f t="shared" si="573"/>
        <v>-0.11463100760766187</v>
      </c>
      <c r="AJ452">
        <f t="shared" si="574"/>
        <v>-107870.30323209154</v>
      </c>
      <c r="AK452">
        <f t="shared" si="575"/>
        <v>199620.35139493601</v>
      </c>
      <c r="AL452">
        <f t="shared" si="576"/>
        <v>0</v>
      </c>
      <c r="AM452" s="1">
        <f t="shared" si="577"/>
        <v>-35321.975240149855</v>
      </c>
      <c r="AN452" s="1">
        <f t="shared" si="554"/>
        <v>258715.9582916846</v>
      </c>
      <c r="AO452">
        <f t="shared" si="555"/>
        <v>0.86279625349488076</v>
      </c>
      <c r="AP452">
        <f t="shared" si="556"/>
        <v>5.1913180481007872</v>
      </c>
    </row>
    <row r="453" spans="1:42" x14ac:dyDescent="0.25">
      <c r="A453" s="4">
        <v>45434</v>
      </c>
      <c r="B453">
        <f t="shared" ref="B453:N453" si="643">(B1003-B1002)*100</f>
        <v>0.99999999999997868</v>
      </c>
      <c r="C453">
        <f t="shared" si="643"/>
        <v>-1.0000000000000675</v>
      </c>
      <c r="D453">
        <f t="shared" si="643"/>
        <v>0</v>
      </c>
      <c r="E453">
        <f t="shared" si="643"/>
        <v>0.99999999999997868</v>
      </c>
      <c r="F453">
        <f t="shared" si="643"/>
        <v>-0.99999999999997868</v>
      </c>
      <c r="G453">
        <f t="shared" si="643"/>
        <v>-2.0000000000000462</v>
      </c>
      <c r="H453">
        <f t="shared" si="643"/>
        <v>-4.0000000000000036</v>
      </c>
      <c r="I453">
        <f t="shared" si="643"/>
        <v>-2.9999999999999361</v>
      </c>
      <c r="J453">
        <f t="shared" si="643"/>
        <v>-4.0000000000000036</v>
      </c>
      <c r="K453">
        <f t="shared" si="643"/>
        <v>-2.0000000000000462</v>
      </c>
      <c r="L453">
        <f t="shared" si="643"/>
        <v>-1.9999999999999574</v>
      </c>
      <c r="M453">
        <f t="shared" si="643"/>
        <v>2.0000000000000462</v>
      </c>
      <c r="N453">
        <f t="shared" si="643"/>
        <v>0</v>
      </c>
      <c r="O453" s="5">
        <f t="shared" si="635"/>
        <v>9.0703127379543266E-3</v>
      </c>
      <c r="P453" s="5">
        <f t="shared" si="635"/>
        <v>3.0098825314184958E-3</v>
      </c>
      <c r="Q453" s="5">
        <f t="shared" si="635"/>
        <v>-1.1570284353625174E-2</v>
      </c>
      <c r="R453" s="5">
        <f t="shared" si="635"/>
        <v>1.0715243457599295E-3</v>
      </c>
      <c r="S453" s="5">
        <f t="shared" si="635"/>
        <v>2.2455323960255953E-3</v>
      </c>
      <c r="U453" s="4">
        <v>45434</v>
      </c>
      <c r="V453">
        <f t="shared" si="560"/>
        <v>-3999.9999999999145</v>
      </c>
      <c r="W453">
        <f t="shared" si="561"/>
        <v>2223.0000000001501</v>
      </c>
      <c r="X453">
        <f t="shared" si="562"/>
        <v>0</v>
      </c>
      <c r="Y453">
        <f t="shared" si="563"/>
        <v>-3444.9999999999268</v>
      </c>
      <c r="Z453">
        <f t="shared" si="564"/>
        <v>-5434.9999999998845</v>
      </c>
      <c r="AA453">
        <f t="shared" si="565"/>
        <v>4000.0000000000923</v>
      </c>
      <c r="AB453">
        <f t="shared" si="566"/>
        <v>-18256.000000000015</v>
      </c>
      <c r="AC453">
        <f t="shared" si="567"/>
        <v>6668.9999999998581</v>
      </c>
      <c r="AD453">
        <f t="shared" si="568"/>
        <v>402176.00000000035</v>
      </c>
      <c r="AE453">
        <f t="shared" si="569"/>
        <v>-2.0000000000000462</v>
      </c>
      <c r="AF453">
        <f t="shared" si="570"/>
        <v>-100645.99999999786</v>
      </c>
      <c r="AG453">
        <f t="shared" si="571"/>
        <v>50646.000000001171</v>
      </c>
      <c r="AH453">
        <f t="shared" si="572"/>
        <v>0</v>
      </c>
      <c r="AI453">
        <f t="shared" si="573"/>
        <v>0.90703127379543269</v>
      </c>
      <c r="AJ453">
        <f t="shared" si="574"/>
        <v>-30098.825314184956</v>
      </c>
      <c r="AK453">
        <f t="shared" si="575"/>
        <v>-115702.84353625175</v>
      </c>
      <c r="AL453">
        <f t="shared" si="576"/>
        <v>-26788.108643998239</v>
      </c>
      <c r="AM453" s="1">
        <f t="shared" si="577"/>
        <v>-22455.323960255952</v>
      </c>
      <c r="AN453" s="1">
        <f t="shared" si="554"/>
        <v>138885.80557658695</v>
      </c>
      <c r="AO453">
        <f t="shared" si="555"/>
        <v>-3.0797447147953139</v>
      </c>
      <c r="AP453">
        <f t="shared" si="556"/>
        <v>5.2060417172459781</v>
      </c>
    </row>
    <row r="454" spans="1:42" x14ac:dyDescent="0.25">
      <c r="A454" s="4">
        <v>45433</v>
      </c>
      <c r="B454">
        <f t="shared" ref="B454:N454" si="644">(B1004-B1003)*100</f>
        <v>0</v>
      </c>
      <c r="C454">
        <f t="shared" si="644"/>
        <v>0</v>
      </c>
      <c r="D454">
        <f t="shared" si="644"/>
        <v>0</v>
      </c>
      <c r="E454">
        <f t="shared" si="644"/>
        <v>0</v>
      </c>
      <c r="F454">
        <f t="shared" si="644"/>
        <v>0.99999999999997868</v>
      </c>
      <c r="G454">
        <f t="shared" si="644"/>
        <v>1.0000000000000675</v>
      </c>
      <c r="H454">
        <f t="shared" si="644"/>
        <v>0</v>
      </c>
      <c r="I454">
        <f t="shared" si="644"/>
        <v>0.99999999999997868</v>
      </c>
      <c r="J454">
        <f t="shared" si="644"/>
        <v>3.0000000000000249</v>
      </c>
      <c r="K454">
        <f t="shared" si="644"/>
        <v>2.0000000000000462</v>
      </c>
      <c r="L454">
        <f t="shared" si="644"/>
        <v>3.0000000000000249</v>
      </c>
      <c r="M454">
        <f t="shared" si="644"/>
        <v>2.9999999999999361</v>
      </c>
      <c r="N454">
        <f t="shared" si="644"/>
        <v>3.0000000000000249</v>
      </c>
      <c r="O454" s="5">
        <f t="shared" si="635"/>
        <v>-9.4010739815919369E-4</v>
      </c>
      <c r="P454" s="5">
        <f t="shared" si="635"/>
        <v>-4.4461953721937481E-3</v>
      </c>
      <c r="Q454" s="5">
        <f t="shared" si="635"/>
        <v>0</v>
      </c>
      <c r="R454" s="5">
        <f t="shared" si="635"/>
        <v>-5.3590569342609447E-4</v>
      </c>
      <c r="S454" s="5">
        <f t="shared" si="635"/>
        <v>5.116272011330132E-3</v>
      </c>
      <c r="U454" s="4">
        <v>45433</v>
      </c>
      <c r="V454">
        <f t="shared" si="560"/>
        <v>0</v>
      </c>
      <c r="W454">
        <f t="shared" si="561"/>
        <v>0</v>
      </c>
      <c r="X454">
        <f t="shared" si="562"/>
        <v>0</v>
      </c>
      <c r="Y454">
        <f t="shared" si="563"/>
        <v>0</v>
      </c>
      <c r="Z454">
        <f t="shared" si="564"/>
        <v>5434.9999999998845</v>
      </c>
      <c r="AA454">
        <f t="shared" si="565"/>
        <v>-2000.0000000001351</v>
      </c>
      <c r="AB454">
        <f t="shared" si="566"/>
        <v>0</v>
      </c>
      <c r="AC454">
        <f t="shared" si="567"/>
        <v>-2222.9999999999527</v>
      </c>
      <c r="AD454">
        <f t="shared" si="568"/>
        <v>-301632.0000000025</v>
      </c>
      <c r="AE454">
        <f t="shared" si="569"/>
        <v>2.0000000000000462</v>
      </c>
      <c r="AF454">
        <f t="shared" si="570"/>
        <v>150969.00000000125</v>
      </c>
      <c r="AG454">
        <f t="shared" si="571"/>
        <v>75968.999999998385</v>
      </c>
      <c r="AH454">
        <f t="shared" si="572"/>
        <v>3.0000000000000249</v>
      </c>
      <c r="AI454">
        <f t="shared" si="573"/>
        <v>-9.401073981591937E-2</v>
      </c>
      <c r="AJ454">
        <f t="shared" si="574"/>
        <v>44461.953721937483</v>
      </c>
      <c r="AK454">
        <f t="shared" si="575"/>
        <v>0</v>
      </c>
      <c r="AL454">
        <f t="shared" si="576"/>
        <v>13397.642335652361</v>
      </c>
      <c r="AM454" s="1">
        <f t="shared" si="577"/>
        <v>-51162.720113301322</v>
      </c>
      <c r="AN454" s="1">
        <f t="shared" ref="AN454:AN517" si="645">SUM(V454:AM454)</f>
        <v>-66780.218066454341</v>
      </c>
      <c r="AO454">
        <f t="shared" ref="AO454:AO517" si="646">AN454/AN455-1</f>
        <v>-2.0944929360362701</v>
      </c>
      <c r="AP454">
        <f t="shared" ref="AP454:AP517" si="647">STDEV(AO454:AO474)</f>
        <v>5.1805655391262295</v>
      </c>
    </row>
    <row r="455" spans="1:42" x14ac:dyDescent="0.25">
      <c r="A455" s="4">
        <v>45432</v>
      </c>
      <c r="B455">
        <f t="shared" ref="B455:N455" si="648">(B1005-B1004)*100</f>
        <v>0</v>
      </c>
      <c r="C455">
        <f t="shared" si="648"/>
        <v>0</v>
      </c>
      <c r="D455">
        <f t="shared" si="648"/>
        <v>0.99999999999997868</v>
      </c>
      <c r="E455">
        <f t="shared" si="648"/>
        <v>-0.99999999999997868</v>
      </c>
      <c r="F455">
        <f t="shared" si="648"/>
        <v>-1.9999999999999574</v>
      </c>
      <c r="G455">
        <f t="shared" si="648"/>
        <v>-1.0000000000000675</v>
      </c>
      <c r="H455">
        <f t="shared" si="648"/>
        <v>0.99999999999997868</v>
      </c>
      <c r="I455">
        <f t="shared" si="648"/>
        <v>-2.0000000000000462</v>
      </c>
      <c r="J455">
        <f t="shared" si="648"/>
        <v>-1.9999999999999574</v>
      </c>
      <c r="K455">
        <f t="shared" si="648"/>
        <v>-1.0000000000000675</v>
      </c>
      <c r="L455">
        <f t="shared" si="648"/>
        <v>-2.0000000000000462</v>
      </c>
      <c r="M455">
        <f t="shared" si="648"/>
        <v>-1.9999999999999574</v>
      </c>
      <c r="N455">
        <f t="shared" si="648"/>
        <v>-2.0000000000000462</v>
      </c>
      <c r="O455" s="5">
        <f t="shared" ref="O455:S464" si="649">LN(O1004/O1005)</f>
        <v>-1.4085060429464577E-3</v>
      </c>
      <c r="P455" s="5">
        <f t="shared" si="649"/>
        <v>1.305653665048879E-3</v>
      </c>
      <c r="Q455" s="5">
        <f t="shared" si="649"/>
        <v>-4.9148344274652861E-3</v>
      </c>
      <c r="R455" s="5">
        <f t="shared" si="649"/>
        <v>-1.3385091009242742E-3</v>
      </c>
      <c r="S455" s="5">
        <f t="shared" si="649"/>
        <v>-3.1789049001359699E-3</v>
      </c>
      <c r="U455" s="4">
        <v>45432</v>
      </c>
      <c r="V455">
        <f t="shared" si="560"/>
        <v>0</v>
      </c>
      <c r="W455">
        <f t="shared" si="561"/>
        <v>0</v>
      </c>
      <c r="X455">
        <f t="shared" si="562"/>
        <v>4589.9999999999018</v>
      </c>
      <c r="Y455">
        <f t="shared" si="563"/>
        <v>3444.9999999999268</v>
      </c>
      <c r="Z455">
        <f t="shared" si="564"/>
        <v>-10869.999999999769</v>
      </c>
      <c r="AA455">
        <f t="shared" si="565"/>
        <v>2000.0000000001351</v>
      </c>
      <c r="AB455">
        <f t="shared" si="566"/>
        <v>4563.9999999999027</v>
      </c>
      <c r="AC455">
        <f t="shared" si="567"/>
        <v>4446.0000000001028</v>
      </c>
      <c r="AD455">
        <f t="shared" si="568"/>
        <v>201087.99999999572</v>
      </c>
      <c r="AE455">
        <f t="shared" si="569"/>
        <v>-1.0000000000000675</v>
      </c>
      <c r="AF455">
        <f t="shared" si="570"/>
        <v>-100646.00000000233</v>
      </c>
      <c r="AG455">
        <f t="shared" si="571"/>
        <v>-50645.999999998923</v>
      </c>
      <c r="AH455">
        <f t="shared" si="572"/>
        <v>-2.0000000000000462</v>
      </c>
      <c r="AI455">
        <f t="shared" si="573"/>
        <v>-0.14085060429464577</v>
      </c>
      <c r="AJ455">
        <f t="shared" si="574"/>
        <v>-13056.53665048879</v>
      </c>
      <c r="AK455">
        <f t="shared" si="575"/>
        <v>-49148.34427465286</v>
      </c>
      <c r="AL455">
        <f t="shared" si="576"/>
        <v>33462.727523106856</v>
      </c>
      <c r="AM455" s="1">
        <f t="shared" si="577"/>
        <v>31789.049001359697</v>
      </c>
      <c r="AN455" s="1">
        <f t="shared" si="645"/>
        <v>61014.754748715277</v>
      </c>
      <c r="AO455">
        <f t="shared" si="646"/>
        <v>-5.7978382017201326</v>
      </c>
      <c r="AP455">
        <f t="shared" si="647"/>
        <v>5.1799504862806947</v>
      </c>
    </row>
    <row r="456" spans="1:42" x14ac:dyDescent="0.25">
      <c r="A456" s="4">
        <v>45429</v>
      </c>
      <c r="B456">
        <f t="shared" ref="B456:N456" si="650">(B1006-B1005)*100</f>
        <v>0.99999999999997868</v>
      </c>
      <c r="C456">
        <f t="shared" si="650"/>
        <v>0</v>
      </c>
      <c r="D456">
        <f t="shared" si="650"/>
        <v>-0.99999999999997868</v>
      </c>
      <c r="E456">
        <f t="shared" si="650"/>
        <v>3.0000000000000249</v>
      </c>
      <c r="F456">
        <f t="shared" si="650"/>
        <v>0</v>
      </c>
      <c r="G456">
        <f t="shared" si="650"/>
        <v>-0.99999999999997868</v>
      </c>
      <c r="H456">
        <f t="shared" si="650"/>
        <v>-4.9999999999999822</v>
      </c>
      <c r="I456">
        <f t="shared" si="650"/>
        <v>-1.9999999999999574</v>
      </c>
      <c r="J456">
        <f t="shared" si="650"/>
        <v>-4.0000000000000036</v>
      </c>
      <c r="K456">
        <f t="shared" si="650"/>
        <v>-4.0000000000000036</v>
      </c>
      <c r="L456">
        <f t="shared" si="650"/>
        <v>-4.0000000000000036</v>
      </c>
      <c r="M456">
        <f t="shared" si="650"/>
        <v>-4.0000000000000036</v>
      </c>
      <c r="N456">
        <f t="shared" si="650"/>
        <v>-4.0000000000000036</v>
      </c>
      <c r="O456" s="5">
        <f t="shared" si="649"/>
        <v>-2.2065796242895083E-3</v>
      </c>
      <c r="P456" s="5">
        <f t="shared" si="649"/>
        <v>-6.5303992394597063E-4</v>
      </c>
      <c r="Q456" s="5">
        <f t="shared" si="649"/>
        <v>-8.3177786399068233E-3</v>
      </c>
      <c r="R456" s="5">
        <f t="shared" si="649"/>
        <v>1.874414794350352E-3</v>
      </c>
      <c r="S456" s="5">
        <f t="shared" si="649"/>
        <v>-4.6505842962024299E-3</v>
      </c>
      <c r="U456" s="4">
        <v>45429</v>
      </c>
      <c r="V456">
        <f t="shared" si="560"/>
        <v>-3999.9999999999145</v>
      </c>
      <c r="W456">
        <f t="shared" si="561"/>
        <v>0</v>
      </c>
      <c r="X456">
        <f t="shared" si="562"/>
        <v>-4589.9999999999018</v>
      </c>
      <c r="Y456">
        <f t="shared" si="563"/>
        <v>-10335.000000000085</v>
      </c>
      <c r="Z456">
        <f t="shared" si="564"/>
        <v>0</v>
      </c>
      <c r="AA456">
        <f t="shared" si="565"/>
        <v>1999.9999999999573</v>
      </c>
      <c r="AB456">
        <f t="shared" si="566"/>
        <v>-22819.99999999992</v>
      </c>
      <c r="AC456">
        <f t="shared" si="567"/>
        <v>4445.9999999999054</v>
      </c>
      <c r="AD456">
        <f t="shared" si="568"/>
        <v>402176.00000000035</v>
      </c>
      <c r="AE456">
        <f t="shared" si="569"/>
        <v>-4.0000000000000036</v>
      </c>
      <c r="AF456">
        <f t="shared" si="570"/>
        <v>-201292.00000000017</v>
      </c>
      <c r="AG456">
        <f t="shared" si="571"/>
        <v>-101292.00000000009</v>
      </c>
      <c r="AH456">
        <f t="shared" si="572"/>
        <v>-4.0000000000000036</v>
      </c>
      <c r="AI456">
        <f t="shared" si="573"/>
        <v>-0.22065796242895083</v>
      </c>
      <c r="AJ456">
        <f t="shared" si="574"/>
        <v>6530.3992394597062</v>
      </c>
      <c r="AK456">
        <f t="shared" si="575"/>
        <v>-83177.786399068238</v>
      </c>
      <c r="AL456">
        <f t="shared" si="576"/>
        <v>-46860.369858758801</v>
      </c>
      <c r="AM456" s="1">
        <f t="shared" si="577"/>
        <v>46505.842962024297</v>
      </c>
      <c r="AN456" s="1">
        <f t="shared" si="645"/>
        <v>-12717.134714305314</v>
      </c>
      <c r="AO456">
        <f t="shared" si="646"/>
        <v>-1.0630130291209545</v>
      </c>
      <c r="AP456">
        <f t="shared" si="647"/>
        <v>5.0640922561642121</v>
      </c>
    </row>
    <row r="457" spans="1:42" x14ac:dyDescent="0.25">
      <c r="A457" s="4">
        <v>45428</v>
      </c>
      <c r="B457">
        <f t="shared" ref="B457:N457" si="651">(B1007-B1006)*100</f>
        <v>-1.9999999999999574</v>
      </c>
      <c r="C457">
        <f t="shared" si="651"/>
        <v>-0.99999999999997868</v>
      </c>
      <c r="D457">
        <f t="shared" si="651"/>
        <v>0</v>
      </c>
      <c r="E457">
        <f t="shared" si="651"/>
        <v>-3.0000000000000249</v>
      </c>
      <c r="F457">
        <f t="shared" si="651"/>
        <v>-0.99999999999997868</v>
      </c>
      <c r="G457">
        <f t="shared" si="651"/>
        <v>-3.0000000000000249</v>
      </c>
      <c r="H457">
        <f t="shared" si="651"/>
        <v>-4.9999999999999822</v>
      </c>
      <c r="I457">
        <f t="shared" si="651"/>
        <v>-7.0000000000000284</v>
      </c>
      <c r="J457">
        <f t="shared" si="651"/>
        <v>-5.0000000000000711</v>
      </c>
      <c r="K457">
        <f t="shared" si="651"/>
        <v>-4.0000000000000036</v>
      </c>
      <c r="L457">
        <f t="shared" si="651"/>
        <v>-1.9999999999999574</v>
      </c>
      <c r="M457">
        <f t="shared" si="651"/>
        <v>-0.99999999999997868</v>
      </c>
      <c r="N457">
        <f t="shared" si="651"/>
        <v>0</v>
      </c>
      <c r="O457" s="5">
        <f t="shared" si="649"/>
        <v>-2.9799315048620449E-3</v>
      </c>
      <c r="P457" s="5">
        <f t="shared" si="649"/>
        <v>1.2019232216164014E-3</v>
      </c>
      <c r="Q457" s="5">
        <f t="shared" si="649"/>
        <v>-8.5545969765110016E-3</v>
      </c>
      <c r="R457" s="5">
        <f t="shared" si="649"/>
        <v>3.7594029239057455E-3</v>
      </c>
      <c r="S457" s="5">
        <f t="shared" si="649"/>
        <v>-2.7571160740707612E-4</v>
      </c>
      <c r="U457" s="4">
        <v>45428</v>
      </c>
      <c r="V457">
        <f t="shared" ref="V457:V520" si="652">B457*B$3</f>
        <v>7999.999999999829</v>
      </c>
      <c r="W457">
        <f t="shared" ref="W457:W520" si="653">C457*C$3</f>
        <v>2222.9999999999527</v>
      </c>
      <c r="X457">
        <f t="shared" ref="X457:X520" si="654">D457*D$3</f>
        <v>0</v>
      </c>
      <c r="Y457">
        <f t="shared" ref="Y457:Y520" si="655">E457*E$3</f>
        <v>10335.000000000085</v>
      </c>
      <c r="Z457">
        <f t="shared" ref="Z457:Z520" si="656">F457*F$3</f>
        <v>-5434.9999999998845</v>
      </c>
      <c r="AA457">
        <f t="shared" ref="AA457:AA520" si="657">G457*G$3</f>
        <v>6000.00000000005</v>
      </c>
      <c r="AB457">
        <f t="shared" ref="AB457:AB520" si="658">H457*H$3</f>
        <v>-22819.99999999992</v>
      </c>
      <c r="AC457">
        <f t="shared" ref="AC457:AC520" si="659">I457*I$3</f>
        <v>15561.000000000064</v>
      </c>
      <c r="AD457">
        <f t="shared" ref="AD457:AD520" si="660">J457*J$3</f>
        <v>502720.00000000716</v>
      </c>
      <c r="AE457">
        <f t="shared" ref="AE457:AE520" si="661">K457*K$3</f>
        <v>-4.0000000000000036</v>
      </c>
      <c r="AF457">
        <f t="shared" ref="AF457:AF520" si="662">L457*L$3</f>
        <v>-100645.99999999786</v>
      </c>
      <c r="AG457">
        <f t="shared" ref="AG457:AG520" si="663">M457*M$3</f>
        <v>-25322.999999999462</v>
      </c>
      <c r="AH457">
        <f t="shared" ref="AH457:AH520" si="664">N457*N$3</f>
        <v>0</v>
      </c>
      <c r="AI457">
        <f t="shared" ref="AI457:AI520" si="665">O457*O$3</f>
        <v>-0.29799315048620451</v>
      </c>
      <c r="AJ457">
        <f t="shared" ref="AJ457:AJ520" si="666">P457*P$3</f>
        <v>-12019.232216164013</v>
      </c>
      <c r="AK457">
        <f t="shared" ref="AK457:AK520" si="667">Q457*Q$3</f>
        <v>-85545.969765110014</v>
      </c>
      <c r="AL457">
        <f t="shared" ref="AL457:AL520" si="668">R457*R$3</f>
        <v>-93985.073097643632</v>
      </c>
      <c r="AM457" s="1">
        <f t="shared" ref="AM457:AM520" si="669">S457*S$3</f>
        <v>2757.1160740707614</v>
      </c>
      <c r="AN457" s="1">
        <f t="shared" si="645"/>
        <v>201817.54300201268</v>
      </c>
      <c r="AO457">
        <f t="shared" si="646"/>
        <v>-1.5671916161828174</v>
      </c>
      <c r="AP457">
        <f t="shared" si="647"/>
        <v>5.0615360240340133</v>
      </c>
    </row>
    <row r="458" spans="1:42" x14ac:dyDescent="0.25">
      <c r="A458" s="4">
        <v>45427</v>
      </c>
      <c r="B458">
        <f t="shared" ref="B458:N458" si="670">(B1008-B1007)*100</f>
        <v>0.99999999999997868</v>
      </c>
      <c r="C458">
        <f t="shared" si="670"/>
        <v>0.99999999999997868</v>
      </c>
      <c r="D458">
        <f t="shared" si="670"/>
        <v>-0.99999999999997868</v>
      </c>
      <c r="E458">
        <f t="shared" si="670"/>
        <v>0.99999999999997868</v>
      </c>
      <c r="F458">
        <f t="shared" si="670"/>
        <v>2.9999999999999361</v>
      </c>
      <c r="G458">
        <f t="shared" si="670"/>
        <v>6.0000000000000497</v>
      </c>
      <c r="H458">
        <f t="shared" si="670"/>
        <v>7.9999999999999183</v>
      </c>
      <c r="I458">
        <f t="shared" si="670"/>
        <v>11.000000000000032</v>
      </c>
      <c r="J458">
        <f t="shared" si="670"/>
        <v>11.000000000000032</v>
      </c>
      <c r="K458">
        <f t="shared" si="670"/>
        <v>10.000000000000053</v>
      </c>
      <c r="L458">
        <f t="shared" si="670"/>
        <v>8.9999999999999858</v>
      </c>
      <c r="M458">
        <f t="shared" si="670"/>
        <v>8.0000000000000071</v>
      </c>
      <c r="N458">
        <f t="shared" si="670"/>
        <v>7.0000000000000284</v>
      </c>
      <c r="O458" s="5">
        <f t="shared" si="649"/>
        <v>1.303844579641228E-3</v>
      </c>
      <c r="P458" s="5">
        <f t="shared" si="649"/>
        <v>-5.5663245082198734E-3</v>
      </c>
      <c r="Q458" s="5">
        <f t="shared" si="649"/>
        <v>-5.6879819687855604E-3</v>
      </c>
      <c r="R458" s="5">
        <f t="shared" si="649"/>
        <v>0</v>
      </c>
      <c r="S458" s="5">
        <f t="shared" si="649"/>
        <v>-9.376746304472083E-3</v>
      </c>
      <c r="U458" s="4">
        <v>45427</v>
      </c>
      <c r="V458">
        <f t="shared" si="652"/>
        <v>-3999.9999999999145</v>
      </c>
      <c r="W458">
        <f t="shared" si="653"/>
        <v>-2222.9999999999527</v>
      </c>
      <c r="X458">
        <f t="shared" si="654"/>
        <v>-4589.9999999999018</v>
      </c>
      <c r="Y458">
        <f t="shared" si="655"/>
        <v>-3444.9999999999268</v>
      </c>
      <c r="Z458">
        <f t="shared" si="656"/>
        <v>16304.999999999653</v>
      </c>
      <c r="AA458">
        <f t="shared" si="657"/>
        <v>-12000.0000000001</v>
      </c>
      <c r="AB458">
        <f t="shared" si="658"/>
        <v>36511.999999999629</v>
      </c>
      <c r="AC458">
        <f t="shared" si="659"/>
        <v>-24453.000000000073</v>
      </c>
      <c r="AD458">
        <f t="shared" si="660"/>
        <v>-1105984.0000000033</v>
      </c>
      <c r="AE458">
        <f t="shared" si="661"/>
        <v>10.000000000000053</v>
      </c>
      <c r="AF458">
        <f t="shared" si="662"/>
        <v>452906.9999999993</v>
      </c>
      <c r="AG458">
        <f t="shared" si="663"/>
        <v>202584.00000000017</v>
      </c>
      <c r="AH458">
        <f t="shared" si="664"/>
        <v>7.0000000000000284</v>
      </c>
      <c r="AI458">
        <f t="shared" si="665"/>
        <v>0.13038445796412279</v>
      </c>
      <c r="AJ458">
        <f t="shared" si="666"/>
        <v>55663.245082198737</v>
      </c>
      <c r="AK458">
        <f t="shared" si="667"/>
        <v>-56879.819687855605</v>
      </c>
      <c r="AL458">
        <f t="shared" si="668"/>
        <v>0</v>
      </c>
      <c r="AM458" s="1">
        <f t="shared" si="669"/>
        <v>93767.463044720833</v>
      </c>
      <c r="AN458" s="1">
        <f t="shared" si="645"/>
        <v>-355818.98117648257</v>
      </c>
      <c r="AO458">
        <f t="shared" si="646"/>
        <v>18.078990871368699</v>
      </c>
      <c r="AP458">
        <f t="shared" si="647"/>
        <v>5.077697451872548</v>
      </c>
    </row>
    <row r="459" spans="1:42" x14ac:dyDescent="0.25">
      <c r="A459" s="4">
        <v>45426</v>
      </c>
      <c r="B459">
        <f t="shared" ref="B459:N459" si="671">(B1009-B1008)*100</f>
        <v>0</v>
      </c>
      <c r="C459">
        <f t="shared" si="671"/>
        <v>0</v>
      </c>
      <c r="D459">
        <f t="shared" si="671"/>
        <v>0.99999999999997868</v>
      </c>
      <c r="E459">
        <f t="shared" si="671"/>
        <v>0</v>
      </c>
      <c r="F459">
        <f t="shared" si="671"/>
        <v>0</v>
      </c>
      <c r="G459">
        <f t="shared" si="671"/>
        <v>0</v>
      </c>
      <c r="H459">
        <f t="shared" si="671"/>
        <v>4.0000000000000036</v>
      </c>
      <c r="I459">
        <f t="shared" si="671"/>
        <v>4.0000000000000036</v>
      </c>
      <c r="J459">
        <f t="shared" si="671"/>
        <v>4.0000000000000036</v>
      </c>
      <c r="K459">
        <f t="shared" si="671"/>
        <v>4.0000000000000036</v>
      </c>
      <c r="L459">
        <f t="shared" si="671"/>
        <v>3.0000000000000249</v>
      </c>
      <c r="M459">
        <f t="shared" si="671"/>
        <v>2.9999999999999361</v>
      </c>
      <c r="N459">
        <f t="shared" si="671"/>
        <v>4.0000000000000036</v>
      </c>
      <c r="O459" s="5">
        <f t="shared" si="649"/>
        <v>-1.0898971515428202E-3</v>
      </c>
      <c r="P459" s="5">
        <f t="shared" si="649"/>
        <v>-1.1310509976240408E-2</v>
      </c>
      <c r="Q459" s="5">
        <f t="shared" si="649"/>
        <v>1.0845398850177112E-4</v>
      </c>
      <c r="R459" s="5">
        <f t="shared" si="649"/>
        <v>-1.8814680997056199E-3</v>
      </c>
      <c r="S459" s="5">
        <f t="shared" si="649"/>
        <v>1.8600013087630614E-3</v>
      </c>
      <c r="U459" s="4">
        <v>45426</v>
      </c>
      <c r="V459">
        <f t="shared" si="652"/>
        <v>0</v>
      </c>
      <c r="W459">
        <f t="shared" si="653"/>
        <v>0</v>
      </c>
      <c r="X459">
        <f t="shared" si="654"/>
        <v>4589.9999999999018</v>
      </c>
      <c r="Y459">
        <f t="shared" si="655"/>
        <v>0</v>
      </c>
      <c r="Z459">
        <f t="shared" si="656"/>
        <v>0</v>
      </c>
      <c r="AA459">
        <f t="shared" si="657"/>
        <v>0</v>
      </c>
      <c r="AB459">
        <f t="shared" si="658"/>
        <v>18256.000000000015</v>
      </c>
      <c r="AC459">
        <f t="shared" si="659"/>
        <v>-8892.0000000000073</v>
      </c>
      <c r="AD459">
        <f t="shared" si="660"/>
        <v>-402176.00000000035</v>
      </c>
      <c r="AE459">
        <f t="shared" si="661"/>
        <v>4.0000000000000036</v>
      </c>
      <c r="AF459">
        <f t="shared" si="662"/>
        <v>150969.00000000125</v>
      </c>
      <c r="AG459">
        <f t="shared" si="663"/>
        <v>75968.999999998385</v>
      </c>
      <c r="AH459">
        <f t="shared" si="664"/>
        <v>4.0000000000000036</v>
      </c>
      <c r="AI459">
        <f t="shared" si="665"/>
        <v>-0.10898971515428202</v>
      </c>
      <c r="AJ459">
        <f t="shared" si="666"/>
        <v>113105.09976240408</v>
      </c>
      <c r="AK459">
        <f t="shared" si="667"/>
        <v>1084.5398850177112</v>
      </c>
      <c r="AL459">
        <f t="shared" si="668"/>
        <v>47036.702492640499</v>
      </c>
      <c r="AM459" s="1">
        <f t="shared" si="669"/>
        <v>-18600.013087630614</v>
      </c>
      <c r="AN459" s="1">
        <f t="shared" si="645"/>
        <v>-18649.779937284315</v>
      </c>
      <c r="AO459">
        <f t="shared" si="646"/>
        <v>-0.91091002371295093</v>
      </c>
      <c r="AP459">
        <f t="shared" si="647"/>
        <v>2.8423930072397221</v>
      </c>
    </row>
    <row r="460" spans="1:42" x14ac:dyDescent="0.25">
      <c r="A460" s="4">
        <v>45425</v>
      </c>
      <c r="B460">
        <f t="shared" ref="B460:N460" si="672">(B1010-B1009)*100</f>
        <v>0.99999999999997868</v>
      </c>
      <c r="C460">
        <f t="shared" si="672"/>
        <v>0</v>
      </c>
      <c r="D460">
        <f t="shared" si="672"/>
        <v>1.9999999999999574</v>
      </c>
      <c r="E460">
        <f t="shared" si="672"/>
        <v>0</v>
      </c>
      <c r="F460">
        <f t="shared" si="672"/>
        <v>0</v>
      </c>
      <c r="G460">
        <f t="shared" si="672"/>
        <v>0.99999999999997868</v>
      </c>
      <c r="H460">
        <f t="shared" si="672"/>
        <v>2.0000000000000462</v>
      </c>
      <c r="I460">
        <f t="shared" si="672"/>
        <v>-0.99999999999997868</v>
      </c>
      <c r="J460">
        <f t="shared" si="672"/>
        <v>1.9999999999999574</v>
      </c>
      <c r="K460">
        <f t="shared" si="672"/>
        <v>1.9999999999999574</v>
      </c>
      <c r="L460">
        <f t="shared" si="672"/>
        <v>1.9999999999999574</v>
      </c>
      <c r="M460">
        <f t="shared" si="672"/>
        <v>2.0000000000000462</v>
      </c>
      <c r="N460">
        <f t="shared" si="672"/>
        <v>0.99999999999997868</v>
      </c>
      <c r="O460" s="5">
        <f t="shared" si="649"/>
        <v>-1.0109848241285902E-3</v>
      </c>
      <c r="P460" s="5">
        <f t="shared" si="649"/>
        <v>0</v>
      </c>
      <c r="Q460" s="5">
        <f t="shared" si="649"/>
        <v>-9.7033125242261264E-3</v>
      </c>
      <c r="R460" s="5">
        <f t="shared" si="649"/>
        <v>2.4196812450982125E-3</v>
      </c>
      <c r="S460" s="5">
        <f t="shared" si="649"/>
        <v>1.6549198938465577E-3</v>
      </c>
      <c r="U460" s="4">
        <v>45425</v>
      </c>
      <c r="V460">
        <f t="shared" si="652"/>
        <v>-3999.9999999999145</v>
      </c>
      <c r="W460">
        <f t="shared" si="653"/>
        <v>0</v>
      </c>
      <c r="X460">
        <f t="shared" si="654"/>
        <v>9179.9999999998035</v>
      </c>
      <c r="Y460">
        <f t="shared" si="655"/>
        <v>0</v>
      </c>
      <c r="Z460">
        <f t="shared" si="656"/>
        <v>0</v>
      </c>
      <c r="AA460">
        <f t="shared" si="657"/>
        <v>-1999.9999999999573</v>
      </c>
      <c r="AB460">
        <f t="shared" si="658"/>
        <v>9128.000000000211</v>
      </c>
      <c r="AC460">
        <f t="shared" si="659"/>
        <v>2222.9999999999527</v>
      </c>
      <c r="AD460">
        <f t="shared" si="660"/>
        <v>-201087.99999999572</v>
      </c>
      <c r="AE460">
        <f t="shared" si="661"/>
        <v>1.9999999999999574</v>
      </c>
      <c r="AF460">
        <f t="shared" si="662"/>
        <v>100645.99999999786</v>
      </c>
      <c r="AG460">
        <f t="shared" si="663"/>
        <v>50646.000000001171</v>
      </c>
      <c r="AH460">
        <f t="shared" si="664"/>
        <v>0.99999999999997868</v>
      </c>
      <c r="AI460">
        <f t="shared" si="665"/>
        <v>-0.10109848241285901</v>
      </c>
      <c r="AJ460">
        <f t="shared" si="666"/>
        <v>0</v>
      </c>
      <c r="AK460">
        <f t="shared" si="667"/>
        <v>-97033.12524226126</v>
      </c>
      <c r="AL460">
        <f t="shared" si="668"/>
        <v>-60492.03112745531</v>
      </c>
      <c r="AM460" s="1">
        <f t="shared" si="669"/>
        <v>-16549.198938465575</v>
      </c>
      <c r="AN460" s="1">
        <f t="shared" si="645"/>
        <v>-209336.45640666113</v>
      </c>
      <c r="AO460">
        <f t="shared" si="646"/>
        <v>1.7778259391153646</v>
      </c>
      <c r="AP460">
        <f t="shared" si="647"/>
        <v>2.8440024651725926</v>
      </c>
    </row>
    <row r="461" spans="1:42" x14ac:dyDescent="0.25">
      <c r="A461" s="4">
        <v>45422</v>
      </c>
      <c r="B461">
        <f t="shared" ref="B461:N461" si="673">(B1011-B1010)*100</f>
        <v>0</v>
      </c>
      <c r="C461">
        <f t="shared" si="673"/>
        <v>1.0000000000000675</v>
      </c>
      <c r="D461">
        <f t="shared" si="673"/>
        <v>-0.99999999999997868</v>
      </c>
      <c r="E461">
        <f t="shared" si="673"/>
        <v>-0.99999999999997868</v>
      </c>
      <c r="F461">
        <f t="shared" si="673"/>
        <v>-1.9999999999999574</v>
      </c>
      <c r="G461">
        <f t="shared" si="673"/>
        <v>-4.9999999999999822</v>
      </c>
      <c r="H461">
        <f t="shared" si="673"/>
        <v>-7.0000000000000284</v>
      </c>
      <c r="I461">
        <f t="shared" si="673"/>
        <v>-5.0000000000000711</v>
      </c>
      <c r="J461">
        <f t="shared" si="673"/>
        <v>-4.9999999999999822</v>
      </c>
      <c r="K461">
        <f t="shared" si="673"/>
        <v>-4.9999999999999822</v>
      </c>
      <c r="L461">
        <f t="shared" si="673"/>
        <v>-4.9999999999999822</v>
      </c>
      <c r="M461">
        <f t="shared" si="673"/>
        <v>-4.0000000000000036</v>
      </c>
      <c r="N461">
        <f t="shared" si="673"/>
        <v>-4.0000000000000036</v>
      </c>
      <c r="O461" s="5">
        <f t="shared" si="649"/>
        <v>-2.1934302965956882E-3</v>
      </c>
      <c r="P461" s="5">
        <f t="shared" si="649"/>
        <v>-2.5673955052458097E-3</v>
      </c>
      <c r="Q461" s="5">
        <f t="shared" si="649"/>
        <v>-6.1785767428293092E-3</v>
      </c>
      <c r="R461" s="5">
        <f t="shared" si="649"/>
        <v>6.7522201172866506E-3</v>
      </c>
      <c r="S461" s="5">
        <f t="shared" si="649"/>
        <v>-4.8247169392974564E-4</v>
      </c>
      <c r="U461" s="4">
        <v>45422</v>
      </c>
      <c r="V461">
        <f t="shared" si="652"/>
        <v>0</v>
      </c>
      <c r="W461">
        <f t="shared" si="653"/>
        <v>-2223.0000000001501</v>
      </c>
      <c r="X461">
        <f t="shared" si="654"/>
        <v>-4589.9999999999018</v>
      </c>
      <c r="Y461">
        <f t="shared" si="655"/>
        <v>3444.9999999999268</v>
      </c>
      <c r="Z461">
        <f t="shared" si="656"/>
        <v>-10869.999999999769</v>
      </c>
      <c r="AA461">
        <f t="shared" si="657"/>
        <v>9999.9999999999636</v>
      </c>
      <c r="AB461">
        <f t="shared" si="658"/>
        <v>-31948.000000000131</v>
      </c>
      <c r="AC461">
        <f t="shared" si="659"/>
        <v>11115.000000000158</v>
      </c>
      <c r="AD461">
        <f t="shared" si="660"/>
        <v>502719.9999999982</v>
      </c>
      <c r="AE461">
        <f t="shared" si="661"/>
        <v>-4.9999999999999822</v>
      </c>
      <c r="AF461">
        <f t="shared" si="662"/>
        <v>-251614.9999999991</v>
      </c>
      <c r="AG461">
        <f t="shared" si="663"/>
        <v>-101292.00000000009</v>
      </c>
      <c r="AH461">
        <f t="shared" si="664"/>
        <v>-4.0000000000000036</v>
      </c>
      <c r="AI461">
        <f t="shared" si="665"/>
        <v>-0.21934302965956881</v>
      </c>
      <c r="AJ461">
        <f t="shared" si="666"/>
        <v>25673.955052458095</v>
      </c>
      <c r="AK461">
        <f t="shared" si="667"/>
        <v>-61785.767428293089</v>
      </c>
      <c r="AL461">
        <f t="shared" si="668"/>
        <v>-168805.50293216627</v>
      </c>
      <c r="AM461" s="1">
        <f t="shared" si="669"/>
        <v>4824.7169392974565</v>
      </c>
      <c r="AN461" s="1">
        <f t="shared" si="645"/>
        <v>-75359.817711734344</v>
      </c>
      <c r="AO461">
        <f t="shared" si="646"/>
        <v>-1.3024313009656081</v>
      </c>
      <c r="AP461">
        <f t="shared" si="647"/>
        <v>2.8141326885978999</v>
      </c>
    </row>
    <row r="462" spans="1:42" x14ac:dyDescent="0.25">
      <c r="A462" s="4">
        <v>45421</v>
      </c>
      <c r="B462">
        <f t="shared" ref="B462:N462" si="674">(B1012-B1011)*100</f>
        <v>0</v>
      </c>
      <c r="C462">
        <f t="shared" si="674"/>
        <v>-1.0000000000000675</v>
      </c>
      <c r="D462">
        <f t="shared" si="674"/>
        <v>-0.99999999999997868</v>
      </c>
      <c r="E462">
        <f t="shared" si="674"/>
        <v>0</v>
      </c>
      <c r="F462">
        <f t="shared" si="674"/>
        <v>0</v>
      </c>
      <c r="G462">
        <f t="shared" si="674"/>
        <v>0.99999999999997868</v>
      </c>
      <c r="H462">
        <f t="shared" si="674"/>
        <v>4.0000000000000036</v>
      </c>
      <c r="I462">
        <f t="shared" si="674"/>
        <v>3.0000000000000249</v>
      </c>
      <c r="J462">
        <f t="shared" si="674"/>
        <v>3.0000000000000249</v>
      </c>
      <c r="K462">
        <f t="shared" si="674"/>
        <v>3.0000000000000249</v>
      </c>
      <c r="L462">
        <f t="shared" si="674"/>
        <v>3.0000000000000249</v>
      </c>
      <c r="M462">
        <f t="shared" si="674"/>
        <v>3.0000000000000249</v>
      </c>
      <c r="N462">
        <f t="shared" si="674"/>
        <v>4.0000000000000036</v>
      </c>
      <c r="O462" s="5">
        <f t="shared" si="649"/>
        <v>1.3469137236404903E-2</v>
      </c>
      <c r="P462" s="5">
        <f t="shared" si="649"/>
        <v>-1.2812301560485731E-3</v>
      </c>
      <c r="Q462" s="5">
        <f t="shared" si="649"/>
        <v>2.6402302822759027E-3</v>
      </c>
      <c r="R462" s="5">
        <f t="shared" si="649"/>
        <v>-8.6347001676231709E-3</v>
      </c>
      <c r="S462" s="5">
        <f t="shared" si="649"/>
        <v>-6.1563498674353781E-3</v>
      </c>
      <c r="U462" s="4">
        <v>45421</v>
      </c>
      <c r="V462">
        <f t="shared" si="652"/>
        <v>0</v>
      </c>
      <c r="W462">
        <f t="shared" si="653"/>
        <v>2223.0000000001501</v>
      </c>
      <c r="X462">
        <f t="shared" si="654"/>
        <v>-4589.9999999999018</v>
      </c>
      <c r="Y462">
        <f t="shared" si="655"/>
        <v>0</v>
      </c>
      <c r="Z462">
        <f t="shared" si="656"/>
        <v>0</v>
      </c>
      <c r="AA462">
        <f t="shared" si="657"/>
        <v>-1999.9999999999573</v>
      </c>
      <c r="AB462">
        <f t="shared" si="658"/>
        <v>18256.000000000015</v>
      </c>
      <c r="AC462">
        <f t="shared" si="659"/>
        <v>-6669.0000000000555</v>
      </c>
      <c r="AD462">
        <f t="shared" si="660"/>
        <v>-301632.0000000025</v>
      </c>
      <c r="AE462">
        <f t="shared" si="661"/>
        <v>3.0000000000000249</v>
      </c>
      <c r="AF462">
        <f t="shared" si="662"/>
        <v>150969.00000000125</v>
      </c>
      <c r="AG462">
        <f t="shared" si="663"/>
        <v>75969.000000000626</v>
      </c>
      <c r="AH462">
        <f t="shared" si="664"/>
        <v>4.0000000000000036</v>
      </c>
      <c r="AI462">
        <f t="shared" si="665"/>
        <v>1.3469137236404904</v>
      </c>
      <c r="AJ462">
        <f t="shared" si="666"/>
        <v>12812.301560485732</v>
      </c>
      <c r="AK462">
        <f t="shared" si="667"/>
        <v>26402.302822759026</v>
      </c>
      <c r="AL462">
        <f t="shared" si="668"/>
        <v>215867.50419057926</v>
      </c>
      <c r="AM462" s="1">
        <f t="shared" si="669"/>
        <v>61563.498674353781</v>
      </c>
      <c r="AN462" s="1">
        <f t="shared" si="645"/>
        <v>249179.95416190106</v>
      </c>
      <c r="AO462">
        <f t="shared" si="646"/>
        <v>2.8469481082789194</v>
      </c>
      <c r="AP462">
        <f t="shared" si="647"/>
        <v>2.8186398755117672</v>
      </c>
    </row>
    <row r="463" spans="1:42" x14ac:dyDescent="0.25">
      <c r="A463" s="4">
        <v>45420</v>
      </c>
      <c r="B463">
        <f t="shared" ref="B463:N463" si="675">(B1013-B1012)*100</f>
        <v>0</v>
      </c>
      <c r="C463">
        <f t="shared" si="675"/>
        <v>1.0000000000000675</v>
      </c>
      <c r="D463">
        <f t="shared" si="675"/>
        <v>0</v>
      </c>
      <c r="E463">
        <f t="shared" si="675"/>
        <v>0.99999999999997868</v>
      </c>
      <c r="F463">
        <f t="shared" si="675"/>
        <v>0</v>
      </c>
      <c r="G463">
        <f t="shared" si="675"/>
        <v>0</v>
      </c>
      <c r="H463">
        <f t="shared" si="675"/>
        <v>-1.9999999999999574</v>
      </c>
      <c r="I463">
        <f t="shared" si="675"/>
        <v>-3.0000000000000249</v>
      </c>
      <c r="J463">
        <f t="shared" si="675"/>
        <v>-1.9999999999999574</v>
      </c>
      <c r="K463">
        <f t="shared" si="675"/>
        <v>-2.0000000000000462</v>
      </c>
      <c r="L463">
        <f t="shared" si="675"/>
        <v>-1.0000000000000675</v>
      </c>
      <c r="M463">
        <f t="shared" si="675"/>
        <v>-3.0000000000000249</v>
      </c>
      <c r="N463">
        <f t="shared" si="675"/>
        <v>-2.9999999999999361</v>
      </c>
      <c r="O463" s="5">
        <f t="shared" si="649"/>
        <v>5.4586256476805975E-3</v>
      </c>
      <c r="P463" s="5">
        <f t="shared" si="649"/>
        <v>4.3628966934566461E-3</v>
      </c>
      <c r="Q463" s="5">
        <f t="shared" si="649"/>
        <v>4.4195174002451326E-3</v>
      </c>
      <c r="R463" s="5">
        <f t="shared" si="649"/>
        <v>2.6870885557349664E-4</v>
      </c>
      <c r="S463" s="5">
        <f t="shared" si="649"/>
        <v>-4.2603803033778236E-4</v>
      </c>
      <c r="U463" s="4">
        <v>45420</v>
      </c>
      <c r="V463">
        <f t="shared" si="652"/>
        <v>0</v>
      </c>
      <c r="W463">
        <f t="shared" si="653"/>
        <v>-2223.0000000001501</v>
      </c>
      <c r="X463">
        <f t="shared" si="654"/>
        <v>0</v>
      </c>
      <c r="Y463">
        <f t="shared" si="655"/>
        <v>-3444.9999999999268</v>
      </c>
      <c r="Z463">
        <f t="shared" si="656"/>
        <v>0</v>
      </c>
      <c r="AA463">
        <f t="shared" si="657"/>
        <v>0</v>
      </c>
      <c r="AB463">
        <f t="shared" si="658"/>
        <v>-9127.9999999998054</v>
      </c>
      <c r="AC463">
        <f t="shared" si="659"/>
        <v>6669.0000000000555</v>
      </c>
      <c r="AD463">
        <f t="shared" si="660"/>
        <v>201087.99999999572</v>
      </c>
      <c r="AE463">
        <f t="shared" si="661"/>
        <v>-2.0000000000000462</v>
      </c>
      <c r="AF463">
        <f t="shared" si="662"/>
        <v>-50323.000000003398</v>
      </c>
      <c r="AG463">
        <f t="shared" si="663"/>
        <v>-75969.000000000626</v>
      </c>
      <c r="AH463">
        <f t="shared" si="664"/>
        <v>-2.9999999999999361</v>
      </c>
      <c r="AI463">
        <f t="shared" si="665"/>
        <v>0.54586256476805972</v>
      </c>
      <c r="AJ463">
        <f t="shared" si="666"/>
        <v>-43628.966934566459</v>
      </c>
      <c r="AK463">
        <f t="shared" si="667"/>
        <v>44195.174002451327</v>
      </c>
      <c r="AL463">
        <f t="shared" si="668"/>
        <v>-6717.7213893374164</v>
      </c>
      <c r="AM463" s="1">
        <f t="shared" si="669"/>
        <v>4260.380303377824</v>
      </c>
      <c r="AN463" s="1">
        <f t="shared" si="645"/>
        <v>64773.411844481918</v>
      </c>
      <c r="AO463">
        <f t="shared" si="646"/>
        <v>-0.49604118215711124</v>
      </c>
      <c r="AP463">
        <f t="shared" si="647"/>
        <v>2.673287049072258</v>
      </c>
    </row>
    <row r="464" spans="1:42" x14ac:dyDescent="0.25">
      <c r="A464" s="4">
        <v>45419</v>
      </c>
      <c r="B464">
        <f t="shared" ref="B464:N464" si="676">(B1014-B1013)*100</f>
        <v>0</v>
      </c>
      <c r="C464">
        <f t="shared" si="676"/>
        <v>0</v>
      </c>
      <c r="D464">
        <f t="shared" si="676"/>
        <v>0</v>
      </c>
      <c r="E464">
        <f t="shared" si="676"/>
        <v>-0.99999999999997868</v>
      </c>
      <c r="F464">
        <f t="shared" si="676"/>
        <v>0.99999999999997868</v>
      </c>
      <c r="G464">
        <f t="shared" si="676"/>
        <v>-0.99999999999997868</v>
      </c>
      <c r="H464">
        <f t="shared" si="676"/>
        <v>0</v>
      </c>
      <c r="I464">
        <f t="shared" si="676"/>
        <v>4.0000000000000036</v>
      </c>
      <c r="J464">
        <f t="shared" si="676"/>
        <v>0</v>
      </c>
      <c r="K464">
        <f t="shared" si="676"/>
        <v>1.0000000000000675</v>
      </c>
      <c r="L464">
        <f t="shared" si="676"/>
        <v>2.0000000000000462</v>
      </c>
      <c r="M464">
        <f t="shared" si="676"/>
        <v>3.0000000000000249</v>
      </c>
      <c r="N464">
        <f t="shared" si="676"/>
        <v>2.9999999999999361</v>
      </c>
      <c r="O464" s="5">
        <f t="shared" si="649"/>
        <v>-2.3092647263691785E-3</v>
      </c>
      <c r="P464" s="5">
        <f t="shared" si="649"/>
        <v>-2.3121397583795024E-3</v>
      </c>
      <c r="Q464" s="5">
        <f t="shared" si="649"/>
        <v>-8.6917045258782764E-3</v>
      </c>
      <c r="R464" s="5">
        <f t="shared" si="649"/>
        <v>-1.0744024670373512E-3</v>
      </c>
      <c r="S464" s="5">
        <f t="shared" si="649"/>
        <v>1.3142006579988656E-3</v>
      </c>
      <c r="U464" s="4">
        <v>45419</v>
      </c>
      <c r="V464">
        <f t="shared" si="652"/>
        <v>0</v>
      </c>
      <c r="W464">
        <f t="shared" si="653"/>
        <v>0</v>
      </c>
      <c r="X464">
        <f t="shared" si="654"/>
        <v>0</v>
      </c>
      <c r="Y464">
        <f t="shared" si="655"/>
        <v>3444.9999999999268</v>
      </c>
      <c r="Z464">
        <f t="shared" si="656"/>
        <v>5434.9999999998845</v>
      </c>
      <c r="AA464">
        <f t="shared" si="657"/>
        <v>1999.9999999999573</v>
      </c>
      <c r="AB464">
        <f t="shared" si="658"/>
        <v>0</v>
      </c>
      <c r="AC464">
        <f t="shared" si="659"/>
        <v>-8892.0000000000073</v>
      </c>
      <c r="AD464">
        <f t="shared" si="660"/>
        <v>0</v>
      </c>
      <c r="AE464">
        <f t="shared" si="661"/>
        <v>1.0000000000000675</v>
      </c>
      <c r="AF464">
        <f t="shared" si="662"/>
        <v>100646.00000000233</v>
      </c>
      <c r="AG464">
        <f t="shared" si="663"/>
        <v>75969.000000000626</v>
      </c>
      <c r="AH464">
        <f t="shared" si="664"/>
        <v>2.9999999999999361</v>
      </c>
      <c r="AI464">
        <f t="shared" si="665"/>
        <v>-0.23092647263691785</v>
      </c>
      <c r="AJ464">
        <f t="shared" si="666"/>
        <v>23121.397583795024</v>
      </c>
      <c r="AK464">
        <f t="shared" si="667"/>
        <v>-86917.04525878276</v>
      </c>
      <c r="AL464">
        <f t="shared" si="668"/>
        <v>26860.061675933779</v>
      </c>
      <c r="AM464" s="1">
        <f t="shared" si="669"/>
        <v>-13142.006579988656</v>
      </c>
      <c r="AN464" s="1">
        <f t="shared" si="645"/>
        <v>128529.17649448749</v>
      </c>
      <c r="AO464">
        <f t="shared" si="646"/>
        <v>-7.0896120068750799</v>
      </c>
      <c r="AP464">
        <f t="shared" si="647"/>
        <v>2.6588853182852716</v>
      </c>
    </row>
    <row r="465" spans="1:42" x14ac:dyDescent="0.25">
      <c r="A465" s="4">
        <v>45418</v>
      </c>
      <c r="B465">
        <f t="shared" ref="B465:N465" si="677">(B1015-B1014)*100</f>
        <v>0</v>
      </c>
      <c r="C465">
        <f t="shared" si="677"/>
        <v>0</v>
      </c>
      <c r="D465">
        <f t="shared" si="677"/>
        <v>0</v>
      </c>
      <c r="E465">
        <f t="shared" si="677"/>
        <v>0</v>
      </c>
      <c r="F465">
        <f t="shared" si="677"/>
        <v>-0.99999999999997868</v>
      </c>
      <c r="G465">
        <f t="shared" si="677"/>
        <v>0</v>
      </c>
      <c r="H465">
        <f t="shared" si="677"/>
        <v>-1.0000000000000675</v>
      </c>
      <c r="I465">
        <f t="shared" si="677"/>
        <v>-0.99999999999997868</v>
      </c>
      <c r="J465">
        <f t="shared" si="677"/>
        <v>0</v>
      </c>
      <c r="K465">
        <f t="shared" si="677"/>
        <v>0.99999999999997868</v>
      </c>
      <c r="L465">
        <f t="shared" si="677"/>
        <v>0.99999999999997868</v>
      </c>
      <c r="M465">
        <f t="shared" si="677"/>
        <v>1.9999999999999574</v>
      </c>
      <c r="N465">
        <f t="shared" si="677"/>
        <v>2.0000000000000462</v>
      </c>
      <c r="O465" s="5">
        <f t="shared" ref="O465:S474" si="678">LN(O1014/O1015)</f>
        <v>1.1638344723724318E-3</v>
      </c>
      <c r="P465" s="5">
        <f t="shared" si="678"/>
        <v>-4.1228723846675943E-3</v>
      </c>
      <c r="Q465" s="5">
        <f t="shared" si="678"/>
        <v>-1.6981889090037654E-2</v>
      </c>
      <c r="R465" s="5">
        <f t="shared" si="678"/>
        <v>1.3431835464675379E-3</v>
      </c>
      <c r="S465" s="5">
        <f t="shared" si="678"/>
        <v>-4.7867339562865287E-3</v>
      </c>
      <c r="U465" s="4">
        <v>45418</v>
      </c>
      <c r="V465">
        <f t="shared" si="652"/>
        <v>0</v>
      </c>
      <c r="W465">
        <f t="shared" si="653"/>
        <v>0</v>
      </c>
      <c r="X465">
        <f t="shared" si="654"/>
        <v>0</v>
      </c>
      <c r="Y465">
        <f t="shared" si="655"/>
        <v>0</v>
      </c>
      <c r="Z465">
        <f t="shared" si="656"/>
        <v>-5434.9999999998845</v>
      </c>
      <c r="AA465">
        <f t="shared" si="657"/>
        <v>0</v>
      </c>
      <c r="AB465">
        <f t="shared" si="658"/>
        <v>-4564.0000000003083</v>
      </c>
      <c r="AC465">
        <f t="shared" si="659"/>
        <v>2222.9999999999527</v>
      </c>
      <c r="AD465">
        <f t="shared" si="660"/>
        <v>0</v>
      </c>
      <c r="AE465">
        <f t="shared" si="661"/>
        <v>0.99999999999997868</v>
      </c>
      <c r="AF465">
        <f t="shared" si="662"/>
        <v>50322.99999999893</v>
      </c>
      <c r="AG465">
        <f t="shared" si="663"/>
        <v>50645.999999998923</v>
      </c>
      <c r="AH465">
        <f t="shared" si="664"/>
        <v>2.0000000000000462</v>
      </c>
      <c r="AI465">
        <f t="shared" si="665"/>
        <v>0.11638344723724318</v>
      </c>
      <c r="AJ465">
        <f t="shared" si="666"/>
        <v>41228.723846675945</v>
      </c>
      <c r="AK465">
        <f t="shared" si="667"/>
        <v>-169818.89090037654</v>
      </c>
      <c r="AL465">
        <f t="shared" si="668"/>
        <v>-33579.588661688445</v>
      </c>
      <c r="AM465" s="1">
        <f t="shared" si="669"/>
        <v>47867.339562865287</v>
      </c>
      <c r="AN465" s="1">
        <f t="shared" si="645"/>
        <v>-21106.299769078883</v>
      </c>
      <c r="AO465">
        <f t="shared" si="646"/>
        <v>-0.92885916338127861</v>
      </c>
      <c r="AP465">
        <f t="shared" si="647"/>
        <v>2.5013903598915048</v>
      </c>
    </row>
    <row r="466" spans="1:42" x14ac:dyDescent="0.25">
      <c r="A466" s="4">
        <v>45415</v>
      </c>
      <c r="B466">
        <f t="shared" ref="B466:N466" si="679">(B1016-B1015)*100</f>
        <v>0</v>
      </c>
      <c r="C466">
        <f t="shared" si="679"/>
        <v>-1.0000000000000675</v>
      </c>
      <c r="D466">
        <f t="shared" si="679"/>
        <v>0.99999999999997868</v>
      </c>
      <c r="E466">
        <f t="shared" si="679"/>
        <v>0</v>
      </c>
      <c r="F466">
        <f t="shared" si="679"/>
        <v>0.99999999999997868</v>
      </c>
      <c r="G466">
        <f t="shared" si="679"/>
        <v>4.0000000000000036</v>
      </c>
      <c r="H466">
        <f t="shared" si="679"/>
        <v>6.0000000000000497</v>
      </c>
      <c r="I466">
        <f t="shared" si="679"/>
        <v>8.0000000000000071</v>
      </c>
      <c r="J466">
        <f t="shared" si="679"/>
        <v>8.9999999999999858</v>
      </c>
      <c r="K466">
        <f t="shared" si="679"/>
        <v>8.0000000000000071</v>
      </c>
      <c r="L466">
        <f t="shared" si="679"/>
        <v>8.0000000000000071</v>
      </c>
      <c r="M466">
        <f t="shared" si="679"/>
        <v>7.0000000000000284</v>
      </c>
      <c r="N466">
        <f t="shared" si="679"/>
        <v>5.9999999999999609</v>
      </c>
      <c r="O466" s="5">
        <f t="shared" si="678"/>
        <v>-1.0133032522856448E-2</v>
      </c>
      <c r="P466" s="5">
        <f t="shared" si="678"/>
        <v>2.5587895540465024E-3</v>
      </c>
      <c r="Q466" s="5">
        <f t="shared" si="678"/>
        <v>1.1526713170505755E-4</v>
      </c>
      <c r="R466" s="5">
        <f t="shared" si="678"/>
        <v>-8.061266055245527E-4</v>
      </c>
      <c r="S466" s="5">
        <f t="shared" si="678"/>
        <v>-1.8788749950301871E-3</v>
      </c>
      <c r="U466" s="4">
        <v>45415</v>
      </c>
      <c r="V466">
        <f t="shared" si="652"/>
        <v>0</v>
      </c>
      <c r="W466">
        <f t="shared" si="653"/>
        <v>2223.0000000001501</v>
      </c>
      <c r="X466">
        <f t="shared" si="654"/>
        <v>4589.9999999999018</v>
      </c>
      <c r="Y466">
        <f t="shared" si="655"/>
        <v>0</v>
      </c>
      <c r="Z466">
        <f t="shared" si="656"/>
        <v>5434.9999999998845</v>
      </c>
      <c r="AA466">
        <f t="shared" si="657"/>
        <v>-8000.0000000000073</v>
      </c>
      <c r="AB466">
        <f t="shared" si="658"/>
        <v>27384.000000000226</v>
      </c>
      <c r="AC466">
        <f t="shared" si="659"/>
        <v>-17784.000000000015</v>
      </c>
      <c r="AD466">
        <f t="shared" si="660"/>
        <v>-904895.9999999986</v>
      </c>
      <c r="AE466">
        <f t="shared" si="661"/>
        <v>8.0000000000000071</v>
      </c>
      <c r="AF466">
        <f t="shared" si="662"/>
        <v>402584.00000000035</v>
      </c>
      <c r="AG466">
        <f t="shared" si="663"/>
        <v>177261.00000000073</v>
      </c>
      <c r="AH466">
        <f t="shared" si="664"/>
        <v>5.9999999999999609</v>
      </c>
      <c r="AI466">
        <f t="shared" si="665"/>
        <v>-1.0133032522856447</v>
      </c>
      <c r="AJ466">
        <f t="shared" si="666"/>
        <v>-25587.895540465022</v>
      </c>
      <c r="AK466">
        <f t="shared" si="667"/>
        <v>1152.6713170505755</v>
      </c>
      <c r="AL466">
        <f t="shared" si="668"/>
        <v>20153.165138113818</v>
      </c>
      <c r="AM466" s="1">
        <f t="shared" si="669"/>
        <v>18788.74995030187</v>
      </c>
      <c r="AN466" s="1">
        <f t="shared" si="645"/>
        <v>-296683.32243824843</v>
      </c>
      <c r="AO466">
        <f t="shared" si="646"/>
        <v>-2.7127406926297484</v>
      </c>
      <c r="AP466">
        <f t="shared" si="647"/>
        <v>2.5055336408452793</v>
      </c>
    </row>
    <row r="467" spans="1:42" x14ac:dyDescent="0.25">
      <c r="A467" s="4">
        <v>45414</v>
      </c>
      <c r="B467">
        <f t="shared" ref="B467:N467" si="680">(B1017-B1016)*100</f>
        <v>-4.0000000000000036</v>
      </c>
      <c r="C467">
        <f t="shared" si="680"/>
        <v>3.0000000000000249</v>
      </c>
      <c r="D467">
        <f t="shared" si="680"/>
        <v>0</v>
      </c>
      <c r="E467">
        <f t="shared" si="680"/>
        <v>0.99999999999997868</v>
      </c>
      <c r="F467">
        <f t="shared" si="680"/>
        <v>0.99999999999997868</v>
      </c>
      <c r="G467">
        <f t="shared" si="680"/>
        <v>4.9999999999999822</v>
      </c>
      <c r="H467">
        <f t="shared" si="680"/>
        <v>8.9999999999999858</v>
      </c>
      <c r="I467">
        <f t="shared" si="680"/>
        <v>8.0000000000000071</v>
      </c>
      <c r="J467">
        <f t="shared" si="680"/>
        <v>6.9999999999999396</v>
      </c>
      <c r="K467">
        <f t="shared" si="680"/>
        <v>6.9999999999999396</v>
      </c>
      <c r="L467">
        <f t="shared" si="680"/>
        <v>4.9999999999999822</v>
      </c>
      <c r="M467">
        <f t="shared" si="680"/>
        <v>2.9999999999999361</v>
      </c>
      <c r="N467">
        <f t="shared" si="680"/>
        <v>2.0000000000000462</v>
      </c>
      <c r="O467" s="5">
        <f t="shared" si="678"/>
        <v>-1.0379505406629758E-2</v>
      </c>
      <c r="P467" s="5">
        <f t="shared" si="678"/>
        <v>-5.4627491939549036E-3</v>
      </c>
      <c r="Q467" s="5">
        <f t="shared" si="678"/>
        <v>1.1202148894650028E-2</v>
      </c>
      <c r="R467" s="5">
        <f t="shared" si="678"/>
        <v>-1.1218066361277132E-2</v>
      </c>
      <c r="S467" s="5">
        <f t="shared" si="678"/>
        <v>-7.7723787420301577E-3</v>
      </c>
      <c r="U467" s="4">
        <v>45414</v>
      </c>
      <c r="V467">
        <f t="shared" si="652"/>
        <v>16000.000000000015</v>
      </c>
      <c r="W467">
        <f t="shared" si="653"/>
        <v>-6669.0000000000555</v>
      </c>
      <c r="X467">
        <f t="shared" si="654"/>
        <v>0</v>
      </c>
      <c r="Y467">
        <f t="shared" si="655"/>
        <v>-3444.9999999999268</v>
      </c>
      <c r="Z467">
        <f t="shared" si="656"/>
        <v>5434.9999999998845</v>
      </c>
      <c r="AA467">
        <f t="shared" si="657"/>
        <v>-9999.9999999999636</v>
      </c>
      <c r="AB467">
        <f t="shared" si="658"/>
        <v>41075.999999999935</v>
      </c>
      <c r="AC467">
        <f t="shared" si="659"/>
        <v>-17784.000000000015</v>
      </c>
      <c r="AD467">
        <f t="shared" si="660"/>
        <v>-703807.99999999395</v>
      </c>
      <c r="AE467">
        <f t="shared" si="661"/>
        <v>6.9999999999999396</v>
      </c>
      <c r="AF467">
        <f t="shared" si="662"/>
        <v>251614.9999999991</v>
      </c>
      <c r="AG467">
        <f t="shared" si="663"/>
        <v>75968.999999998385</v>
      </c>
      <c r="AH467">
        <f t="shared" si="664"/>
        <v>2.0000000000000462</v>
      </c>
      <c r="AI467">
        <f t="shared" si="665"/>
        <v>-1.0379505406629759</v>
      </c>
      <c r="AJ467">
        <f t="shared" si="666"/>
        <v>54627.491939549036</v>
      </c>
      <c r="AK467">
        <f t="shared" si="667"/>
        <v>112021.48894650028</v>
      </c>
      <c r="AL467">
        <f t="shared" si="668"/>
        <v>280451.65903192828</v>
      </c>
      <c r="AM467" s="1">
        <f t="shared" si="669"/>
        <v>77723.787420301582</v>
      </c>
      <c r="AN467" s="1">
        <f t="shared" si="645"/>
        <v>173221.38938774192</v>
      </c>
      <c r="AO467">
        <f t="shared" si="646"/>
        <v>-1.501833521317306</v>
      </c>
      <c r="AP467">
        <f t="shared" si="647"/>
        <v>2.5774676973145785</v>
      </c>
    </row>
    <row r="468" spans="1:42" x14ac:dyDescent="0.25">
      <c r="A468" s="4">
        <v>45413</v>
      </c>
      <c r="B468">
        <f t="shared" ref="B468:N468" si="681">(B1018-B1017)*100</f>
        <v>1.0000000000000675</v>
      </c>
      <c r="C468">
        <f t="shared" si="681"/>
        <v>0.99999999999997868</v>
      </c>
      <c r="D468">
        <f t="shared" si="681"/>
        <v>0</v>
      </c>
      <c r="E468">
        <f t="shared" si="681"/>
        <v>-5.9999999999999609</v>
      </c>
      <c r="F468">
        <f t="shared" si="681"/>
        <v>1.0000000000000675</v>
      </c>
      <c r="G468">
        <f t="shared" si="681"/>
        <v>4.0000000000000036</v>
      </c>
      <c r="H468">
        <f t="shared" si="681"/>
        <v>8.0000000000000071</v>
      </c>
      <c r="I468">
        <f t="shared" si="681"/>
        <v>8.0000000000000071</v>
      </c>
      <c r="J468">
        <f t="shared" si="681"/>
        <v>8.0000000000000071</v>
      </c>
      <c r="K468">
        <f t="shared" si="681"/>
        <v>7.0000000000000284</v>
      </c>
      <c r="L468">
        <f t="shared" si="681"/>
        <v>6.0000000000000497</v>
      </c>
      <c r="M468">
        <f t="shared" si="681"/>
        <v>5.0000000000000711</v>
      </c>
      <c r="N468">
        <f t="shared" si="681"/>
        <v>4.9999999999999822</v>
      </c>
      <c r="O468" s="5">
        <f t="shared" si="678"/>
        <v>0</v>
      </c>
      <c r="P468" s="5">
        <f t="shared" si="678"/>
        <v>0</v>
      </c>
      <c r="Q468" s="5">
        <f t="shared" si="678"/>
        <v>0</v>
      </c>
      <c r="R468" s="5">
        <f t="shared" si="678"/>
        <v>0</v>
      </c>
      <c r="S468" s="5">
        <f t="shared" si="678"/>
        <v>0</v>
      </c>
      <c r="U468" s="4">
        <v>45413</v>
      </c>
      <c r="V468">
        <f t="shared" si="652"/>
        <v>-4000.0000000002701</v>
      </c>
      <c r="W468">
        <f t="shared" si="653"/>
        <v>-2222.9999999999527</v>
      </c>
      <c r="X468">
        <f t="shared" si="654"/>
        <v>0</v>
      </c>
      <c r="Y468">
        <f t="shared" si="655"/>
        <v>20669.999999999865</v>
      </c>
      <c r="Z468">
        <f t="shared" si="656"/>
        <v>5435.0000000003665</v>
      </c>
      <c r="AA468">
        <f t="shared" si="657"/>
        <v>-8000.0000000000073</v>
      </c>
      <c r="AB468">
        <f t="shared" si="658"/>
        <v>36512.000000000029</v>
      </c>
      <c r="AC468">
        <f t="shared" si="659"/>
        <v>-17784.000000000015</v>
      </c>
      <c r="AD468">
        <f t="shared" si="660"/>
        <v>-804352.0000000007</v>
      </c>
      <c r="AE468">
        <f t="shared" si="661"/>
        <v>7.0000000000000284</v>
      </c>
      <c r="AF468">
        <f t="shared" si="662"/>
        <v>301938.0000000025</v>
      </c>
      <c r="AG468">
        <f t="shared" si="663"/>
        <v>126615.0000000018</v>
      </c>
      <c r="AH468">
        <f t="shared" si="664"/>
        <v>4.9999999999999822</v>
      </c>
      <c r="AI468">
        <f t="shared" si="665"/>
        <v>0</v>
      </c>
      <c r="AJ468">
        <f t="shared" si="666"/>
        <v>0</v>
      </c>
      <c r="AK468">
        <f t="shared" si="667"/>
        <v>0</v>
      </c>
      <c r="AL468">
        <f t="shared" si="668"/>
        <v>0</v>
      </c>
      <c r="AM468" s="1">
        <f t="shared" si="669"/>
        <v>0</v>
      </c>
      <c r="AN468" s="1">
        <f t="shared" si="645"/>
        <v>-345176.99999999639</v>
      </c>
      <c r="AO468">
        <f t="shared" si="646"/>
        <v>0.68540769101662091</v>
      </c>
      <c r="AP468">
        <f t="shared" si="647"/>
        <v>2.5810899129244276</v>
      </c>
    </row>
    <row r="469" spans="1:42" x14ac:dyDescent="0.25">
      <c r="A469" s="4">
        <v>45412</v>
      </c>
      <c r="B469">
        <f t="shared" ref="B469:N469" si="682">(B1019-B1018)*100</f>
        <v>0</v>
      </c>
      <c r="C469">
        <f t="shared" si="682"/>
        <v>0</v>
      </c>
      <c r="D469">
        <f t="shared" si="682"/>
        <v>-0.99999999999997868</v>
      </c>
      <c r="E469">
        <f t="shared" si="682"/>
        <v>0</v>
      </c>
      <c r="F469">
        <f t="shared" si="682"/>
        <v>-1.0000000000000675</v>
      </c>
      <c r="G469">
        <f t="shared" si="682"/>
        <v>-4.9999999999999822</v>
      </c>
      <c r="H469">
        <f t="shared" si="682"/>
        <v>-7.0000000000000284</v>
      </c>
      <c r="I469">
        <f t="shared" si="682"/>
        <v>-7.0000000000000284</v>
      </c>
      <c r="J469">
        <f t="shared" si="682"/>
        <v>-6.9999999999999396</v>
      </c>
      <c r="K469">
        <f t="shared" si="682"/>
        <v>-7.0000000000000284</v>
      </c>
      <c r="L469">
        <f t="shared" si="682"/>
        <v>-6.0000000000000497</v>
      </c>
      <c r="M469">
        <f t="shared" si="682"/>
        <v>-4.0000000000000036</v>
      </c>
      <c r="N469">
        <f t="shared" si="682"/>
        <v>-4.0000000000000036</v>
      </c>
      <c r="O469" s="5">
        <f t="shared" si="678"/>
        <v>1.0946282512281403E-2</v>
      </c>
      <c r="P469" s="5">
        <f t="shared" si="678"/>
        <v>1.4910016832410958E-2</v>
      </c>
      <c r="Q469" s="5">
        <f t="shared" si="678"/>
        <v>-4.293349797965848E-3</v>
      </c>
      <c r="R469" s="5">
        <f t="shared" si="678"/>
        <v>9.3396275961328424E-3</v>
      </c>
      <c r="S469" s="5">
        <f t="shared" si="678"/>
        <v>6.3435004621860405E-3</v>
      </c>
      <c r="U469" s="4">
        <v>45412</v>
      </c>
      <c r="V469">
        <f t="shared" si="652"/>
        <v>0</v>
      </c>
      <c r="W469">
        <f t="shared" si="653"/>
        <v>0</v>
      </c>
      <c r="X469">
        <f t="shared" si="654"/>
        <v>-4589.9999999999018</v>
      </c>
      <c r="Y469">
        <f t="shared" si="655"/>
        <v>0</v>
      </c>
      <c r="Z469">
        <f t="shared" si="656"/>
        <v>-5435.0000000003665</v>
      </c>
      <c r="AA469">
        <f t="shared" si="657"/>
        <v>9999.9999999999636</v>
      </c>
      <c r="AB469">
        <f t="shared" si="658"/>
        <v>-31948.000000000131</v>
      </c>
      <c r="AC469">
        <f t="shared" si="659"/>
        <v>15561.000000000064</v>
      </c>
      <c r="AD469">
        <f t="shared" si="660"/>
        <v>703807.99999999395</v>
      </c>
      <c r="AE469">
        <f t="shared" si="661"/>
        <v>-7.0000000000000284</v>
      </c>
      <c r="AF469">
        <f t="shared" si="662"/>
        <v>-301938.0000000025</v>
      </c>
      <c r="AG469">
        <f t="shared" si="663"/>
        <v>-101292.00000000009</v>
      </c>
      <c r="AH469">
        <f t="shared" si="664"/>
        <v>-4.0000000000000036</v>
      </c>
      <c r="AI469">
        <f t="shared" si="665"/>
        <v>1.0946282512281402</v>
      </c>
      <c r="AJ469">
        <f t="shared" si="666"/>
        <v>-149100.16832410957</v>
      </c>
      <c r="AK469">
        <f t="shared" si="667"/>
        <v>-42933.497979658481</v>
      </c>
      <c r="AL469">
        <f t="shared" si="668"/>
        <v>-233490.68990332106</v>
      </c>
      <c r="AM469" s="1">
        <f t="shared" si="669"/>
        <v>-63435.004621860404</v>
      </c>
      <c r="AN469" s="1">
        <f t="shared" si="645"/>
        <v>-204803.26620070726</v>
      </c>
      <c r="AO469">
        <f t="shared" si="646"/>
        <v>-2.1613164228846315</v>
      </c>
      <c r="AP469">
        <f t="shared" si="647"/>
        <v>2.5548442772424145</v>
      </c>
    </row>
    <row r="470" spans="1:42" x14ac:dyDescent="0.25">
      <c r="A470" s="4">
        <v>45411</v>
      </c>
      <c r="B470">
        <f t="shared" ref="B470:N470" si="683">(B1020-B1019)*100</f>
        <v>0</v>
      </c>
      <c r="C470">
        <f t="shared" si="683"/>
        <v>0</v>
      </c>
      <c r="D470">
        <f t="shared" si="683"/>
        <v>0.99999999999997868</v>
      </c>
      <c r="E470">
        <f t="shared" si="683"/>
        <v>0</v>
      </c>
      <c r="F470">
        <f t="shared" si="683"/>
        <v>-2.9999999999999361</v>
      </c>
      <c r="G470">
        <f t="shared" si="683"/>
        <v>0.99999999999997868</v>
      </c>
      <c r="H470">
        <f t="shared" si="683"/>
        <v>-0.99999999999997868</v>
      </c>
      <c r="I470">
        <f t="shared" si="683"/>
        <v>4.0000000000000036</v>
      </c>
      <c r="J470">
        <f t="shared" si="683"/>
        <v>2.9999999999999361</v>
      </c>
      <c r="K470">
        <f t="shared" si="683"/>
        <v>4.0000000000000036</v>
      </c>
      <c r="L470">
        <f t="shared" si="683"/>
        <v>4.0000000000000036</v>
      </c>
      <c r="M470">
        <f t="shared" si="683"/>
        <v>2.9999999999999361</v>
      </c>
      <c r="N470">
        <f t="shared" si="683"/>
        <v>3.0000000000000249</v>
      </c>
      <c r="O470" s="5">
        <f t="shared" si="678"/>
        <v>-5.6677710565165515E-4</v>
      </c>
      <c r="P470" s="5">
        <f t="shared" si="678"/>
        <v>-8.9090889757821971E-3</v>
      </c>
      <c r="Q470" s="5">
        <f t="shared" si="678"/>
        <v>-9.8086271041050895E-4</v>
      </c>
      <c r="R470" s="5">
        <f t="shared" si="678"/>
        <v>-2.9447217102849029E-3</v>
      </c>
      <c r="S470" s="5">
        <f t="shared" si="678"/>
        <v>-7.4989155772736552E-3</v>
      </c>
      <c r="U470" s="4">
        <v>45411</v>
      </c>
      <c r="V470">
        <f t="shared" si="652"/>
        <v>0</v>
      </c>
      <c r="W470">
        <f t="shared" si="653"/>
        <v>0</v>
      </c>
      <c r="X470">
        <f t="shared" si="654"/>
        <v>4589.9999999999018</v>
      </c>
      <c r="Y470">
        <f t="shared" si="655"/>
        <v>0</v>
      </c>
      <c r="Z470">
        <f t="shared" si="656"/>
        <v>-16304.999999999653</v>
      </c>
      <c r="AA470">
        <f t="shared" si="657"/>
        <v>-1999.9999999999573</v>
      </c>
      <c r="AB470">
        <f t="shared" si="658"/>
        <v>-4563.9999999999027</v>
      </c>
      <c r="AC470">
        <f t="shared" si="659"/>
        <v>-8892.0000000000073</v>
      </c>
      <c r="AD470">
        <f t="shared" si="660"/>
        <v>-301631.9999999936</v>
      </c>
      <c r="AE470">
        <f t="shared" si="661"/>
        <v>4.0000000000000036</v>
      </c>
      <c r="AF470">
        <f t="shared" si="662"/>
        <v>201292.00000000017</v>
      </c>
      <c r="AG470">
        <f t="shared" si="663"/>
        <v>75968.999999998385</v>
      </c>
      <c r="AH470">
        <f t="shared" si="664"/>
        <v>3.0000000000000249</v>
      </c>
      <c r="AI470">
        <f t="shared" si="665"/>
        <v>-5.6677710565165518E-2</v>
      </c>
      <c r="AJ470">
        <f t="shared" si="666"/>
        <v>89090.889757821977</v>
      </c>
      <c r="AK470">
        <f t="shared" si="667"/>
        <v>-9808.6271041050895</v>
      </c>
      <c r="AL470">
        <f t="shared" si="668"/>
        <v>73618.042757122574</v>
      </c>
      <c r="AM470" s="1">
        <f t="shared" si="669"/>
        <v>74989.155772736558</v>
      </c>
      <c r="AN470" s="1">
        <f t="shared" si="645"/>
        <v>176354.40450587083</v>
      </c>
      <c r="AO470">
        <f t="shared" si="646"/>
        <v>-0.32816086614624185</v>
      </c>
      <c r="AP470">
        <f t="shared" si="647"/>
        <v>2.5614789166387699</v>
      </c>
    </row>
    <row r="471" spans="1:42" x14ac:dyDescent="0.25">
      <c r="A471" s="4">
        <v>45408</v>
      </c>
      <c r="B471">
        <f t="shared" ref="B471:N471" si="684">(B1021-B1020)*100</f>
        <v>0</v>
      </c>
      <c r="C471">
        <f t="shared" si="684"/>
        <v>0</v>
      </c>
      <c r="D471">
        <f t="shared" si="684"/>
        <v>0.99999999999997868</v>
      </c>
      <c r="E471">
        <f t="shared" si="684"/>
        <v>0.99999999999997868</v>
      </c>
      <c r="F471">
        <f t="shared" si="684"/>
        <v>0.99999999999997868</v>
      </c>
      <c r="G471">
        <f t="shared" si="684"/>
        <v>0</v>
      </c>
      <c r="H471">
        <f t="shared" si="684"/>
        <v>0</v>
      </c>
      <c r="I471">
        <f t="shared" si="684"/>
        <v>0.99999999999997868</v>
      </c>
      <c r="J471">
        <f t="shared" si="684"/>
        <v>2.0000000000000462</v>
      </c>
      <c r="K471">
        <f t="shared" si="684"/>
        <v>3.0000000000000249</v>
      </c>
      <c r="L471">
        <f t="shared" si="684"/>
        <v>3.0000000000000249</v>
      </c>
      <c r="M471">
        <f t="shared" si="684"/>
        <v>4.0000000000000036</v>
      </c>
      <c r="N471">
        <f t="shared" si="684"/>
        <v>4.0000000000000036</v>
      </c>
      <c r="O471" s="5">
        <f t="shared" si="678"/>
        <v>-9.6250876749175967E-3</v>
      </c>
      <c r="P471" s="5">
        <f t="shared" si="678"/>
        <v>-1.4397270026383037E-2</v>
      </c>
      <c r="Q471" s="5">
        <f t="shared" si="678"/>
        <v>-6.2736979295097972E-3</v>
      </c>
      <c r="R471" s="5">
        <f t="shared" si="678"/>
        <v>-3.4689827983080145E-3</v>
      </c>
      <c r="S471" s="5">
        <f t="shared" si="678"/>
        <v>-3.8998658282917227E-3</v>
      </c>
      <c r="U471" s="4">
        <v>45408</v>
      </c>
      <c r="V471">
        <f t="shared" si="652"/>
        <v>0</v>
      </c>
      <c r="W471">
        <f t="shared" si="653"/>
        <v>0</v>
      </c>
      <c r="X471">
        <f t="shared" si="654"/>
        <v>4589.9999999999018</v>
      </c>
      <c r="Y471">
        <f t="shared" si="655"/>
        <v>-3444.9999999999268</v>
      </c>
      <c r="Z471">
        <f t="shared" si="656"/>
        <v>5434.9999999998845</v>
      </c>
      <c r="AA471">
        <f t="shared" si="657"/>
        <v>0</v>
      </c>
      <c r="AB471">
        <f t="shared" si="658"/>
        <v>0</v>
      </c>
      <c r="AC471">
        <f t="shared" si="659"/>
        <v>-2222.9999999999527</v>
      </c>
      <c r="AD471">
        <f t="shared" si="660"/>
        <v>-201088.00000000466</v>
      </c>
      <c r="AE471">
        <f t="shared" si="661"/>
        <v>3.0000000000000249</v>
      </c>
      <c r="AF471">
        <f t="shared" si="662"/>
        <v>150969.00000000125</v>
      </c>
      <c r="AG471">
        <f t="shared" si="663"/>
        <v>101292.00000000009</v>
      </c>
      <c r="AH471">
        <f t="shared" si="664"/>
        <v>4.0000000000000036</v>
      </c>
      <c r="AI471">
        <f t="shared" si="665"/>
        <v>-0.96250876749175962</v>
      </c>
      <c r="AJ471">
        <f t="shared" si="666"/>
        <v>143972.70026383037</v>
      </c>
      <c r="AK471">
        <f t="shared" si="667"/>
        <v>-62736.979295097975</v>
      </c>
      <c r="AL471">
        <f t="shared" si="668"/>
        <v>86724.569957700369</v>
      </c>
      <c r="AM471" s="1">
        <f t="shared" si="669"/>
        <v>38998.658282917226</v>
      </c>
      <c r="AN471" s="1">
        <f t="shared" si="645"/>
        <v>262494.98670057912</v>
      </c>
      <c r="AO471">
        <f t="shared" si="646"/>
        <v>-9.6876582959375952</v>
      </c>
      <c r="AP471">
        <f t="shared" si="647"/>
        <v>3.0824858291420543</v>
      </c>
    </row>
    <row r="472" spans="1:42" x14ac:dyDescent="0.25">
      <c r="A472" s="4">
        <v>45407</v>
      </c>
      <c r="B472">
        <f t="shared" ref="B472:N472" si="685">(B1022-B1021)*100</f>
        <v>0.99999999999997868</v>
      </c>
      <c r="C472">
        <f t="shared" si="685"/>
        <v>-0.99999999999997868</v>
      </c>
      <c r="D472">
        <f t="shared" si="685"/>
        <v>-0.99999999999997868</v>
      </c>
      <c r="E472">
        <f t="shared" si="685"/>
        <v>-1.9999999999999574</v>
      </c>
      <c r="F472">
        <f t="shared" si="685"/>
        <v>-0.99999999999997868</v>
      </c>
      <c r="G472">
        <f t="shared" si="685"/>
        <v>-4.0000000000000036</v>
      </c>
      <c r="H472">
        <f t="shared" si="685"/>
        <v>-7.0000000000000284</v>
      </c>
      <c r="I472">
        <f t="shared" si="685"/>
        <v>-6.9999999999999396</v>
      </c>
      <c r="J472">
        <f t="shared" si="685"/>
        <v>-6.0000000000000497</v>
      </c>
      <c r="K472">
        <f t="shared" si="685"/>
        <v>-4.9999999999999822</v>
      </c>
      <c r="L472">
        <f t="shared" si="685"/>
        <v>-4.9999999999999822</v>
      </c>
      <c r="M472">
        <f t="shared" si="685"/>
        <v>-4.9999999999999822</v>
      </c>
      <c r="N472">
        <f t="shared" si="685"/>
        <v>-4.0000000000000036</v>
      </c>
      <c r="O472" s="5">
        <f t="shared" si="678"/>
        <v>1.6849856308338246E-3</v>
      </c>
      <c r="P472" s="5">
        <f t="shared" si="678"/>
        <v>4.4520153153470932E-3</v>
      </c>
      <c r="Q472" s="5">
        <f t="shared" si="678"/>
        <v>3.9992705572687356E-3</v>
      </c>
      <c r="R472" s="5">
        <f t="shared" si="678"/>
        <v>6.1456439252962668E-3</v>
      </c>
      <c r="S472" s="5">
        <f t="shared" si="678"/>
        <v>8.3772322507549759E-3</v>
      </c>
      <c r="U472" s="4">
        <v>45407</v>
      </c>
      <c r="V472">
        <f t="shared" si="652"/>
        <v>-3999.9999999999145</v>
      </c>
      <c r="W472">
        <f t="shared" si="653"/>
        <v>2222.9999999999527</v>
      </c>
      <c r="X472">
        <f t="shared" si="654"/>
        <v>-4589.9999999999018</v>
      </c>
      <c r="Y472">
        <f t="shared" si="655"/>
        <v>6889.9999999998536</v>
      </c>
      <c r="Z472">
        <f t="shared" si="656"/>
        <v>-5434.9999999998845</v>
      </c>
      <c r="AA472">
        <f t="shared" si="657"/>
        <v>8000.0000000000073</v>
      </c>
      <c r="AB472">
        <f t="shared" si="658"/>
        <v>-31948.000000000131</v>
      </c>
      <c r="AC472">
        <f t="shared" si="659"/>
        <v>15560.999999999865</v>
      </c>
      <c r="AD472">
        <f t="shared" si="660"/>
        <v>603264.00000000501</v>
      </c>
      <c r="AE472">
        <f t="shared" si="661"/>
        <v>-4.9999999999999822</v>
      </c>
      <c r="AF472">
        <f t="shared" si="662"/>
        <v>-251614.9999999991</v>
      </c>
      <c r="AG472">
        <f t="shared" si="663"/>
        <v>-126614.99999999955</v>
      </c>
      <c r="AH472">
        <f t="shared" si="664"/>
        <v>-4.0000000000000036</v>
      </c>
      <c r="AI472">
        <f t="shared" si="665"/>
        <v>0.16849856308338246</v>
      </c>
      <c r="AJ472">
        <f t="shared" si="666"/>
        <v>-44520.153153470928</v>
      </c>
      <c r="AK472">
        <f t="shared" si="667"/>
        <v>39992.705572687359</v>
      </c>
      <c r="AL472">
        <f t="shared" si="668"/>
        <v>-153641.09813240668</v>
      </c>
      <c r="AM472" s="1">
        <f t="shared" si="669"/>
        <v>-83772.322507549761</v>
      </c>
      <c r="AN472" s="1">
        <f t="shared" si="645"/>
        <v>-30214.699722170641</v>
      </c>
      <c r="AO472">
        <f t="shared" si="646"/>
        <v>-0.94552084206785803</v>
      </c>
      <c r="AP472">
        <f t="shared" si="647"/>
        <v>2.5072110874342961</v>
      </c>
    </row>
    <row r="473" spans="1:42" x14ac:dyDescent="0.25">
      <c r="A473" s="4">
        <v>45406</v>
      </c>
      <c r="B473">
        <f t="shared" ref="B473:N473" si="686">(B1023-B1022)*100</f>
        <v>0</v>
      </c>
      <c r="C473">
        <f t="shared" si="686"/>
        <v>0</v>
      </c>
      <c r="D473">
        <f t="shared" si="686"/>
        <v>-0.99999999999997868</v>
      </c>
      <c r="E473">
        <f t="shared" si="686"/>
        <v>0</v>
      </c>
      <c r="F473">
        <f t="shared" si="686"/>
        <v>-1.0000000000000675</v>
      </c>
      <c r="G473">
        <f t="shared" si="686"/>
        <v>-3.0000000000000249</v>
      </c>
      <c r="H473">
        <f t="shared" si="686"/>
        <v>-2.9999999999999361</v>
      </c>
      <c r="I473">
        <f t="shared" si="686"/>
        <v>-2.0000000000000462</v>
      </c>
      <c r="J473">
        <f t="shared" si="686"/>
        <v>-0.99999999999997868</v>
      </c>
      <c r="K473">
        <f t="shared" si="686"/>
        <v>-4.0000000000000036</v>
      </c>
      <c r="L473">
        <f t="shared" si="686"/>
        <v>-4.0000000000000036</v>
      </c>
      <c r="M473">
        <f t="shared" si="686"/>
        <v>-4.0000000000000036</v>
      </c>
      <c r="N473">
        <f t="shared" si="686"/>
        <v>-4.9999999999999822</v>
      </c>
      <c r="O473" s="5">
        <f t="shared" si="678"/>
        <v>-6.5883814343021489E-4</v>
      </c>
      <c r="P473" s="5">
        <f t="shared" si="678"/>
        <v>7.6152361177569614E-3</v>
      </c>
      <c r="Q473" s="5">
        <f t="shared" si="678"/>
        <v>-3.1293999873603386E-3</v>
      </c>
      <c r="R473" s="5">
        <f t="shared" si="678"/>
        <v>6.7231663758528125E-3</v>
      </c>
      <c r="S473" s="5">
        <f t="shared" si="678"/>
        <v>6.3764669572523398E-3</v>
      </c>
      <c r="U473" s="4">
        <v>45406</v>
      </c>
      <c r="V473">
        <f t="shared" si="652"/>
        <v>0</v>
      </c>
      <c r="W473">
        <f t="shared" si="653"/>
        <v>0</v>
      </c>
      <c r="X473">
        <f t="shared" si="654"/>
        <v>-4589.9999999999018</v>
      </c>
      <c r="Y473">
        <f t="shared" si="655"/>
        <v>0</v>
      </c>
      <c r="Z473">
        <f t="shared" si="656"/>
        <v>-5435.0000000003665</v>
      </c>
      <c r="AA473">
        <f t="shared" si="657"/>
        <v>6000.00000000005</v>
      </c>
      <c r="AB473">
        <f t="shared" si="658"/>
        <v>-13691.999999999709</v>
      </c>
      <c r="AC473">
        <f t="shared" si="659"/>
        <v>4446.0000000001028</v>
      </c>
      <c r="AD473">
        <f t="shared" si="660"/>
        <v>100543.99999999786</v>
      </c>
      <c r="AE473">
        <f t="shared" si="661"/>
        <v>-4.0000000000000036</v>
      </c>
      <c r="AF473">
        <f t="shared" si="662"/>
        <v>-201292.00000000017</v>
      </c>
      <c r="AG473">
        <f t="shared" si="663"/>
        <v>-101292.00000000009</v>
      </c>
      <c r="AH473">
        <f t="shared" si="664"/>
        <v>-4.9999999999999822</v>
      </c>
      <c r="AI473">
        <f t="shared" si="665"/>
        <v>-6.5883814343021485E-2</v>
      </c>
      <c r="AJ473">
        <f t="shared" si="666"/>
        <v>-76152.361177569619</v>
      </c>
      <c r="AK473">
        <f t="shared" si="667"/>
        <v>-31293.999873603385</v>
      </c>
      <c r="AL473">
        <f t="shared" si="668"/>
        <v>-168079.15939632032</v>
      </c>
      <c r="AM473" s="1">
        <f t="shared" si="669"/>
        <v>-63764.669572523395</v>
      </c>
      <c r="AN473" s="1">
        <f t="shared" si="645"/>
        <v>-554610.25590383331</v>
      </c>
      <c r="AO473">
        <f t="shared" si="646"/>
        <v>1.610276736816584</v>
      </c>
      <c r="AP473">
        <f t="shared" si="647"/>
        <v>2.5079587618544035</v>
      </c>
    </row>
    <row r="474" spans="1:42" x14ac:dyDescent="0.25">
      <c r="A474" s="4">
        <v>45405</v>
      </c>
      <c r="B474">
        <f t="shared" ref="B474:N474" si="687">(B1024-B1023)*100</f>
        <v>0</v>
      </c>
      <c r="C474">
        <f t="shared" si="687"/>
        <v>0</v>
      </c>
      <c r="D474">
        <f t="shared" si="687"/>
        <v>-3.0000000000000249</v>
      </c>
      <c r="E474">
        <f t="shared" si="687"/>
        <v>0</v>
      </c>
      <c r="F474">
        <f t="shared" si="687"/>
        <v>0</v>
      </c>
      <c r="G474">
        <f t="shared" si="687"/>
        <v>2.0000000000000462</v>
      </c>
      <c r="H474">
        <f t="shared" si="687"/>
        <v>10.999999999999943</v>
      </c>
      <c r="I474">
        <f t="shared" si="687"/>
        <v>4.9999999999999822</v>
      </c>
      <c r="J474">
        <f t="shared" si="687"/>
        <v>3.0000000000000249</v>
      </c>
      <c r="K474">
        <f t="shared" si="687"/>
        <v>3.0000000000000249</v>
      </c>
      <c r="L474">
        <f t="shared" si="687"/>
        <v>0.99999999999997868</v>
      </c>
      <c r="M474">
        <f t="shared" si="687"/>
        <v>0</v>
      </c>
      <c r="N474">
        <f t="shared" si="687"/>
        <v>-1.0000000000000675</v>
      </c>
      <c r="O474" s="5">
        <f t="shared" si="678"/>
        <v>-8.0453440336533399E-3</v>
      </c>
      <c r="P474" s="5">
        <f t="shared" si="678"/>
        <v>-1.469470424596459E-3</v>
      </c>
      <c r="Q474" s="5">
        <f t="shared" si="678"/>
        <v>-2.6910024772773436E-3</v>
      </c>
      <c r="R474" s="5">
        <f t="shared" si="678"/>
        <v>2.9725734630030518E-3</v>
      </c>
      <c r="S474" s="5">
        <f t="shared" si="678"/>
        <v>-1.0404663898187942E-2</v>
      </c>
      <c r="U474" s="4">
        <v>45405</v>
      </c>
      <c r="V474">
        <f t="shared" si="652"/>
        <v>0</v>
      </c>
      <c r="W474">
        <f t="shared" si="653"/>
        <v>0</v>
      </c>
      <c r="X474">
        <f t="shared" si="654"/>
        <v>-13770.000000000115</v>
      </c>
      <c r="Y474">
        <f t="shared" si="655"/>
        <v>0</v>
      </c>
      <c r="Z474">
        <f t="shared" si="656"/>
        <v>0</v>
      </c>
      <c r="AA474">
        <f t="shared" si="657"/>
        <v>-4000.0000000000923</v>
      </c>
      <c r="AB474">
        <f t="shared" si="658"/>
        <v>50203.999999999738</v>
      </c>
      <c r="AC474">
        <f t="shared" si="659"/>
        <v>-11114.99999999996</v>
      </c>
      <c r="AD474">
        <f t="shared" si="660"/>
        <v>-301632.0000000025</v>
      </c>
      <c r="AE474">
        <f t="shared" si="661"/>
        <v>3.0000000000000249</v>
      </c>
      <c r="AF474">
        <f t="shared" si="662"/>
        <v>50322.99999999893</v>
      </c>
      <c r="AG474">
        <f t="shared" si="663"/>
        <v>0</v>
      </c>
      <c r="AH474">
        <f t="shared" si="664"/>
        <v>-1.0000000000000675</v>
      </c>
      <c r="AI474">
        <f t="shared" si="665"/>
        <v>-0.80453440336533399</v>
      </c>
      <c r="AJ474">
        <f t="shared" si="666"/>
        <v>14694.704245964589</v>
      </c>
      <c r="AK474">
        <f t="shared" si="667"/>
        <v>-26910.024772773435</v>
      </c>
      <c r="AL474">
        <f t="shared" si="668"/>
        <v>-74314.33657507629</v>
      </c>
      <c r="AM474" s="1">
        <f t="shared" si="669"/>
        <v>104046.63898187943</v>
      </c>
      <c r="AN474" s="1">
        <f t="shared" si="645"/>
        <v>-212471.82265441309</v>
      </c>
      <c r="AO474">
        <f t="shared" si="646"/>
        <v>-0.22688055411089447</v>
      </c>
      <c r="AP474">
        <f t="shared" si="647"/>
        <v>2.407732720660329</v>
      </c>
    </row>
    <row r="475" spans="1:42" x14ac:dyDescent="0.25">
      <c r="A475" s="4">
        <v>45404</v>
      </c>
      <c r="B475">
        <f t="shared" ref="B475:N475" si="688">(B1025-B1024)*100</f>
        <v>0</v>
      </c>
      <c r="C475">
        <f t="shared" si="688"/>
        <v>0.99999999999997868</v>
      </c>
      <c r="D475">
        <f t="shared" si="688"/>
        <v>3.0000000000000249</v>
      </c>
      <c r="E475">
        <f t="shared" si="688"/>
        <v>0</v>
      </c>
      <c r="F475">
        <f t="shared" si="688"/>
        <v>0</v>
      </c>
      <c r="G475">
        <f t="shared" si="688"/>
        <v>0.99999999999997868</v>
      </c>
      <c r="H475">
        <f t="shared" si="688"/>
        <v>0</v>
      </c>
      <c r="I475">
        <f t="shared" si="688"/>
        <v>0</v>
      </c>
      <c r="J475">
        <f t="shared" si="688"/>
        <v>0</v>
      </c>
      <c r="K475">
        <f t="shared" si="688"/>
        <v>0</v>
      </c>
      <c r="L475">
        <f t="shared" si="688"/>
        <v>0</v>
      </c>
      <c r="M475">
        <f t="shared" si="688"/>
        <v>-0.99999999999997868</v>
      </c>
      <c r="N475">
        <f t="shared" si="688"/>
        <v>0</v>
      </c>
      <c r="O475" s="5">
        <f t="shared" ref="O475:S484" si="689">LN(O1024/O1025)</f>
        <v>-4.3334104205055603E-3</v>
      </c>
      <c r="P475" s="5">
        <f t="shared" si="689"/>
        <v>2.5185870879077632E-3</v>
      </c>
      <c r="Q475" s="5">
        <f t="shared" si="689"/>
        <v>-1.2593944380687361E-2</v>
      </c>
      <c r="R475" s="5">
        <f t="shared" si="689"/>
        <v>3.7961000032810011E-3</v>
      </c>
      <c r="S475" s="5">
        <f t="shared" si="689"/>
        <v>1.3019808877500862E-3</v>
      </c>
      <c r="U475" s="4">
        <v>45404</v>
      </c>
      <c r="V475">
        <f t="shared" si="652"/>
        <v>0</v>
      </c>
      <c r="W475">
        <f t="shared" si="653"/>
        <v>-2222.9999999999527</v>
      </c>
      <c r="X475">
        <f t="shared" si="654"/>
        <v>13770.000000000115</v>
      </c>
      <c r="Y475">
        <f t="shared" si="655"/>
        <v>0</v>
      </c>
      <c r="Z475">
        <f t="shared" si="656"/>
        <v>0</v>
      </c>
      <c r="AA475">
        <f t="shared" si="657"/>
        <v>-1999.9999999999573</v>
      </c>
      <c r="AB475">
        <f t="shared" si="658"/>
        <v>0</v>
      </c>
      <c r="AC475">
        <f t="shared" si="659"/>
        <v>0</v>
      </c>
      <c r="AD475">
        <f t="shared" si="660"/>
        <v>0</v>
      </c>
      <c r="AE475">
        <f t="shared" si="661"/>
        <v>0</v>
      </c>
      <c r="AF475">
        <f t="shared" si="662"/>
        <v>0</v>
      </c>
      <c r="AG475">
        <f t="shared" si="663"/>
        <v>-25322.999999999462</v>
      </c>
      <c r="AH475">
        <f t="shared" si="664"/>
        <v>0</v>
      </c>
      <c r="AI475">
        <f t="shared" si="665"/>
        <v>-0.43334104205055601</v>
      </c>
      <c r="AJ475">
        <f t="shared" si="666"/>
        <v>-25185.870879077633</v>
      </c>
      <c r="AK475">
        <f t="shared" si="667"/>
        <v>-125939.44380687361</v>
      </c>
      <c r="AL475">
        <f t="shared" si="668"/>
        <v>-94902.500082025028</v>
      </c>
      <c r="AM475" s="1">
        <f t="shared" si="669"/>
        <v>-13019.808877500862</v>
      </c>
      <c r="AN475" s="1">
        <f t="shared" si="645"/>
        <v>-274824.05698651844</v>
      </c>
      <c r="AO475">
        <f t="shared" si="646"/>
        <v>-2.0494653606216877</v>
      </c>
      <c r="AP475">
        <f t="shared" si="647"/>
        <v>2.3962039500862606</v>
      </c>
    </row>
    <row r="476" spans="1:42" x14ac:dyDescent="0.25">
      <c r="A476" s="4">
        <v>45401</v>
      </c>
      <c r="B476">
        <f t="shared" ref="B476:N476" si="690">(B1026-B1025)*100</f>
        <v>0</v>
      </c>
      <c r="C476">
        <f t="shared" si="690"/>
        <v>0.99999999999997868</v>
      </c>
      <c r="D476">
        <f t="shared" si="690"/>
        <v>0.99999999999997868</v>
      </c>
      <c r="E476">
        <f t="shared" si="690"/>
        <v>0</v>
      </c>
      <c r="F476">
        <f t="shared" si="690"/>
        <v>0</v>
      </c>
      <c r="G476">
        <f t="shared" si="690"/>
        <v>0.99999999999997868</v>
      </c>
      <c r="H476">
        <f t="shared" si="690"/>
        <v>1.0000000000000675</v>
      </c>
      <c r="I476">
        <f t="shared" si="690"/>
        <v>2.0000000000000462</v>
      </c>
      <c r="J476">
        <f t="shared" si="690"/>
        <v>1.9999999999999574</v>
      </c>
      <c r="K476">
        <f t="shared" si="690"/>
        <v>1.9999999999999574</v>
      </c>
      <c r="L476">
        <f t="shared" si="690"/>
        <v>1.9999999999999574</v>
      </c>
      <c r="M476">
        <f t="shared" si="690"/>
        <v>1.9999999999999574</v>
      </c>
      <c r="N476">
        <f t="shared" si="690"/>
        <v>2.0000000000000462</v>
      </c>
      <c r="O476" s="5">
        <f t="shared" si="689"/>
        <v>-4.6385194119980778E-3</v>
      </c>
      <c r="P476" s="5">
        <f t="shared" si="689"/>
        <v>-9.6308930609613E-3</v>
      </c>
      <c r="Q476" s="5">
        <f t="shared" si="689"/>
        <v>-6.7201718370640175E-3</v>
      </c>
      <c r="R476" s="5">
        <f t="shared" si="689"/>
        <v>-1.2687442426460751E-2</v>
      </c>
      <c r="S476" s="5">
        <f t="shared" si="689"/>
        <v>3.511527258442611E-3</v>
      </c>
      <c r="U476" s="4">
        <v>45401</v>
      </c>
      <c r="V476">
        <f t="shared" si="652"/>
        <v>0</v>
      </c>
      <c r="W476">
        <f t="shared" si="653"/>
        <v>-2222.9999999999527</v>
      </c>
      <c r="X476">
        <f t="shared" si="654"/>
        <v>4589.9999999999018</v>
      </c>
      <c r="Y476">
        <f t="shared" si="655"/>
        <v>0</v>
      </c>
      <c r="Z476">
        <f t="shared" si="656"/>
        <v>0</v>
      </c>
      <c r="AA476">
        <f t="shared" si="657"/>
        <v>-1999.9999999999573</v>
      </c>
      <c r="AB476">
        <f t="shared" si="658"/>
        <v>4564.0000000003083</v>
      </c>
      <c r="AC476">
        <f t="shared" si="659"/>
        <v>-4446.0000000001028</v>
      </c>
      <c r="AD476">
        <f t="shared" si="660"/>
        <v>-201087.99999999572</v>
      </c>
      <c r="AE476">
        <f t="shared" si="661"/>
        <v>1.9999999999999574</v>
      </c>
      <c r="AF476">
        <f t="shared" si="662"/>
        <v>100645.99999999786</v>
      </c>
      <c r="AG476">
        <f t="shared" si="663"/>
        <v>50645.999999998923</v>
      </c>
      <c r="AH476">
        <f t="shared" si="664"/>
        <v>2.0000000000000462</v>
      </c>
      <c r="AI476">
        <f t="shared" si="665"/>
        <v>-0.46385194119980777</v>
      </c>
      <c r="AJ476">
        <f t="shared" si="666"/>
        <v>96308.930609613002</v>
      </c>
      <c r="AK476">
        <f t="shared" si="667"/>
        <v>-67201.71837064017</v>
      </c>
      <c r="AL476">
        <f t="shared" si="668"/>
        <v>317186.06066151877</v>
      </c>
      <c r="AM476" s="1">
        <f t="shared" si="669"/>
        <v>-35115.272584426108</v>
      </c>
      <c r="AN476" s="1">
        <f t="shared" si="645"/>
        <v>261870.53646412556</v>
      </c>
      <c r="AO476">
        <f t="shared" si="646"/>
        <v>1.6575237680478132</v>
      </c>
      <c r="AP476">
        <f t="shared" si="647"/>
        <v>2.3999013093171753</v>
      </c>
    </row>
    <row r="477" spans="1:42" x14ac:dyDescent="0.25">
      <c r="A477" s="4">
        <v>45400</v>
      </c>
      <c r="B477">
        <f t="shared" ref="B477:N477" si="691">(B1027-B1026)*100</f>
        <v>0</v>
      </c>
      <c r="C477">
        <f t="shared" si="691"/>
        <v>-2.9999999999999361</v>
      </c>
      <c r="D477">
        <f t="shared" si="691"/>
        <v>-0.99999999999997868</v>
      </c>
      <c r="E477">
        <f t="shared" si="691"/>
        <v>0</v>
      </c>
      <c r="F477">
        <f t="shared" si="691"/>
        <v>-0.99999999999997868</v>
      </c>
      <c r="G477">
        <f t="shared" si="691"/>
        <v>-1.9999999999999574</v>
      </c>
      <c r="H477">
        <f t="shared" si="691"/>
        <v>-5.0000000000000711</v>
      </c>
      <c r="I477">
        <f t="shared" si="691"/>
        <v>-6.0000000000000497</v>
      </c>
      <c r="J477">
        <f t="shared" si="691"/>
        <v>-5.9999999999999609</v>
      </c>
      <c r="K477">
        <f t="shared" si="691"/>
        <v>-5.9999999999999609</v>
      </c>
      <c r="L477">
        <f t="shared" si="691"/>
        <v>-4.9999999999999822</v>
      </c>
      <c r="M477">
        <f t="shared" si="691"/>
        <v>-4.0000000000000036</v>
      </c>
      <c r="N477">
        <f t="shared" si="691"/>
        <v>-3.0000000000000249</v>
      </c>
      <c r="O477" s="5">
        <f t="shared" si="689"/>
        <v>8.1924272264784746E-4</v>
      </c>
      <c r="P477" s="5">
        <f t="shared" si="689"/>
        <v>1.1398968241933169E-2</v>
      </c>
      <c r="Q477" s="5">
        <f t="shared" si="689"/>
        <v>-1.0285700011395751E-2</v>
      </c>
      <c r="R477" s="5">
        <f t="shared" si="689"/>
        <v>-4.8167071985519829E-3</v>
      </c>
      <c r="S477" s="5">
        <f t="shared" si="689"/>
        <v>4.6541777613560006E-3</v>
      </c>
      <c r="U477" s="4">
        <v>45400</v>
      </c>
      <c r="V477">
        <f t="shared" si="652"/>
        <v>0</v>
      </c>
      <c r="W477">
        <f t="shared" si="653"/>
        <v>6668.9999999998581</v>
      </c>
      <c r="X477">
        <f t="shared" si="654"/>
        <v>-4589.9999999999018</v>
      </c>
      <c r="Y477">
        <f t="shared" si="655"/>
        <v>0</v>
      </c>
      <c r="Z477">
        <f t="shared" si="656"/>
        <v>-5434.9999999998845</v>
      </c>
      <c r="AA477">
        <f t="shared" si="657"/>
        <v>3999.9999999999145</v>
      </c>
      <c r="AB477">
        <f t="shared" si="658"/>
        <v>-22820.000000000324</v>
      </c>
      <c r="AC477">
        <f t="shared" si="659"/>
        <v>13338.000000000111</v>
      </c>
      <c r="AD477">
        <f t="shared" si="660"/>
        <v>603263.99999999604</v>
      </c>
      <c r="AE477">
        <f t="shared" si="661"/>
        <v>-5.9999999999999609</v>
      </c>
      <c r="AF477">
        <f t="shared" si="662"/>
        <v>-251614.9999999991</v>
      </c>
      <c r="AG477">
        <f t="shared" si="663"/>
        <v>-101292.00000000009</v>
      </c>
      <c r="AH477">
        <f t="shared" si="664"/>
        <v>-3.0000000000000249</v>
      </c>
      <c r="AI477">
        <f t="shared" si="665"/>
        <v>8.1924272264784742E-2</v>
      </c>
      <c r="AJ477">
        <f t="shared" si="666"/>
        <v>-113989.68241933169</v>
      </c>
      <c r="AK477">
        <f t="shared" si="667"/>
        <v>-102857.0001139575</v>
      </c>
      <c r="AL477">
        <f t="shared" si="668"/>
        <v>120417.67996379957</v>
      </c>
      <c r="AM477" s="1">
        <f t="shared" si="669"/>
        <v>-46541.777613560007</v>
      </c>
      <c r="AN477" s="1">
        <f t="shared" si="645"/>
        <v>98539.3017412193</v>
      </c>
      <c r="AO477">
        <f t="shared" si="646"/>
        <v>4.9084933954119059E-2</v>
      </c>
      <c r="AP477">
        <f t="shared" si="647"/>
        <v>2.3086362298969663</v>
      </c>
    </row>
    <row r="478" spans="1:42" x14ac:dyDescent="0.25">
      <c r="A478" s="4">
        <v>45399</v>
      </c>
      <c r="B478">
        <f t="shared" ref="B478:N478" si="692">(B1028-B1027)*100</f>
        <v>0</v>
      </c>
      <c r="C478">
        <f t="shared" si="692"/>
        <v>1.9999999999999574</v>
      </c>
      <c r="D478">
        <f t="shared" si="692"/>
        <v>0</v>
      </c>
      <c r="E478">
        <f t="shared" si="692"/>
        <v>0</v>
      </c>
      <c r="F478">
        <f t="shared" si="692"/>
        <v>0.99999999999997868</v>
      </c>
      <c r="G478">
        <f t="shared" si="692"/>
        <v>1.9999999999999574</v>
      </c>
      <c r="H478">
        <f t="shared" si="692"/>
        <v>4.0000000000000036</v>
      </c>
      <c r="I478">
        <f t="shared" si="692"/>
        <v>6.0000000000000497</v>
      </c>
      <c r="J478">
        <f t="shared" si="692"/>
        <v>7.0000000000000284</v>
      </c>
      <c r="K478">
        <f t="shared" si="692"/>
        <v>8.0000000000000071</v>
      </c>
      <c r="L478">
        <f t="shared" si="692"/>
        <v>8.0000000000000071</v>
      </c>
      <c r="M478">
        <f t="shared" si="692"/>
        <v>7.0000000000000284</v>
      </c>
      <c r="N478">
        <f t="shared" si="692"/>
        <v>5.9999999999999609</v>
      </c>
      <c r="O478" s="5">
        <f t="shared" si="689"/>
        <v>-3.1494590604115168E-3</v>
      </c>
      <c r="P478" s="5">
        <f t="shared" si="689"/>
        <v>-5.0907619439791059E-3</v>
      </c>
      <c r="Q478" s="5">
        <f t="shared" si="689"/>
        <v>7.1111591894895011E-3</v>
      </c>
      <c r="R478" s="5">
        <f t="shared" si="689"/>
        <v>-2.1333341424202715E-3</v>
      </c>
      <c r="S478" s="5">
        <f t="shared" si="689"/>
        <v>-4.0618562248802351E-3</v>
      </c>
      <c r="U478" s="4">
        <v>45399</v>
      </c>
      <c r="V478">
        <f t="shared" si="652"/>
        <v>0</v>
      </c>
      <c r="W478">
        <f t="shared" si="653"/>
        <v>-4445.9999999999054</v>
      </c>
      <c r="X478">
        <f t="shared" si="654"/>
        <v>0</v>
      </c>
      <c r="Y478">
        <f t="shared" si="655"/>
        <v>0</v>
      </c>
      <c r="Z478">
        <f t="shared" si="656"/>
        <v>5434.9999999998845</v>
      </c>
      <c r="AA478">
        <f t="shared" si="657"/>
        <v>-3999.9999999999145</v>
      </c>
      <c r="AB478">
        <f t="shared" si="658"/>
        <v>18256.000000000015</v>
      </c>
      <c r="AC478">
        <f t="shared" si="659"/>
        <v>-13338.000000000111</v>
      </c>
      <c r="AD478">
        <f t="shared" si="660"/>
        <v>-703808.00000000291</v>
      </c>
      <c r="AE478">
        <f t="shared" si="661"/>
        <v>8.0000000000000071</v>
      </c>
      <c r="AF478">
        <f t="shared" si="662"/>
        <v>402584.00000000035</v>
      </c>
      <c r="AG478">
        <f t="shared" si="663"/>
        <v>177261.00000000073</v>
      </c>
      <c r="AH478">
        <f t="shared" si="664"/>
        <v>5.9999999999999609</v>
      </c>
      <c r="AI478">
        <f t="shared" si="665"/>
        <v>-0.31494590604115169</v>
      </c>
      <c r="AJ478">
        <f t="shared" si="666"/>
        <v>50907.619439791059</v>
      </c>
      <c r="AK478">
        <f t="shared" si="667"/>
        <v>71111.591894895013</v>
      </c>
      <c r="AL478">
        <f t="shared" si="668"/>
        <v>53333.353560506788</v>
      </c>
      <c r="AM478" s="1">
        <f t="shared" si="669"/>
        <v>40618.562248802351</v>
      </c>
      <c r="AN478" s="1">
        <f t="shared" si="645"/>
        <v>93928.81219808734</v>
      </c>
      <c r="AO478">
        <f t="shared" si="646"/>
        <v>-2.497055028119731</v>
      </c>
      <c r="AP478">
        <f t="shared" si="647"/>
        <v>2.3209793301792816</v>
      </c>
    </row>
    <row r="479" spans="1:42" x14ac:dyDescent="0.25">
      <c r="A479" s="4">
        <v>45398</v>
      </c>
      <c r="B479">
        <f t="shared" ref="B479:N479" si="693">(B1029-B1028)*100</f>
        <v>0</v>
      </c>
      <c r="C479">
        <f t="shared" si="693"/>
        <v>0</v>
      </c>
      <c r="D479">
        <f t="shared" si="693"/>
        <v>0</v>
      </c>
      <c r="E479">
        <f t="shared" si="693"/>
        <v>0</v>
      </c>
      <c r="F479">
        <f t="shared" si="693"/>
        <v>-0.99999999999997868</v>
      </c>
      <c r="G479">
        <f t="shared" si="693"/>
        <v>-1.9999999999999574</v>
      </c>
      <c r="H479">
        <f t="shared" si="693"/>
        <v>-4.0000000000000036</v>
      </c>
      <c r="I479">
        <f t="shared" si="693"/>
        <v>-4.9999999999999822</v>
      </c>
      <c r="J479">
        <f t="shared" si="693"/>
        <v>-4.0000000000000036</v>
      </c>
      <c r="K479">
        <f t="shared" si="693"/>
        <v>-4.0000000000000036</v>
      </c>
      <c r="L479">
        <f t="shared" si="693"/>
        <v>-4.0000000000000036</v>
      </c>
      <c r="M479">
        <f t="shared" si="693"/>
        <v>-3.0000000000000249</v>
      </c>
      <c r="N479">
        <f t="shared" si="693"/>
        <v>-2.9999999999999361</v>
      </c>
      <c r="O479" s="5">
        <f t="shared" si="689"/>
        <v>1.702564251880628E-2</v>
      </c>
      <c r="P479" s="5">
        <f t="shared" si="689"/>
        <v>2.0434234441172386E-3</v>
      </c>
      <c r="Q479" s="5">
        <f t="shared" si="689"/>
        <v>1.3878101525966958E-2</v>
      </c>
      <c r="R479" s="5">
        <f t="shared" si="689"/>
        <v>4.2712291309460262E-3</v>
      </c>
      <c r="S479" s="5">
        <f t="shared" si="689"/>
        <v>1.906421462929811E-2</v>
      </c>
      <c r="U479" s="4">
        <v>45398</v>
      </c>
      <c r="V479">
        <f t="shared" si="652"/>
        <v>0</v>
      </c>
      <c r="W479">
        <f t="shared" si="653"/>
        <v>0</v>
      </c>
      <c r="X479">
        <f t="shared" si="654"/>
        <v>0</v>
      </c>
      <c r="Y479">
        <f t="shared" si="655"/>
        <v>0</v>
      </c>
      <c r="Z479">
        <f t="shared" si="656"/>
        <v>-5434.9999999998845</v>
      </c>
      <c r="AA479">
        <f t="shared" si="657"/>
        <v>3999.9999999999145</v>
      </c>
      <c r="AB479">
        <f t="shared" si="658"/>
        <v>-18256.000000000015</v>
      </c>
      <c r="AC479">
        <f t="shared" si="659"/>
        <v>11114.99999999996</v>
      </c>
      <c r="AD479">
        <f t="shared" si="660"/>
        <v>402176.00000000035</v>
      </c>
      <c r="AE479">
        <f t="shared" si="661"/>
        <v>-4.0000000000000036</v>
      </c>
      <c r="AF479">
        <f t="shared" si="662"/>
        <v>-201292.00000000017</v>
      </c>
      <c r="AG479">
        <f t="shared" si="663"/>
        <v>-75969.000000000626</v>
      </c>
      <c r="AH479">
        <f t="shared" si="664"/>
        <v>-2.9999999999999361</v>
      </c>
      <c r="AI479">
        <f t="shared" si="665"/>
        <v>1.7025642518806279</v>
      </c>
      <c r="AJ479">
        <f t="shared" si="666"/>
        <v>-20434.234441172386</v>
      </c>
      <c r="AK479">
        <f t="shared" si="667"/>
        <v>138781.01525966957</v>
      </c>
      <c r="AL479">
        <f t="shared" si="668"/>
        <v>-106780.72827365066</v>
      </c>
      <c r="AM479" s="1">
        <f t="shared" si="669"/>
        <v>-190642.14629298111</v>
      </c>
      <c r="AN479" s="1">
        <f t="shared" si="645"/>
        <v>-62742.391183883155</v>
      </c>
      <c r="AO479">
        <f t="shared" si="646"/>
        <v>-0.65639405082721325</v>
      </c>
      <c r="AP479">
        <f t="shared" si="647"/>
        <v>2.31654210616579</v>
      </c>
    </row>
    <row r="480" spans="1:42" x14ac:dyDescent="0.25">
      <c r="A480" s="4">
        <v>45397</v>
      </c>
      <c r="B480">
        <f t="shared" ref="B480:N480" si="694">(B1030-B1029)*100</f>
        <v>-0.99999999999997868</v>
      </c>
      <c r="C480">
        <f t="shared" si="694"/>
        <v>-0.99999999999997868</v>
      </c>
      <c r="D480">
        <f t="shared" si="694"/>
        <v>0</v>
      </c>
      <c r="E480">
        <f t="shared" si="694"/>
        <v>-2.0000000000000462</v>
      </c>
      <c r="F480">
        <f t="shared" si="694"/>
        <v>-1.9999999999999574</v>
      </c>
      <c r="G480">
        <f t="shared" si="694"/>
        <v>-3.0000000000000249</v>
      </c>
      <c r="H480">
        <f t="shared" si="694"/>
        <v>-4.9999999999999822</v>
      </c>
      <c r="I480">
        <f t="shared" si="694"/>
        <v>-8.0000000000000071</v>
      </c>
      <c r="J480">
        <f t="shared" si="694"/>
        <v>-11.000000000000032</v>
      </c>
      <c r="K480">
        <f t="shared" si="694"/>
        <v>-12.000000000000011</v>
      </c>
      <c r="L480">
        <f t="shared" si="694"/>
        <v>-12.999999999999989</v>
      </c>
      <c r="M480">
        <f t="shared" si="694"/>
        <v>-11.999999999999922</v>
      </c>
      <c r="N480">
        <f t="shared" si="694"/>
        <v>-12.999999999999989</v>
      </c>
      <c r="O480" s="5">
        <f t="shared" si="689"/>
        <v>7.4100276986210313E-3</v>
      </c>
      <c r="P480" s="5">
        <f t="shared" si="689"/>
        <v>1.4193839841275559E-2</v>
      </c>
      <c r="Q480" s="5">
        <f t="shared" si="689"/>
        <v>7.8684016656353547E-3</v>
      </c>
      <c r="R480" s="5">
        <f t="shared" si="689"/>
        <v>9.1373922494381137E-3</v>
      </c>
      <c r="S480" s="5">
        <f t="shared" si="689"/>
        <v>4.2002392550255082E-3</v>
      </c>
      <c r="U480" s="4">
        <v>45397</v>
      </c>
      <c r="V480">
        <f t="shared" si="652"/>
        <v>3999.9999999999145</v>
      </c>
      <c r="W480">
        <f t="shared" si="653"/>
        <v>2222.9999999999527</v>
      </c>
      <c r="X480">
        <f t="shared" si="654"/>
        <v>0</v>
      </c>
      <c r="Y480">
        <f t="shared" si="655"/>
        <v>6890.0000000001592</v>
      </c>
      <c r="Z480">
        <f t="shared" si="656"/>
        <v>-10869.999999999769</v>
      </c>
      <c r="AA480">
        <f t="shared" si="657"/>
        <v>6000.00000000005</v>
      </c>
      <c r="AB480">
        <f t="shared" si="658"/>
        <v>-22819.99999999992</v>
      </c>
      <c r="AC480">
        <f t="shared" si="659"/>
        <v>17784.000000000015</v>
      </c>
      <c r="AD480">
        <f t="shared" si="660"/>
        <v>1105984.0000000033</v>
      </c>
      <c r="AE480">
        <f t="shared" si="661"/>
        <v>-12.000000000000011</v>
      </c>
      <c r="AF480">
        <f t="shared" si="662"/>
        <v>-654198.99999999942</v>
      </c>
      <c r="AG480">
        <f t="shared" si="663"/>
        <v>-303875.99999999802</v>
      </c>
      <c r="AH480">
        <f t="shared" si="664"/>
        <v>-12.999999999999989</v>
      </c>
      <c r="AI480">
        <f t="shared" si="665"/>
        <v>0.74100276986210312</v>
      </c>
      <c r="AJ480">
        <f t="shared" si="666"/>
        <v>-141938.3984127556</v>
      </c>
      <c r="AK480">
        <f t="shared" si="667"/>
        <v>78684.016656353546</v>
      </c>
      <c r="AL480">
        <f t="shared" si="668"/>
        <v>-228434.80623595286</v>
      </c>
      <c r="AM480" s="1">
        <f t="shared" si="669"/>
        <v>-42002.392550255085</v>
      </c>
      <c r="AN480" s="1">
        <f t="shared" si="645"/>
        <v>-182599.83953983386</v>
      </c>
      <c r="AO480">
        <f t="shared" si="646"/>
        <v>-0.67389468657312546</v>
      </c>
      <c r="AP480">
        <f t="shared" si="647"/>
        <v>3.0104155400438675</v>
      </c>
    </row>
    <row r="481" spans="1:42" x14ac:dyDescent="0.25">
      <c r="A481" s="4">
        <v>45394</v>
      </c>
      <c r="B481">
        <f t="shared" ref="B481:N481" si="695">(B1031-B1030)*100</f>
        <v>0</v>
      </c>
      <c r="C481">
        <f t="shared" si="695"/>
        <v>0.99999999999997868</v>
      </c>
      <c r="D481">
        <f t="shared" si="695"/>
        <v>0</v>
      </c>
      <c r="E481">
        <f t="shared" si="695"/>
        <v>2.0000000000000462</v>
      </c>
      <c r="F481">
        <f t="shared" si="695"/>
        <v>1.9999999999999574</v>
      </c>
      <c r="G481">
        <f t="shared" si="695"/>
        <v>4.0000000000000036</v>
      </c>
      <c r="H481">
        <f t="shared" si="695"/>
        <v>4.9999999999999822</v>
      </c>
      <c r="I481">
        <f t="shared" si="695"/>
        <v>6.9999999999999396</v>
      </c>
      <c r="J481">
        <f t="shared" si="695"/>
        <v>7.0000000000000284</v>
      </c>
      <c r="K481">
        <f t="shared" si="695"/>
        <v>6.9999999999999396</v>
      </c>
      <c r="L481">
        <f t="shared" si="695"/>
        <v>5.9999999999999609</v>
      </c>
      <c r="M481">
        <f t="shared" si="695"/>
        <v>3.9999999999999147</v>
      </c>
      <c r="N481">
        <f t="shared" si="695"/>
        <v>4.0000000000000036</v>
      </c>
      <c r="O481" s="5">
        <f t="shared" si="689"/>
        <v>1.1731086423929478E-2</v>
      </c>
      <c r="P481" s="5">
        <f t="shared" si="689"/>
        <v>7.0504295479113426E-3</v>
      </c>
      <c r="Q481" s="5">
        <f t="shared" si="689"/>
        <v>3.6848262615415297E-3</v>
      </c>
      <c r="R481" s="5">
        <f t="shared" si="689"/>
        <v>3.7868587314970857E-3</v>
      </c>
      <c r="S481" s="5">
        <f t="shared" si="689"/>
        <v>1.3206399159129668E-2</v>
      </c>
      <c r="U481" s="4">
        <v>45394</v>
      </c>
      <c r="V481">
        <f t="shared" si="652"/>
        <v>0</v>
      </c>
      <c r="W481">
        <f t="shared" si="653"/>
        <v>-2222.9999999999527</v>
      </c>
      <c r="X481">
        <f t="shared" si="654"/>
        <v>0</v>
      </c>
      <c r="Y481">
        <f t="shared" si="655"/>
        <v>-6890.0000000001592</v>
      </c>
      <c r="Z481">
        <f t="shared" si="656"/>
        <v>10869.999999999769</v>
      </c>
      <c r="AA481">
        <f t="shared" si="657"/>
        <v>-8000.0000000000073</v>
      </c>
      <c r="AB481">
        <f t="shared" si="658"/>
        <v>22819.99999999992</v>
      </c>
      <c r="AC481">
        <f t="shared" si="659"/>
        <v>-15560.999999999865</v>
      </c>
      <c r="AD481">
        <f t="shared" si="660"/>
        <v>-703808.00000000291</v>
      </c>
      <c r="AE481">
        <f t="shared" si="661"/>
        <v>6.9999999999999396</v>
      </c>
      <c r="AF481">
        <f t="shared" si="662"/>
        <v>301937.99999999802</v>
      </c>
      <c r="AG481">
        <f t="shared" si="663"/>
        <v>101291.99999999785</v>
      </c>
      <c r="AH481">
        <f t="shared" si="664"/>
        <v>4.0000000000000036</v>
      </c>
      <c r="AI481">
        <f t="shared" si="665"/>
        <v>1.1731086423929478</v>
      </c>
      <c r="AJ481">
        <f t="shared" si="666"/>
        <v>-70504.295479113425</v>
      </c>
      <c r="AK481">
        <f t="shared" si="667"/>
        <v>36848.262615415297</v>
      </c>
      <c r="AL481">
        <f t="shared" si="668"/>
        <v>-94671.468287427138</v>
      </c>
      <c r="AM481" s="1">
        <f t="shared" si="669"/>
        <v>-132063.99159129668</v>
      </c>
      <c r="AN481" s="1">
        <f t="shared" si="645"/>
        <v>-559941.31963378692</v>
      </c>
      <c r="AO481">
        <f t="shared" si="646"/>
        <v>-3.7801150633268947</v>
      </c>
      <c r="AP481">
        <f t="shared" si="647"/>
        <v>3.0080617512742949</v>
      </c>
    </row>
    <row r="482" spans="1:42" x14ac:dyDescent="0.25">
      <c r="A482" s="4">
        <v>45393</v>
      </c>
      <c r="B482">
        <f t="shared" ref="B482:N482" si="696">(B1032-B1031)*100</f>
        <v>0.99999999999997868</v>
      </c>
      <c r="C482">
        <f t="shared" si="696"/>
        <v>-0.99999999999997868</v>
      </c>
      <c r="D482">
        <f t="shared" si="696"/>
        <v>0</v>
      </c>
      <c r="E482">
        <f t="shared" si="696"/>
        <v>0</v>
      </c>
      <c r="F482">
        <f t="shared" si="696"/>
        <v>2.0000000000000462</v>
      </c>
      <c r="G482">
        <f t="shared" si="696"/>
        <v>2.0000000000000462</v>
      </c>
      <c r="H482">
        <f t="shared" si="696"/>
        <v>4.0000000000000036</v>
      </c>
      <c r="I482">
        <f t="shared" si="696"/>
        <v>0</v>
      </c>
      <c r="J482">
        <f t="shared" si="696"/>
        <v>0</v>
      </c>
      <c r="K482">
        <f t="shared" si="696"/>
        <v>-0.99999999999997868</v>
      </c>
      <c r="L482">
        <f t="shared" si="696"/>
        <v>-0.99999999999997868</v>
      </c>
      <c r="M482">
        <f t="shared" si="696"/>
        <v>-0.99999999999997868</v>
      </c>
      <c r="N482">
        <f t="shared" si="696"/>
        <v>-1.0000000000000675</v>
      </c>
      <c r="O482" s="5">
        <f t="shared" si="689"/>
        <v>2.1890693367955885E-3</v>
      </c>
      <c r="P482" s="5">
        <f t="shared" si="689"/>
        <v>4.7621693293429966E-3</v>
      </c>
      <c r="Q482" s="5">
        <f t="shared" si="689"/>
        <v>1.3621311696223472E-2</v>
      </c>
      <c r="R482" s="5">
        <f t="shared" si="689"/>
        <v>-6.483004878078266E-3</v>
      </c>
      <c r="S482" s="5">
        <f t="shared" si="689"/>
        <v>-3.0416400757654437E-4</v>
      </c>
      <c r="U482" s="4">
        <v>45393</v>
      </c>
      <c r="V482">
        <f t="shared" si="652"/>
        <v>-3999.9999999999145</v>
      </c>
      <c r="W482">
        <f t="shared" si="653"/>
        <v>2222.9999999999527</v>
      </c>
      <c r="X482">
        <f t="shared" si="654"/>
        <v>0</v>
      </c>
      <c r="Y482">
        <f t="shared" si="655"/>
        <v>0</v>
      </c>
      <c r="Z482">
        <f t="shared" si="656"/>
        <v>10870.000000000251</v>
      </c>
      <c r="AA482">
        <f t="shared" si="657"/>
        <v>-4000.0000000000923</v>
      </c>
      <c r="AB482">
        <f t="shared" si="658"/>
        <v>18256.000000000015</v>
      </c>
      <c r="AC482">
        <f t="shared" si="659"/>
        <v>0</v>
      </c>
      <c r="AD482">
        <f t="shared" si="660"/>
        <v>0</v>
      </c>
      <c r="AE482">
        <f t="shared" si="661"/>
        <v>-0.99999999999997868</v>
      </c>
      <c r="AF482">
        <f t="shared" si="662"/>
        <v>-50322.99999999893</v>
      </c>
      <c r="AG482">
        <f t="shared" si="663"/>
        <v>-25322.999999999462</v>
      </c>
      <c r="AH482">
        <f t="shared" si="664"/>
        <v>-1.0000000000000675</v>
      </c>
      <c r="AI482">
        <f t="shared" si="665"/>
        <v>0.21890693367955885</v>
      </c>
      <c r="AJ482">
        <f t="shared" si="666"/>
        <v>-47621.693293429969</v>
      </c>
      <c r="AK482">
        <f t="shared" si="667"/>
        <v>136213.11696223472</v>
      </c>
      <c r="AL482">
        <f t="shared" si="668"/>
        <v>162075.12195195665</v>
      </c>
      <c r="AM482" s="1">
        <f t="shared" si="669"/>
        <v>3041.6400757654437</v>
      </c>
      <c r="AN482" s="1">
        <f t="shared" si="645"/>
        <v>201409.40460346235</v>
      </c>
      <c r="AO482">
        <f t="shared" si="646"/>
        <v>-0.70048859051854206</v>
      </c>
      <c r="AP482">
        <f t="shared" si="647"/>
        <v>2.9762284609157348</v>
      </c>
    </row>
    <row r="483" spans="1:42" x14ac:dyDescent="0.25">
      <c r="A483" s="4">
        <v>45392</v>
      </c>
      <c r="B483">
        <f t="shared" ref="B483:N483" si="697">(B1033-B1032)*100</f>
        <v>-0.99999999999997868</v>
      </c>
      <c r="C483">
        <f t="shared" si="697"/>
        <v>-0.99999999999997868</v>
      </c>
      <c r="D483">
        <f t="shared" si="697"/>
        <v>-2.0000000000000462</v>
      </c>
      <c r="E483">
        <f t="shared" si="697"/>
        <v>-3.0000000000000249</v>
      </c>
      <c r="F483">
        <f t="shared" si="697"/>
        <v>-6.0000000000000497</v>
      </c>
      <c r="G483">
        <f t="shared" si="697"/>
        <v>-16.000000000000014</v>
      </c>
      <c r="H483">
        <f t="shared" si="697"/>
        <v>-22.999999999999954</v>
      </c>
      <c r="I483">
        <f t="shared" si="697"/>
        <v>-25</v>
      </c>
      <c r="J483">
        <f t="shared" si="697"/>
        <v>-24.000000000000021</v>
      </c>
      <c r="K483">
        <f t="shared" si="697"/>
        <v>-20.999999999999996</v>
      </c>
      <c r="L483">
        <f t="shared" si="697"/>
        <v>-18.99999999999995</v>
      </c>
      <c r="M483">
        <f t="shared" si="697"/>
        <v>-16.000000000000014</v>
      </c>
      <c r="N483">
        <f t="shared" si="697"/>
        <v>-13.999999999999968</v>
      </c>
      <c r="O483" s="5">
        <f t="shared" si="689"/>
        <v>1.1397152992256195E-2</v>
      </c>
      <c r="P483" s="5">
        <f t="shared" si="689"/>
        <v>8.9148623071721861E-3</v>
      </c>
      <c r="Q483" s="5">
        <f t="shared" si="689"/>
        <v>-6.4642151211677223E-3</v>
      </c>
      <c r="R483" s="5">
        <f t="shared" si="689"/>
        <v>6.483004878078312E-3</v>
      </c>
      <c r="S483" s="5">
        <f t="shared" si="689"/>
        <v>2.0762369740374587E-3</v>
      </c>
      <c r="U483" s="4">
        <v>45392</v>
      </c>
      <c r="V483">
        <f t="shared" si="652"/>
        <v>3999.9999999999145</v>
      </c>
      <c r="W483">
        <f t="shared" si="653"/>
        <v>2222.9999999999527</v>
      </c>
      <c r="X483">
        <f t="shared" si="654"/>
        <v>-9180.0000000002128</v>
      </c>
      <c r="Y483">
        <f t="shared" si="655"/>
        <v>10335.000000000085</v>
      </c>
      <c r="Z483">
        <f t="shared" si="656"/>
        <v>-32610.000000000269</v>
      </c>
      <c r="AA483">
        <f t="shared" si="657"/>
        <v>32000.000000000029</v>
      </c>
      <c r="AB483">
        <f t="shared" si="658"/>
        <v>-104971.9999999998</v>
      </c>
      <c r="AC483">
        <f t="shared" si="659"/>
        <v>55575</v>
      </c>
      <c r="AD483">
        <f t="shared" si="660"/>
        <v>2413056.0000000023</v>
      </c>
      <c r="AE483">
        <f t="shared" si="661"/>
        <v>-20.999999999999996</v>
      </c>
      <c r="AF483">
        <f t="shared" si="662"/>
        <v>-956136.99999999744</v>
      </c>
      <c r="AG483">
        <f t="shared" si="663"/>
        <v>-405168.00000000035</v>
      </c>
      <c r="AH483">
        <f t="shared" si="664"/>
        <v>-13.999999999999968</v>
      </c>
      <c r="AI483">
        <f t="shared" si="665"/>
        <v>1.1397152992256194</v>
      </c>
      <c r="AJ483">
        <f t="shared" si="666"/>
        <v>-89148.623071721857</v>
      </c>
      <c r="AK483">
        <f t="shared" si="667"/>
        <v>-64642.151211677221</v>
      </c>
      <c r="AL483">
        <f t="shared" si="668"/>
        <v>-162075.12195195779</v>
      </c>
      <c r="AM483" s="1">
        <f t="shared" si="669"/>
        <v>-20762.369740374586</v>
      </c>
      <c r="AN483" s="1">
        <f t="shared" si="645"/>
        <v>672459.87373957178</v>
      </c>
      <c r="AO483">
        <f t="shared" si="646"/>
        <v>-3.4119642437508366</v>
      </c>
      <c r="AP483">
        <f t="shared" si="647"/>
        <v>3.0319028921571642</v>
      </c>
    </row>
    <row r="484" spans="1:42" x14ac:dyDescent="0.25">
      <c r="A484" s="4">
        <v>45391</v>
      </c>
      <c r="B484">
        <f t="shared" ref="B484:N484" si="698">(B1034-B1033)*100</f>
        <v>0</v>
      </c>
      <c r="C484">
        <f t="shared" si="698"/>
        <v>0</v>
      </c>
      <c r="D484">
        <f t="shared" si="698"/>
        <v>0</v>
      </c>
      <c r="E484">
        <f t="shared" si="698"/>
        <v>0</v>
      </c>
      <c r="F484">
        <f t="shared" si="698"/>
        <v>0.99999999999997868</v>
      </c>
      <c r="G484">
        <f t="shared" si="698"/>
        <v>4.0000000000000036</v>
      </c>
      <c r="H484">
        <f t="shared" si="698"/>
        <v>4.0000000000000036</v>
      </c>
      <c r="I484">
        <f t="shared" si="698"/>
        <v>8.0000000000000071</v>
      </c>
      <c r="J484">
        <f t="shared" si="698"/>
        <v>5.9999999999999609</v>
      </c>
      <c r="K484">
        <f t="shared" si="698"/>
        <v>4.9999999999999822</v>
      </c>
      <c r="L484">
        <f t="shared" si="698"/>
        <v>5.9999999999999609</v>
      </c>
      <c r="M484">
        <f t="shared" si="698"/>
        <v>5.0000000000000711</v>
      </c>
      <c r="N484">
        <f t="shared" si="698"/>
        <v>4.9999999999999822</v>
      </c>
      <c r="O484" s="5">
        <f t="shared" si="689"/>
        <v>-6.7864333299732186E-3</v>
      </c>
      <c r="P484" s="5">
        <f t="shared" si="689"/>
        <v>2.231901196073196E-3</v>
      </c>
      <c r="Q484" s="5">
        <f t="shared" si="689"/>
        <v>-2.3316797067616532E-3</v>
      </c>
      <c r="R484" s="5">
        <f t="shared" si="689"/>
        <v>5.4215235808841445E-4</v>
      </c>
      <c r="S484" s="5">
        <f t="shared" si="689"/>
        <v>4.2817462349881673E-3</v>
      </c>
      <c r="U484" s="4">
        <v>45391</v>
      </c>
      <c r="V484">
        <f t="shared" si="652"/>
        <v>0</v>
      </c>
      <c r="W484">
        <f t="shared" si="653"/>
        <v>0</v>
      </c>
      <c r="X484">
        <f t="shared" si="654"/>
        <v>0</v>
      </c>
      <c r="Y484">
        <f t="shared" si="655"/>
        <v>0</v>
      </c>
      <c r="Z484">
        <f t="shared" si="656"/>
        <v>5434.9999999998845</v>
      </c>
      <c r="AA484">
        <f t="shared" si="657"/>
        <v>-8000.0000000000073</v>
      </c>
      <c r="AB484">
        <f t="shared" si="658"/>
        <v>18256.000000000015</v>
      </c>
      <c r="AC484">
        <f t="shared" si="659"/>
        <v>-17784.000000000015</v>
      </c>
      <c r="AD484">
        <f t="shared" si="660"/>
        <v>-603263.99999999604</v>
      </c>
      <c r="AE484">
        <f t="shared" si="661"/>
        <v>4.9999999999999822</v>
      </c>
      <c r="AF484">
        <f t="shared" si="662"/>
        <v>301937.99999999802</v>
      </c>
      <c r="AG484">
        <f t="shared" si="663"/>
        <v>126615.0000000018</v>
      </c>
      <c r="AH484">
        <f t="shared" si="664"/>
        <v>4.9999999999999822</v>
      </c>
      <c r="AI484">
        <f t="shared" si="665"/>
        <v>-0.67864333299732182</v>
      </c>
      <c r="AJ484">
        <f t="shared" si="666"/>
        <v>-22319.011960731961</v>
      </c>
      <c r="AK484">
        <f t="shared" si="667"/>
        <v>-23316.797067616531</v>
      </c>
      <c r="AL484">
        <f t="shared" si="668"/>
        <v>-13553.808952210362</v>
      </c>
      <c r="AM484" s="1">
        <f t="shared" si="669"/>
        <v>-42817.462349881673</v>
      </c>
      <c r="AN484" s="1">
        <f t="shared" si="645"/>
        <v>-278801.75897376984</v>
      </c>
      <c r="AO484">
        <f t="shared" si="646"/>
        <v>-1.7048545483805693</v>
      </c>
      <c r="AP484">
        <f t="shared" si="647"/>
        <v>2.9968561232003306</v>
      </c>
    </row>
    <row r="485" spans="1:42" x14ac:dyDescent="0.25">
      <c r="A485" s="4">
        <v>45390</v>
      </c>
      <c r="B485">
        <f t="shared" ref="B485:N485" si="699">(B1035-B1034)*100</f>
        <v>-1.0000000000000675</v>
      </c>
      <c r="C485">
        <f t="shared" si="699"/>
        <v>0.99999999999997868</v>
      </c>
      <c r="D485">
        <f t="shared" si="699"/>
        <v>0</v>
      </c>
      <c r="E485">
        <f t="shared" si="699"/>
        <v>0</v>
      </c>
      <c r="F485">
        <f t="shared" si="699"/>
        <v>-0.99999999999997868</v>
      </c>
      <c r="G485">
        <f t="shared" si="699"/>
        <v>-2.0000000000000462</v>
      </c>
      <c r="H485">
        <f t="shared" si="699"/>
        <v>-4.9999999999999822</v>
      </c>
      <c r="I485">
        <f t="shared" si="699"/>
        <v>-5.9999999999999609</v>
      </c>
      <c r="J485">
        <f t="shared" si="699"/>
        <v>-4.9999999999999822</v>
      </c>
      <c r="K485">
        <f t="shared" si="699"/>
        <v>-4.0000000000000036</v>
      </c>
      <c r="L485">
        <f t="shared" si="699"/>
        <v>-3.0000000000000249</v>
      </c>
      <c r="M485">
        <f t="shared" si="699"/>
        <v>0</v>
      </c>
      <c r="N485">
        <f t="shared" si="699"/>
        <v>-0.99999999999997868</v>
      </c>
      <c r="O485" s="5">
        <f t="shared" ref="O485:S494" si="700">LN(O1034/O1035)</f>
        <v>-1.9616591221454272E-3</v>
      </c>
      <c r="P485" s="5">
        <f t="shared" si="700"/>
        <v>6.2646331664080836E-4</v>
      </c>
      <c r="Q485" s="5">
        <f t="shared" si="700"/>
        <v>6.5551819599531658E-3</v>
      </c>
      <c r="R485" s="5">
        <f t="shared" si="700"/>
        <v>3.2591012009067031E-3</v>
      </c>
      <c r="S485" s="5">
        <f t="shared" si="700"/>
        <v>-7.5129634292094398E-3</v>
      </c>
      <c r="U485" s="4">
        <v>45390</v>
      </c>
      <c r="V485">
        <f t="shared" si="652"/>
        <v>4000.0000000002701</v>
      </c>
      <c r="W485">
        <f t="shared" si="653"/>
        <v>-2222.9999999999527</v>
      </c>
      <c r="X485">
        <f t="shared" si="654"/>
        <v>0</v>
      </c>
      <c r="Y485">
        <f t="shared" si="655"/>
        <v>0</v>
      </c>
      <c r="Z485">
        <f t="shared" si="656"/>
        <v>-5434.9999999998845</v>
      </c>
      <c r="AA485">
        <f t="shared" si="657"/>
        <v>4000.0000000000923</v>
      </c>
      <c r="AB485">
        <f t="shared" si="658"/>
        <v>-22819.99999999992</v>
      </c>
      <c r="AC485">
        <f t="shared" si="659"/>
        <v>13337.999999999913</v>
      </c>
      <c r="AD485">
        <f t="shared" si="660"/>
        <v>502719.9999999982</v>
      </c>
      <c r="AE485">
        <f t="shared" si="661"/>
        <v>-4.0000000000000036</v>
      </c>
      <c r="AF485">
        <f t="shared" si="662"/>
        <v>-150969.00000000125</v>
      </c>
      <c r="AG485">
        <f t="shared" si="663"/>
        <v>0</v>
      </c>
      <c r="AH485">
        <f t="shared" si="664"/>
        <v>-0.99999999999997868</v>
      </c>
      <c r="AI485">
        <f t="shared" si="665"/>
        <v>-0.19616591221454271</v>
      </c>
      <c r="AJ485">
        <f t="shared" si="666"/>
        <v>-6264.6331664080835</v>
      </c>
      <c r="AK485">
        <f t="shared" si="667"/>
        <v>65551.819599531664</v>
      </c>
      <c r="AL485">
        <f t="shared" si="668"/>
        <v>-81477.530022667575</v>
      </c>
      <c r="AM485" s="1">
        <f t="shared" si="669"/>
        <v>75129.634292094401</v>
      </c>
      <c r="AN485" s="1">
        <f t="shared" si="645"/>
        <v>395545.09453663556</v>
      </c>
      <c r="AO485">
        <f t="shared" si="646"/>
        <v>2.2695542649374763</v>
      </c>
      <c r="AP485">
        <f t="shared" si="647"/>
        <v>3.0003770991918377</v>
      </c>
    </row>
    <row r="486" spans="1:42" x14ac:dyDescent="0.25">
      <c r="A486" s="4">
        <v>45387</v>
      </c>
      <c r="B486">
        <f t="shared" ref="B486:N486" si="701">(B1036-B1035)*100</f>
        <v>0</v>
      </c>
      <c r="C486">
        <f t="shared" si="701"/>
        <v>-0.99999999999997868</v>
      </c>
      <c r="D486">
        <f t="shared" si="701"/>
        <v>-1.9999999999999574</v>
      </c>
      <c r="E486">
        <f t="shared" si="701"/>
        <v>-0.99999999999997868</v>
      </c>
      <c r="F486">
        <f t="shared" si="701"/>
        <v>-1.9999999999999574</v>
      </c>
      <c r="G486">
        <f t="shared" si="701"/>
        <v>-4.9999999999999822</v>
      </c>
      <c r="H486">
        <f t="shared" si="701"/>
        <v>-8.0000000000000071</v>
      </c>
      <c r="I486">
        <f t="shared" si="701"/>
        <v>-8.0000000000000071</v>
      </c>
      <c r="J486">
        <f t="shared" si="701"/>
        <v>-8.0000000000000071</v>
      </c>
      <c r="K486">
        <f t="shared" si="701"/>
        <v>-8.0000000000000071</v>
      </c>
      <c r="L486">
        <f t="shared" si="701"/>
        <v>-8.0000000000000071</v>
      </c>
      <c r="M486">
        <f t="shared" si="701"/>
        <v>-8.0000000000000071</v>
      </c>
      <c r="N486">
        <f t="shared" si="701"/>
        <v>-7.0000000000000284</v>
      </c>
      <c r="O486" s="5">
        <f t="shared" si="700"/>
        <v>5.6178250198732965E-3</v>
      </c>
      <c r="P486" s="5">
        <f t="shared" si="700"/>
        <v>-7.0341690968186781E-4</v>
      </c>
      <c r="Q486" s="5">
        <f t="shared" si="700"/>
        <v>-2.1107550708506388E-2</v>
      </c>
      <c r="R486" s="5">
        <f t="shared" si="700"/>
        <v>-2.4453211478592542E-3</v>
      </c>
      <c r="S486" s="5">
        <f t="shared" si="700"/>
        <v>-8.7827040721409587E-3</v>
      </c>
      <c r="U486" s="4">
        <v>45387</v>
      </c>
      <c r="V486">
        <f t="shared" si="652"/>
        <v>0</v>
      </c>
      <c r="W486">
        <f t="shared" si="653"/>
        <v>2222.9999999999527</v>
      </c>
      <c r="X486">
        <f t="shared" si="654"/>
        <v>-9179.9999999998035</v>
      </c>
      <c r="Y486">
        <f t="shared" si="655"/>
        <v>3444.9999999999268</v>
      </c>
      <c r="Z486">
        <f t="shared" si="656"/>
        <v>-10869.999999999769</v>
      </c>
      <c r="AA486">
        <f t="shared" si="657"/>
        <v>9999.9999999999636</v>
      </c>
      <c r="AB486">
        <f t="shared" si="658"/>
        <v>-36512.000000000029</v>
      </c>
      <c r="AC486">
        <f t="shared" si="659"/>
        <v>17784.000000000015</v>
      </c>
      <c r="AD486">
        <f t="shared" si="660"/>
        <v>804352.0000000007</v>
      </c>
      <c r="AE486">
        <f t="shared" si="661"/>
        <v>-8.0000000000000071</v>
      </c>
      <c r="AF486">
        <f t="shared" si="662"/>
        <v>-402584.00000000035</v>
      </c>
      <c r="AG486">
        <f t="shared" si="663"/>
        <v>-202584.00000000017</v>
      </c>
      <c r="AH486">
        <f t="shared" si="664"/>
        <v>-7.0000000000000284</v>
      </c>
      <c r="AI486">
        <f t="shared" si="665"/>
        <v>0.5617825019873296</v>
      </c>
      <c r="AJ486">
        <f t="shared" si="666"/>
        <v>7034.1690968186786</v>
      </c>
      <c r="AK486">
        <f t="shared" si="667"/>
        <v>-211075.50708506387</v>
      </c>
      <c r="AL486">
        <f t="shared" si="668"/>
        <v>61133.028696481357</v>
      </c>
      <c r="AM486" s="1">
        <f t="shared" si="669"/>
        <v>87827.04072140959</v>
      </c>
      <c r="AN486" s="1">
        <f t="shared" si="645"/>
        <v>120978.29321214816</v>
      </c>
      <c r="AO486">
        <f t="shared" si="646"/>
        <v>-2.1150544717423285</v>
      </c>
      <c r="AP486">
        <f t="shared" si="647"/>
        <v>2.8871795315097222</v>
      </c>
    </row>
    <row r="487" spans="1:42" x14ac:dyDescent="0.25">
      <c r="A487" s="4">
        <v>45386</v>
      </c>
      <c r="B487">
        <f t="shared" ref="B487:N487" si="702">(B1037-B1036)*100</f>
        <v>0</v>
      </c>
      <c r="C487">
        <f t="shared" si="702"/>
        <v>-4.9999999999999822</v>
      </c>
      <c r="D487">
        <f t="shared" si="702"/>
        <v>0.99999999999997868</v>
      </c>
      <c r="E487">
        <f t="shared" si="702"/>
        <v>0</v>
      </c>
      <c r="F487">
        <f t="shared" si="702"/>
        <v>0.99999999999997868</v>
      </c>
      <c r="G487">
        <f t="shared" si="702"/>
        <v>3.0000000000000249</v>
      </c>
      <c r="H487">
        <f t="shared" si="702"/>
        <v>2.9999999999999361</v>
      </c>
      <c r="I487">
        <f t="shared" si="702"/>
        <v>2.0000000000000462</v>
      </c>
      <c r="J487">
        <f t="shared" si="702"/>
        <v>4.0000000000000036</v>
      </c>
      <c r="K487">
        <f t="shared" si="702"/>
        <v>5.0000000000000711</v>
      </c>
      <c r="L487">
        <f t="shared" si="702"/>
        <v>5.0000000000000711</v>
      </c>
      <c r="M487">
        <f t="shared" si="702"/>
        <v>4.0000000000000036</v>
      </c>
      <c r="N487">
        <f t="shared" si="702"/>
        <v>4.0000000000000036</v>
      </c>
      <c r="O487" s="5">
        <f t="shared" si="700"/>
        <v>-9.6479377465305393E-3</v>
      </c>
      <c r="P487" s="5">
        <f t="shared" si="700"/>
        <v>-1.1699433730784104E-2</v>
      </c>
      <c r="Q487" s="5">
        <f t="shared" si="700"/>
        <v>-1.7634889962360928E-2</v>
      </c>
      <c r="R487" s="5">
        <f t="shared" si="700"/>
        <v>-5.4259361070744551E-4</v>
      </c>
      <c r="S487" s="5">
        <f t="shared" si="700"/>
        <v>3.7830724169872934E-3</v>
      </c>
      <c r="U487" s="4">
        <v>45386</v>
      </c>
      <c r="V487">
        <f t="shared" si="652"/>
        <v>0</v>
      </c>
      <c r="W487">
        <f t="shared" si="653"/>
        <v>11114.99999999996</v>
      </c>
      <c r="X487">
        <f t="shared" si="654"/>
        <v>4589.9999999999018</v>
      </c>
      <c r="Y487">
        <f t="shared" si="655"/>
        <v>0</v>
      </c>
      <c r="Z487">
        <f t="shared" si="656"/>
        <v>5434.9999999998845</v>
      </c>
      <c r="AA487">
        <f t="shared" si="657"/>
        <v>-6000.00000000005</v>
      </c>
      <c r="AB487">
        <f t="shared" si="658"/>
        <v>13691.999999999709</v>
      </c>
      <c r="AC487">
        <f t="shared" si="659"/>
        <v>-4446.0000000001028</v>
      </c>
      <c r="AD487">
        <f t="shared" si="660"/>
        <v>-402176.00000000035</v>
      </c>
      <c r="AE487">
        <f t="shared" si="661"/>
        <v>5.0000000000000711</v>
      </c>
      <c r="AF487">
        <f t="shared" si="662"/>
        <v>251615.00000000358</v>
      </c>
      <c r="AG487">
        <f t="shared" si="663"/>
        <v>101292.00000000009</v>
      </c>
      <c r="AH487">
        <f t="shared" si="664"/>
        <v>4.0000000000000036</v>
      </c>
      <c r="AI487">
        <f t="shared" si="665"/>
        <v>-0.96479377465305394</v>
      </c>
      <c r="AJ487">
        <f t="shared" si="666"/>
        <v>116994.33730784104</v>
      </c>
      <c r="AK487">
        <f t="shared" si="667"/>
        <v>-176348.89962360926</v>
      </c>
      <c r="AL487">
        <f t="shared" si="668"/>
        <v>13564.840267686137</v>
      </c>
      <c r="AM487" s="1">
        <f t="shared" si="669"/>
        <v>-37830.724169872934</v>
      </c>
      <c r="AN487" s="1">
        <f t="shared" si="645"/>
        <v>-108495.41101172706</v>
      </c>
      <c r="AO487">
        <f t="shared" si="646"/>
        <v>-4.4149687708744016</v>
      </c>
      <c r="AP487">
        <f t="shared" si="647"/>
        <v>2.9792631313501219</v>
      </c>
    </row>
    <row r="488" spans="1:42" x14ac:dyDescent="0.25">
      <c r="A488" s="4">
        <v>45385</v>
      </c>
      <c r="B488">
        <f t="shared" ref="B488:N488" si="703">(B1038-B1037)*100</f>
        <v>2.0000000000000462</v>
      </c>
      <c r="C488">
        <f t="shared" si="703"/>
        <v>0.99999999999997868</v>
      </c>
      <c r="D488">
        <f t="shared" si="703"/>
        <v>0</v>
      </c>
      <c r="E488">
        <f t="shared" si="703"/>
        <v>0</v>
      </c>
      <c r="F488">
        <f t="shared" si="703"/>
        <v>0.99999999999997868</v>
      </c>
      <c r="G488">
        <f t="shared" si="703"/>
        <v>1.9999999999999574</v>
      </c>
      <c r="H488">
        <f t="shared" si="703"/>
        <v>2.0000000000000462</v>
      </c>
      <c r="I488">
        <f t="shared" si="703"/>
        <v>2.9999999999999361</v>
      </c>
      <c r="J488">
        <f t="shared" si="703"/>
        <v>0.99999999999997868</v>
      </c>
      <c r="K488">
        <f t="shared" si="703"/>
        <v>0.99999999999997868</v>
      </c>
      <c r="L488">
        <f t="shared" si="703"/>
        <v>0</v>
      </c>
      <c r="M488">
        <f t="shared" si="703"/>
        <v>0</v>
      </c>
      <c r="N488">
        <f t="shared" si="703"/>
        <v>0</v>
      </c>
      <c r="O488" s="5">
        <f t="shared" si="700"/>
        <v>4.9113925206972393E-3</v>
      </c>
      <c r="P488" s="5">
        <f t="shared" si="700"/>
        <v>-3.9261927152811332E-3</v>
      </c>
      <c r="Q488" s="5">
        <f t="shared" si="700"/>
        <v>-2.6801880964698191E-3</v>
      </c>
      <c r="R488" s="5">
        <f t="shared" si="700"/>
        <v>-4.6001975319255864E-3</v>
      </c>
      <c r="S488" s="5">
        <f t="shared" si="700"/>
        <v>-1.1177067032763378E-3</v>
      </c>
      <c r="U488" s="4">
        <v>45385</v>
      </c>
      <c r="V488">
        <f t="shared" si="652"/>
        <v>-8000.0000000001846</v>
      </c>
      <c r="W488">
        <f t="shared" si="653"/>
        <v>-2222.9999999999527</v>
      </c>
      <c r="X488">
        <f t="shared" si="654"/>
        <v>0</v>
      </c>
      <c r="Y488">
        <f t="shared" si="655"/>
        <v>0</v>
      </c>
      <c r="Z488">
        <f t="shared" si="656"/>
        <v>5434.9999999998845</v>
      </c>
      <c r="AA488">
        <f t="shared" si="657"/>
        <v>-3999.9999999999145</v>
      </c>
      <c r="AB488">
        <f t="shared" si="658"/>
        <v>9128.000000000211</v>
      </c>
      <c r="AC488">
        <f t="shared" si="659"/>
        <v>-6668.9999999998581</v>
      </c>
      <c r="AD488">
        <f t="shared" si="660"/>
        <v>-100543.99999999786</v>
      </c>
      <c r="AE488">
        <f t="shared" si="661"/>
        <v>0.99999999999997868</v>
      </c>
      <c r="AF488">
        <f t="shared" si="662"/>
        <v>0</v>
      </c>
      <c r="AG488">
        <f t="shared" si="663"/>
        <v>0</v>
      </c>
      <c r="AH488">
        <f t="shared" si="664"/>
        <v>0</v>
      </c>
      <c r="AI488">
        <f t="shared" si="665"/>
        <v>0.49113925206972392</v>
      </c>
      <c r="AJ488">
        <f t="shared" si="666"/>
        <v>39261.927152811331</v>
      </c>
      <c r="AK488">
        <f t="shared" si="667"/>
        <v>-26801.88096469819</v>
      </c>
      <c r="AL488">
        <f t="shared" si="668"/>
        <v>115004.93829813966</v>
      </c>
      <c r="AM488" s="1">
        <f t="shared" si="669"/>
        <v>11177.067032763378</v>
      </c>
      <c r="AN488" s="1">
        <f t="shared" si="645"/>
        <v>31770.542658270591</v>
      </c>
      <c r="AO488">
        <f t="shared" si="646"/>
        <v>-0.82586770756778594</v>
      </c>
      <c r="AP488">
        <f t="shared" si="647"/>
        <v>2.9002056513892103</v>
      </c>
    </row>
    <row r="489" spans="1:42" x14ac:dyDescent="0.25">
      <c r="A489" s="4">
        <v>45384</v>
      </c>
      <c r="B489">
        <f t="shared" ref="B489:N489" si="704">(B1039-B1038)*100</f>
        <v>0</v>
      </c>
      <c r="C489">
        <f t="shared" si="704"/>
        <v>1.9999999999999574</v>
      </c>
      <c r="D489">
        <f t="shared" si="704"/>
        <v>2.0000000000000462</v>
      </c>
      <c r="E489">
        <f t="shared" si="704"/>
        <v>0.99999999999997868</v>
      </c>
      <c r="F489">
        <f t="shared" si="704"/>
        <v>2.0000000000000462</v>
      </c>
      <c r="G489">
        <f t="shared" si="704"/>
        <v>0.99999999999997868</v>
      </c>
      <c r="H489">
        <f t="shared" si="704"/>
        <v>1.9999999999999574</v>
      </c>
      <c r="I489">
        <f t="shared" si="704"/>
        <v>0</v>
      </c>
      <c r="J489">
        <f t="shared" si="704"/>
        <v>-0.99999999999997868</v>
      </c>
      <c r="K489">
        <f t="shared" si="704"/>
        <v>-4.0000000000000036</v>
      </c>
      <c r="L489">
        <f t="shared" si="704"/>
        <v>-3.0000000000000249</v>
      </c>
      <c r="M489">
        <f t="shared" si="704"/>
        <v>-3.0000000000000249</v>
      </c>
      <c r="N489">
        <f t="shared" si="704"/>
        <v>-4.0000000000000036</v>
      </c>
      <c r="O489" s="5">
        <f t="shared" si="700"/>
        <v>-1.11879538211685E-3</v>
      </c>
      <c r="P489" s="5">
        <f t="shared" si="700"/>
        <v>-9.696825100075461E-3</v>
      </c>
      <c r="Q489" s="5">
        <f t="shared" si="700"/>
        <v>8.9599354362599815E-4</v>
      </c>
      <c r="R489" s="5">
        <f t="shared" si="700"/>
        <v>-5.6535350475898083E-3</v>
      </c>
      <c r="S489" s="5">
        <f t="shared" si="700"/>
        <v>-4.2299157434134487E-3</v>
      </c>
      <c r="U489" s="4">
        <v>45384</v>
      </c>
      <c r="V489">
        <f t="shared" si="652"/>
        <v>0</v>
      </c>
      <c r="W489">
        <f t="shared" si="653"/>
        <v>-4445.9999999999054</v>
      </c>
      <c r="X489">
        <f t="shared" si="654"/>
        <v>9180.0000000002128</v>
      </c>
      <c r="Y489">
        <f t="shared" si="655"/>
        <v>-3444.9999999999268</v>
      </c>
      <c r="Z489">
        <f t="shared" si="656"/>
        <v>10870.000000000251</v>
      </c>
      <c r="AA489">
        <f t="shared" si="657"/>
        <v>-1999.9999999999573</v>
      </c>
      <c r="AB489">
        <f t="shared" si="658"/>
        <v>9127.9999999998054</v>
      </c>
      <c r="AC489">
        <f t="shared" si="659"/>
        <v>0</v>
      </c>
      <c r="AD489">
        <f t="shared" si="660"/>
        <v>100543.99999999786</v>
      </c>
      <c r="AE489">
        <f t="shared" si="661"/>
        <v>-4.0000000000000036</v>
      </c>
      <c r="AF489">
        <f t="shared" si="662"/>
        <v>-150969.00000000125</v>
      </c>
      <c r="AG489">
        <f t="shared" si="663"/>
        <v>-75969.000000000626</v>
      </c>
      <c r="AH489">
        <f t="shared" si="664"/>
        <v>-4.0000000000000036</v>
      </c>
      <c r="AI489">
        <f t="shared" si="665"/>
        <v>-0.111879538211685</v>
      </c>
      <c r="AJ489">
        <f t="shared" si="666"/>
        <v>96968.251000754608</v>
      </c>
      <c r="AK489">
        <f t="shared" si="667"/>
        <v>8959.9354362599806</v>
      </c>
      <c r="AL489">
        <f t="shared" si="668"/>
        <v>141338.37618974521</v>
      </c>
      <c r="AM489" s="1">
        <f t="shared" si="669"/>
        <v>42299.157434134489</v>
      </c>
      <c r="AN489" s="1">
        <f t="shared" si="645"/>
        <v>182450.60818135252</v>
      </c>
      <c r="AO489">
        <f t="shared" si="646"/>
        <v>-8.8891663870086512E-2</v>
      </c>
      <c r="AP489">
        <f t="shared" si="647"/>
        <v>2.8998215355750401</v>
      </c>
    </row>
    <row r="490" spans="1:42" x14ac:dyDescent="0.25">
      <c r="A490" s="4">
        <v>45383</v>
      </c>
      <c r="B490">
        <f t="shared" ref="B490:N490" si="705">(B1040-B1039)*100</f>
        <v>0</v>
      </c>
      <c r="C490">
        <f t="shared" si="705"/>
        <v>1.0000000000000675</v>
      </c>
      <c r="D490">
        <f t="shared" si="705"/>
        <v>1.9999999999999574</v>
      </c>
      <c r="E490">
        <f t="shared" si="705"/>
        <v>0.99999999999997868</v>
      </c>
      <c r="F490">
        <f t="shared" si="705"/>
        <v>1.9999999999999574</v>
      </c>
      <c r="G490">
        <f t="shared" si="705"/>
        <v>-2.9999999999999361</v>
      </c>
      <c r="H490">
        <f t="shared" si="705"/>
        <v>-12.999999999999989</v>
      </c>
      <c r="I490">
        <f t="shared" si="705"/>
        <v>-10.999999999999943</v>
      </c>
      <c r="J490">
        <f t="shared" si="705"/>
        <v>-12.999999999999989</v>
      </c>
      <c r="K490">
        <f t="shared" si="705"/>
        <v>-12.999999999999989</v>
      </c>
      <c r="L490">
        <f t="shared" si="705"/>
        <v>-12.999999999999989</v>
      </c>
      <c r="M490">
        <f t="shared" si="705"/>
        <v>-12.999999999999989</v>
      </c>
      <c r="N490">
        <f t="shared" si="705"/>
        <v>-12.999999999999989</v>
      </c>
      <c r="O490" s="5">
        <f t="shared" si="700"/>
        <v>1.1344759840115052E-2</v>
      </c>
      <c r="P490" s="5">
        <f t="shared" si="700"/>
        <v>6.9358898835340419E-4</v>
      </c>
      <c r="Q490" s="5">
        <f t="shared" si="700"/>
        <v>-6.8224982153404848E-4</v>
      </c>
      <c r="R490" s="5">
        <f t="shared" si="700"/>
        <v>2.149960516407774E-3</v>
      </c>
      <c r="S490" s="5">
        <f t="shared" si="700"/>
        <v>4.1393456043262999E-3</v>
      </c>
      <c r="U490" s="4">
        <v>45383</v>
      </c>
      <c r="V490">
        <f t="shared" si="652"/>
        <v>0</v>
      </c>
      <c r="W490">
        <f t="shared" si="653"/>
        <v>-2223.0000000001501</v>
      </c>
      <c r="X490">
        <f t="shared" si="654"/>
        <v>9179.9999999998035</v>
      </c>
      <c r="Y490">
        <f t="shared" si="655"/>
        <v>-3444.9999999999268</v>
      </c>
      <c r="Z490">
        <f t="shared" si="656"/>
        <v>10869.999999999769</v>
      </c>
      <c r="AA490">
        <f t="shared" si="657"/>
        <v>5999.9999999998718</v>
      </c>
      <c r="AB490">
        <f t="shared" si="658"/>
        <v>-59331.999999999949</v>
      </c>
      <c r="AC490">
        <f t="shared" si="659"/>
        <v>24452.999999999873</v>
      </c>
      <c r="AD490">
        <f t="shared" si="660"/>
        <v>1307071.9999999988</v>
      </c>
      <c r="AE490">
        <f t="shared" si="661"/>
        <v>-12.999999999999989</v>
      </c>
      <c r="AF490">
        <f t="shared" si="662"/>
        <v>-654198.99999999942</v>
      </c>
      <c r="AG490">
        <f t="shared" si="663"/>
        <v>-329198.99999999971</v>
      </c>
      <c r="AH490">
        <f t="shared" si="664"/>
        <v>-12.999999999999989</v>
      </c>
      <c r="AI490">
        <f t="shared" si="665"/>
        <v>1.1344759840115051</v>
      </c>
      <c r="AJ490">
        <f t="shared" si="666"/>
        <v>-6935.8898835340415</v>
      </c>
      <c r="AK490">
        <f t="shared" si="667"/>
        <v>-6822.4982153404844</v>
      </c>
      <c r="AL490">
        <f t="shared" si="668"/>
        <v>-53749.012910194353</v>
      </c>
      <c r="AM490" s="1">
        <f t="shared" si="669"/>
        <v>-41393.456043263002</v>
      </c>
      <c r="AN490" s="1">
        <f t="shared" si="645"/>
        <v>200251.27742365116</v>
      </c>
      <c r="AO490">
        <f t="shared" si="646"/>
        <v>-0.30645235899312828</v>
      </c>
      <c r="AP490">
        <f t="shared" si="647"/>
        <v>2.9200631065412495</v>
      </c>
    </row>
    <row r="491" spans="1:42" x14ac:dyDescent="0.25">
      <c r="A491" s="4">
        <v>45379</v>
      </c>
      <c r="B491">
        <f t="shared" ref="B491:N491" si="706">(B1041-B1040)*100</f>
        <v>0.99999999999997868</v>
      </c>
      <c r="C491">
        <f t="shared" si="706"/>
        <v>-1.0000000000000675</v>
      </c>
      <c r="D491">
        <f t="shared" si="706"/>
        <v>-0.99999999999997868</v>
      </c>
      <c r="E491">
        <f t="shared" si="706"/>
        <v>-0.99999999999997868</v>
      </c>
      <c r="F491">
        <f t="shared" si="706"/>
        <v>-1.9999999999999574</v>
      </c>
      <c r="G491">
        <f t="shared" si="706"/>
        <v>-4.0000000000000036</v>
      </c>
      <c r="H491">
        <f t="shared" si="706"/>
        <v>-4.9999999999999822</v>
      </c>
      <c r="I491">
        <f t="shared" si="706"/>
        <v>-4.0000000000000036</v>
      </c>
      <c r="J491">
        <f t="shared" si="706"/>
        <v>-3.0000000000000249</v>
      </c>
      <c r="K491">
        <f t="shared" si="706"/>
        <v>-2.0000000000000462</v>
      </c>
      <c r="L491">
        <f t="shared" si="706"/>
        <v>0</v>
      </c>
      <c r="M491">
        <f t="shared" si="706"/>
        <v>0</v>
      </c>
      <c r="N491">
        <f t="shared" si="706"/>
        <v>2.0000000000000462</v>
      </c>
      <c r="O491" s="5">
        <f t="shared" si="700"/>
        <v>2.1239939055476358E-3</v>
      </c>
      <c r="P491" s="5">
        <f t="shared" si="700"/>
        <v>0</v>
      </c>
      <c r="Q491" s="5">
        <f t="shared" si="700"/>
        <v>6.8224982153412871E-4</v>
      </c>
      <c r="R491" s="5">
        <f t="shared" si="700"/>
        <v>0</v>
      </c>
      <c r="S491" s="5">
        <f t="shared" si="700"/>
        <v>0</v>
      </c>
      <c r="U491" s="4">
        <v>45379</v>
      </c>
      <c r="V491">
        <f t="shared" si="652"/>
        <v>-3999.9999999999145</v>
      </c>
      <c r="W491">
        <f t="shared" si="653"/>
        <v>2223.0000000001501</v>
      </c>
      <c r="X491">
        <f t="shared" si="654"/>
        <v>-4589.9999999999018</v>
      </c>
      <c r="Y491">
        <f t="shared" si="655"/>
        <v>3444.9999999999268</v>
      </c>
      <c r="Z491">
        <f t="shared" si="656"/>
        <v>-10869.999999999769</v>
      </c>
      <c r="AA491">
        <f t="shared" si="657"/>
        <v>8000.0000000000073</v>
      </c>
      <c r="AB491">
        <f t="shared" si="658"/>
        <v>-22819.99999999992</v>
      </c>
      <c r="AC491">
        <f t="shared" si="659"/>
        <v>8892.0000000000073</v>
      </c>
      <c r="AD491">
        <f t="shared" si="660"/>
        <v>301632.0000000025</v>
      </c>
      <c r="AE491">
        <f t="shared" si="661"/>
        <v>-2.0000000000000462</v>
      </c>
      <c r="AF491">
        <f t="shared" si="662"/>
        <v>0</v>
      </c>
      <c r="AG491">
        <f t="shared" si="663"/>
        <v>0</v>
      </c>
      <c r="AH491">
        <f t="shared" si="664"/>
        <v>2.0000000000000462</v>
      </c>
      <c r="AI491">
        <f t="shared" si="665"/>
        <v>0.21239939055476359</v>
      </c>
      <c r="AJ491">
        <f t="shared" si="666"/>
        <v>0</v>
      </c>
      <c r="AK491">
        <f t="shared" si="667"/>
        <v>6822.4982153412875</v>
      </c>
      <c r="AL491">
        <f t="shared" si="668"/>
        <v>0</v>
      </c>
      <c r="AM491" s="1">
        <f t="shared" si="669"/>
        <v>0</v>
      </c>
      <c r="AN491" s="1">
        <f t="shared" si="645"/>
        <v>288734.71061473491</v>
      </c>
      <c r="AO491">
        <f t="shared" si="646"/>
        <v>-9.3593347984631077</v>
      </c>
      <c r="AP491">
        <f t="shared" si="647"/>
        <v>2.9137396125457</v>
      </c>
    </row>
    <row r="492" spans="1:42" x14ac:dyDescent="0.25">
      <c r="A492" s="4">
        <v>45378</v>
      </c>
      <c r="B492">
        <f t="shared" ref="B492:N492" si="707">(B1042-B1041)*100</f>
        <v>0</v>
      </c>
      <c r="C492">
        <f t="shared" si="707"/>
        <v>0</v>
      </c>
      <c r="D492">
        <f t="shared" si="707"/>
        <v>0.99999999999997868</v>
      </c>
      <c r="E492">
        <f t="shared" si="707"/>
        <v>0</v>
      </c>
      <c r="F492">
        <f t="shared" si="707"/>
        <v>0</v>
      </c>
      <c r="G492">
        <f t="shared" si="707"/>
        <v>0.99999999999997868</v>
      </c>
      <c r="H492">
        <f t="shared" si="707"/>
        <v>1.9999999999999574</v>
      </c>
      <c r="I492">
        <f t="shared" si="707"/>
        <v>1.9999999999999574</v>
      </c>
      <c r="J492">
        <f t="shared" si="707"/>
        <v>4.0000000000000036</v>
      </c>
      <c r="K492">
        <f t="shared" si="707"/>
        <v>5.0000000000000711</v>
      </c>
      <c r="L492">
        <f t="shared" si="707"/>
        <v>4.0000000000000036</v>
      </c>
      <c r="M492">
        <f t="shared" si="707"/>
        <v>4.0000000000000036</v>
      </c>
      <c r="N492">
        <f t="shared" si="707"/>
        <v>4.0000000000000036</v>
      </c>
      <c r="O492" s="5">
        <f t="shared" si="700"/>
        <v>-2.8078620320871124E-4</v>
      </c>
      <c r="P492" s="5">
        <f t="shared" si="700"/>
        <v>3.974106129001103E-3</v>
      </c>
      <c r="Q492" s="5">
        <f t="shared" si="700"/>
        <v>4.0317079113164726E-3</v>
      </c>
      <c r="R492" s="5">
        <f t="shared" si="700"/>
        <v>0</v>
      </c>
      <c r="S492" s="5">
        <f t="shared" si="700"/>
        <v>-5.7194617081141597E-3</v>
      </c>
      <c r="U492" s="4">
        <v>45378</v>
      </c>
      <c r="V492">
        <f t="shared" si="652"/>
        <v>0</v>
      </c>
      <c r="W492">
        <f t="shared" si="653"/>
        <v>0</v>
      </c>
      <c r="X492">
        <f t="shared" si="654"/>
        <v>4589.9999999999018</v>
      </c>
      <c r="Y492">
        <f t="shared" si="655"/>
        <v>0</v>
      </c>
      <c r="Z492">
        <f t="shared" si="656"/>
        <v>0</v>
      </c>
      <c r="AA492">
        <f t="shared" si="657"/>
        <v>-1999.9999999999573</v>
      </c>
      <c r="AB492">
        <f t="shared" si="658"/>
        <v>9127.9999999998054</v>
      </c>
      <c r="AC492">
        <f t="shared" si="659"/>
        <v>-4445.9999999999054</v>
      </c>
      <c r="AD492">
        <f t="shared" si="660"/>
        <v>-402176.00000000035</v>
      </c>
      <c r="AE492">
        <f t="shared" si="661"/>
        <v>5.0000000000000711</v>
      </c>
      <c r="AF492">
        <f t="shared" si="662"/>
        <v>201292.00000000017</v>
      </c>
      <c r="AG492">
        <f t="shared" si="663"/>
        <v>101292.00000000009</v>
      </c>
      <c r="AH492">
        <f t="shared" si="664"/>
        <v>4.0000000000000036</v>
      </c>
      <c r="AI492">
        <f t="shared" si="665"/>
        <v>-2.8078620320871123E-2</v>
      </c>
      <c r="AJ492">
        <f t="shared" si="666"/>
        <v>-39741.061290011028</v>
      </c>
      <c r="AK492">
        <f t="shared" si="667"/>
        <v>40317.079113164727</v>
      </c>
      <c r="AL492">
        <f t="shared" si="668"/>
        <v>0</v>
      </c>
      <c r="AM492" s="1">
        <f t="shared" si="669"/>
        <v>57194.617081141594</v>
      </c>
      <c r="AN492" s="1">
        <f t="shared" si="645"/>
        <v>-34540.393174325276</v>
      </c>
      <c r="AO492">
        <f t="shared" si="646"/>
        <v>-2.4165014016045214</v>
      </c>
      <c r="AP492">
        <f t="shared" si="647"/>
        <v>2.2813885867231547</v>
      </c>
    </row>
    <row r="493" spans="1:42" x14ac:dyDescent="0.25">
      <c r="A493" s="4">
        <v>45377</v>
      </c>
      <c r="B493">
        <f t="shared" ref="B493:N493" si="708">(B1043-B1042)*100</f>
        <v>0.99999999999997868</v>
      </c>
      <c r="C493">
        <f t="shared" si="708"/>
        <v>1.0000000000000675</v>
      </c>
      <c r="D493">
        <f t="shared" si="708"/>
        <v>0</v>
      </c>
      <c r="E493">
        <f t="shared" si="708"/>
        <v>0</v>
      </c>
      <c r="F493">
        <f t="shared" si="708"/>
        <v>0</v>
      </c>
      <c r="G493">
        <f t="shared" si="708"/>
        <v>0</v>
      </c>
      <c r="H493">
        <f t="shared" si="708"/>
        <v>-1.9999999999999574</v>
      </c>
      <c r="I493">
        <f t="shared" si="708"/>
        <v>0.99999999999997868</v>
      </c>
      <c r="J493">
        <f t="shared" si="708"/>
        <v>1.0000000000000675</v>
      </c>
      <c r="K493">
        <f t="shared" si="708"/>
        <v>1.9999999999999574</v>
      </c>
      <c r="L493">
        <f t="shared" si="708"/>
        <v>0.99999999999997868</v>
      </c>
      <c r="M493">
        <f t="shared" si="708"/>
        <v>1.9999999999999574</v>
      </c>
      <c r="N493">
        <f t="shared" si="708"/>
        <v>1.9999999999999574</v>
      </c>
      <c r="O493" s="5">
        <f t="shared" si="700"/>
        <v>2.0053542960384226E-5</v>
      </c>
      <c r="P493" s="5">
        <f t="shared" si="700"/>
        <v>-1.2655781295742258E-2</v>
      </c>
      <c r="Q493" s="5">
        <f t="shared" si="700"/>
        <v>-2.533198494585769E-3</v>
      </c>
      <c r="R493" s="5">
        <f t="shared" si="700"/>
        <v>2.9637634519469849E-3</v>
      </c>
      <c r="S493" s="5">
        <f t="shared" si="700"/>
        <v>-1.4397554903142293E-3</v>
      </c>
      <c r="U493" s="4">
        <v>45377</v>
      </c>
      <c r="V493">
        <f t="shared" si="652"/>
        <v>-3999.9999999999145</v>
      </c>
      <c r="W493">
        <f t="shared" si="653"/>
        <v>-2223.0000000001501</v>
      </c>
      <c r="X493">
        <f t="shared" si="654"/>
        <v>0</v>
      </c>
      <c r="Y493">
        <f t="shared" si="655"/>
        <v>0</v>
      </c>
      <c r="Z493">
        <f t="shared" si="656"/>
        <v>0</v>
      </c>
      <c r="AA493">
        <f t="shared" si="657"/>
        <v>0</v>
      </c>
      <c r="AB493">
        <f t="shared" si="658"/>
        <v>-9127.9999999998054</v>
      </c>
      <c r="AC493">
        <f t="shared" si="659"/>
        <v>-2222.9999999999527</v>
      </c>
      <c r="AD493">
        <f t="shared" si="660"/>
        <v>-100544.00000000678</v>
      </c>
      <c r="AE493">
        <f t="shared" si="661"/>
        <v>1.9999999999999574</v>
      </c>
      <c r="AF493">
        <f t="shared" si="662"/>
        <v>50322.99999999893</v>
      </c>
      <c r="AG493">
        <f t="shared" si="663"/>
        <v>50645.999999998923</v>
      </c>
      <c r="AH493">
        <f t="shared" si="664"/>
        <v>1.9999999999999574</v>
      </c>
      <c r="AI493">
        <f t="shared" si="665"/>
        <v>2.0053542960384225E-3</v>
      </c>
      <c r="AJ493">
        <f t="shared" si="666"/>
        <v>126557.81295742259</v>
      </c>
      <c r="AK493">
        <f t="shared" si="667"/>
        <v>-25331.98494585769</v>
      </c>
      <c r="AL493">
        <f t="shared" si="668"/>
        <v>-74094.086298674622</v>
      </c>
      <c r="AM493" s="1">
        <f t="shared" si="669"/>
        <v>14397.554903142294</v>
      </c>
      <c r="AN493" s="1">
        <f t="shared" si="645"/>
        <v>24384.298621378104</v>
      </c>
      <c r="AO493">
        <f t="shared" si="646"/>
        <v>-0.87657299072175432</v>
      </c>
      <c r="AP493">
        <f t="shared" si="647"/>
        <v>2.34127325444982</v>
      </c>
    </row>
    <row r="494" spans="1:42" x14ac:dyDescent="0.25">
      <c r="A494" s="4">
        <v>45376</v>
      </c>
      <c r="B494">
        <f t="shared" ref="B494:N494" si="709">(B1044-B1043)*100</f>
        <v>0</v>
      </c>
      <c r="C494">
        <f t="shared" si="709"/>
        <v>-1.0000000000000675</v>
      </c>
      <c r="D494">
        <f t="shared" si="709"/>
        <v>0</v>
      </c>
      <c r="E494">
        <f t="shared" si="709"/>
        <v>-0.99999999999997868</v>
      </c>
      <c r="F494">
        <f t="shared" si="709"/>
        <v>-2.0000000000000462</v>
      </c>
      <c r="G494">
        <f t="shared" si="709"/>
        <v>-1.9999999999999574</v>
      </c>
      <c r="H494">
        <f t="shared" si="709"/>
        <v>4.9999999999999822</v>
      </c>
      <c r="I494">
        <f t="shared" si="709"/>
        <v>-2.9999999999999361</v>
      </c>
      <c r="J494">
        <f t="shared" si="709"/>
        <v>-3.0000000000000249</v>
      </c>
      <c r="K494">
        <f t="shared" si="709"/>
        <v>-3.0000000000000249</v>
      </c>
      <c r="L494">
        <f t="shared" si="709"/>
        <v>-3.0000000000000249</v>
      </c>
      <c r="M494">
        <f t="shared" si="709"/>
        <v>-4.0000000000000036</v>
      </c>
      <c r="N494">
        <f t="shared" si="709"/>
        <v>-3.0000000000000249</v>
      </c>
      <c r="O494" s="5">
        <f t="shared" si="700"/>
        <v>-5.6134724810049655E-4</v>
      </c>
      <c r="P494" s="5">
        <f t="shared" si="700"/>
        <v>0</v>
      </c>
      <c r="Q494" s="5">
        <f t="shared" si="700"/>
        <v>8.9149982281701637E-3</v>
      </c>
      <c r="R494" s="5">
        <f t="shared" si="700"/>
        <v>8.0982593169250615E-4</v>
      </c>
      <c r="S494" s="5">
        <f t="shared" si="700"/>
        <v>-5.1004197473776105E-3</v>
      </c>
      <c r="U494" s="4">
        <v>45376</v>
      </c>
      <c r="V494">
        <f t="shared" si="652"/>
        <v>0</v>
      </c>
      <c r="W494">
        <f t="shared" si="653"/>
        <v>2223.0000000001501</v>
      </c>
      <c r="X494">
        <f t="shared" si="654"/>
        <v>0</v>
      </c>
      <c r="Y494">
        <f t="shared" si="655"/>
        <v>3444.9999999999268</v>
      </c>
      <c r="Z494">
        <f t="shared" si="656"/>
        <v>-10870.000000000251</v>
      </c>
      <c r="AA494">
        <f t="shared" si="657"/>
        <v>3999.9999999999145</v>
      </c>
      <c r="AB494">
        <f t="shared" si="658"/>
        <v>22819.99999999992</v>
      </c>
      <c r="AC494">
        <f t="shared" si="659"/>
        <v>6668.9999999998581</v>
      </c>
      <c r="AD494">
        <f t="shared" si="660"/>
        <v>301632.0000000025</v>
      </c>
      <c r="AE494">
        <f t="shared" si="661"/>
        <v>-3.0000000000000249</v>
      </c>
      <c r="AF494">
        <f t="shared" si="662"/>
        <v>-150969.00000000125</v>
      </c>
      <c r="AG494">
        <f t="shared" si="663"/>
        <v>-101292.00000000009</v>
      </c>
      <c r="AH494">
        <f t="shared" si="664"/>
        <v>-3.0000000000000249</v>
      </c>
      <c r="AI494">
        <f t="shared" si="665"/>
        <v>-5.6134724810049656E-2</v>
      </c>
      <c r="AJ494">
        <f t="shared" si="666"/>
        <v>0</v>
      </c>
      <c r="AK494">
        <f t="shared" si="667"/>
        <v>89149.982281701639</v>
      </c>
      <c r="AL494">
        <f t="shared" si="668"/>
        <v>-20245.648292312653</v>
      </c>
      <c r="AM494" s="1">
        <f t="shared" si="669"/>
        <v>51004.197473776105</v>
      </c>
      <c r="AN494" s="1">
        <f t="shared" si="645"/>
        <v>197560.47532844095</v>
      </c>
      <c r="AO494">
        <f t="shared" si="646"/>
        <v>-1.5761997897828395</v>
      </c>
      <c r="AP494">
        <f t="shared" si="647"/>
        <v>2.3558004750809975</v>
      </c>
    </row>
    <row r="495" spans="1:42" x14ac:dyDescent="0.25">
      <c r="A495" s="4">
        <v>45373</v>
      </c>
      <c r="B495">
        <f t="shared" ref="B495:N495" si="710">(B1045-B1044)*100</f>
        <v>0</v>
      </c>
      <c r="C495">
        <f t="shared" si="710"/>
        <v>1.0000000000000675</v>
      </c>
      <c r="D495">
        <f t="shared" si="710"/>
        <v>2.0000000000000462</v>
      </c>
      <c r="E495">
        <f t="shared" si="710"/>
        <v>0</v>
      </c>
      <c r="F495">
        <f t="shared" si="710"/>
        <v>2.0000000000000462</v>
      </c>
      <c r="G495">
        <f t="shared" si="710"/>
        <v>2.9999999999999361</v>
      </c>
      <c r="H495">
        <f t="shared" si="710"/>
        <v>3.0000000000000249</v>
      </c>
      <c r="I495">
        <f t="shared" si="710"/>
        <v>5.9999999999999609</v>
      </c>
      <c r="J495">
        <f t="shared" si="710"/>
        <v>5.9999999999999609</v>
      </c>
      <c r="K495">
        <f t="shared" si="710"/>
        <v>6.0000000000000497</v>
      </c>
      <c r="L495">
        <f t="shared" si="710"/>
        <v>4.9999999999999822</v>
      </c>
      <c r="M495">
        <f t="shared" si="710"/>
        <v>6.0000000000000497</v>
      </c>
      <c r="N495">
        <f t="shared" si="710"/>
        <v>5.0000000000000711</v>
      </c>
      <c r="O495" s="5">
        <f t="shared" ref="O495:S504" si="711">LN(O1044/O1045)</f>
        <v>1.8054529568786949E-3</v>
      </c>
      <c r="P495" s="5">
        <f t="shared" si="711"/>
        <v>-2.2175942431940997E-3</v>
      </c>
      <c r="Q495" s="5">
        <f t="shared" si="711"/>
        <v>-4.4879276334266896E-3</v>
      </c>
      <c r="R495" s="5">
        <f t="shared" si="711"/>
        <v>4.6014426838441253E-3</v>
      </c>
      <c r="S495" s="5">
        <f t="shared" si="711"/>
        <v>1.7609789621811727E-3</v>
      </c>
      <c r="U495" s="4">
        <v>45373</v>
      </c>
      <c r="V495">
        <f t="shared" si="652"/>
        <v>0</v>
      </c>
      <c r="W495">
        <f t="shared" si="653"/>
        <v>-2223.0000000001501</v>
      </c>
      <c r="X495">
        <f t="shared" si="654"/>
        <v>9180.0000000002128</v>
      </c>
      <c r="Y495">
        <f t="shared" si="655"/>
        <v>0</v>
      </c>
      <c r="Z495">
        <f t="shared" si="656"/>
        <v>10870.000000000251</v>
      </c>
      <c r="AA495">
        <f t="shared" si="657"/>
        <v>-5999.9999999998718</v>
      </c>
      <c r="AB495">
        <f t="shared" si="658"/>
        <v>13692.000000000113</v>
      </c>
      <c r="AC495">
        <f t="shared" si="659"/>
        <v>-13337.999999999913</v>
      </c>
      <c r="AD495">
        <f t="shared" si="660"/>
        <v>-603263.99999999604</v>
      </c>
      <c r="AE495">
        <f t="shared" si="661"/>
        <v>6.0000000000000497</v>
      </c>
      <c r="AF495">
        <f t="shared" si="662"/>
        <v>251614.9999999991</v>
      </c>
      <c r="AG495">
        <f t="shared" si="663"/>
        <v>151938.00000000125</v>
      </c>
      <c r="AH495">
        <f t="shared" si="664"/>
        <v>5.0000000000000711</v>
      </c>
      <c r="AI495">
        <f t="shared" si="665"/>
        <v>0.18054529568786948</v>
      </c>
      <c r="AJ495">
        <f t="shared" si="666"/>
        <v>22175.942431940995</v>
      </c>
      <c r="AK495">
        <f t="shared" si="667"/>
        <v>-44879.276334266899</v>
      </c>
      <c r="AL495">
        <f t="shared" si="668"/>
        <v>-115036.06709610313</v>
      </c>
      <c r="AM495" s="1">
        <f t="shared" si="669"/>
        <v>-17609.789621811728</v>
      </c>
      <c r="AN495" s="1">
        <f t="shared" si="645"/>
        <v>-342868.0100749401</v>
      </c>
      <c r="AO495">
        <f t="shared" si="646"/>
        <v>-2.6386751185860389</v>
      </c>
      <c r="AP495">
        <f t="shared" si="647"/>
        <v>2.3516423042408046</v>
      </c>
    </row>
    <row r="496" spans="1:42" x14ac:dyDescent="0.25">
      <c r="A496" s="4">
        <v>45372</v>
      </c>
      <c r="B496">
        <f t="shared" ref="B496:N496" si="712">(B1046-B1045)*100</f>
        <v>-0.99999999999997868</v>
      </c>
      <c r="C496">
        <f t="shared" si="712"/>
        <v>-1.0000000000000675</v>
      </c>
      <c r="D496">
        <f t="shared" si="712"/>
        <v>-1.0000000000000675</v>
      </c>
      <c r="E496">
        <f t="shared" si="712"/>
        <v>0.99999999999997868</v>
      </c>
      <c r="F496">
        <f t="shared" si="712"/>
        <v>0</v>
      </c>
      <c r="G496">
        <f t="shared" si="712"/>
        <v>0</v>
      </c>
      <c r="H496">
        <f t="shared" si="712"/>
        <v>-3.0000000000000249</v>
      </c>
      <c r="I496">
        <f t="shared" si="712"/>
        <v>-0.99999999999997868</v>
      </c>
      <c r="J496">
        <f t="shared" si="712"/>
        <v>-0.99999999999997868</v>
      </c>
      <c r="K496">
        <f t="shared" si="712"/>
        <v>0</v>
      </c>
      <c r="L496">
        <f t="shared" si="712"/>
        <v>0</v>
      </c>
      <c r="M496">
        <f t="shared" si="712"/>
        <v>0</v>
      </c>
      <c r="N496">
        <f t="shared" si="712"/>
        <v>0.99999999999997868</v>
      </c>
      <c r="O496" s="5">
        <f t="shared" si="711"/>
        <v>-6.2649698014663798E-3</v>
      </c>
      <c r="P496" s="5">
        <f t="shared" si="711"/>
        <v>2.307427089993271E-3</v>
      </c>
      <c r="Q496" s="5">
        <f t="shared" si="711"/>
        <v>1.4293550263302708E-2</v>
      </c>
      <c r="R496" s="5">
        <f t="shared" si="711"/>
        <v>-1.626457392974251E-3</v>
      </c>
      <c r="S496" s="5">
        <f t="shared" si="711"/>
        <v>3.855114890596627E-3</v>
      </c>
      <c r="U496" s="4">
        <v>45372</v>
      </c>
      <c r="V496">
        <f t="shared" si="652"/>
        <v>3999.9999999999145</v>
      </c>
      <c r="W496">
        <f t="shared" si="653"/>
        <v>2223.0000000001501</v>
      </c>
      <c r="X496">
        <f t="shared" si="654"/>
        <v>-4590.0000000003101</v>
      </c>
      <c r="Y496">
        <f t="shared" si="655"/>
        <v>-3444.9999999999268</v>
      </c>
      <c r="Z496">
        <f t="shared" si="656"/>
        <v>0</v>
      </c>
      <c r="AA496">
        <f t="shared" si="657"/>
        <v>0</v>
      </c>
      <c r="AB496">
        <f t="shared" si="658"/>
        <v>-13692.000000000113</v>
      </c>
      <c r="AC496">
        <f t="shared" si="659"/>
        <v>2222.9999999999527</v>
      </c>
      <c r="AD496">
        <f t="shared" si="660"/>
        <v>100543.99999999786</v>
      </c>
      <c r="AE496">
        <f t="shared" si="661"/>
        <v>0</v>
      </c>
      <c r="AF496">
        <f t="shared" si="662"/>
        <v>0</v>
      </c>
      <c r="AG496">
        <f t="shared" si="663"/>
        <v>0</v>
      </c>
      <c r="AH496">
        <f t="shared" si="664"/>
        <v>0.99999999999997868</v>
      </c>
      <c r="AI496">
        <f t="shared" si="665"/>
        <v>-0.62649698014663802</v>
      </c>
      <c r="AJ496">
        <f t="shared" si="666"/>
        <v>-23074.270899932711</v>
      </c>
      <c r="AK496">
        <f t="shared" si="667"/>
        <v>142935.50263302709</v>
      </c>
      <c r="AL496">
        <f t="shared" si="668"/>
        <v>40661.434824356278</v>
      </c>
      <c r="AM496" s="1">
        <f t="shared" si="669"/>
        <v>-38551.148905966271</v>
      </c>
      <c r="AN496" s="1">
        <f t="shared" si="645"/>
        <v>209234.89115450176</v>
      </c>
      <c r="AO496">
        <f t="shared" si="646"/>
        <v>-2.4049136790101615</v>
      </c>
      <c r="AP496">
        <f t="shared" si="647"/>
        <v>2.4623115531593265</v>
      </c>
    </row>
    <row r="497" spans="1:42" x14ac:dyDescent="0.25">
      <c r="A497" s="4">
        <v>45371</v>
      </c>
      <c r="B497">
        <f t="shared" ref="B497:N497" si="713">(B1047-B1046)*100</f>
        <v>1.9999999999999574</v>
      </c>
      <c r="C497">
        <f t="shared" si="713"/>
        <v>1.0000000000000675</v>
      </c>
      <c r="D497">
        <f t="shared" si="713"/>
        <v>1.0000000000000675</v>
      </c>
      <c r="E497">
        <f t="shared" si="713"/>
        <v>0</v>
      </c>
      <c r="F497">
        <f t="shared" si="713"/>
        <v>2.9999999999999361</v>
      </c>
      <c r="G497">
        <f t="shared" si="713"/>
        <v>4.9999999999999822</v>
      </c>
      <c r="H497">
        <f t="shared" si="713"/>
        <v>8.9999999999999858</v>
      </c>
      <c r="I497">
        <f t="shared" si="713"/>
        <v>5.9999999999999609</v>
      </c>
      <c r="J497">
        <f t="shared" si="713"/>
        <v>5.9999999999999609</v>
      </c>
      <c r="K497">
        <f t="shared" si="713"/>
        <v>2.9999999999999361</v>
      </c>
      <c r="L497">
        <f t="shared" si="713"/>
        <v>3.0000000000000249</v>
      </c>
      <c r="M497">
        <f t="shared" si="713"/>
        <v>0.99999999999997868</v>
      </c>
      <c r="N497">
        <f t="shared" si="713"/>
        <v>-0.99999999999997868</v>
      </c>
      <c r="O497" s="5">
        <f t="shared" si="711"/>
        <v>-4.6184861025193339E-3</v>
      </c>
      <c r="P497" s="5">
        <f t="shared" si="711"/>
        <v>6.2309508082248567E-3</v>
      </c>
      <c r="Q497" s="5">
        <f t="shared" si="711"/>
        <v>1.7775495947200896E-2</v>
      </c>
      <c r="R497" s="5">
        <f t="shared" si="711"/>
        <v>-1.8941962097111121E-3</v>
      </c>
      <c r="S497" s="5">
        <f t="shared" si="711"/>
        <v>-8.6829324428226249E-3</v>
      </c>
      <c r="U497" s="4">
        <v>45371</v>
      </c>
      <c r="V497">
        <f t="shared" si="652"/>
        <v>-7999.999999999829</v>
      </c>
      <c r="W497">
        <f t="shared" si="653"/>
        <v>-2223.0000000001501</v>
      </c>
      <c r="X497">
        <f t="shared" si="654"/>
        <v>4590.0000000003101</v>
      </c>
      <c r="Y497">
        <f t="shared" si="655"/>
        <v>0</v>
      </c>
      <c r="Z497">
        <f t="shared" si="656"/>
        <v>16304.999999999653</v>
      </c>
      <c r="AA497">
        <f t="shared" si="657"/>
        <v>-9999.9999999999636</v>
      </c>
      <c r="AB497">
        <f t="shared" si="658"/>
        <v>41075.999999999935</v>
      </c>
      <c r="AC497">
        <f t="shared" si="659"/>
        <v>-13337.999999999913</v>
      </c>
      <c r="AD497">
        <f t="shared" si="660"/>
        <v>-603263.99999999604</v>
      </c>
      <c r="AE497">
        <f t="shared" si="661"/>
        <v>2.9999999999999361</v>
      </c>
      <c r="AF497">
        <f t="shared" si="662"/>
        <v>150969.00000000125</v>
      </c>
      <c r="AG497">
        <f t="shared" si="663"/>
        <v>25322.999999999462</v>
      </c>
      <c r="AH497">
        <f t="shared" si="664"/>
        <v>-0.99999999999997868</v>
      </c>
      <c r="AI497">
        <f t="shared" si="665"/>
        <v>-0.46184861025193341</v>
      </c>
      <c r="AJ497">
        <f t="shared" si="666"/>
        <v>-62309.508082248569</v>
      </c>
      <c r="AK497">
        <f t="shared" si="667"/>
        <v>177754.95947200895</v>
      </c>
      <c r="AL497">
        <f t="shared" si="668"/>
        <v>47354.905242777801</v>
      </c>
      <c r="AM497" s="1">
        <f t="shared" si="669"/>
        <v>86829.324428226246</v>
      </c>
      <c r="AN497" s="1">
        <f t="shared" si="645"/>
        <v>-148930.78078784113</v>
      </c>
      <c r="AO497">
        <f t="shared" si="646"/>
        <v>1.1302608388249702E-2</v>
      </c>
      <c r="AP497">
        <f t="shared" si="647"/>
        <v>2.4894780708488247</v>
      </c>
    </row>
    <row r="498" spans="1:42" x14ac:dyDescent="0.25">
      <c r="A498" s="4">
        <v>45370</v>
      </c>
      <c r="B498">
        <f t="shared" ref="B498:N498" si="714">(B1048-B1047)*100</f>
        <v>0</v>
      </c>
      <c r="C498">
        <f t="shared" si="714"/>
        <v>0</v>
      </c>
      <c r="D498">
        <f t="shared" si="714"/>
        <v>0</v>
      </c>
      <c r="E498">
        <f t="shared" si="714"/>
        <v>0</v>
      </c>
      <c r="F498">
        <f t="shared" si="714"/>
        <v>0</v>
      </c>
      <c r="G498">
        <f t="shared" si="714"/>
        <v>0</v>
      </c>
      <c r="H498">
        <f t="shared" si="714"/>
        <v>5.0000000000000711</v>
      </c>
      <c r="I498">
        <f t="shared" si="714"/>
        <v>4.9999999999999822</v>
      </c>
      <c r="J498">
        <f t="shared" si="714"/>
        <v>5.0000000000000711</v>
      </c>
      <c r="K498">
        <f t="shared" si="714"/>
        <v>4.0000000000000036</v>
      </c>
      <c r="L498">
        <f t="shared" si="714"/>
        <v>4.0000000000000036</v>
      </c>
      <c r="M498">
        <f t="shared" si="714"/>
        <v>3.0000000000000249</v>
      </c>
      <c r="N498">
        <f t="shared" si="714"/>
        <v>1.9999999999999574</v>
      </c>
      <c r="O498" s="5">
        <f t="shared" si="711"/>
        <v>4.5386760504009882E-3</v>
      </c>
      <c r="P498" s="5">
        <f t="shared" si="711"/>
        <v>-6.5004251424254141E-3</v>
      </c>
      <c r="Q498" s="5">
        <f t="shared" si="711"/>
        <v>3.9119491402498253E-3</v>
      </c>
      <c r="R498" s="5">
        <f t="shared" si="711"/>
        <v>-1.0807890811587234E-3</v>
      </c>
      <c r="S498" s="5">
        <f t="shared" si="711"/>
        <v>6.4662211333511308E-3</v>
      </c>
      <c r="U498" s="4">
        <v>45370</v>
      </c>
      <c r="V498">
        <f t="shared" si="652"/>
        <v>0</v>
      </c>
      <c r="W498">
        <f t="shared" si="653"/>
        <v>0</v>
      </c>
      <c r="X498">
        <f t="shared" si="654"/>
        <v>0</v>
      </c>
      <c r="Y498">
        <f t="shared" si="655"/>
        <v>0</v>
      </c>
      <c r="Z498">
        <f t="shared" si="656"/>
        <v>0</v>
      </c>
      <c r="AA498">
        <f t="shared" si="657"/>
        <v>0</v>
      </c>
      <c r="AB498">
        <f t="shared" si="658"/>
        <v>22820.000000000324</v>
      </c>
      <c r="AC498">
        <f t="shared" si="659"/>
        <v>-11114.99999999996</v>
      </c>
      <c r="AD498">
        <f t="shared" si="660"/>
        <v>-502720.00000000716</v>
      </c>
      <c r="AE498">
        <f t="shared" si="661"/>
        <v>4.0000000000000036</v>
      </c>
      <c r="AF498">
        <f t="shared" si="662"/>
        <v>201292.00000000017</v>
      </c>
      <c r="AG498">
        <f t="shared" si="663"/>
        <v>75969.000000000626</v>
      </c>
      <c r="AH498">
        <f t="shared" si="664"/>
        <v>1.9999999999999574</v>
      </c>
      <c r="AI498">
        <f t="shared" si="665"/>
        <v>0.45386760504009882</v>
      </c>
      <c r="AJ498">
        <f t="shared" si="666"/>
        <v>65004.251424254144</v>
      </c>
      <c r="AK498">
        <f t="shared" si="667"/>
        <v>39119.49140249825</v>
      </c>
      <c r="AL498">
        <f t="shared" si="668"/>
        <v>27019.727028968086</v>
      </c>
      <c r="AM498" s="1">
        <f t="shared" si="669"/>
        <v>-64662.21133351131</v>
      </c>
      <c r="AN498" s="1">
        <f t="shared" si="645"/>
        <v>-147266.28761019179</v>
      </c>
      <c r="AO498">
        <f t="shared" si="646"/>
        <v>0.33476429479966963</v>
      </c>
      <c r="AP498">
        <f t="shared" si="647"/>
        <v>2.4922602193996632</v>
      </c>
    </row>
    <row r="499" spans="1:42" x14ac:dyDescent="0.25">
      <c r="A499" s="4">
        <v>45369</v>
      </c>
      <c r="B499">
        <f t="shared" ref="B499:N499" si="715">(B1049-B1048)*100</f>
        <v>0</v>
      </c>
      <c r="C499">
        <f t="shared" si="715"/>
        <v>0</v>
      </c>
      <c r="D499">
        <f t="shared" si="715"/>
        <v>0</v>
      </c>
      <c r="E499">
        <f t="shared" si="715"/>
        <v>0</v>
      </c>
      <c r="F499">
        <f t="shared" si="715"/>
        <v>-0.99999999999997868</v>
      </c>
      <c r="G499">
        <f t="shared" si="715"/>
        <v>-0.99999999999997868</v>
      </c>
      <c r="H499">
        <f t="shared" si="715"/>
        <v>-1.0000000000000675</v>
      </c>
      <c r="I499">
        <f t="shared" si="715"/>
        <v>-0.99999999999997868</v>
      </c>
      <c r="J499">
        <f t="shared" si="715"/>
        <v>-3.0000000000000249</v>
      </c>
      <c r="K499">
        <f t="shared" si="715"/>
        <v>-1.9999999999999574</v>
      </c>
      <c r="L499">
        <f t="shared" si="715"/>
        <v>-3.0000000000000249</v>
      </c>
      <c r="M499">
        <f t="shared" si="715"/>
        <v>-2.0000000000000462</v>
      </c>
      <c r="N499">
        <f t="shared" si="715"/>
        <v>-3.0000000000000249</v>
      </c>
      <c r="O499" s="5">
        <f t="shared" si="711"/>
        <v>3.7379484830206847E-3</v>
      </c>
      <c r="P499" s="5">
        <f t="shared" si="711"/>
        <v>4.5651903751158874E-3</v>
      </c>
      <c r="Q499" s="5">
        <f t="shared" si="711"/>
        <v>-4.3879708769858266E-3</v>
      </c>
      <c r="R499" s="5">
        <f t="shared" si="711"/>
        <v>4.6014426838441253E-3</v>
      </c>
      <c r="S499" s="5">
        <f t="shared" si="711"/>
        <v>0</v>
      </c>
      <c r="U499" s="4">
        <v>45369</v>
      </c>
      <c r="V499">
        <f t="shared" si="652"/>
        <v>0</v>
      </c>
      <c r="W499">
        <f t="shared" si="653"/>
        <v>0</v>
      </c>
      <c r="X499">
        <f t="shared" si="654"/>
        <v>0</v>
      </c>
      <c r="Y499">
        <f t="shared" si="655"/>
        <v>0</v>
      </c>
      <c r="Z499">
        <f t="shared" si="656"/>
        <v>-5434.9999999998845</v>
      </c>
      <c r="AA499">
        <f t="shared" si="657"/>
        <v>1999.9999999999573</v>
      </c>
      <c r="AB499">
        <f t="shared" si="658"/>
        <v>-4564.0000000003083</v>
      </c>
      <c r="AC499">
        <f t="shared" si="659"/>
        <v>2222.9999999999527</v>
      </c>
      <c r="AD499">
        <f t="shared" si="660"/>
        <v>301632.0000000025</v>
      </c>
      <c r="AE499">
        <f t="shared" si="661"/>
        <v>-1.9999999999999574</v>
      </c>
      <c r="AF499">
        <f t="shared" si="662"/>
        <v>-150969.00000000125</v>
      </c>
      <c r="AG499">
        <f t="shared" si="663"/>
        <v>-50646.000000001171</v>
      </c>
      <c r="AH499">
        <f t="shared" si="664"/>
        <v>-3.0000000000000249</v>
      </c>
      <c r="AI499">
        <f t="shared" si="665"/>
        <v>0.37379484830206849</v>
      </c>
      <c r="AJ499">
        <f t="shared" si="666"/>
        <v>-45651.903751158876</v>
      </c>
      <c r="AK499">
        <f t="shared" si="667"/>
        <v>-43879.708769858269</v>
      </c>
      <c r="AL499">
        <f t="shared" si="668"/>
        <v>-115036.06709610313</v>
      </c>
      <c r="AM499" s="1">
        <f t="shared" si="669"/>
        <v>0</v>
      </c>
      <c r="AN499" s="1">
        <f t="shared" si="645"/>
        <v>-110331.30582227217</v>
      </c>
      <c r="AO499">
        <f t="shared" si="646"/>
        <v>-1.4486957934526601</v>
      </c>
      <c r="AP499">
        <f t="shared" si="647"/>
        <v>2.6972929394428515</v>
      </c>
    </row>
    <row r="500" spans="1:42" x14ac:dyDescent="0.25">
      <c r="A500" s="4">
        <v>45366</v>
      </c>
      <c r="B500">
        <f t="shared" ref="B500:N500" si="716">(B1050-B1049)*100</f>
        <v>0</v>
      </c>
      <c r="C500">
        <f t="shared" si="716"/>
        <v>0</v>
      </c>
      <c r="D500">
        <f t="shared" si="716"/>
        <v>0</v>
      </c>
      <c r="E500">
        <f t="shared" si="716"/>
        <v>0.99999999999997868</v>
      </c>
      <c r="F500">
        <f t="shared" si="716"/>
        <v>0</v>
      </c>
      <c r="G500">
        <f t="shared" si="716"/>
        <v>-0.99999999999997868</v>
      </c>
      <c r="H500">
        <f t="shared" si="716"/>
        <v>-4.0000000000000036</v>
      </c>
      <c r="I500">
        <f t="shared" si="716"/>
        <v>-4.9999999999999822</v>
      </c>
      <c r="J500">
        <f t="shared" si="716"/>
        <v>-4.0000000000000036</v>
      </c>
      <c r="K500">
        <f t="shared" si="716"/>
        <v>-3.0000000000000249</v>
      </c>
      <c r="L500">
        <f t="shared" si="716"/>
        <v>-1.9999999999999574</v>
      </c>
      <c r="M500">
        <f t="shared" si="716"/>
        <v>-0.99999999999997868</v>
      </c>
      <c r="N500">
        <f t="shared" si="716"/>
        <v>1.0000000000000675</v>
      </c>
      <c r="O500" s="5">
        <f t="shared" si="711"/>
        <v>3.3902077627036135E-3</v>
      </c>
      <c r="P500" s="5">
        <f t="shared" si="711"/>
        <v>-2.9986573565965709E-3</v>
      </c>
      <c r="Q500" s="5">
        <f t="shared" si="711"/>
        <v>-3.5049971483400908E-3</v>
      </c>
      <c r="R500" s="5">
        <f t="shared" si="711"/>
        <v>2.7133360633154537E-4</v>
      </c>
      <c r="S500" s="5">
        <f t="shared" si="711"/>
        <v>9.879264229580428E-4</v>
      </c>
      <c r="U500" s="4">
        <v>45366</v>
      </c>
      <c r="V500">
        <f t="shared" si="652"/>
        <v>0</v>
      </c>
      <c r="W500">
        <f t="shared" si="653"/>
        <v>0</v>
      </c>
      <c r="X500">
        <f t="shared" si="654"/>
        <v>0</v>
      </c>
      <c r="Y500">
        <f t="shared" si="655"/>
        <v>-3444.9999999999268</v>
      </c>
      <c r="Z500">
        <f t="shared" si="656"/>
        <v>0</v>
      </c>
      <c r="AA500">
        <f t="shared" si="657"/>
        <v>1999.9999999999573</v>
      </c>
      <c r="AB500">
        <f t="shared" si="658"/>
        <v>-18256.000000000015</v>
      </c>
      <c r="AC500">
        <f t="shared" si="659"/>
        <v>11114.99999999996</v>
      </c>
      <c r="AD500">
        <f t="shared" si="660"/>
        <v>402176.00000000035</v>
      </c>
      <c r="AE500">
        <f t="shared" si="661"/>
        <v>-3.0000000000000249</v>
      </c>
      <c r="AF500">
        <f t="shared" si="662"/>
        <v>-100645.99999999786</v>
      </c>
      <c r="AG500">
        <f t="shared" si="663"/>
        <v>-25322.999999999462</v>
      </c>
      <c r="AH500">
        <f t="shared" si="664"/>
        <v>1.0000000000000675</v>
      </c>
      <c r="AI500">
        <f t="shared" si="665"/>
        <v>0.33902077627036137</v>
      </c>
      <c r="AJ500">
        <f t="shared" si="666"/>
        <v>29986.573565965708</v>
      </c>
      <c r="AK500">
        <f t="shared" si="667"/>
        <v>-35049.971483400906</v>
      </c>
      <c r="AL500">
        <f t="shared" si="668"/>
        <v>-6783.3401582886345</v>
      </c>
      <c r="AM500" s="1">
        <f t="shared" si="669"/>
        <v>-9879.2642295804271</v>
      </c>
      <c r="AN500" s="1">
        <f t="shared" si="645"/>
        <v>245893.33671547502</v>
      </c>
      <c r="AO500">
        <f t="shared" si="646"/>
        <v>7.0786195104826408</v>
      </c>
      <c r="AP500">
        <f t="shared" si="647"/>
        <v>2.6967536072300833</v>
      </c>
    </row>
    <row r="501" spans="1:42" x14ac:dyDescent="0.25">
      <c r="A501" s="4">
        <v>45365</v>
      </c>
      <c r="B501">
        <f t="shared" ref="B501:N501" si="717">(B1051-B1050)*100</f>
        <v>0</v>
      </c>
      <c r="C501">
        <f t="shared" si="717"/>
        <v>-1.0000000000000675</v>
      </c>
      <c r="D501">
        <f t="shared" si="717"/>
        <v>0</v>
      </c>
      <c r="E501">
        <f t="shared" si="717"/>
        <v>-0.99999999999997868</v>
      </c>
      <c r="F501">
        <f t="shared" si="717"/>
        <v>-0.99999999999997868</v>
      </c>
      <c r="G501">
        <f t="shared" si="717"/>
        <v>-3.0000000000000249</v>
      </c>
      <c r="H501">
        <f t="shared" si="717"/>
        <v>-6.9999999999999396</v>
      </c>
      <c r="I501">
        <f t="shared" si="717"/>
        <v>-8.9999999999999858</v>
      </c>
      <c r="J501">
        <f t="shared" si="717"/>
        <v>-9.9999999999999645</v>
      </c>
      <c r="K501">
        <f t="shared" si="717"/>
        <v>-9.9999999999999645</v>
      </c>
      <c r="L501">
        <f t="shared" si="717"/>
        <v>-9.9999999999999645</v>
      </c>
      <c r="M501">
        <f t="shared" si="717"/>
        <v>-8.9999999999999858</v>
      </c>
      <c r="N501">
        <f t="shared" si="717"/>
        <v>-9.0000000000000746</v>
      </c>
      <c r="O501" s="5">
        <f t="shared" si="711"/>
        <v>-7.0305833258050925E-4</v>
      </c>
      <c r="P501" s="5">
        <f t="shared" si="711"/>
        <v>-3.1024327254490173E-3</v>
      </c>
      <c r="Q501" s="5">
        <f t="shared" si="711"/>
        <v>-1.7032270721097722E-2</v>
      </c>
      <c r="R501" s="5">
        <f t="shared" si="711"/>
        <v>3.5340528830559567E-3</v>
      </c>
      <c r="S501" s="5">
        <f t="shared" si="711"/>
        <v>1.0488683672927681E-3</v>
      </c>
      <c r="U501" s="4">
        <v>45365</v>
      </c>
      <c r="V501">
        <f t="shared" si="652"/>
        <v>0</v>
      </c>
      <c r="W501">
        <f t="shared" si="653"/>
        <v>2223.0000000001501</v>
      </c>
      <c r="X501">
        <f t="shared" si="654"/>
        <v>0</v>
      </c>
      <c r="Y501">
        <f t="shared" si="655"/>
        <v>3444.9999999999268</v>
      </c>
      <c r="Z501">
        <f t="shared" si="656"/>
        <v>-5434.9999999998845</v>
      </c>
      <c r="AA501">
        <f t="shared" si="657"/>
        <v>6000.00000000005</v>
      </c>
      <c r="AB501">
        <f t="shared" si="658"/>
        <v>-31947.999999999724</v>
      </c>
      <c r="AC501">
        <f t="shared" si="659"/>
        <v>20006.999999999967</v>
      </c>
      <c r="AD501">
        <f t="shared" si="660"/>
        <v>1005439.9999999964</v>
      </c>
      <c r="AE501">
        <f t="shared" si="661"/>
        <v>-9.9999999999999645</v>
      </c>
      <c r="AF501">
        <f t="shared" si="662"/>
        <v>-503229.9999999982</v>
      </c>
      <c r="AG501">
        <f t="shared" si="663"/>
        <v>-227906.99999999965</v>
      </c>
      <c r="AH501">
        <f t="shared" si="664"/>
        <v>-9.0000000000000746</v>
      </c>
      <c r="AI501">
        <f t="shared" si="665"/>
        <v>-7.0305833258050926E-2</v>
      </c>
      <c r="AJ501">
        <f t="shared" si="666"/>
        <v>31024.327254490174</v>
      </c>
      <c r="AK501">
        <f t="shared" si="667"/>
        <v>-170322.70721097721</v>
      </c>
      <c r="AL501">
        <f t="shared" si="668"/>
        <v>-88351.322076398923</v>
      </c>
      <c r="AM501" s="1">
        <f t="shared" si="669"/>
        <v>-10488.683672927682</v>
      </c>
      <c r="AN501" s="1">
        <f t="shared" si="645"/>
        <v>30437.543988352118</v>
      </c>
      <c r="AO501">
        <f t="shared" si="646"/>
        <v>-0.9114767984840807</v>
      </c>
      <c r="AP501">
        <f t="shared" si="647"/>
        <v>2.1355126750450024</v>
      </c>
    </row>
    <row r="502" spans="1:42" x14ac:dyDescent="0.25">
      <c r="A502" s="4">
        <v>45364</v>
      </c>
      <c r="B502">
        <f t="shared" ref="B502:N502" si="718">(B1052-B1051)*100</f>
        <v>0</v>
      </c>
      <c r="C502">
        <f t="shared" si="718"/>
        <v>1.0000000000000675</v>
      </c>
      <c r="D502">
        <f t="shared" si="718"/>
        <v>0</v>
      </c>
      <c r="E502">
        <f t="shared" si="718"/>
        <v>0</v>
      </c>
      <c r="F502">
        <f t="shared" si="718"/>
        <v>0</v>
      </c>
      <c r="G502">
        <f t="shared" si="718"/>
        <v>-0.99999999999997868</v>
      </c>
      <c r="H502">
        <f t="shared" si="718"/>
        <v>-3.0000000000000249</v>
      </c>
      <c r="I502">
        <f t="shared" si="718"/>
        <v>-4.0000000000000036</v>
      </c>
      <c r="J502">
        <f t="shared" si="718"/>
        <v>-4.0000000000000036</v>
      </c>
      <c r="K502">
        <f t="shared" si="718"/>
        <v>-4.0000000000000036</v>
      </c>
      <c r="L502">
        <f t="shared" si="718"/>
        <v>-3.0000000000000249</v>
      </c>
      <c r="M502">
        <f t="shared" si="718"/>
        <v>-3.0000000000000249</v>
      </c>
      <c r="N502">
        <f t="shared" si="718"/>
        <v>-4.0000000000000036</v>
      </c>
      <c r="O502" s="5">
        <f t="shared" si="711"/>
        <v>-2.0078305458467636E-4</v>
      </c>
      <c r="P502" s="5">
        <f t="shared" si="711"/>
        <v>-5.6871174099919191E-3</v>
      </c>
      <c r="Q502" s="5">
        <f t="shared" si="711"/>
        <v>-1.1493837566208137E-3</v>
      </c>
      <c r="R502" s="5">
        <f t="shared" si="711"/>
        <v>-2.1762794225955173E-3</v>
      </c>
      <c r="S502" s="5">
        <f t="shared" si="711"/>
        <v>-7.3845607028670502E-3</v>
      </c>
      <c r="U502" s="4">
        <v>45364</v>
      </c>
      <c r="V502">
        <f t="shared" si="652"/>
        <v>0</v>
      </c>
      <c r="W502">
        <f t="shared" si="653"/>
        <v>-2223.0000000001501</v>
      </c>
      <c r="X502">
        <f t="shared" si="654"/>
        <v>0</v>
      </c>
      <c r="Y502">
        <f t="shared" si="655"/>
        <v>0</v>
      </c>
      <c r="Z502">
        <f t="shared" si="656"/>
        <v>0</v>
      </c>
      <c r="AA502">
        <f t="shared" si="657"/>
        <v>1999.9999999999573</v>
      </c>
      <c r="AB502">
        <f t="shared" si="658"/>
        <v>-13692.000000000113</v>
      </c>
      <c r="AC502">
        <f t="shared" si="659"/>
        <v>8892.0000000000073</v>
      </c>
      <c r="AD502">
        <f t="shared" si="660"/>
        <v>402176.00000000035</v>
      </c>
      <c r="AE502">
        <f t="shared" si="661"/>
        <v>-4.0000000000000036</v>
      </c>
      <c r="AF502">
        <f t="shared" si="662"/>
        <v>-150969.00000000125</v>
      </c>
      <c r="AG502">
        <f t="shared" si="663"/>
        <v>-75969.000000000626</v>
      </c>
      <c r="AH502">
        <f t="shared" si="664"/>
        <v>-4.0000000000000036</v>
      </c>
      <c r="AI502">
        <f t="shared" si="665"/>
        <v>-2.0078305458467637E-2</v>
      </c>
      <c r="AJ502">
        <f t="shared" si="666"/>
        <v>56871.17409991919</v>
      </c>
      <c r="AK502">
        <f t="shared" si="667"/>
        <v>-11493.837566208136</v>
      </c>
      <c r="AL502">
        <f t="shared" si="668"/>
        <v>54406.985564887931</v>
      </c>
      <c r="AM502" s="1">
        <f t="shared" si="669"/>
        <v>73845.607028670507</v>
      </c>
      <c r="AN502" s="1">
        <f t="shared" si="645"/>
        <v>343836.90904896223</v>
      </c>
      <c r="AO502">
        <f t="shared" si="646"/>
        <v>0.23245867809522758</v>
      </c>
      <c r="AP502">
        <f t="shared" si="647"/>
        <v>19.380229103682346</v>
      </c>
    </row>
    <row r="503" spans="1:42" x14ac:dyDescent="0.25">
      <c r="A503" s="4">
        <v>45363</v>
      </c>
      <c r="B503">
        <f t="shared" ref="B503:N503" si="719">(B1053-B1052)*100</f>
        <v>-1.9999999999999574</v>
      </c>
      <c r="C503">
        <f t="shared" si="719"/>
        <v>-1.0000000000000675</v>
      </c>
      <c r="D503">
        <f t="shared" si="719"/>
        <v>0</v>
      </c>
      <c r="E503">
        <f t="shared" si="719"/>
        <v>0</v>
      </c>
      <c r="F503">
        <f t="shared" si="719"/>
        <v>-2.0000000000000462</v>
      </c>
      <c r="G503">
        <f t="shared" si="719"/>
        <v>-4.9999999999999822</v>
      </c>
      <c r="H503">
        <f t="shared" si="719"/>
        <v>-7.0000000000000284</v>
      </c>
      <c r="I503">
        <f t="shared" si="719"/>
        <v>-7.0000000000000284</v>
      </c>
      <c r="J503">
        <f t="shared" si="719"/>
        <v>-7.0000000000000284</v>
      </c>
      <c r="K503">
        <f t="shared" si="719"/>
        <v>-7.0000000000000284</v>
      </c>
      <c r="L503">
        <f t="shared" si="719"/>
        <v>-6.0000000000000497</v>
      </c>
      <c r="M503">
        <f t="shared" si="719"/>
        <v>-5.9999999999999609</v>
      </c>
      <c r="N503">
        <f t="shared" si="719"/>
        <v>-4.9999999999999822</v>
      </c>
      <c r="O503" s="5">
        <f t="shared" si="711"/>
        <v>7.2300774357763914E-4</v>
      </c>
      <c r="P503" s="5">
        <f t="shared" si="711"/>
        <v>2.5764005884516398E-3</v>
      </c>
      <c r="Q503" s="5">
        <f t="shared" si="711"/>
        <v>1.3877096736198173E-3</v>
      </c>
      <c r="R503" s="5">
        <f t="shared" si="711"/>
        <v>-1.9003670711677562E-3</v>
      </c>
      <c r="S503" s="5">
        <f t="shared" si="711"/>
        <v>-4.7619331076501873E-5</v>
      </c>
      <c r="U503" s="4">
        <v>45363</v>
      </c>
      <c r="V503">
        <f t="shared" si="652"/>
        <v>7999.999999999829</v>
      </c>
      <c r="W503">
        <f t="shared" si="653"/>
        <v>2223.0000000001501</v>
      </c>
      <c r="X503">
        <f t="shared" si="654"/>
        <v>0</v>
      </c>
      <c r="Y503">
        <f t="shared" si="655"/>
        <v>0</v>
      </c>
      <c r="Z503">
        <f t="shared" si="656"/>
        <v>-10870.000000000251</v>
      </c>
      <c r="AA503">
        <f t="shared" si="657"/>
        <v>9999.9999999999636</v>
      </c>
      <c r="AB503">
        <f t="shared" si="658"/>
        <v>-31948.000000000131</v>
      </c>
      <c r="AC503">
        <f t="shared" si="659"/>
        <v>15561.000000000064</v>
      </c>
      <c r="AD503">
        <f t="shared" si="660"/>
        <v>703808.00000000291</v>
      </c>
      <c r="AE503">
        <f t="shared" si="661"/>
        <v>-7.0000000000000284</v>
      </c>
      <c r="AF503">
        <f t="shared" si="662"/>
        <v>-301938.0000000025</v>
      </c>
      <c r="AG503">
        <f t="shared" si="663"/>
        <v>-151937.99999999901</v>
      </c>
      <c r="AH503">
        <f t="shared" si="664"/>
        <v>-4.9999999999999822</v>
      </c>
      <c r="AI503">
        <f t="shared" si="665"/>
        <v>7.2300774357763914E-2</v>
      </c>
      <c r="AJ503">
        <f t="shared" si="666"/>
        <v>-25764.005884516399</v>
      </c>
      <c r="AK503">
        <f t="shared" si="667"/>
        <v>13877.096736198173</v>
      </c>
      <c r="AL503">
        <f t="shared" si="668"/>
        <v>47509.176779193906</v>
      </c>
      <c r="AM503" s="1">
        <f t="shared" si="669"/>
        <v>476.19331076501874</v>
      </c>
      <c r="AN503" s="1">
        <f t="shared" si="645"/>
        <v>278984.5332424161</v>
      </c>
      <c r="AO503">
        <f t="shared" si="646"/>
        <v>-3.9311810066973734</v>
      </c>
      <c r="AP503">
        <f t="shared" si="647"/>
        <v>19.392730144018085</v>
      </c>
    </row>
    <row r="504" spans="1:42" x14ac:dyDescent="0.25">
      <c r="A504" s="4">
        <v>45362</v>
      </c>
      <c r="B504">
        <f t="shared" ref="B504:N504" si="720">(B1054-B1053)*100</f>
        <v>0.99999999999997868</v>
      </c>
      <c r="C504">
        <f t="shared" si="720"/>
        <v>1.0000000000000675</v>
      </c>
      <c r="D504">
        <f t="shared" si="720"/>
        <v>-2.0000000000000462</v>
      </c>
      <c r="E504">
        <f t="shared" si="720"/>
        <v>-0.99999999999997868</v>
      </c>
      <c r="F504">
        <f t="shared" si="720"/>
        <v>-0.99999999999997868</v>
      </c>
      <c r="G504">
        <f t="shared" si="720"/>
        <v>-3.0000000000000249</v>
      </c>
      <c r="H504">
        <f t="shared" si="720"/>
        <v>-2.9999999999999361</v>
      </c>
      <c r="I504">
        <f t="shared" si="720"/>
        <v>-0.99999999999997868</v>
      </c>
      <c r="J504">
        <f t="shared" si="720"/>
        <v>-2.0000000000000462</v>
      </c>
      <c r="K504">
        <f t="shared" si="720"/>
        <v>-0.99999999999997868</v>
      </c>
      <c r="L504">
        <f t="shared" si="720"/>
        <v>-0.99999999999997868</v>
      </c>
      <c r="M504">
        <f t="shared" si="720"/>
        <v>0</v>
      </c>
      <c r="N504">
        <f t="shared" si="720"/>
        <v>0</v>
      </c>
      <c r="O504" s="5">
        <f t="shared" si="711"/>
        <v>5.2249755011981723E-4</v>
      </c>
      <c r="P504" s="5">
        <f t="shared" si="711"/>
        <v>2.7239087644495862E-3</v>
      </c>
      <c r="Q504" s="5">
        <f t="shared" si="711"/>
        <v>-1.9346337836120275E-2</v>
      </c>
      <c r="R504" s="5">
        <f t="shared" si="711"/>
        <v>2.7126000437589662E-4</v>
      </c>
      <c r="S504" s="5">
        <f t="shared" si="711"/>
        <v>-4.4037134727384505E-4</v>
      </c>
      <c r="U504" s="4">
        <v>45362</v>
      </c>
      <c r="V504">
        <f t="shared" si="652"/>
        <v>-3999.9999999999145</v>
      </c>
      <c r="W504">
        <f t="shared" si="653"/>
        <v>-2223.0000000001501</v>
      </c>
      <c r="X504">
        <f t="shared" si="654"/>
        <v>-9180.0000000002128</v>
      </c>
      <c r="Y504">
        <f t="shared" si="655"/>
        <v>3444.9999999999268</v>
      </c>
      <c r="Z504">
        <f t="shared" si="656"/>
        <v>-5434.9999999998845</v>
      </c>
      <c r="AA504">
        <f t="shared" si="657"/>
        <v>6000.00000000005</v>
      </c>
      <c r="AB504">
        <f t="shared" si="658"/>
        <v>-13691.999999999709</v>
      </c>
      <c r="AC504">
        <f t="shared" si="659"/>
        <v>2222.9999999999527</v>
      </c>
      <c r="AD504">
        <f t="shared" si="660"/>
        <v>201088.00000000466</v>
      </c>
      <c r="AE504">
        <f t="shared" si="661"/>
        <v>-0.99999999999997868</v>
      </c>
      <c r="AF504">
        <f t="shared" si="662"/>
        <v>-50322.99999999893</v>
      </c>
      <c r="AG504">
        <f t="shared" si="663"/>
        <v>0</v>
      </c>
      <c r="AH504">
        <f t="shared" si="664"/>
        <v>0</v>
      </c>
      <c r="AI504">
        <f t="shared" si="665"/>
        <v>5.2249755011981723E-2</v>
      </c>
      <c r="AJ504">
        <f t="shared" si="666"/>
        <v>-27239.087644495863</v>
      </c>
      <c r="AK504">
        <f t="shared" si="667"/>
        <v>-193463.37836120275</v>
      </c>
      <c r="AL504">
        <f t="shared" si="668"/>
        <v>-6781.5001093974151</v>
      </c>
      <c r="AM504" s="1">
        <f t="shared" si="669"/>
        <v>4403.71347273845</v>
      </c>
      <c r="AN504" s="1">
        <f t="shared" si="645"/>
        <v>-95178.200392596758</v>
      </c>
      <c r="AO504">
        <f t="shared" si="646"/>
        <v>-1.7204349549429967</v>
      </c>
      <c r="AP504">
        <f t="shared" si="647"/>
        <v>19.731884505980119</v>
      </c>
    </row>
    <row r="505" spans="1:42" x14ac:dyDescent="0.25">
      <c r="A505" s="4">
        <v>45359</v>
      </c>
      <c r="B505">
        <f t="shared" ref="B505:N505" si="721">(B1055-B1054)*100</f>
        <v>0</v>
      </c>
      <c r="C505">
        <f t="shared" si="721"/>
        <v>0</v>
      </c>
      <c r="D505">
        <f t="shared" si="721"/>
        <v>0.99999999999997868</v>
      </c>
      <c r="E505">
        <f t="shared" si="721"/>
        <v>0</v>
      </c>
      <c r="F505">
        <f t="shared" si="721"/>
        <v>0</v>
      </c>
      <c r="G505">
        <f t="shared" si="721"/>
        <v>0.99999999999997868</v>
      </c>
      <c r="H505">
        <f t="shared" si="721"/>
        <v>1.9999999999999574</v>
      </c>
      <c r="I505">
        <f t="shared" si="721"/>
        <v>3.0000000000000249</v>
      </c>
      <c r="J505">
        <f t="shared" si="721"/>
        <v>1.0000000000000675</v>
      </c>
      <c r="K505">
        <f t="shared" si="721"/>
        <v>0.99999999999997868</v>
      </c>
      <c r="L505">
        <f t="shared" si="721"/>
        <v>0</v>
      </c>
      <c r="M505">
        <f t="shared" si="721"/>
        <v>-1.0000000000000675</v>
      </c>
      <c r="N505">
        <f t="shared" si="721"/>
        <v>-0.99999999999997868</v>
      </c>
      <c r="O505" s="5">
        <f t="shared" ref="O505:S514" si="722">LN(O1054/O1055)</f>
        <v>7.8096230802925937E-3</v>
      </c>
      <c r="P505" s="5">
        <f t="shared" si="722"/>
        <v>-3.6940266587895012E-3</v>
      </c>
      <c r="Q505" s="5">
        <f t="shared" si="722"/>
        <v>2.5851642337474147E-3</v>
      </c>
      <c r="R505" s="5">
        <f t="shared" si="722"/>
        <v>-6.2204392598222465E-3</v>
      </c>
      <c r="S505" s="5">
        <f t="shared" si="722"/>
        <v>-3.4626464125424648E-3</v>
      </c>
      <c r="U505" s="4">
        <v>45359</v>
      </c>
      <c r="V505">
        <f t="shared" si="652"/>
        <v>0</v>
      </c>
      <c r="W505">
        <f t="shared" si="653"/>
        <v>0</v>
      </c>
      <c r="X505">
        <f t="shared" si="654"/>
        <v>4589.9999999999018</v>
      </c>
      <c r="Y505">
        <f t="shared" si="655"/>
        <v>0</v>
      </c>
      <c r="Z505">
        <f t="shared" si="656"/>
        <v>0</v>
      </c>
      <c r="AA505">
        <f t="shared" si="657"/>
        <v>-1999.9999999999573</v>
      </c>
      <c r="AB505">
        <f t="shared" si="658"/>
        <v>9127.9999999998054</v>
      </c>
      <c r="AC505">
        <f t="shared" si="659"/>
        <v>-6669.0000000000555</v>
      </c>
      <c r="AD505">
        <f t="shared" si="660"/>
        <v>-100544.00000000678</v>
      </c>
      <c r="AE505">
        <f t="shared" si="661"/>
        <v>0.99999999999997868</v>
      </c>
      <c r="AF505">
        <f t="shared" si="662"/>
        <v>0</v>
      </c>
      <c r="AG505">
        <f t="shared" si="663"/>
        <v>-25323.00000000171</v>
      </c>
      <c r="AH505">
        <f t="shared" si="664"/>
        <v>-0.99999999999997868</v>
      </c>
      <c r="AI505">
        <f t="shared" si="665"/>
        <v>0.78096230802925937</v>
      </c>
      <c r="AJ505">
        <f t="shared" si="666"/>
        <v>36940.266587895014</v>
      </c>
      <c r="AK505">
        <f t="shared" si="667"/>
        <v>25851.642337474146</v>
      </c>
      <c r="AL505">
        <f t="shared" si="668"/>
        <v>155510.98149555616</v>
      </c>
      <c r="AM505" s="1">
        <f t="shared" si="669"/>
        <v>34626.464125424645</v>
      </c>
      <c r="AN505" s="1">
        <f t="shared" si="645"/>
        <v>132112.1355086492</v>
      </c>
      <c r="AO505">
        <f t="shared" si="646"/>
        <v>-2.0588091508531576</v>
      </c>
      <c r="AP505">
        <f t="shared" si="647"/>
        <v>19.724425290035519</v>
      </c>
    </row>
    <row r="506" spans="1:42" x14ac:dyDescent="0.25">
      <c r="A506" s="4">
        <v>45358</v>
      </c>
      <c r="B506">
        <f t="shared" ref="B506:N506" si="723">(B1056-B1055)*100</f>
        <v>-0.99999999999997868</v>
      </c>
      <c r="C506">
        <f t="shared" si="723"/>
        <v>-1.0000000000000675</v>
      </c>
      <c r="D506">
        <f t="shared" si="723"/>
        <v>0</v>
      </c>
      <c r="E506">
        <f t="shared" si="723"/>
        <v>0</v>
      </c>
      <c r="F506">
        <f t="shared" si="723"/>
        <v>0.99999999999997868</v>
      </c>
      <c r="G506">
        <f t="shared" si="723"/>
        <v>2.0000000000000462</v>
      </c>
      <c r="H506">
        <f t="shared" si="723"/>
        <v>4.9999999999999822</v>
      </c>
      <c r="I506">
        <f t="shared" si="723"/>
        <v>4.0000000000000036</v>
      </c>
      <c r="J506">
        <f t="shared" si="723"/>
        <v>4.9999999999999822</v>
      </c>
      <c r="K506">
        <f t="shared" si="723"/>
        <v>3.0000000000000249</v>
      </c>
      <c r="L506">
        <f t="shared" si="723"/>
        <v>2.0000000000000462</v>
      </c>
      <c r="M506">
        <f t="shared" si="723"/>
        <v>1.0000000000000675</v>
      </c>
      <c r="N506">
        <f t="shared" si="723"/>
        <v>-0.99999999999997868</v>
      </c>
      <c r="O506" s="5">
        <f t="shared" si="722"/>
        <v>-6.8856578523532059E-4</v>
      </c>
      <c r="P506" s="5">
        <f t="shared" si="722"/>
        <v>-4.2094253480474167E-4</v>
      </c>
      <c r="Q506" s="5">
        <f t="shared" si="722"/>
        <v>5.0060892647282385E-3</v>
      </c>
      <c r="R506" s="5">
        <f t="shared" si="722"/>
        <v>-6.4499014249929931E-3</v>
      </c>
      <c r="S506" s="5">
        <f t="shared" si="722"/>
        <v>-1.4870948408258462E-3</v>
      </c>
      <c r="U506" s="4">
        <v>45358</v>
      </c>
      <c r="V506">
        <f t="shared" si="652"/>
        <v>3999.9999999999145</v>
      </c>
      <c r="W506">
        <f t="shared" si="653"/>
        <v>2223.0000000001501</v>
      </c>
      <c r="X506">
        <f t="shared" si="654"/>
        <v>0</v>
      </c>
      <c r="Y506">
        <f t="shared" si="655"/>
        <v>0</v>
      </c>
      <c r="Z506">
        <f t="shared" si="656"/>
        <v>5434.9999999998845</v>
      </c>
      <c r="AA506">
        <f t="shared" si="657"/>
        <v>-4000.0000000000923</v>
      </c>
      <c r="AB506">
        <f t="shared" si="658"/>
        <v>22819.99999999992</v>
      </c>
      <c r="AC506">
        <f t="shared" si="659"/>
        <v>-8892.0000000000073</v>
      </c>
      <c r="AD506">
        <f t="shared" si="660"/>
        <v>-502719.9999999982</v>
      </c>
      <c r="AE506">
        <f t="shared" si="661"/>
        <v>3.0000000000000249</v>
      </c>
      <c r="AF506">
        <f t="shared" si="662"/>
        <v>100646.00000000233</v>
      </c>
      <c r="AG506">
        <f t="shared" si="663"/>
        <v>25323.00000000171</v>
      </c>
      <c r="AH506">
        <f t="shared" si="664"/>
        <v>-0.99999999999997868</v>
      </c>
      <c r="AI506">
        <f t="shared" si="665"/>
        <v>-6.8856578523532053E-2</v>
      </c>
      <c r="AJ506">
        <f t="shared" si="666"/>
        <v>4209.4253480474163</v>
      </c>
      <c r="AK506">
        <f t="shared" si="667"/>
        <v>50060.892647282388</v>
      </c>
      <c r="AL506">
        <f t="shared" si="668"/>
        <v>161247.53562482484</v>
      </c>
      <c r="AM506" s="1">
        <f t="shared" si="669"/>
        <v>14870.948408258462</v>
      </c>
      <c r="AN506" s="1">
        <f t="shared" si="645"/>
        <v>-124774.2668281598</v>
      </c>
      <c r="AO506">
        <f t="shared" si="646"/>
        <v>-1.4222046689819563</v>
      </c>
      <c r="AP506">
        <f t="shared" si="647"/>
        <v>19.72538713188883</v>
      </c>
    </row>
    <row r="507" spans="1:42" x14ac:dyDescent="0.25">
      <c r="A507" s="4">
        <v>45357</v>
      </c>
      <c r="B507">
        <f t="shared" ref="B507:N507" si="724">(B1057-B1056)*100</f>
        <v>0</v>
      </c>
      <c r="C507">
        <f t="shared" si="724"/>
        <v>0</v>
      </c>
      <c r="D507">
        <f t="shared" si="724"/>
        <v>0</v>
      </c>
      <c r="E507">
        <f t="shared" si="724"/>
        <v>0</v>
      </c>
      <c r="F507">
        <f t="shared" si="724"/>
        <v>0</v>
      </c>
      <c r="G507">
        <f t="shared" si="724"/>
        <v>-0.99999999999997868</v>
      </c>
      <c r="H507">
        <f t="shared" si="724"/>
        <v>-0.99999999999997868</v>
      </c>
      <c r="I507">
        <f t="shared" si="724"/>
        <v>0</v>
      </c>
      <c r="J507">
        <f t="shared" si="724"/>
        <v>0.99999999999997868</v>
      </c>
      <c r="K507">
        <f t="shared" si="724"/>
        <v>3.0000000000000249</v>
      </c>
      <c r="L507">
        <f t="shared" si="724"/>
        <v>1.9999999999999574</v>
      </c>
      <c r="M507">
        <f t="shared" si="724"/>
        <v>2.9999999999999361</v>
      </c>
      <c r="N507">
        <f t="shared" si="724"/>
        <v>2.9999999999999361</v>
      </c>
      <c r="O507" s="5">
        <f t="shared" si="722"/>
        <v>-1.8203888522171619E-3</v>
      </c>
      <c r="P507" s="5">
        <f t="shared" si="722"/>
        <v>-6.2042509836507387E-3</v>
      </c>
      <c r="Q507" s="5">
        <f t="shared" si="722"/>
        <v>4.5578743162771763E-3</v>
      </c>
      <c r="R507" s="5">
        <f t="shared" si="722"/>
        <v>-3.20941703673605E-3</v>
      </c>
      <c r="S507" s="5">
        <f t="shared" si="722"/>
        <v>-3.4160789721358158E-3</v>
      </c>
      <c r="U507" s="4">
        <v>45357</v>
      </c>
      <c r="V507">
        <f t="shared" si="652"/>
        <v>0</v>
      </c>
      <c r="W507">
        <f t="shared" si="653"/>
        <v>0</v>
      </c>
      <c r="X507">
        <f t="shared" si="654"/>
        <v>0</v>
      </c>
      <c r="Y507">
        <f t="shared" si="655"/>
        <v>0</v>
      </c>
      <c r="Z507">
        <f t="shared" si="656"/>
        <v>0</v>
      </c>
      <c r="AA507">
        <f t="shared" si="657"/>
        <v>1999.9999999999573</v>
      </c>
      <c r="AB507">
        <f t="shared" si="658"/>
        <v>-4563.9999999999027</v>
      </c>
      <c r="AC507">
        <f t="shared" si="659"/>
        <v>0</v>
      </c>
      <c r="AD507">
        <f t="shared" si="660"/>
        <v>-100543.99999999786</v>
      </c>
      <c r="AE507">
        <f t="shared" si="661"/>
        <v>3.0000000000000249</v>
      </c>
      <c r="AF507">
        <f t="shared" si="662"/>
        <v>100645.99999999786</v>
      </c>
      <c r="AG507">
        <f t="shared" si="663"/>
        <v>75968.999999998385</v>
      </c>
      <c r="AH507">
        <f t="shared" si="664"/>
        <v>2.9999999999999361</v>
      </c>
      <c r="AI507">
        <f t="shared" si="665"/>
        <v>-0.18203888522171618</v>
      </c>
      <c r="AJ507">
        <f t="shared" si="666"/>
        <v>62042.509836507386</v>
      </c>
      <c r="AK507">
        <f t="shared" si="667"/>
        <v>45578.74316277176</v>
      </c>
      <c r="AL507">
        <f t="shared" si="668"/>
        <v>80235.425918401248</v>
      </c>
      <c r="AM507" s="1">
        <f t="shared" si="669"/>
        <v>34160.78972135816</v>
      </c>
      <c r="AN507" s="1">
        <f t="shared" si="645"/>
        <v>295530.2866001518</v>
      </c>
      <c r="AO507">
        <f t="shared" si="646"/>
        <v>1.9984569078526966</v>
      </c>
      <c r="AP507">
        <f t="shared" si="647"/>
        <v>19.7370885743183</v>
      </c>
    </row>
    <row r="508" spans="1:42" x14ac:dyDescent="0.25">
      <c r="A508" s="4">
        <v>45356</v>
      </c>
      <c r="B508">
        <f t="shared" ref="B508:N508" si="725">(B1058-B1057)*100</f>
        <v>0.99999999999997868</v>
      </c>
      <c r="C508">
        <f t="shared" si="725"/>
        <v>2.0000000000000462</v>
      </c>
      <c r="D508">
        <f t="shared" si="725"/>
        <v>1.0000000000000675</v>
      </c>
      <c r="E508">
        <f t="shared" si="725"/>
        <v>1.9999999999999574</v>
      </c>
      <c r="F508">
        <f t="shared" si="725"/>
        <v>2.0000000000000462</v>
      </c>
      <c r="G508">
        <f t="shared" si="725"/>
        <v>4.0000000000000036</v>
      </c>
      <c r="H508">
        <f t="shared" si="725"/>
        <v>7.0000000000000284</v>
      </c>
      <c r="I508">
        <f t="shared" si="725"/>
        <v>6.9999999999999396</v>
      </c>
      <c r="J508">
        <f t="shared" si="725"/>
        <v>8.0000000000000071</v>
      </c>
      <c r="K508">
        <f t="shared" si="725"/>
        <v>8.0000000000000071</v>
      </c>
      <c r="L508">
        <f t="shared" si="725"/>
        <v>8.9999999999999858</v>
      </c>
      <c r="M508">
        <f t="shared" si="725"/>
        <v>9.0000000000000746</v>
      </c>
      <c r="N508">
        <f t="shared" si="725"/>
        <v>9.0000000000000746</v>
      </c>
      <c r="O508" s="5">
        <f t="shared" si="722"/>
        <v>2.6274038369779947E-4</v>
      </c>
      <c r="P508" s="5">
        <f t="shared" si="722"/>
        <v>1.0652059137011768E-3</v>
      </c>
      <c r="Q508" s="5">
        <f t="shared" si="722"/>
        <v>5.6853217373538864E-3</v>
      </c>
      <c r="R508" s="5">
        <f t="shared" si="722"/>
        <v>-6.3880973158156173E-3</v>
      </c>
      <c r="S508" s="5">
        <f t="shared" si="722"/>
        <v>-7.6671742553081174E-4</v>
      </c>
      <c r="U508" s="4">
        <v>45356</v>
      </c>
      <c r="V508">
        <f t="shared" si="652"/>
        <v>-3999.9999999999145</v>
      </c>
      <c r="W508">
        <f t="shared" si="653"/>
        <v>-4446.0000000001028</v>
      </c>
      <c r="X508">
        <f t="shared" si="654"/>
        <v>4590.0000000003101</v>
      </c>
      <c r="Y508">
        <f t="shared" si="655"/>
        <v>-6889.9999999998536</v>
      </c>
      <c r="Z508">
        <f t="shared" si="656"/>
        <v>10870.000000000251</v>
      </c>
      <c r="AA508">
        <f t="shared" si="657"/>
        <v>-8000.0000000000073</v>
      </c>
      <c r="AB508">
        <f t="shared" si="658"/>
        <v>31948.000000000131</v>
      </c>
      <c r="AC508">
        <f t="shared" si="659"/>
        <v>-15560.999999999865</v>
      </c>
      <c r="AD508">
        <f t="shared" si="660"/>
        <v>-804352.0000000007</v>
      </c>
      <c r="AE508">
        <f t="shared" si="661"/>
        <v>8.0000000000000071</v>
      </c>
      <c r="AF508">
        <f t="shared" si="662"/>
        <v>452906.9999999993</v>
      </c>
      <c r="AG508">
        <f t="shared" si="663"/>
        <v>227907.00000000189</v>
      </c>
      <c r="AH508">
        <f t="shared" si="664"/>
        <v>9.0000000000000746</v>
      </c>
      <c r="AI508">
        <f t="shared" si="665"/>
        <v>2.6274038369779946E-2</v>
      </c>
      <c r="AJ508">
        <f t="shared" si="666"/>
        <v>-10652.059137011769</v>
      </c>
      <c r="AK508">
        <f t="shared" si="667"/>
        <v>56853.217373538864</v>
      </c>
      <c r="AL508">
        <f t="shared" si="668"/>
        <v>159702.43289539043</v>
      </c>
      <c r="AM508" s="1">
        <f t="shared" si="669"/>
        <v>7667.1742553081176</v>
      </c>
      <c r="AN508" s="1">
        <f t="shared" si="645"/>
        <v>98560.791661265437</v>
      </c>
      <c r="AO508">
        <f t="shared" si="646"/>
        <v>-5.8910822099477511E-2</v>
      </c>
      <c r="AP508">
        <f t="shared" si="647"/>
        <v>19.752710957066721</v>
      </c>
    </row>
    <row r="509" spans="1:42" x14ac:dyDescent="0.25">
      <c r="A509" s="4">
        <v>45355</v>
      </c>
      <c r="B509">
        <f t="shared" ref="B509:N509" si="726">(B1059-B1058)*100</f>
        <v>3.0000000000000249</v>
      </c>
      <c r="C509">
        <f t="shared" si="726"/>
        <v>0</v>
      </c>
      <c r="D509">
        <f t="shared" si="726"/>
        <v>-6.0000000000000497</v>
      </c>
      <c r="E509">
        <f t="shared" si="726"/>
        <v>-0.99999999999997868</v>
      </c>
      <c r="F509">
        <f t="shared" si="726"/>
        <v>-10.000000000000053</v>
      </c>
      <c r="G509">
        <f t="shared" si="726"/>
        <v>-4.0000000000000036</v>
      </c>
      <c r="H509">
        <f t="shared" si="726"/>
        <v>-7.0000000000000284</v>
      </c>
      <c r="I509">
        <f t="shared" si="726"/>
        <v>-6.9999999999999396</v>
      </c>
      <c r="J509">
        <f t="shared" si="726"/>
        <v>-4.0000000000000036</v>
      </c>
      <c r="K509">
        <f t="shared" si="726"/>
        <v>-3.0000000000000249</v>
      </c>
      <c r="L509">
        <f t="shared" si="726"/>
        <v>-2.9999999999999361</v>
      </c>
      <c r="M509">
        <f t="shared" si="726"/>
        <v>-2.0000000000000462</v>
      </c>
      <c r="N509">
        <f t="shared" si="726"/>
        <v>-3.0000000000000249</v>
      </c>
      <c r="O509" s="5">
        <f t="shared" si="722"/>
        <v>-2.4428417740280438E-3</v>
      </c>
      <c r="P509" s="5">
        <f t="shared" si="722"/>
        <v>-1.6353855357244954E-3</v>
      </c>
      <c r="Q509" s="5">
        <f t="shared" si="722"/>
        <v>-3.6151088784853939E-3</v>
      </c>
      <c r="R509" s="5">
        <f t="shared" si="722"/>
        <v>5.3078557509439776E-4</v>
      </c>
      <c r="S509" s="5">
        <f t="shared" si="722"/>
        <v>-3.6074671829073811E-3</v>
      </c>
      <c r="U509" s="4">
        <v>45355</v>
      </c>
      <c r="V509">
        <f t="shared" si="652"/>
        <v>-12000.0000000001</v>
      </c>
      <c r="W509">
        <f t="shared" si="653"/>
        <v>0</v>
      </c>
      <c r="X509">
        <f t="shared" si="654"/>
        <v>-27540.000000000229</v>
      </c>
      <c r="Y509">
        <f t="shared" si="655"/>
        <v>3444.9999999999268</v>
      </c>
      <c r="Z509">
        <f t="shared" si="656"/>
        <v>-54350.000000000291</v>
      </c>
      <c r="AA509">
        <f t="shared" si="657"/>
        <v>8000.0000000000073</v>
      </c>
      <c r="AB509">
        <f t="shared" si="658"/>
        <v>-31948.000000000131</v>
      </c>
      <c r="AC509">
        <f t="shared" si="659"/>
        <v>15560.999999999865</v>
      </c>
      <c r="AD509">
        <f t="shared" si="660"/>
        <v>402176.00000000035</v>
      </c>
      <c r="AE509">
        <f t="shared" si="661"/>
        <v>-3.0000000000000249</v>
      </c>
      <c r="AF509">
        <f t="shared" si="662"/>
        <v>-150968.99999999677</v>
      </c>
      <c r="AG509">
        <f t="shared" si="663"/>
        <v>-50646.000000001171</v>
      </c>
      <c r="AH509">
        <f t="shared" si="664"/>
        <v>-3.0000000000000249</v>
      </c>
      <c r="AI509">
        <f t="shared" si="665"/>
        <v>-0.24428417740280436</v>
      </c>
      <c r="AJ509">
        <f t="shared" si="666"/>
        <v>16353.855357244955</v>
      </c>
      <c r="AK509">
        <f t="shared" si="667"/>
        <v>-36151.088784853942</v>
      </c>
      <c r="AL509">
        <f t="shared" si="668"/>
        <v>-13269.639377359945</v>
      </c>
      <c r="AM509" s="1">
        <f t="shared" si="669"/>
        <v>36074.671829073814</v>
      </c>
      <c r="AN509" s="1">
        <f t="shared" si="645"/>
        <v>104730.55473992898</v>
      </c>
      <c r="AO509">
        <f t="shared" si="646"/>
        <v>-1.2080953306332542</v>
      </c>
      <c r="AP509">
        <f t="shared" si="647"/>
        <v>19.84242359953894</v>
      </c>
    </row>
    <row r="510" spans="1:42" x14ac:dyDescent="0.25">
      <c r="A510" s="4">
        <v>45352</v>
      </c>
      <c r="B510">
        <f t="shared" ref="B510:N510" si="727">(B1060-B1059)*100</f>
        <v>-0.99999999999997868</v>
      </c>
      <c r="C510">
        <f t="shared" si="727"/>
        <v>0.99999999999997868</v>
      </c>
      <c r="D510">
        <f t="shared" si="727"/>
        <v>3.0000000000000249</v>
      </c>
      <c r="E510">
        <f t="shared" si="727"/>
        <v>1.9999999999999574</v>
      </c>
      <c r="F510">
        <f t="shared" si="727"/>
        <v>3.0000000000000249</v>
      </c>
      <c r="G510">
        <f t="shared" si="727"/>
        <v>6.9999999999999396</v>
      </c>
      <c r="H510">
        <f t="shared" si="727"/>
        <v>9.9999999999999645</v>
      </c>
      <c r="I510">
        <f t="shared" si="727"/>
        <v>10.999999999999943</v>
      </c>
      <c r="J510">
        <f t="shared" si="727"/>
        <v>8.9999999999999858</v>
      </c>
      <c r="K510">
        <f t="shared" si="727"/>
        <v>8.0000000000000071</v>
      </c>
      <c r="L510">
        <f t="shared" si="727"/>
        <v>5.9999999999999609</v>
      </c>
      <c r="M510">
        <f t="shared" si="727"/>
        <v>4.9999999999999822</v>
      </c>
      <c r="N510">
        <f t="shared" si="727"/>
        <v>4.9999999999999822</v>
      </c>
      <c r="O510" s="5">
        <f t="shared" si="722"/>
        <v>-4.7675175543283798E-3</v>
      </c>
      <c r="P510" s="5">
        <f t="shared" si="722"/>
        <v>5.1433583239883533E-3</v>
      </c>
      <c r="Q510" s="5">
        <f t="shared" si="722"/>
        <v>-1.0543146736196378E-2</v>
      </c>
      <c r="R510" s="5">
        <f t="shared" si="722"/>
        <v>-3.1804956574479309E-3</v>
      </c>
      <c r="S510" s="5">
        <f t="shared" si="722"/>
        <v>-1.8252517722399191E-3</v>
      </c>
      <c r="U510" s="4">
        <v>45352</v>
      </c>
      <c r="V510">
        <f t="shared" si="652"/>
        <v>3999.9999999999145</v>
      </c>
      <c r="W510">
        <f t="shared" si="653"/>
        <v>-2222.9999999999527</v>
      </c>
      <c r="X510">
        <f t="shared" si="654"/>
        <v>13770.000000000115</v>
      </c>
      <c r="Y510">
        <f t="shared" si="655"/>
        <v>-6889.9999999998536</v>
      </c>
      <c r="Z510">
        <f t="shared" si="656"/>
        <v>16305.000000000135</v>
      </c>
      <c r="AA510">
        <f t="shared" si="657"/>
        <v>-13999.99999999988</v>
      </c>
      <c r="AB510">
        <f t="shared" si="658"/>
        <v>45639.99999999984</v>
      </c>
      <c r="AC510">
        <f t="shared" si="659"/>
        <v>-24452.999999999873</v>
      </c>
      <c r="AD510">
        <f t="shared" si="660"/>
        <v>-904895.9999999986</v>
      </c>
      <c r="AE510">
        <f t="shared" si="661"/>
        <v>8.0000000000000071</v>
      </c>
      <c r="AF510">
        <f t="shared" si="662"/>
        <v>301937.99999999802</v>
      </c>
      <c r="AG510">
        <f t="shared" si="663"/>
        <v>126614.99999999955</v>
      </c>
      <c r="AH510">
        <f t="shared" si="664"/>
        <v>4.9999999999999822</v>
      </c>
      <c r="AI510">
        <f t="shared" si="665"/>
        <v>-0.47675175543283799</v>
      </c>
      <c r="AJ510">
        <f t="shared" si="666"/>
        <v>-51433.583239883534</v>
      </c>
      <c r="AK510">
        <f t="shared" si="667"/>
        <v>-105431.46736196378</v>
      </c>
      <c r="AL510">
        <f t="shared" si="668"/>
        <v>79512.391436198275</v>
      </c>
      <c r="AM510" s="1">
        <f t="shared" si="669"/>
        <v>18252.517722399192</v>
      </c>
      <c r="AN510" s="1">
        <f t="shared" si="645"/>
        <v>-503281.61819500593</v>
      </c>
      <c r="AO510">
        <f t="shared" si="646"/>
        <v>-3.0226411188395534</v>
      </c>
      <c r="AP510">
        <f t="shared" si="647"/>
        <v>19.837521445060105</v>
      </c>
    </row>
    <row r="511" spans="1:42" x14ac:dyDescent="0.25">
      <c r="A511" s="4">
        <v>45351</v>
      </c>
      <c r="B511">
        <f t="shared" ref="B511:N511" si="728">(B1061-B1060)*100</f>
        <v>-3.0000000000000249</v>
      </c>
      <c r="C511">
        <f t="shared" si="728"/>
        <v>0.99999999999997868</v>
      </c>
      <c r="D511">
        <f t="shared" si="728"/>
        <v>0</v>
      </c>
      <c r="E511">
        <f t="shared" si="728"/>
        <v>0</v>
      </c>
      <c r="F511">
        <f t="shared" si="728"/>
        <v>0.99999999999997868</v>
      </c>
      <c r="G511">
        <f t="shared" si="728"/>
        <v>-0.99999999999997868</v>
      </c>
      <c r="H511">
        <f t="shared" si="728"/>
        <v>0</v>
      </c>
      <c r="I511">
        <f t="shared" si="728"/>
        <v>1.0000000000000675</v>
      </c>
      <c r="J511">
        <f t="shared" si="728"/>
        <v>0</v>
      </c>
      <c r="K511">
        <f t="shared" si="728"/>
        <v>0</v>
      </c>
      <c r="L511">
        <f t="shared" si="728"/>
        <v>1.9999999999999574</v>
      </c>
      <c r="M511">
        <f t="shared" si="728"/>
        <v>2.0000000000000462</v>
      </c>
      <c r="N511">
        <f t="shared" si="728"/>
        <v>2.0000000000000462</v>
      </c>
      <c r="O511" s="5">
        <f t="shared" si="722"/>
        <v>5.5542282366781697E-3</v>
      </c>
      <c r="P511" s="5">
        <f t="shared" si="722"/>
        <v>5.8586040367987165E-4</v>
      </c>
      <c r="Q511" s="5">
        <f t="shared" si="722"/>
        <v>-4.4179395120690287E-3</v>
      </c>
      <c r="R511" s="5">
        <f t="shared" si="722"/>
        <v>-3.9614471454705253E-3</v>
      </c>
      <c r="S511" s="5">
        <f t="shared" si="722"/>
        <v>-3.3542247517361363E-3</v>
      </c>
      <c r="U511" s="4">
        <v>45351</v>
      </c>
      <c r="V511">
        <f t="shared" si="652"/>
        <v>12000.0000000001</v>
      </c>
      <c r="W511">
        <f t="shared" si="653"/>
        <v>-2222.9999999999527</v>
      </c>
      <c r="X511">
        <f t="shared" si="654"/>
        <v>0</v>
      </c>
      <c r="Y511">
        <f t="shared" si="655"/>
        <v>0</v>
      </c>
      <c r="Z511">
        <f t="shared" si="656"/>
        <v>5434.9999999998845</v>
      </c>
      <c r="AA511">
        <f t="shared" si="657"/>
        <v>1999.9999999999573</v>
      </c>
      <c r="AB511">
        <f t="shared" si="658"/>
        <v>0</v>
      </c>
      <c r="AC511">
        <f t="shared" si="659"/>
        <v>-2223.0000000001501</v>
      </c>
      <c r="AD511">
        <f t="shared" si="660"/>
        <v>0</v>
      </c>
      <c r="AE511">
        <f t="shared" si="661"/>
        <v>0</v>
      </c>
      <c r="AF511">
        <f t="shared" si="662"/>
        <v>100645.99999999786</v>
      </c>
      <c r="AG511">
        <f t="shared" si="663"/>
        <v>50646.000000001171</v>
      </c>
      <c r="AH511">
        <f t="shared" si="664"/>
        <v>2.0000000000000462</v>
      </c>
      <c r="AI511">
        <f t="shared" si="665"/>
        <v>0.55542282366781692</v>
      </c>
      <c r="AJ511">
        <f t="shared" si="666"/>
        <v>-5858.6040367987162</v>
      </c>
      <c r="AK511">
        <f t="shared" si="667"/>
        <v>-44179.395120690286</v>
      </c>
      <c r="AL511">
        <f t="shared" si="668"/>
        <v>99036.178636763128</v>
      </c>
      <c r="AM511" s="1">
        <f t="shared" si="669"/>
        <v>33542.247517361364</v>
      </c>
      <c r="AN511" s="1">
        <f t="shared" si="645"/>
        <v>248823.98241945801</v>
      </c>
      <c r="AO511">
        <f t="shared" si="646"/>
        <v>-1.6619238709198063</v>
      </c>
      <c r="AP511">
        <f t="shared" si="647"/>
        <v>19.818019476796731</v>
      </c>
    </row>
    <row r="512" spans="1:42" x14ac:dyDescent="0.25">
      <c r="A512" s="4">
        <v>45350</v>
      </c>
      <c r="B512">
        <f t="shared" ref="B512:N512" si="729">(B1062-B1061)*100</f>
        <v>0</v>
      </c>
      <c r="C512">
        <f t="shared" si="729"/>
        <v>0.99999999999997868</v>
      </c>
      <c r="D512">
        <f t="shared" si="729"/>
        <v>0</v>
      </c>
      <c r="E512">
        <f t="shared" si="729"/>
        <v>4.0000000000000036</v>
      </c>
      <c r="F512">
        <f t="shared" si="729"/>
        <v>2.0000000000000462</v>
      </c>
      <c r="G512">
        <f t="shared" si="729"/>
        <v>3.0000000000000249</v>
      </c>
      <c r="H512">
        <f t="shared" si="729"/>
        <v>6.0000000000000497</v>
      </c>
      <c r="I512">
        <f t="shared" si="729"/>
        <v>5.9999999999999609</v>
      </c>
      <c r="J512">
        <f t="shared" si="729"/>
        <v>6.0000000000000497</v>
      </c>
      <c r="K512">
        <f t="shared" si="729"/>
        <v>5.9999999999999609</v>
      </c>
      <c r="L512">
        <f t="shared" si="729"/>
        <v>4.0000000000000036</v>
      </c>
      <c r="M512">
        <f t="shared" si="729"/>
        <v>4.0000000000000036</v>
      </c>
      <c r="N512">
        <f t="shared" si="729"/>
        <v>4.0000000000000036</v>
      </c>
      <c r="O512" s="5">
        <f t="shared" si="722"/>
        <v>-3.6317414599290165E-4</v>
      </c>
      <c r="P512" s="5">
        <f t="shared" si="722"/>
        <v>-2.2396995949673596E-3</v>
      </c>
      <c r="Q512" s="5">
        <f t="shared" si="722"/>
        <v>-2.353682264233067E-3</v>
      </c>
      <c r="R512" s="5">
        <f t="shared" si="722"/>
        <v>1.8467225931647112E-3</v>
      </c>
      <c r="S512" s="5">
        <f t="shared" si="722"/>
        <v>3.084534424948839E-3</v>
      </c>
      <c r="U512" s="4">
        <v>45350</v>
      </c>
      <c r="V512">
        <f t="shared" si="652"/>
        <v>0</v>
      </c>
      <c r="W512">
        <f t="shared" si="653"/>
        <v>-2222.9999999999527</v>
      </c>
      <c r="X512">
        <f t="shared" si="654"/>
        <v>0</v>
      </c>
      <c r="Y512">
        <f t="shared" si="655"/>
        <v>-13780.000000000013</v>
      </c>
      <c r="Z512">
        <f t="shared" si="656"/>
        <v>10870.000000000251</v>
      </c>
      <c r="AA512">
        <f t="shared" si="657"/>
        <v>-6000.00000000005</v>
      </c>
      <c r="AB512">
        <f t="shared" si="658"/>
        <v>27384.000000000226</v>
      </c>
      <c r="AC512">
        <f t="shared" si="659"/>
        <v>-13337.999999999913</v>
      </c>
      <c r="AD512">
        <f t="shared" si="660"/>
        <v>-603264.00000000501</v>
      </c>
      <c r="AE512">
        <f t="shared" si="661"/>
        <v>5.9999999999999609</v>
      </c>
      <c r="AF512">
        <f t="shared" si="662"/>
        <v>201292.00000000017</v>
      </c>
      <c r="AG512">
        <f t="shared" si="663"/>
        <v>101292.00000000009</v>
      </c>
      <c r="AH512">
        <f t="shared" si="664"/>
        <v>4.0000000000000036</v>
      </c>
      <c r="AI512">
        <f t="shared" si="665"/>
        <v>-3.6317414599290165E-2</v>
      </c>
      <c r="AJ512">
        <f t="shared" si="666"/>
        <v>22396.995949673597</v>
      </c>
      <c r="AK512">
        <f t="shared" si="667"/>
        <v>-23536.82264233067</v>
      </c>
      <c r="AL512">
        <f t="shared" si="668"/>
        <v>-46168.064829117779</v>
      </c>
      <c r="AM512" s="1">
        <f t="shared" si="669"/>
        <v>-30845.344249488389</v>
      </c>
      <c r="AN512" s="1">
        <f t="shared" si="645"/>
        <v>-375910.27208868205</v>
      </c>
      <c r="AO512">
        <f t="shared" si="646"/>
        <v>-2.565833814985055</v>
      </c>
      <c r="AP512">
        <f t="shared" si="647"/>
        <v>19.834886225744839</v>
      </c>
    </row>
    <row r="513" spans="1:42" x14ac:dyDescent="0.25">
      <c r="A513" s="4">
        <v>45349</v>
      </c>
      <c r="B513">
        <f t="shared" ref="B513:N513" si="730">(B1063-B1062)*100</f>
        <v>0</v>
      </c>
      <c r="C513">
        <f t="shared" si="730"/>
        <v>0</v>
      </c>
      <c r="D513">
        <f t="shared" si="730"/>
        <v>1.9999999999999574</v>
      </c>
      <c r="E513">
        <f t="shared" si="730"/>
        <v>0</v>
      </c>
      <c r="F513">
        <f t="shared" si="730"/>
        <v>0.99999999999997868</v>
      </c>
      <c r="G513">
        <f t="shared" si="730"/>
        <v>0</v>
      </c>
      <c r="H513">
        <f t="shared" si="730"/>
        <v>-0.99999999999997868</v>
      </c>
      <c r="I513">
        <f t="shared" si="730"/>
        <v>-1.9999999999999574</v>
      </c>
      <c r="J513">
        <f t="shared" si="730"/>
        <v>-3.0000000000000249</v>
      </c>
      <c r="K513">
        <f t="shared" si="730"/>
        <v>-1.9999999999999574</v>
      </c>
      <c r="L513">
        <f t="shared" si="730"/>
        <v>-2.9999999999999361</v>
      </c>
      <c r="M513">
        <f t="shared" si="730"/>
        <v>-4.0000000000000036</v>
      </c>
      <c r="N513">
        <f t="shared" si="730"/>
        <v>-4.0000000000000036</v>
      </c>
      <c r="O513" s="5">
        <f t="shared" si="722"/>
        <v>-4.9100593675230212E-3</v>
      </c>
      <c r="P513" s="5">
        <f t="shared" si="722"/>
        <v>-6.1056393570999724E-3</v>
      </c>
      <c r="Q513" s="5">
        <f t="shared" si="722"/>
        <v>3.1360873359247568E-3</v>
      </c>
      <c r="R513" s="5">
        <f t="shared" si="722"/>
        <v>-2.637132330007523E-3</v>
      </c>
      <c r="S513" s="5">
        <f t="shared" si="722"/>
        <v>-1.7863265878748614E-3</v>
      </c>
      <c r="U513" s="4">
        <v>45349</v>
      </c>
      <c r="V513">
        <f t="shared" si="652"/>
        <v>0</v>
      </c>
      <c r="W513">
        <f t="shared" si="653"/>
        <v>0</v>
      </c>
      <c r="X513">
        <f t="shared" si="654"/>
        <v>9179.9999999998035</v>
      </c>
      <c r="Y513">
        <f t="shared" si="655"/>
        <v>0</v>
      </c>
      <c r="Z513">
        <f t="shared" si="656"/>
        <v>5434.9999999998845</v>
      </c>
      <c r="AA513">
        <f t="shared" si="657"/>
        <v>0</v>
      </c>
      <c r="AB513">
        <f t="shared" si="658"/>
        <v>-4563.9999999999027</v>
      </c>
      <c r="AC513">
        <f t="shared" si="659"/>
        <v>4445.9999999999054</v>
      </c>
      <c r="AD513">
        <f t="shared" si="660"/>
        <v>301632.0000000025</v>
      </c>
      <c r="AE513">
        <f t="shared" si="661"/>
        <v>-1.9999999999999574</v>
      </c>
      <c r="AF513">
        <f t="shared" si="662"/>
        <v>-150968.99999999677</v>
      </c>
      <c r="AG513">
        <f t="shared" si="663"/>
        <v>-101292.00000000009</v>
      </c>
      <c r="AH513">
        <f t="shared" si="664"/>
        <v>-4.0000000000000036</v>
      </c>
      <c r="AI513">
        <f t="shared" si="665"/>
        <v>-0.49100593675230214</v>
      </c>
      <c r="AJ513">
        <f t="shared" si="666"/>
        <v>61056.393570999724</v>
      </c>
      <c r="AK513">
        <f t="shared" si="667"/>
        <v>31360.873359247569</v>
      </c>
      <c r="AL513">
        <f t="shared" si="668"/>
        <v>65928.308250188071</v>
      </c>
      <c r="AM513" s="1">
        <f t="shared" si="669"/>
        <v>17863.265878748614</v>
      </c>
      <c r="AN513" s="1">
        <f t="shared" si="645"/>
        <v>240070.35005325259</v>
      </c>
      <c r="AO513">
        <f t="shared" si="646"/>
        <v>1.9597824300735858</v>
      </c>
      <c r="AP513">
        <f t="shared" si="647"/>
        <v>19.83617607222838</v>
      </c>
    </row>
    <row r="514" spans="1:42" x14ac:dyDescent="0.25">
      <c r="A514" s="4">
        <v>45348</v>
      </c>
      <c r="B514">
        <f t="shared" ref="B514:N514" si="731">(B1064-B1063)*100</f>
        <v>-0.99999999999997868</v>
      </c>
      <c r="C514">
        <f t="shared" si="731"/>
        <v>-0.99999999999997868</v>
      </c>
      <c r="D514">
        <f t="shared" si="731"/>
        <v>-0.99999999999997868</v>
      </c>
      <c r="E514">
        <f t="shared" si="731"/>
        <v>-0.99999999999997868</v>
      </c>
      <c r="F514">
        <f t="shared" si="731"/>
        <v>-1.9999999999999574</v>
      </c>
      <c r="G514">
        <f t="shared" si="731"/>
        <v>-3.0000000000000249</v>
      </c>
      <c r="H514">
        <f t="shared" si="731"/>
        <v>-2.0000000000000462</v>
      </c>
      <c r="I514">
        <f t="shared" si="731"/>
        <v>-3.0000000000000249</v>
      </c>
      <c r="J514">
        <f t="shared" si="731"/>
        <v>-0.99999999999997868</v>
      </c>
      <c r="K514">
        <f t="shared" si="731"/>
        <v>-4.0000000000000036</v>
      </c>
      <c r="L514">
        <f t="shared" si="731"/>
        <v>-2.0000000000000462</v>
      </c>
      <c r="M514">
        <f t="shared" si="731"/>
        <v>-2.0000000000000462</v>
      </c>
      <c r="N514">
        <f t="shared" si="731"/>
        <v>-3.0000000000000249</v>
      </c>
      <c r="O514" s="5">
        <f t="shared" si="722"/>
        <v>-6.4215767176996558E-4</v>
      </c>
      <c r="P514" s="5">
        <f t="shared" si="722"/>
        <v>-1.6763828400569959E-3</v>
      </c>
      <c r="Q514" s="5">
        <f t="shared" si="722"/>
        <v>1.1234292943604812E-2</v>
      </c>
      <c r="R514" s="5">
        <f t="shared" si="722"/>
        <v>5.2687040207209494E-4</v>
      </c>
      <c r="S514" s="5">
        <f t="shared" si="722"/>
        <v>-1.818187633845558E-3</v>
      </c>
      <c r="U514" s="4">
        <v>45348</v>
      </c>
      <c r="V514">
        <f t="shared" si="652"/>
        <v>3999.9999999999145</v>
      </c>
      <c r="W514">
        <f t="shared" si="653"/>
        <v>2222.9999999999527</v>
      </c>
      <c r="X514">
        <f t="shared" si="654"/>
        <v>-4589.9999999999018</v>
      </c>
      <c r="Y514">
        <f t="shared" si="655"/>
        <v>3444.9999999999268</v>
      </c>
      <c r="Z514">
        <f t="shared" si="656"/>
        <v>-10869.999999999769</v>
      </c>
      <c r="AA514">
        <f t="shared" si="657"/>
        <v>6000.00000000005</v>
      </c>
      <c r="AB514">
        <f t="shared" si="658"/>
        <v>-9128.000000000211</v>
      </c>
      <c r="AC514">
        <f t="shared" si="659"/>
        <v>6669.0000000000555</v>
      </c>
      <c r="AD514">
        <f t="shared" si="660"/>
        <v>100543.99999999786</v>
      </c>
      <c r="AE514">
        <f t="shared" si="661"/>
        <v>-4.0000000000000036</v>
      </c>
      <c r="AF514">
        <f t="shared" si="662"/>
        <v>-100646.00000000233</v>
      </c>
      <c r="AG514">
        <f t="shared" si="663"/>
        <v>-50646.000000001171</v>
      </c>
      <c r="AH514">
        <f t="shared" si="664"/>
        <v>-3.0000000000000249</v>
      </c>
      <c r="AI514">
        <f t="shared" si="665"/>
        <v>-6.4215767176996563E-2</v>
      </c>
      <c r="AJ514">
        <f t="shared" si="666"/>
        <v>16763.828400569961</v>
      </c>
      <c r="AK514">
        <f t="shared" si="667"/>
        <v>112342.92943604813</v>
      </c>
      <c r="AL514">
        <f t="shared" si="668"/>
        <v>-13171.760051802374</v>
      </c>
      <c r="AM514" s="1">
        <f t="shared" si="669"/>
        <v>18181.876338455579</v>
      </c>
      <c r="AN514" s="1">
        <f t="shared" si="645"/>
        <v>81110.809907498508</v>
      </c>
      <c r="AO514">
        <f t="shared" si="646"/>
        <v>-1.954383459576488</v>
      </c>
      <c r="AP514">
        <f t="shared" si="647"/>
        <v>19.858673497791017</v>
      </c>
    </row>
    <row r="515" spans="1:42" x14ac:dyDescent="0.25">
      <c r="A515" s="4">
        <v>45345</v>
      </c>
      <c r="B515">
        <f t="shared" ref="B515:N515" si="732">(B1065-B1064)*100</f>
        <v>0</v>
      </c>
      <c r="C515">
        <f t="shared" si="732"/>
        <v>0</v>
      </c>
      <c r="D515">
        <f t="shared" si="732"/>
        <v>-0.99999999999997868</v>
      </c>
      <c r="E515">
        <f t="shared" si="732"/>
        <v>-0.99999999999997868</v>
      </c>
      <c r="F515">
        <f t="shared" si="732"/>
        <v>0</v>
      </c>
      <c r="G515">
        <f t="shared" si="732"/>
        <v>1.9999999999999574</v>
      </c>
      <c r="H515">
        <f t="shared" si="732"/>
        <v>2.0000000000000462</v>
      </c>
      <c r="I515">
        <f t="shared" si="732"/>
        <v>4.0000000000000036</v>
      </c>
      <c r="J515">
        <f t="shared" si="732"/>
        <v>4.9999999999999822</v>
      </c>
      <c r="K515">
        <f t="shared" si="732"/>
        <v>6.9999999999999396</v>
      </c>
      <c r="L515">
        <f t="shared" si="732"/>
        <v>7.0000000000000284</v>
      </c>
      <c r="M515">
        <f t="shared" si="732"/>
        <v>7.0000000000000284</v>
      </c>
      <c r="N515">
        <f t="shared" si="732"/>
        <v>9.9999999999999645</v>
      </c>
      <c r="O515" s="5">
        <f t="shared" ref="O515:S524" si="733">LN(O1064/O1065)</f>
        <v>8.7041168483228005E-3</v>
      </c>
      <c r="P515" s="5">
        <f t="shared" si="733"/>
        <v>8.9266964079942716E-3</v>
      </c>
      <c r="Q515" s="5">
        <f t="shared" si="733"/>
        <v>5.4115753956843222E-3</v>
      </c>
      <c r="R515" s="5">
        <f t="shared" si="733"/>
        <v>2.6385239581810205E-3</v>
      </c>
      <c r="S515" s="5">
        <f t="shared" si="733"/>
        <v>5.7842139317860195E-4</v>
      </c>
      <c r="U515" s="4">
        <v>45345</v>
      </c>
      <c r="V515">
        <f t="shared" si="652"/>
        <v>0</v>
      </c>
      <c r="W515">
        <f t="shared" si="653"/>
        <v>0</v>
      </c>
      <c r="X515">
        <f t="shared" si="654"/>
        <v>-4589.9999999999018</v>
      </c>
      <c r="Y515">
        <f t="shared" si="655"/>
        <v>3444.9999999999268</v>
      </c>
      <c r="Z515">
        <f t="shared" si="656"/>
        <v>0</v>
      </c>
      <c r="AA515">
        <f t="shared" si="657"/>
        <v>-3999.9999999999145</v>
      </c>
      <c r="AB515">
        <f t="shared" si="658"/>
        <v>9128.000000000211</v>
      </c>
      <c r="AC515">
        <f t="shared" si="659"/>
        <v>-8892.0000000000073</v>
      </c>
      <c r="AD515">
        <f t="shared" si="660"/>
        <v>-502719.9999999982</v>
      </c>
      <c r="AE515">
        <f t="shared" si="661"/>
        <v>6.9999999999999396</v>
      </c>
      <c r="AF515">
        <f t="shared" si="662"/>
        <v>352261.00000000146</v>
      </c>
      <c r="AG515">
        <f t="shared" si="663"/>
        <v>177261.00000000073</v>
      </c>
      <c r="AH515">
        <f t="shared" si="664"/>
        <v>9.9999999999999645</v>
      </c>
      <c r="AI515">
        <f t="shared" si="665"/>
        <v>0.87041168483228004</v>
      </c>
      <c r="AJ515">
        <f t="shared" si="666"/>
        <v>-89266.964079942714</v>
      </c>
      <c r="AK515">
        <f t="shared" si="667"/>
        <v>54115.753956843218</v>
      </c>
      <c r="AL515">
        <f t="shared" si="668"/>
        <v>-65963.098954525514</v>
      </c>
      <c r="AM515" s="1">
        <f t="shared" si="669"/>
        <v>-5784.2139317860192</v>
      </c>
      <c r="AN515" s="1">
        <f t="shared" si="645"/>
        <v>-84987.652597721899</v>
      </c>
      <c r="AO515">
        <f t="shared" si="646"/>
        <v>-1.2590043538662588</v>
      </c>
      <c r="AP515">
        <f t="shared" si="647"/>
        <v>19.869555863377286</v>
      </c>
    </row>
    <row r="516" spans="1:42" x14ac:dyDescent="0.25">
      <c r="A516" s="4">
        <v>45344</v>
      </c>
      <c r="B516">
        <f t="shared" ref="B516:N516" si="734">(B1066-B1065)*100</f>
        <v>0.99999999999997868</v>
      </c>
      <c r="C516">
        <f t="shared" si="734"/>
        <v>-0.99999999999997868</v>
      </c>
      <c r="D516">
        <f t="shared" si="734"/>
        <v>-0.99999999999997868</v>
      </c>
      <c r="E516">
        <f t="shared" si="734"/>
        <v>0</v>
      </c>
      <c r="F516">
        <f t="shared" si="734"/>
        <v>0</v>
      </c>
      <c r="G516">
        <f t="shared" si="734"/>
        <v>-3.9999999999999147</v>
      </c>
      <c r="H516">
        <f t="shared" si="734"/>
        <v>-5.0000000000000711</v>
      </c>
      <c r="I516">
        <f t="shared" si="734"/>
        <v>-6.0000000000000497</v>
      </c>
      <c r="J516">
        <f t="shared" si="734"/>
        <v>-3.0000000000000249</v>
      </c>
      <c r="K516">
        <f t="shared" si="734"/>
        <v>-1.9999999999999574</v>
      </c>
      <c r="L516">
        <f t="shared" si="734"/>
        <v>-0.99999999999997868</v>
      </c>
      <c r="M516">
        <f t="shared" si="734"/>
        <v>0.99999999999997868</v>
      </c>
      <c r="N516">
        <f t="shared" si="734"/>
        <v>2.0000000000000462</v>
      </c>
      <c r="O516" s="5">
        <f t="shared" si="733"/>
        <v>2.350177344953673E-3</v>
      </c>
      <c r="P516" s="5">
        <f t="shared" si="733"/>
        <v>9.9056425695033426E-4</v>
      </c>
      <c r="Q516" s="5">
        <f t="shared" si="733"/>
        <v>3.9768072294918315E-3</v>
      </c>
      <c r="R516" s="5">
        <f t="shared" si="733"/>
        <v>-2.6385239581810604E-3</v>
      </c>
      <c r="S516" s="5">
        <f t="shared" si="733"/>
        <v>3.6476624878087026E-3</v>
      </c>
      <c r="U516" s="4">
        <v>45344</v>
      </c>
      <c r="V516">
        <f t="shared" si="652"/>
        <v>-3999.9999999999145</v>
      </c>
      <c r="W516">
        <f t="shared" si="653"/>
        <v>2222.9999999999527</v>
      </c>
      <c r="X516">
        <f t="shared" si="654"/>
        <v>-4589.9999999999018</v>
      </c>
      <c r="Y516">
        <f t="shared" si="655"/>
        <v>0</v>
      </c>
      <c r="Z516">
        <f t="shared" si="656"/>
        <v>0</v>
      </c>
      <c r="AA516">
        <f t="shared" si="657"/>
        <v>7999.999999999829</v>
      </c>
      <c r="AB516">
        <f t="shared" si="658"/>
        <v>-22820.000000000324</v>
      </c>
      <c r="AC516">
        <f t="shared" si="659"/>
        <v>13338.000000000111</v>
      </c>
      <c r="AD516">
        <f t="shared" si="660"/>
        <v>301632.0000000025</v>
      </c>
      <c r="AE516">
        <f t="shared" si="661"/>
        <v>-1.9999999999999574</v>
      </c>
      <c r="AF516">
        <f t="shared" si="662"/>
        <v>-50322.99999999893</v>
      </c>
      <c r="AG516">
        <f t="shared" si="663"/>
        <v>25322.999999999462</v>
      </c>
      <c r="AH516">
        <f t="shared" si="664"/>
        <v>2.0000000000000462</v>
      </c>
      <c r="AI516">
        <f t="shared" si="665"/>
        <v>0.23501773449536731</v>
      </c>
      <c r="AJ516">
        <f t="shared" si="666"/>
        <v>-9905.6425695033431</v>
      </c>
      <c r="AK516">
        <f t="shared" si="667"/>
        <v>39768.072294918318</v>
      </c>
      <c r="AL516">
        <f t="shared" si="668"/>
        <v>65963.098954526504</v>
      </c>
      <c r="AM516" s="1">
        <f t="shared" si="669"/>
        <v>-36476.624878087023</v>
      </c>
      <c r="AN516" s="1">
        <f t="shared" si="645"/>
        <v>328132.13881959178</v>
      </c>
      <c r="AO516">
        <f t="shared" si="646"/>
        <v>3.1650658428527647</v>
      </c>
      <c r="AP516">
        <f t="shared" si="647"/>
        <v>19.865977459826297</v>
      </c>
    </row>
    <row r="517" spans="1:42" x14ac:dyDescent="0.25">
      <c r="A517" s="4">
        <v>45343</v>
      </c>
      <c r="B517">
        <f t="shared" ref="B517:N517" si="735">(B1067-B1066)*100</f>
        <v>-0.99999999999997868</v>
      </c>
      <c r="C517">
        <f t="shared" si="735"/>
        <v>-0.99999999999997868</v>
      </c>
      <c r="D517">
        <f t="shared" si="735"/>
        <v>0</v>
      </c>
      <c r="E517">
        <f t="shared" si="735"/>
        <v>0</v>
      </c>
      <c r="F517">
        <f t="shared" si="735"/>
        <v>0</v>
      </c>
      <c r="G517">
        <f t="shared" si="735"/>
        <v>-1.0000000000000675</v>
      </c>
      <c r="H517">
        <f t="shared" si="735"/>
        <v>-4.9999999999999822</v>
      </c>
      <c r="I517">
        <f t="shared" si="735"/>
        <v>-4.9999999999999822</v>
      </c>
      <c r="J517">
        <f t="shared" si="735"/>
        <v>-4.9999999999999822</v>
      </c>
      <c r="K517">
        <f t="shared" si="735"/>
        <v>-4.9999999999999822</v>
      </c>
      <c r="L517">
        <f t="shared" si="735"/>
        <v>-5.0000000000000711</v>
      </c>
      <c r="M517">
        <f t="shared" si="735"/>
        <v>-3.0000000000000249</v>
      </c>
      <c r="N517">
        <f t="shared" si="735"/>
        <v>-4.9999999999999822</v>
      </c>
      <c r="O517" s="5">
        <f t="shared" si="733"/>
        <v>-2.1275525982817913E-3</v>
      </c>
      <c r="P517" s="5">
        <f t="shared" si="733"/>
        <v>-4.8139927650017739E-4</v>
      </c>
      <c r="Q517" s="5">
        <f t="shared" si="733"/>
        <v>-2.6426118150295469E-3</v>
      </c>
      <c r="R517" s="5">
        <f t="shared" si="733"/>
        <v>3.4314406113274756E-3</v>
      </c>
      <c r="S517" s="5">
        <f t="shared" si="733"/>
        <v>-1.4536334597625036E-3</v>
      </c>
      <c r="U517" s="4">
        <v>45343</v>
      </c>
      <c r="V517">
        <f t="shared" si="652"/>
        <v>3999.9999999999145</v>
      </c>
      <c r="W517">
        <f t="shared" si="653"/>
        <v>2222.9999999999527</v>
      </c>
      <c r="X517">
        <f t="shared" si="654"/>
        <v>0</v>
      </c>
      <c r="Y517">
        <f t="shared" si="655"/>
        <v>0</v>
      </c>
      <c r="Z517">
        <f t="shared" si="656"/>
        <v>0</v>
      </c>
      <c r="AA517">
        <f t="shared" si="657"/>
        <v>2000.0000000001351</v>
      </c>
      <c r="AB517">
        <f t="shared" si="658"/>
        <v>-22819.99999999992</v>
      </c>
      <c r="AC517">
        <f t="shared" si="659"/>
        <v>11114.99999999996</v>
      </c>
      <c r="AD517">
        <f t="shared" si="660"/>
        <v>502719.9999999982</v>
      </c>
      <c r="AE517">
        <f t="shared" si="661"/>
        <v>-4.9999999999999822</v>
      </c>
      <c r="AF517">
        <f t="shared" si="662"/>
        <v>-251615.00000000358</v>
      </c>
      <c r="AG517">
        <f t="shared" si="663"/>
        <v>-75969.000000000626</v>
      </c>
      <c r="AH517">
        <f t="shared" si="664"/>
        <v>-4.9999999999999822</v>
      </c>
      <c r="AI517">
        <f t="shared" si="665"/>
        <v>-0.21275525982817914</v>
      </c>
      <c r="AJ517">
        <f t="shared" si="666"/>
        <v>4813.9927650017735</v>
      </c>
      <c r="AK517">
        <f t="shared" si="667"/>
        <v>-26426.118150295468</v>
      </c>
      <c r="AL517">
        <f t="shared" si="668"/>
        <v>-85786.015283186891</v>
      </c>
      <c r="AM517" s="1">
        <f t="shared" si="669"/>
        <v>14536.334597625037</v>
      </c>
      <c r="AN517" s="1">
        <f t="shared" si="645"/>
        <v>78781.98117387871</v>
      </c>
      <c r="AO517">
        <f t="shared" si="646"/>
        <v>2.1771318074635779</v>
      </c>
      <c r="AP517">
        <f t="shared" si="647"/>
        <v>19.876407821770204</v>
      </c>
    </row>
    <row r="518" spans="1:42" x14ac:dyDescent="0.25">
      <c r="A518" s="4">
        <v>45342</v>
      </c>
      <c r="B518">
        <f t="shared" ref="B518:N518" si="736">(B1068-B1067)*100</f>
        <v>-0.99999999999997868</v>
      </c>
      <c r="C518">
        <f t="shared" si="736"/>
        <v>1.9999999999999574</v>
      </c>
      <c r="D518">
        <f t="shared" si="736"/>
        <v>0</v>
      </c>
      <c r="E518">
        <f t="shared" si="736"/>
        <v>0</v>
      </c>
      <c r="F518">
        <f t="shared" si="736"/>
        <v>-1.0000000000000675</v>
      </c>
      <c r="G518">
        <f t="shared" si="736"/>
        <v>1.0000000000000675</v>
      </c>
      <c r="H518">
        <f t="shared" si="736"/>
        <v>4.9999999999999822</v>
      </c>
      <c r="I518">
        <f t="shared" si="736"/>
        <v>4.9999999999999822</v>
      </c>
      <c r="J518">
        <f t="shared" si="736"/>
        <v>4.0000000000000036</v>
      </c>
      <c r="K518">
        <f t="shared" si="736"/>
        <v>2.9999999999999361</v>
      </c>
      <c r="L518">
        <f t="shared" si="736"/>
        <v>3.0000000000000249</v>
      </c>
      <c r="M518">
        <f t="shared" si="736"/>
        <v>2.0000000000000462</v>
      </c>
      <c r="N518">
        <f t="shared" si="736"/>
        <v>0.99999999999997868</v>
      </c>
      <c r="O518" s="5">
        <f t="shared" si="733"/>
        <v>-7.1196210501954559E-3</v>
      </c>
      <c r="P518" s="5">
        <f t="shared" si="733"/>
        <v>4.5686071219894564E-3</v>
      </c>
      <c r="Q518" s="5">
        <f t="shared" si="733"/>
        <v>4.4498224521970367E-3</v>
      </c>
      <c r="R518" s="5">
        <f t="shared" si="733"/>
        <v>-9.4737550672901547E-3</v>
      </c>
      <c r="S518" s="5">
        <f t="shared" si="733"/>
        <v>1.4125744902783216E-3</v>
      </c>
      <c r="U518" s="4">
        <v>45342</v>
      </c>
      <c r="V518">
        <f t="shared" si="652"/>
        <v>3999.9999999999145</v>
      </c>
      <c r="W518">
        <f t="shared" si="653"/>
        <v>-4445.9999999999054</v>
      </c>
      <c r="X518">
        <f t="shared" si="654"/>
        <v>0</v>
      </c>
      <c r="Y518">
        <f t="shared" si="655"/>
        <v>0</v>
      </c>
      <c r="Z518">
        <f t="shared" si="656"/>
        <v>-5435.0000000003665</v>
      </c>
      <c r="AA518">
        <f t="shared" si="657"/>
        <v>-2000.0000000001351</v>
      </c>
      <c r="AB518">
        <f t="shared" si="658"/>
        <v>22819.99999999992</v>
      </c>
      <c r="AC518">
        <f t="shared" si="659"/>
        <v>-11114.99999999996</v>
      </c>
      <c r="AD518">
        <f t="shared" si="660"/>
        <v>-402176.00000000035</v>
      </c>
      <c r="AE518">
        <f t="shared" si="661"/>
        <v>2.9999999999999361</v>
      </c>
      <c r="AF518">
        <f t="shared" si="662"/>
        <v>150969.00000000125</v>
      </c>
      <c r="AG518">
        <f t="shared" si="663"/>
        <v>50646.000000001171</v>
      </c>
      <c r="AH518">
        <f t="shared" si="664"/>
        <v>0.99999999999997868</v>
      </c>
      <c r="AI518">
        <f t="shared" si="665"/>
        <v>-0.7119621050195456</v>
      </c>
      <c r="AJ518">
        <f t="shared" si="666"/>
        <v>-45686.071219894562</v>
      </c>
      <c r="AK518">
        <f t="shared" si="667"/>
        <v>44498.224521970369</v>
      </c>
      <c r="AL518">
        <f t="shared" si="668"/>
        <v>236843.87668225387</v>
      </c>
      <c r="AM518" s="1">
        <f t="shared" si="669"/>
        <v>-14125.744902783215</v>
      </c>
      <c r="AN518" s="1">
        <f t="shared" ref="AN518:AN550" si="737">SUM(V518:AM518)</f>
        <v>24796.573119443001</v>
      </c>
      <c r="AO518">
        <f t="shared" ref="AO518:AO549" si="738">AN518/AN519-1</f>
        <v>-0.94378096715928728</v>
      </c>
      <c r="AP518">
        <f t="shared" ref="AP518:AP525" si="739">STDEV(AO518:AO538)</f>
        <v>19.904412583609354</v>
      </c>
    </row>
    <row r="519" spans="1:42" x14ac:dyDescent="0.25">
      <c r="A519" s="4">
        <v>45338</v>
      </c>
      <c r="B519">
        <f t="shared" ref="B519:N519" si="740">(B1069-B1068)*100</f>
        <v>0.99999999999997868</v>
      </c>
      <c r="C519">
        <f t="shared" si="740"/>
        <v>0</v>
      </c>
      <c r="D519">
        <f t="shared" si="740"/>
        <v>-1.0000000000000675</v>
      </c>
      <c r="E519">
        <f t="shared" si="740"/>
        <v>0</v>
      </c>
      <c r="F519">
        <f t="shared" si="740"/>
        <v>-0.99999999999997868</v>
      </c>
      <c r="G519">
        <f t="shared" si="740"/>
        <v>-5.0000000000000711</v>
      </c>
      <c r="H519">
        <f t="shared" si="740"/>
        <v>-8.0000000000000071</v>
      </c>
      <c r="I519">
        <f t="shared" si="740"/>
        <v>-6.9999999999999396</v>
      </c>
      <c r="J519">
        <f t="shared" si="740"/>
        <v>-7.0000000000000284</v>
      </c>
      <c r="K519">
        <f t="shared" si="740"/>
        <v>-5.9999999999999609</v>
      </c>
      <c r="L519">
        <f t="shared" si="740"/>
        <v>-5.9999999999999609</v>
      </c>
      <c r="M519">
        <f t="shared" si="740"/>
        <v>-4.0000000000000036</v>
      </c>
      <c r="N519">
        <f t="shared" si="740"/>
        <v>-3.0000000000000249</v>
      </c>
      <c r="O519" s="5">
        <f t="shared" si="733"/>
        <v>1.0254864418517673E-3</v>
      </c>
      <c r="P519" s="5">
        <f t="shared" si="733"/>
        <v>-2.3020552339139114E-4</v>
      </c>
      <c r="Q519" s="5">
        <f t="shared" si="733"/>
        <v>2.1646381644090662E-3</v>
      </c>
      <c r="R519" s="5">
        <f t="shared" si="733"/>
        <v>-5.7456412960795135E-3</v>
      </c>
      <c r="S519" s="5">
        <f t="shared" si="733"/>
        <v>2.1117837611914469E-4</v>
      </c>
      <c r="U519" s="4">
        <v>45338</v>
      </c>
      <c r="V519">
        <f t="shared" si="652"/>
        <v>-3999.9999999999145</v>
      </c>
      <c r="W519">
        <f t="shared" si="653"/>
        <v>0</v>
      </c>
      <c r="X519">
        <f t="shared" si="654"/>
        <v>-4590.0000000003101</v>
      </c>
      <c r="Y519">
        <f t="shared" si="655"/>
        <v>0</v>
      </c>
      <c r="Z519">
        <f t="shared" si="656"/>
        <v>-5434.9999999998845</v>
      </c>
      <c r="AA519">
        <f t="shared" si="657"/>
        <v>10000.000000000142</v>
      </c>
      <c r="AB519">
        <f t="shared" si="658"/>
        <v>-36512.000000000029</v>
      </c>
      <c r="AC519">
        <f t="shared" si="659"/>
        <v>15560.999999999865</v>
      </c>
      <c r="AD519">
        <f t="shared" si="660"/>
        <v>703808.00000000291</v>
      </c>
      <c r="AE519">
        <f t="shared" si="661"/>
        <v>-5.9999999999999609</v>
      </c>
      <c r="AF519">
        <f t="shared" si="662"/>
        <v>-301937.99999999802</v>
      </c>
      <c r="AG519">
        <f t="shared" si="663"/>
        <v>-101292.00000000009</v>
      </c>
      <c r="AH519">
        <f t="shared" si="664"/>
        <v>-3.0000000000000249</v>
      </c>
      <c r="AI519">
        <f t="shared" si="665"/>
        <v>0.10254864418517673</v>
      </c>
      <c r="AJ519">
        <f t="shared" si="666"/>
        <v>2302.0552339139113</v>
      </c>
      <c r="AK519">
        <f t="shared" si="667"/>
        <v>21646.381644090663</v>
      </c>
      <c r="AL519">
        <f t="shared" si="668"/>
        <v>143641.03240198785</v>
      </c>
      <c r="AM519" s="1">
        <f t="shared" si="669"/>
        <v>-2111.783761191447</v>
      </c>
      <c r="AN519" s="1">
        <f t="shared" si="737"/>
        <v>441070.78806744976</v>
      </c>
      <c r="AO519">
        <f t="shared" si="738"/>
        <v>4.4026180406378215</v>
      </c>
      <c r="AP519">
        <f t="shared" si="739"/>
        <v>19.897487062715236</v>
      </c>
    </row>
    <row r="520" spans="1:42" x14ac:dyDescent="0.25">
      <c r="A520" s="4">
        <v>45337</v>
      </c>
      <c r="B520">
        <f t="shared" ref="B520:N520" si="741">(B1070-B1069)*100</f>
        <v>-0.99999999999997868</v>
      </c>
      <c r="C520">
        <f t="shared" si="741"/>
        <v>0</v>
      </c>
      <c r="D520">
        <f t="shared" si="741"/>
        <v>0</v>
      </c>
      <c r="E520">
        <f t="shared" si="741"/>
        <v>0</v>
      </c>
      <c r="F520">
        <f t="shared" si="741"/>
        <v>0.99999999999997868</v>
      </c>
      <c r="G520">
        <f t="shared" si="741"/>
        <v>1.0000000000000675</v>
      </c>
      <c r="H520">
        <f t="shared" si="741"/>
        <v>0</v>
      </c>
      <c r="I520">
        <f t="shared" si="741"/>
        <v>1.9999999999999574</v>
      </c>
      <c r="J520">
        <f t="shared" si="741"/>
        <v>3.0000000000000249</v>
      </c>
      <c r="K520">
        <f t="shared" si="741"/>
        <v>1.9999999999999574</v>
      </c>
      <c r="L520">
        <f t="shared" si="741"/>
        <v>2.9999999999999361</v>
      </c>
      <c r="M520">
        <f t="shared" si="741"/>
        <v>3.0000000000000249</v>
      </c>
      <c r="N520">
        <f t="shared" si="741"/>
        <v>3.0000000000000249</v>
      </c>
      <c r="O520" s="5">
        <f t="shared" si="733"/>
        <v>-2.6149838724063543E-4</v>
      </c>
      <c r="P520" s="5">
        <f t="shared" si="733"/>
        <v>-2.0439455250745803E-3</v>
      </c>
      <c r="Q520" s="5">
        <f t="shared" si="733"/>
        <v>-1.211558658127399E-2</v>
      </c>
      <c r="R520" s="5">
        <f t="shared" si="733"/>
        <v>-8.8151983851687092E-3</v>
      </c>
      <c r="S520" s="5">
        <f t="shared" si="733"/>
        <v>-3.3676671660465862E-3</v>
      </c>
      <c r="U520" s="4">
        <v>45337</v>
      </c>
      <c r="V520">
        <f t="shared" si="652"/>
        <v>3999.9999999999145</v>
      </c>
      <c r="W520">
        <f t="shared" si="653"/>
        <v>0</v>
      </c>
      <c r="X520">
        <f t="shared" si="654"/>
        <v>0</v>
      </c>
      <c r="Y520">
        <f t="shared" si="655"/>
        <v>0</v>
      </c>
      <c r="Z520">
        <f t="shared" si="656"/>
        <v>5434.9999999998845</v>
      </c>
      <c r="AA520">
        <f t="shared" si="657"/>
        <v>-2000.0000000001351</v>
      </c>
      <c r="AB520">
        <f t="shared" si="658"/>
        <v>0</v>
      </c>
      <c r="AC520">
        <f t="shared" si="659"/>
        <v>-4445.9999999999054</v>
      </c>
      <c r="AD520">
        <f t="shared" si="660"/>
        <v>-301632.0000000025</v>
      </c>
      <c r="AE520">
        <f t="shared" si="661"/>
        <v>1.9999999999999574</v>
      </c>
      <c r="AF520">
        <f t="shared" si="662"/>
        <v>150968.99999999677</v>
      </c>
      <c r="AG520">
        <f t="shared" si="663"/>
        <v>75969.000000000626</v>
      </c>
      <c r="AH520">
        <f t="shared" si="664"/>
        <v>3.0000000000000249</v>
      </c>
      <c r="AI520">
        <f t="shared" si="665"/>
        <v>-2.6149838724063543E-2</v>
      </c>
      <c r="AJ520">
        <f t="shared" si="666"/>
        <v>20439.455250745803</v>
      </c>
      <c r="AK520">
        <f t="shared" si="667"/>
        <v>-121155.8658127399</v>
      </c>
      <c r="AL520">
        <f t="shared" si="668"/>
        <v>220379.95962921774</v>
      </c>
      <c r="AM520" s="1">
        <f t="shared" si="669"/>
        <v>33676.671660465865</v>
      </c>
      <c r="AN520" s="1">
        <f t="shared" si="737"/>
        <v>81640.194577845425</v>
      </c>
      <c r="AO520">
        <f t="shared" si="738"/>
        <v>-1.4261051788152828</v>
      </c>
      <c r="AP520">
        <f t="shared" si="739"/>
        <v>19.912669814803895</v>
      </c>
    </row>
    <row r="521" spans="1:42" x14ac:dyDescent="0.25">
      <c r="A521" s="4">
        <v>45336</v>
      </c>
      <c r="B521">
        <f t="shared" ref="B521:N521" si="742">(B1071-B1070)*100</f>
        <v>0</v>
      </c>
      <c r="C521">
        <f t="shared" si="742"/>
        <v>0.99999999999997868</v>
      </c>
      <c r="D521">
        <f t="shared" si="742"/>
        <v>2.0000000000000462</v>
      </c>
      <c r="E521">
        <f t="shared" si="742"/>
        <v>0.99999999999997868</v>
      </c>
      <c r="F521">
        <f t="shared" si="742"/>
        <v>1.0000000000000675</v>
      </c>
      <c r="G521">
        <f t="shared" si="742"/>
        <v>4.9999999999999822</v>
      </c>
      <c r="H521">
        <f t="shared" si="742"/>
        <v>8.0000000000000071</v>
      </c>
      <c r="I521">
        <f t="shared" si="742"/>
        <v>6.0000000000000497</v>
      </c>
      <c r="J521">
        <f t="shared" si="742"/>
        <v>5.9999999999999609</v>
      </c>
      <c r="K521">
        <f t="shared" si="742"/>
        <v>6.0000000000000497</v>
      </c>
      <c r="L521">
        <f t="shared" si="742"/>
        <v>4.0000000000000036</v>
      </c>
      <c r="M521">
        <f t="shared" si="742"/>
        <v>1.9999999999999574</v>
      </c>
      <c r="N521">
        <f t="shared" si="742"/>
        <v>0.99999999999997868</v>
      </c>
      <c r="O521" s="5">
        <f t="shared" si="733"/>
        <v>1.2068306630093743E-4</v>
      </c>
      <c r="P521" s="5">
        <f t="shared" si="733"/>
        <v>-1.5939306508302642E-3</v>
      </c>
      <c r="Q521" s="5">
        <f t="shared" si="733"/>
        <v>-6.7908922343472126E-4</v>
      </c>
      <c r="R521" s="5">
        <f t="shared" si="733"/>
        <v>-2.3204857647260951E-3</v>
      </c>
      <c r="S521" s="5">
        <f t="shared" si="733"/>
        <v>-7.0441085170257619E-3</v>
      </c>
      <c r="U521" s="4">
        <v>45336</v>
      </c>
      <c r="V521">
        <f t="shared" ref="V521:V550" si="743">B521*B$3</f>
        <v>0</v>
      </c>
      <c r="W521">
        <f t="shared" ref="W521:W550" si="744">C521*C$3</f>
        <v>-2222.9999999999527</v>
      </c>
      <c r="X521">
        <f t="shared" ref="X521:X550" si="745">D521*D$3</f>
        <v>9180.0000000002128</v>
      </c>
      <c r="Y521">
        <f t="shared" ref="Y521:Y550" si="746">E521*E$3</f>
        <v>-3444.9999999999268</v>
      </c>
      <c r="Z521">
        <f t="shared" ref="Z521:Z550" si="747">F521*F$3</f>
        <v>5435.0000000003665</v>
      </c>
      <c r="AA521">
        <f t="shared" ref="AA521:AA550" si="748">G521*G$3</f>
        <v>-9999.9999999999636</v>
      </c>
      <c r="AB521">
        <f t="shared" ref="AB521:AB550" si="749">H521*H$3</f>
        <v>36512.000000000029</v>
      </c>
      <c r="AC521">
        <f t="shared" ref="AC521:AC550" si="750">I521*I$3</f>
        <v>-13338.000000000111</v>
      </c>
      <c r="AD521">
        <f t="shared" ref="AD521:AD550" si="751">J521*J$3</f>
        <v>-603263.99999999604</v>
      </c>
      <c r="AE521">
        <f t="shared" ref="AE521:AE550" si="752">K521*K$3</f>
        <v>6.0000000000000497</v>
      </c>
      <c r="AF521">
        <f t="shared" ref="AF521:AF550" si="753">L521*L$3</f>
        <v>201292.00000000017</v>
      </c>
      <c r="AG521">
        <f t="shared" ref="AG521:AG550" si="754">M521*M$3</f>
        <v>50645.999999998923</v>
      </c>
      <c r="AH521">
        <f t="shared" ref="AH521:AH550" si="755">N521*N$3</f>
        <v>0.99999999999997868</v>
      </c>
      <c r="AI521">
        <f t="shared" ref="AI521:AI550" si="756">O521*O$3</f>
        <v>1.2068306630093744E-2</v>
      </c>
      <c r="AJ521">
        <f t="shared" ref="AJ521:AJ550" si="757">P521*P$3</f>
        <v>15939.306508302641</v>
      </c>
      <c r="AK521">
        <f t="shared" ref="AK521:AK550" si="758">Q521*Q$3</f>
        <v>-6790.8922343472123</v>
      </c>
      <c r="AL521">
        <f t="shared" ref="AL521:AL550" si="759">R521*R$3</f>
        <v>58012.144118152377</v>
      </c>
      <c r="AM521" s="1">
        <f t="shared" ref="AM521:AM550" si="760">S521*S$3</f>
        <v>70441.085170257618</v>
      </c>
      <c r="AN521" s="1">
        <f t="shared" si="737"/>
        <v>-191596.34436932427</v>
      </c>
      <c r="AO521">
        <f t="shared" si="738"/>
        <v>-1.3109659373400147</v>
      </c>
      <c r="AP521">
        <f t="shared" si="739"/>
        <v>19.936826225946884</v>
      </c>
    </row>
    <row r="522" spans="1:42" x14ac:dyDescent="0.25">
      <c r="A522" s="4">
        <v>45335</v>
      </c>
      <c r="B522">
        <f t="shared" ref="B522:N522" si="761">(B1072-B1071)*100</f>
        <v>0.99999999999997868</v>
      </c>
      <c r="C522">
        <f t="shared" si="761"/>
        <v>-0.99999999999997868</v>
      </c>
      <c r="D522">
        <f t="shared" si="761"/>
        <v>-2.0000000000000462</v>
      </c>
      <c r="E522">
        <f t="shared" si="761"/>
        <v>-3.0000000000000249</v>
      </c>
      <c r="F522">
        <f t="shared" si="761"/>
        <v>-5.0000000000000711</v>
      </c>
      <c r="G522">
        <f t="shared" si="761"/>
        <v>-12.000000000000011</v>
      </c>
      <c r="H522">
        <f t="shared" si="761"/>
        <v>-17.999999999999972</v>
      </c>
      <c r="I522">
        <f t="shared" si="761"/>
        <v>-19.000000000000039</v>
      </c>
      <c r="J522">
        <f t="shared" si="761"/>
        <v>-17.999999999999972</v>
      </c>
      <c r="K522">
        <f t="shared" si="761"/>
        <v>-16.999999999999993</v>
      </c>
      <c r="L522">
        <f t="shared" si="761"/>
        <v>-13.999999999999968</v>
      </c>
      <c r="M522">
        <f t="shared" si="761"/>
        <v>-10.999999999999943</v>
      </c>
      <c r="N522">
        <f t="shared" si="761"/>
        <v>-8.9999999999999858</v>
      </c>
      <c r="O522" s="5">
        <f t="shared" si="733"/>
        <v>0</v>
      </c>
      <c r="P522" s="5">
        <f t="shared" si="733"/>
        <v>2.5515099636840106E-3</v>
      </c>
      <c r="Q522" s="5">
        <f t="shared" si="733"/>
        <v>3.5961810053907217E-3</v>
      </c>
      <c r="R522" s="5">
        <f t="shared" si="733"/>
        <v>4.1290381243702804E-3</v>
      </c>
      <c r="S522" s="5">
        <f t="shared" si="733"/>
        <v>7.4066858610837933E-3</v>
      </c>
      <c r="U522" s="4">
        <v>45335</v>
      </c>
      <c r="V522">
        <f t="shared" si="743"/>
        <v>-3999.9999999999145</v>
      </c>
      <c r="W522">
        <f t="shared" si="744"/>
        <v>2222.9999999999527</v>
      </c>
      <c r="X522">
        <f t="shared" si="745"/>
        <v>-9180.0000000002128</v>
      </c>
      <c r="Y522">
        <f t="shared" si="746"/>
        <v>10335.000000000085</v>
      </c>
      <c r="Z522">
        <f t="shared" si="747"/>
        <v>-27175.000000000386</v>
      </c>
      <c r="AA522">
        <f t="shared" si="748"/>
        <v>24000.000000000022</v>
      </c>
      <c r="AB522">
        <f t="shared" si="749"/>
        <v>-82151.999999999869</v>
      </c>
      <c r="AC522">
        <f t="shared" si="750"/>
        <v>42237.000000000087</v>
      </c>
      <c r="AD522">
        <f t="shared" si="751"/>
        <v>1809791.9999999972</v>
      </c>
      <c r="AE522">
        <f t="shared" si="752"/>
        <v>-16.999999999999993</v>
      </c>
      <c r="AF522">
        <f t="shared" si="753"/>
        <v>-704521.99999999837</v>
      </c>
      <c r="AG522">
        <f t="shared" si="754"/>
        <v>-278552.99999999854</v>
      </c>
      <c r="AH522">
        <f t="shared" si="755"/>
        <v>-8.9999999999999858</v>
      </c>
      <c r="AI522">
        <f t="shared" si="756"/>
        <v>0</v>
      </c>
      <c r="AJ522">
        <f t="shared" si="757"/>
        <v>-25515.099636840107</v>
      </c>
      <c r="AK522">
        <f t="shared" si="758"/>
        <v>35961.810053907218</v>
      </c>
      <c r="AL522">
        <f t="shared" si="759"/>
        <v>-103225.95310925701</v>
      </c>
      <c r="AM522" s="1">
        <f t="shared" si="760"/>
        <v>-74066.858610837939</v>
      </c>
      <c r="AN522" s="1">
        <f t="shared" si="737"/>
        <v>616132.89869697217</v>
      </c>
      <c r="AO522">
        <f t="shared" si="738"/>
        <v>87.740935403709997</v>
      </c>
      <c r="AP522">
        <f t="shared" si="739"/>
        <v>19.930008658265479</v>
      </c>
    </row>
    <row r="523" spans="1:42" x14ac:dyDescent="0.25">
      <c r="A523" s="4">
        <v>45334</v>
      </c>
      <c r="B523">
        <f t="shared" ref="B523:N523" si="762">(B1073-B1072)*100</f>
        <v>0</v>
      </c>
      <c r="C523">
        <f t="shared" si="762"/>
        <v>0</v>
      </c>
      <c r="D523">
        <f t="shared" si="762"/>
        <v>1.0000000000000675</v>
      </c>
      <c r="E523">
        <f t="shared" si="762"/>
        <v>0</v>
      </c>
      <c r="F523">
        <f t="shared" si="762"/>
        <v>-0.99999999999997868</v>
      </c>
      <c r="G523">
        <f t="shared" si="762"/>
        <v>-0.99999999999997868</v>
      </c>
      <c r="H523">
        <f t="shared" si="762"/>
        <v>2.0000000000000462</v>
      </c>
      <c r="I523">
        <f t="shared" si="762"/>
        <v>0</v>
      </c>
      <c r="J523">
        <f t="shared" si="762"/>
        <v>0.99999999999997868</v>
      </c>
      <c r="K523">
        <f t="shared" si="762"/>
        <v>0.99999999999997868</v>
      </c>
      <c r="L523">
        <f t="shared" si="762"/>
        <v>0</v>
      </c>
      <c r="M523">
        <f t="shared" si="762"/>
        <v>0</v>
      </c>
      <c r="N523">
        <f t="shared" si="762"/>
        <v>0</v>
      </c>
      <c r="O523" s="5">
        <f t="shared" si="733"/>
        <v>0</v>
      </c>
      <c r="P523" s="5">
        <f t="shared" si="733"/>
        <v>-2.1386069951115755E-3</v>
      </c>
      <c r="Q523" s="5">
        <f t="shared" si="733"/>
        <v>1.1284305788514774E-2</v>
      </c>
      <c r="R523" s="5">
        <f t="shared" si="733"/>
        <v>1.2938286188372927E-3</v>
      </c>
      <c r="S523" s="5">
        <f t="shared" si="733"/>
        <v>4.6803607072237833E-4</v>
      </c>
      <c r="U523" s="4">
        <v>45334</v>
      </c>
      <c r="V523">
        <f t="shared" si="743"/>
        <v>0</v>
      </c>
      <c r="W523">
        <f t="shared" si="744"/>
        <v>0</v>
      </c>
      <c r="X523">
        <f t="shared" si="745"/>
        <v>4590.0000000003101</v>
      </c>
      <c r="Y523">
        <f t="shared" si="746"/>
        <v>0</v>
      </c>
      <c r="Z523">
        <f t="shared" si="747"/>
        <v>-5434.9999999998845</v>
      </c>
      <c r="AA523">
        <f t="shared" si="748"/>
        <v>1999.9999999999573</v>
      </c>
      <c r="AB523">
        <f t="shared" si="749"/>
        <v>9128.000000000211</v>
      </c>
      <c r="AC523">
        <f t="shared" si="750"/>
        <v>0</v>
      </c>
      <c r="AD523">
        <f t="shared" si="751"/>
        <v>-100543.99999999786</v>
      </c>
      <c r="AE523">
        <f t="shared" si="752"/>
        <v>0.99999999999997868</v>
      </c>
      <c r="AF523">
        <f t="shared" si="753"/>
        <v>0</v>
      </c>
      <c r="AG523">
        <f t="shared" si="754"/>
        <v>0</v>
      </c>
      <c r="AH523">
        <f t="shared" si="755"/>
        <v>0</v>
      </c>
      <c r="AI523">
        <f t="shared" si="756"/>
        <v>0</v>
      </c>
      <c r="AJ523">
        <f t="shared" si="757"/>
        <v>21386.069951115755</v>
      </c>
      <c r="AK523">
        <f t="shared" si="758"/>
        <v>112843.05788514773</v>
      </c>
      <c r="AL523">
        <f t="shared" si="759"/>
        <v>-32345.715470932319</v>
      </c>
      <c r="AM523" s="1">
        <f t="shared" si="760"/>
        <v>-4680.3607072237837</v>
      </c>
      <c r="AN523" s="1">
        <f t="shared" si="737"/>
        <v>6943.0516581101247</v>
      </c>
      <c r="AO523">
        <f t="shared" si="738"/>
        <v>-0.97467197917253423</v>
      </c>
      <c r="AP523">
        <f t="shared" si="739"/>
        <v>4.2312877754728087</v>
      </c>
    </row>
    <row r="524" spans="1:42" x14ac:dyDescent="0.25">
      <c r="A524" s="4">
        <v>45331</v>
      </c>
      <c r="B524">
        <f t="shared" ref="B524:N524" si="763">(B1074-B1073)*100</f>
        <v>0</v>
      </c>
      <c r="C524">
        <f t="shared" si="763"/>
        <v>0</v>
      </c>
      <c r="D524">
        <f t="shared" si="763"/>
        <v>0</v>
      </c>
      <c r="E524">
        <f t="shared" si="763"/>
        <v>-0.99999999999997868</v>
      </c>
      <c r="F524">
        <f t="shared" si="763"/>
        <v>-1.9999999999999574</v>
      </c>
      <c r="G524">
        <f t="shared" si="763"/>
        <v>-3.0000000000000249</v>
      </c>
      <c r="H524">
        <f t="shared" si="763"/>
        <v>-2.0000000000000462</v>
      </c>
      <c r="I524">
        <f t="shared" si="763"/>
        <v>-3.0000000000000249</v>
      </c>
      <c r="J524">
        <f t="shared" si="763"/>
        <v>-1.9999999999999574</v>
      </c>
      <c r="K524">
        <f t="shared" si="763"/>
        <v>-1.9999999999999574</v>
      </c>
      <c r="L524">
        <f t="shared" si="763"/>
        <v>-1.9999999999999574</v>
      </c>
      <c r="M524">
        <f t="shared" si="763"/>
        <v>-1.0000000000000675</v>
      </c>
      <c r="N524">
        <f t="shared" si="763"/>
        <v>-0.99999999999997868</v>
      </c>
      <c r="O524" s="5">
        <f t="shared" si="733"/>
        <v>-1.7484805740760085E-3</v>
      </c>
      <c r="P524" s="5">
        <f t="shared" si="733"/>
        <v>-6.7000350999054997E-3</v>
      </c>
      <c r="Q524" s="5">
        <f t="shared" si="733"/>
        <v>1.0452618045641378E-2</v>
      </c>
      <c r="R524" s="5">
        <f t="shared" si="733"/>
        <v>5.1800052958334084E-4</v>
      </c>
      <c r="S524" s="5">
        <f t="shared" si="733"/>
        <v>-4.4316970465661963E-3</v>
      </c>
      <c r="U524" s="4">
        <v>45331</v>
      </c>
      <c r="V524">
        <f t="shared" si="743"/>
        <v>0</v>
      </c>
      <c r="W524">
        <f t="shared" si="744"/>
        <v>0</v>
      </c>
      <c r="X524">
        <f t="shared" si="745"/>
        <v>0</v>
      </c>
      <c r="Y524">
        <f t="shared" si="746"/>
        <v>3444.9999999999268</v>
      </c>
      <c r="Z524">
        <f t="shared" si="747"/>
        <v>-10869.999999999769</v>
      </c>
      <c r="AA524">
        <f t="shared" si="748"/>
        <v>6000.00000000005</v>
      </c>
      <c r="AB524">
        <f t="shared" si="749"/>
        <v>-9128.000000000211</v>
      </c>
      <c r="AC524">
        <f t="shared" si="750"/>
        <v>6669.0000000000555</v>
      </c>
      <c r="AD524">
        <f t="shared" si="751"/>
        <v>201087.99999999572</v>
      </c>
      <c r="AE524">
        <f t="shared" si="752"/>
        <v>-1.9999999999999574</v>
      </c>
      <c r="AF524">
        <f t="shared" si="753"/>
        <v>-100645.99999999786</v>
      </c>
      <c r="AG524">
        <f t="shared" si="754"/>
        <v>-25323.00000000171</v>
      </c>
      <c r="AH524">
        <f t="shared" si="755"/>
        <v>-0.99999999999997868</v>
      </c>
      <c r="AI524">
        <f t="shared" si="756"/>
        <v>-0.17484805740760084</v>
      </c>
      <c r="AJ524">
        <f t="shared" si="757"/>
        <v>67000.350999054994</v>
      </c>
      <c r="AK524">
        <f t="shared" si="758"/>
        <v>104526.18045641379</v>
      </c>
      <c r="AL524">
        <f t="shared" si="759"/>
        <v>-12950.013239583521</v>
      </c>
      <c r="AM524" s="1">
        <f t="shared" si="760"/>
        <v>44316.970465661965</v>
      </c>
      <c r="AN524" s="1">
        <f t="shared" si="737"/>
        <v>274125.313833486</v>
      </c>
      <c r="AO524">
        <f t="shared" si="738"/>
        <v>-14.485408674028678</v>
      </c>
      <c r="AP524">
        <f t="shared" si="739"/>
        <v>4.2360548373339819</v>
      </c>
    </row>
    <row r="525" spans="1:42" x14ac:dyDescent="0.25">
      <c r="A525" s="4">
        <v>45330</v>
      </c>
      <c r="B525">
        <f t="shared" ref="B525:N525" si="764">(B1075-B1074)*100</f>
        <v>-2.0000000000000462</v>
      </c>
      <c r="C525">
        <f t="shared" si="764"/>
        <v>-1.9999999999999574</v>
      </c>
      <c r="D525">
        <f t="shared" si="764"/>
        <v>-1.0000000000000675</v>
      </c>
      <c r="E525">
        <f t="shared" si="764"/>
        <v>-1.9999999999999574</v>
      </c>
      <c r="F525">
        <f t="shared" si="764"/>
        <v>-0.99999999999997868</v>
      </c>
      <c r="G525">
        <f t="shared" si="764"/>
        <v>0</v>
      </c>
      <c r="H525">
        <f t="shared" si="764"/>
        <v>-4.9999999999999822</v>
      </c>
      <c r="I525">
        <f t="shared" si="764"/>
        <v>-5.9999999999999609</v>
      </c>
      <c r="J525">
        <f t="shared" si="764"/>
        <v>-6.0000000000000497</v>
      </c>
      <c r="K525">
        <f t="shared" si="764"/>
        <v>-6.0000000000000497</v>
      </c>
      <c r="L525">
        <f t="shared" si="764"/>
        <v>-6.0000000000000497</v>
      </c>
      <c r="M525">
        <f t="shared" si="764"/>
        <v>-5.9999999999999609</v>
      </c>
      <c r="N525">
        <f t="shared" si="764"/>
        <v>-5.0000000000000711</v>
      </c>
      <c r="O525" s="5">
        <f t="shared" ref="O525:S534" si="765">LN(O1074/O1075)</f>
        <v>3.9434290484196373E-3</v>
      </c>
      <c r="P525" s="5">
        <f t="shared" si="765"/>
        <v>-2.7816429618768026E-3</v>
      </c>
      <c r="Q525" s="5">
        <f t="shared" si="765"/>
        <v>-2.0129531329235203E-3</v>
      </c>
      <c r="R525" s="5">
        <f t="shared" si="765"/>
        <v>4.9344341129716274E-3</v>
      </c>
      <c r="S525" s="5">
        <f t="shared" si="765"/>
        <v>5.3859989418227625E-3</v>
      </c>
      <c r="U525" s="4">
        <v>45330</v>
      </c>
      <c r="V525">
        <f t="shared" si="743"/>
        <v>8000.0000000001846</v>
      </c>
      <c r="W525">
        <f t="shared" si="744"/>
        <v>4445.9999999999054</v>
      </c>
      <c r="X525">
        <f t="shared" si="745"/>
        <v>-4590.0000000003101</v>
      </c>
      <c r="Y525">
        <f t="shared" si="746"/>
        <v>6889.9999999998536</v>
      </c>
      <c r="Z525">
        <f t="shared" si="747"/>
        <v>-5434.9999999998845</v>
      </c>
      <c r="AA525">
        <f t="shared" si="748"/>
        <v>0</v>
      </c>
      <c r="AB525">
        <f t="shared" si="749"/>
        <v>-22819.99999999992</v>
      </c>
      <c r="AC525">
        <f t="shared" si="750"/>
        <v>13337.999999999913</v>
      </c>
      <c r="AD525">
        <f t="shared" si="751"/>
        <v>603264.00000000501</v>
      </c>
      <c r="AE525">
        <f t="shared" si="752"/>
        <v>-6.0000000000000497</v>
      </c>
      <c r="AF525">
        <f t="shared" si="753"/>
        <v>-301938.0000000025</v>
      </c>
      <c r="AG525">
        <f t="shared" si="754"/>
        <v>-151937.99999999901</v>
      </c>
      <c r="AH525">
        <f t="shared" si="755"/>
        <v>-5.0000000000000711</v>
      </c>
      <c r="AI525">
        <f t="shared" si="756"/>
        <v>0.39434290484196372</v>
      </c>
      <c r="AJ525">
        <f t="shared" si="757"/>
        <v>27816.429618768027</v>
      </c>
      <c r="AK525">
        <f t="shared" si="758"/>
        <v>-20129.531329235204</v>
      </c>
      <c r="AL525">
        <f t="shared" si="759"/>
        <v>-123360.85282429069</v>
      </c>
      <c r="AM525" s="1">
        <f t="shared" si="760"/>
        <v>-53859.989418227626</v>
      </c>
      <c r="AN525" s="1">
        <f t="shared" si="737"/>
        <v>-20327.549610077396</v>
      </c>
      <c r="AO525">
        <f t="shared" si="738"/>
        <v>-1.0698045057462886</v>
      </c>
      <c r="AP525">
        <f t="shared" si="739"/>
        <v>3.0283272415697131</v>
      </c>
    </row>
    <row r="526" spans="1:42" x14ac:dyDescent="0.25">
      <c r="A526" s="4">
        <v>45329</v>
      </c>
      <c r="B526">
        <f t="shared" ref="B526:N526" si="766">(B1076-B1075)*100</f>
        <v>1.0000000000000675</v>
      </c>
      <c r="C526">
        <f t="shared" si="766"/>
        <v>0.99999999999997868</v>
      </c>
      <c r="D526">
        <f t="shared" si="766"/>
        <v>1.0000000000000675</v>
      </c>
      <c r="E526">
        <f t="shared" si="766"/>
        <v>0.99999999999997868</v>
      </c>
      <c r="F526">
        <f t="shared" si="766"/>
        <v>0</v>
      </c>
      <c r="G526">
        <f t="shared" si="766"/>
        <v>-0.99999999999997868</v>
      </c>
      <c r="H526">
        <f t="shared" si="766"/>
        <v>-2.0000000000000462</v>
      </c>
      <c r="I526">
        <f t="shared" si="766"/>
        <v>-2.0000000000000462</v>
      </c>
      <c r="J526">
        <f t="shared" si="766"/>
        <v>-2.9999999999999361</v>
      </c>
      <c r="K526">
        <f t="shared" si="766"/>
        <v>-1.9999999999999574</v>
      </c>
      <c r="L526">
        <f t="shared" si="766"/>
        <v>0</v>
      </c>
      <c r="M526">
        <f t="shared" si="766"/>
        <v>-2.0000000000000462</v>
      </c>
      <c r="N526">
        <f t="shared" si="766"/>
        <v>-1.9999999999999574</v>
      </c>
      <c r="O526" s="5">
        <f t="shared" si="765"/>
        <v>-1.5913145800815552E-3</v>
      </c>
      <c r="P526" s="5">
        <f t="shared" si="765"/>
        <v>1.0106115059234598E-3</v>
      </c>
      <c r="Q526" s="5">
        <f t="shared" si="765"/>
        <v>-6.2134817912858084E-3</v>
      </c>
      <c r="R526" s="5">
        <f t="shared" si="765"/>
        <v>-5.1934679183315412E-3</v>
      </c>
      <c r="S526" s="5">
        <f t="shared" si="765"/>
        <v>9.6107647955031021E-4</v>
      </c>
      <c r="U526" s="4">
        <v>45329</v>
      </c>
      <c r="V526">
        <f t="shared" si="743"/>
        <v>-4000.0000000002701</v>
      </c>
      <c r="W526">
        <f t="shared" si="744"/>
        <v>-2222.9999999999527</v>
      </c>
      <c r="X526">
        <f t="shared" si="745"/>
        <v>4590.0000000003101</v>
      </c>
      <c r="Y526">
        <f t="shared" si="746"/>
        <v>-3444.9999999999268</v>
      </c>
      <c r="Z526">
        <f t="shared" si="747"/>
        <v>0</v>
      </c>
      <c r="AA526">
        <f t="shared" si="748"/>
        <v>1999.9999999999573</v>
      </c>
      <c r="AB526">
        <f t="shared" si="749"/>
        <v>-9128.000000000211</v>
      </c>
      <c r="AC526">
        <f t="shared" si="750"/>
        <v>4446.0000000001028</v>
      </c>
      <c r="AD526">
        <f t="shared" si="751"/>
        <v>301631.9999999936</v>
      </c>
      <c r="AE526">
        <f t="shared" si="752"/>
        <v>-1.9999999999999574</v>
      </c>
      <c r="AF526">
        <f t="shared" si="753"/>
        <v>0</v>
      </c>
      <c r="AG526">
        <f t="shared" si="754"/>
        <v>-50646.000000001171</v>
      </c>
      <c r="AH526">
        <f t="shared" si="755"/>
        <v>-1.9999999999999574</v>
      </c>
      <c r="AI526">
        <f t="shared" si="756"/>
        <v>-0.15913145800815551</v>
      </c>
      <c r="AJ526">
        <f t="shared" si="757"/>
        <v>-10106.115059234598</v>
      </c>
      <c r="AK526">
        <f t="shared" si="758"/>
        <v>-62134.817912858081</v>
      </c>
      <c r="AL526">
        <f t="shared" si="759"/>
        <v>129836.69795828853</v>
      </c>
      <c r="AM526" s="1">
        <f t="shared" si="760"/>
        <v>-9610.7647955031025</v>
      </c>
      <c r="AN526" s="1">
        <f t="shared" si="737"/>
        <v>291206.84105922718</v>
      </c>
      <c r="AO526">
        <f t="shared" si="738"/>
        <v>-2.1312611555579215</v>
      </c>
    </row>
    <row r="527" spans="1:42" x14ac:dyDescent="0.25">
      <c r="A527" s="4">
        <v>45328</v>
      </c>
      <c r="B527">
        <f t="shared" ref="B527:N527" si="767">(B1077-B1076)*100</f>
        <v>0.99999999999997868</v>
      </c>
      <c r="C527">
        <f t="shared" si="767"/>
        <v>0</v>
      </c>
      <c r="D527">
        <f t="shared" si="767"/>
        <v>-2.0000000000000462</v>
      </c>
      <c r="E527">
        <f t="shared" si="767"/>
        <v>0.99999999999997868</v>
      </c>
      <c r="F527">
        <f t="shared" si="767"/>
        <v>1.9999999999999574</v>
      </c>
      <c r="G527">
        <f t="shared" si="767"/>
        <v>4.9999999999999822</v>
      </c>
      <c r="H527">
        <f t="shared" si="767"/>
        <v>7.0000000000000284</v>
      </c>
      <c r="I527">
        <f t="shared" si="767"/>
        <v>12.999999999999989</v>
      </c>
      <c r="J527">
        <f t="shared" si="767"/>
        <v>9.9999999999999645</v>
      </c>
      <c r="K527">
        <f t="shared" si="767"/>
        <v>8.9999999999999858</v>
      </c>
      <c r="L527">
        <f t="shared" si="767"/>
        <v>8.0000000000000071</v>
      </c>
      <c r="M527">
        <f t="shared" si="767"/>
        <v>7.0000000000000284</v>
      </c>
      <c r="N527">
        <f t="shared" si="767"/>
        <v>5.9999999999999609</v>
      </c>
      <c r="O527" s="5">
        <f t="shared" si="765"/>
        <v>-7.3395560792822792E-3</v>
      </c>
      <c r="P527" s="5">
        <f t="shared" si="765"/>
        <v>-2.5274864282154747E-4</v>
      </c>
      <c r="Q527" s="5">
        <f t="shared" si="765"/>
        <v>1.2518786128440092E-2</v>
      </c>
      <c r="R527" s="5">
        <f t="shared" si="765"/>
        <v>0</v>
      </c>
      <c r="S527" s="5">
        <f t="shared" si="765"/>
        <v>-5.315351272322643E-3</v>
      </c>
      <c r="U527" s="4">
        <v>45328</v>
      </c>
      <c r="V527">
        <f t="shared" si="743"/>
        <v>-3999.9999999999145</v>
      </c>
      <c r="W527">
        <f t="shared" si="744"/>
        <v>0</v>
      </c>
      <c r="X527">
        <f t="shared" si="745"/>
        <v>-9180.0000000002128</v>
      </c>
      <c r="Y527">
        <f t="shared" si="746"/>
        <v>-3444.9999999999268</v>
      </c>
      <c r="Z527">
        <f t="shared" si="747"/>
        <v>10869.999999999769</v>
      </c>
      <c r="AA527">
        <f t="shared" si="748"/>
        <v>-9999.9999999999636</v>
      </c>
      <c r="AB527">
        <f t="shared" si="749"/>
        <v>31948.000000000131</v>
      </c>
      <c r="AC527">
        <f t="shared" si="750"/>
        <v>-28898.999999999975</v>
      </c>
      <c r="AD527">
        <f t="shared" si="751"/>
        <v>-1005439.9999999964</v>
      </c>
      <c r="AE527">
        <f t="shared" si="752"/>
        <v>8.9999999999999858</v>
      </c>
      <c r="AF527">
        <f t="shared" si="753"/>
        <v>402584.00000000035</v>
      </c>
      <c r="AG527">
        <f t="shared" si="754"/>
        <v>177261.00000000073</v>
      </c>
      <c r="AH527">
        <f t="shared" si="755"/>
        <v>5.9999999999999609</v>
      </c>
      <c r="AI527">
        <f t="shared" si="756"/>
        <v>-0.73395560792822789</v>
      </c>
      <c r="AJ527">
        <f t="shared" si="757"/>
        <v>2527.4864282154749</v>
      </c>
      <c r="AK527">
        <f t="shared" si="758"/>
        <v>125187.86128440092</v>
      </c>
      <c r="AL527">
        <f t="shared" si="759"/>
        <v>0</v>
      </c>
      <c r="AM527" s="1">
        <f t="shared" si="760"/>
        <v>53153.512723226428</v>
      </c>
      <c r="AN527" s="1">
        <f t="shared" si="737"/>
        <v>-257417.87351976059</v>
      </c>
      <c r="AO527">
        <f t="shared" si="738"/>
        <v>-2.3453311278682287</v>
      </c>
    </row>
    <row r="528" spans="1:42" x14ac:dyDescent="0.25">
      <c r="A528" s="4">
        <v>45327</v>
      </c>
      <c r="B528">
        <f t="shared" ref="B528:N528" si="768">(B1078-B1077)*100</f>
        <v>0</v>
      </c>
      <c r="C528">
        <f t="shared" si="768"/>
        <v>0.99999999999997868</v>
      </c>
      <c r="D528">
        <f t="shared" si="768"/>
        <v>0.99999999999997868</v>
      </c>
      <c r="E528">
        <f t="shared" si="768"/>
        <v>0</v>
      </c>
      <c r="F528">
        <f t="shared" si="768"/>
        <v>-3.0000000000000249</v>
      </c>
      <c r="G528">
        <f t="shared" si="768"/>
        <v>-6.0000000000000497</v>
      </c>
      <c r="H528">
        <f t="shared" si="768"/>
        <v>-9.9999999999999645</v>
      </c>
      <c r="I528">
        <f t="shared" si="768"/>
        <v>-12.999999999999989</v>
      </c>
      <c r="J528">
        <f t="shared" si="768"/>
        <v>-13.999999999999968</v>
      </c>
      <c r="K528">
        <f t="shared" si="768"/>
        <v>-14.000000000000057</v>
      </c>
      <c r="L528">
        <f t="shared" si="768"/>
        <v>-13.999999999999968</v>
      </c>
      <c r="M528">
        <f t="shared" si="768"/>
        <v>-12.999999999999989</v>
      </c>
      <c r="N528">
        <f t="shared" si="768"/>
        <v>-12.999999999999989</v>
      </c>
      <c r="O528" s="5">
        <f t="shared" si="765"/>
        <v>1.1696509881419046E-2</v>
      </c>
      <c r="P528" s="5">
        <f t="shared" si="765"/>
        <v>4.5618171331509635E-3</v>
      </c>
      <c r="Q528" s="5">
        <f t="shared" si="765"/>
        <v>8.3305000735604488E-3</v>
      </c>
      <c r="R528" s="5">
        <f t="shared" si="765"/>
        <v>8.0614140895446211E-3</v>
      </c>
      <c r="S528" s="5">
        <f t="shared" si="765"/>
        <v>0</v>
      </c>
      <c r="U528" s="4">
        <v>45327</v>
      </c>
      <c r="V528">
        <f t="shared" si="743"/>
        <v>0</v>
      </c>
      <c r="W528">
        <f t="shared" si="744"/>
        <v>-2222.9999999999527</v>
      </c>
      <c r="X528">
        <f t="shared" si="745"/>
        <v>4589.9999999999018</v>
      </c>
      <c r="Y528">
        <f t="shared" si="746"/>
        <v>0</v>
      </c>
      <c r="Z528">
        <f t="shared" si="747"/>
        <v>-16305.000000000135</v>
      </c>
      <c r="AA528">
        <f t="shared" si="748"/>
        <v>12000.0000000001</v>
      </c>
      <c r="AB528">
        <f t="shared" si="749"/>
        <v>-45639.99999999984</v>
      </c>
      <c r="AC528">
        <f t="shared" si="750"/>
        <v>28898.999999999975</v>
      </c>
      <c r="AD528">
        <f t="shared" si="751"/>
        <v>1407615.9999999967</v>
      </c>
      <c r="AE528">
        <f t="shared" si="752"/>
        <v>-14.000000000000057</v>
      </c>
      <c r="AF528">
        <f t="shared" si="753"/>
        <v>-704521.99999999837</v>
      </c>
      <c r="AG528">
        <f t="shared" si="754"/>
        <v>-329198.99999999971</v>
      </c>
      <c r="AH528">
        <f t="shared" si="755"/>
        <v>-12.999999999999989</v>
      </c>
      <c r="AI528">
        <f t="shared" si="756"/>
        <v>1.1696509881419046</v>
      </c>
      <c r="AJ528">
        <f t="shared" si="757"/>
        <v>-45618.171331509635</v>
      </c>
      <c r="AK528">
        <f t="shared" si="758"/>
        <v>83305.000735604481</v>
      </c>
      <c r="AL528">
        <f t="shared" si="759"/>
        <v>-201535.35223861554</v>
      </c>
      <c r="AM528" s="1">
        <f t="shared" si="760"/>
        <v>0</v>
      </c>
      <c r="AN528" s="1">
        <f t="shared" si="737"/>
        <v>191341.64681646609</v>
      </c>
      <c r="AO528">
        <f t="shared" si="738"/>
        <v>-0.628130717101542</v>
      </c>
    </row>
    <row r="529" spans="1:41" x14ac:dyDescent="0.25">
      <c r="A529" s="4">
        <v>45324</v>
      </c>
      <c r="B529">
        <f t="shared" ref="B529:N529" si="769">(B1079-B1078)*100</f>
        <v>0</v>
      </c>
      <c r="C529">
        <f t="shared" si="769"/>
        <v>0</v>
      </c>
      <c r="D529">
        <f t="shared" si="769"/>
        <v>-0.99999999999997868</v>
      </c>
      <c r="E529">
        <f t="shared" si="769"/>
        <v>-4.0000000000000036</v>
      </c>
      <c r="F529">
        <f t="shared" si="769"/>
        <v>-6.9999999999999396</v>
      </c>
      <c r="G529">
        <f t="shared" si="769"/>
        <v>-12.999999999999989</v>
      </c>
      <c r="H529">
        <f t="shared" si="769"/>
        <v>-16.000000000000014</v>
      </c>
      <c r="I529">
        <f t="shared" si="769"/>
        <v>-17.999999999999972</v>
      </c>
      <c r="J529">
        <f t="shared" si="769"/>
        <v>-19.000000000000039</v>
      </c>
      <c r="K529">
        <f t="shared" si="769"/>
        <v>-18.99999999999995</v>
      </c>
      <c r="L529">
        <f t="shared" si="769"/>
        <v>-16.000000000000014</v>
      </c>
      <c r="M529">
        <f t="shared" si="769"/>
        <v>-12.000000000000011</v>
      </c>
      <c r="N529">
        <f t="shared" si="769"/>
        <v>-12.000000000000011</v>
      </c>
      <c r="O529" s="5">
        <f t="shared" si="765"/>
        <v>2.449022121679665E-3</v>
      </c>
      <c r="P529" s="5">
        <f t="shared" si="765"/>
        <v>1.2774861454936079E-2</v>
      </c>
      <c r="Q529" s="5">
        <f t="shared" si="765"/>
        <v>4.0144144434151353E-3</v>
      </c>
      <c r="R529" s="5">
        <f t="shared" si="765"/>
        <v>5.2356140539449427E-3</v>
      </c>
      <c r="S529" s="5">
        <f t="shared" si="765"/>
        <v>3.2361353537762277E-3</v>
      </c>
      <c r="U529" s="4">
        <v>45324</v>
      </c>
      <c r="V529">
        <f t="shared" si="743"/>
        <v>0</v>
      </c>
      <c r="W529">
        <f t="shared" si="744"/>
        <v>0</v>
      </c>
      <c r="X529">
        <f t="shared" si="745"/>
        <v>-4589.9999999999018</v>
      </c>
      <c r="Y529">
        <f t="shared" si="746"/>
        <v>13780.000000000013</v>
      </c>
      <c r="Z529">
        <f t="shared" si="747"/>
        <v>-38044.999999999673</v>
      </c>
      <c r="AA529">
        <f t="shared" si="748"/>
        <v>25999.999999999978</v>
      </c>
      <c r="AB529">
        <f t="shared" si="749"/>
        <v>-73024.000000000058</v>
      </c>
      <c r="AC529">
        <f t="shared" si="750"/>
        <v>40013.999999999935</v>
      </c>
      <c r="AD529">
        <f t="shared" si="751"/>
        <v>1910336.000000004</v>
      </c>
      <c r="AE529">
        <f t="shared" si="752"/>
        <v>-18.99999999999995</v>
      </c>
      <c r="AF529">
        <f t="shared" si="753"/>
        <v>-805168.0000000007</v>
      </c>
      <c r="AG529">
        <f t="shared" si="754"/>
        <v>-303876.00000000029</v>
      </c>
      <c r="AH529">
        <f t="shared" si="755"/>
        <v>-12.000000000000011</v>
      </c>
      <c r="AI529">
        <f t="shared" si="756"/>
        <v>0.24490221216796648</v>
      </c>
      <c r="AJ529">
        <f t="shared" si="757"/>
        <v>-127748.61454936079</v>
      </c>
      <c r="AK529">
        <f t="shared" si="758"/>
        <v>40144.144434151356</v>
      </c>
      <c r="AL529">
        <f t="shared" si="759"/>
        <v>-130890.35134862356</v>
      </c>
      <c r="AM529" s="1">
        <f t="shared" si="760"/>
        <v>-32361.353537762276</v>
      </c>
      <c r="AN529" s="1">
        <f t="shared" si="737"/>
        <v>514540.06990062015</v>
      </c>
      <c r="AO529">
        <f t="shared" si="738"/>
        <v>-6.0814289831115129</v>
      </c>
    </row>
    <row r="530" spans="1:41" x14ac:dyDescent="0.25">
      <c r="A530" s="4">
        <v>45323</v>
      </c>
      <c r="B530">
        <f t="shared" ref="B530:N530" si="770">(B1080-B1079)*100</f>
        <v>4.0000000000000036</v>
      </c>
      <c r="C530">
        <f t="shared" si="770"/>
        <v>-4.9999999999999822</v>
      </c>
      <c r="D530">
        <f t="shared" si="770"/>
        <v>0</v>
      </c>
      <c r="E530">
        <f t="shared" si="770"/>
        <v>2.0000000000000462</v>
      </c>
      <c r="F530">
        <f t="shared" si="770"/>
        <v>2.9999999999999361</v>
      </c>
      <c r="G530">
        <f t="shared" si="770"/>
        <v>5.0000000000000711</v>
      </c>
      <c r="H530">
        <f t="shared" si="770"/>
        <v>6.9999999999999396</v>
      </c>
      <c r="I530">
        <f t="shared" si="770"/>
        <v>8.9999999999999858</v>
      </c>
      <c r="J530">
        <f t="shared" si="770"/>
        <v>11.000000000000032</v>
      </c>
      <c r="K530">
        <f t="shared" si="770"/>
        <v>12.000000000000011</v>
      </c>
      <c r="L530">
        <f t="shared" si="770"/>
        <v>12.000000000000011</v>
      </c>
      <c r="M530">
        <f t="shared" si="770"/>
        <v>12.999999999999989</v>
      </c>
      <c r="N530">
        <f t="shared" si="770"/>
        <v>12.000000000000011</v>
      </c>
      <c r="O530" s="5">
        <f t="shared" si="765"/>
        <v>-3.7419515947212643E-3</v>
      </c>
      <c r="P530" s="5">
        <f t="shared" si="765"/>
        <v>-5.7970136407828332E-3</v>
      </c>
      <c r="Q530" s="5">
        <f t="shared" si="765"/>
        <v>-4.2897283114979988E-4</v>
      </c>
      <c r="R530" s="5">
        <f t="shared" si="765"/>
        <v>5.2507220949071418E-4</v>
      </c>
      <c r="S530" s="5">
        <f t="shared" si="765"/>
        <v>-2.4601839722428764E-3</v>
      </c>
      <c r="U530" s="4">
        <v>45323</v>
      </c>
      <c r="V530">
        <f t="shared" si="743"/>
        <v>-16000.000000000015</v>
      </c>
      <c r="W530">
        <f t="shared" si="744"/>
        <v>11114.99999999996</v>
      </c>
      <c r="X530">
        <f t="shared" si="745"/>
        <v>0</v>
      </c>
      <c r="Y530">
        <f t="shared" si="746"/>
        <v>-6890.0000000001592</v>
      </c>
      <c r="Z530">
        <f t="shared" si="747"/>
        <v>16304.999999999653</v>
      </c>
      <c r="AA530">
        <f t="shared" si="748"/>
        <v>-10000.000000000142</v>
      </c>
      <c r="AB530">
        <f t="shared" si="749"/>
        <v>31947.999999999724</v>
      </c>
      <c r="AC530">
        <f t="shared" si="750"/>
        <v>-20006.999999999967</v>
      </c>
      <c r="AD530">
        <f t="shared" si="751"/>
        <v>-1105984.0000000033</v>
      </c>
      <c r="AE530">
        <f t="shared" si="752"/>
        <v>12.000000000000011</v>
      </c>
      <c r="AF530">
        <f t="shared" si="753"/>
        <v>603876.00000000058</v>
      </c>
      <c r="AG530">
        <f t="shared" si="754"/>
        <v>329198.99999999971</v>
      </c>
      <c r="AH530">
        <f t="shared" si="755"/>
        <v>12.000000000000011</v>
      </c>
      <c r="AI530">
        <f t="shared" si="756"/>
        <v>-0.37419515947212645</v>
      </c>
      <c r="AJ530">
        <f t="shared" si="757"/>
        <v>57970.13640782833</v>
      </c>
      <c r="AK530">
        <f t="shared" si="758"/>
        <v>-4289.7283114979991</v>
      </c>
      <c r="AL530">
        <f t="shared" si="759"/>
        <v>-13126.805237267854</v>
      </c>
      <c r="AM530" s="1">
        <f t="shared" si="760"/>
        <v>24601.839722428766</v>
      </c>
      <c r="AN530" s="1">
        <f t="shared" si="737"/>
        <v>-101258.93161367212</v>
      </c>
      <c r="AO530">
        <f t="shared" si="738"/>
        <v>-0.67342823138759245</v>
      </c>
    </row>
    <row r="531" spans="1:41" x14ac:dyDescent="0.25">
      <c r="A531" s="4">
        <v>45322</v>
      </c>
      <c r="B531">
        <f t="shared" ref="B531:N531" si="771">(B1081-B1080)*100</f>
        <v>0</v>
      </c>
      <c r="C531">
        <f t="shared" si="771"/>
        <v>0.99999999999997868</v>
      </c>
      <c r="D531">
        <f t="shared" si="771"/>
        <v>0</v>
      </c>
      <c r="E531">
        <f t="shared" si="771"/>
        <v>-2.0000000000000462</v>
      </c>
      <c r="F531">
        <f t="shared" si="771"/>
        <v>1.0000000000000675</v>
      </c>
      <c r="G531">
        <f t="shared" si="771"/>
        <v>6.9999999999999396</v>
      </c>
      <c r="H531">
        <f t="shared" si="771"/>
        <v>9.0000000000000746</v>
      </c>
      <c r="I531">
        <f t="shared" si="771"/>
        <v>8.9999999999999858</v>
      </c>
      <c r="J531">
        <f t="shared" si="771"/>
        <v>8.9999999999999858</v>
      </c>
      <c r="K531">
        <f t="shared" si="771"/>
        <v>8.0000000000000071</v>
      </c>
      <c r="L531">
        <f t="shared" si="771"/>
        <v>6.9999999999999396</v>
      </c>
      <c r="M531">
        <f t="shared" si="771"/>
        <v>6.0000000000000497</v>
      </c>
      <c r="N531">
        <f t="shared" si="771"/>
        <v>6.0000000000000497</v>
      </c>
      <c r="O531" s="5">
        <f t="shared" si="765"/>
        <v>-2.0773046888330139E-3</v>
      </c>
      <c r="P531" s="5">
        <f t="shared" si="765"/>
        <v>-1.724149368039041E-3</v>
      </c>
      <c r="Q531" s="5">
        <f t="shared" si="765"/>
        <v>5.4077721840186639E-3</v>
      </c>
      <c r="R531" s="5">
        <f t="shared" si="765"/>
        <v>2.6263952875854341E-4</v>
      </c>
      <c r="S531" s="5">
        <f t="shared" si="765"/>
        <v>-8.6925835571413353E-4</v>
      </c>
      <c r="U531" s="4">
        <v>45322</v>
      </c>
      <c r="V531">
        <f t="shared" si="743"/>
        <v>0</v>
      </c>
      <c r="W531">
        <f t="shared" si="744"/>
        <v>-2222.9999999999527</v>
      </c>
      <c r="X531">
        <f t="shared" si="745"/>
        <v>0</v>
      </c>
      <c r="Y531">
        <f t="shared" si="746"/>
        <v>6890.0000000001592</v>
      </c>
      <c r="Z531">
        <f t="shared" si="747"/>
        <v>5435.0000000003665</v>
      </c>
      <c r="AA531">
        <f t="shared" si="748"/>
        <v>-13999.99999999988</v>
      </c>
      <c r="AB531">
        <f t="shared" si="749"/>
        <v>41076.000000000342</v>
      </c>
      <c r="AC531">
        <f t="shared" si="750"/>
        <v>-20006.999999999967</v>
      </c>
      <c r="AD531">
        <f t="shared" si="751"/>
        <v>-904895.9999999986</v>
      </c>
      <c r="AE531">
        <f t="shared" si="752"/>
        <v>8.0000000000000071</v>
      </c>
      <c r="AF531">
        <f t="shared" si="753"/>
        <v>352260.99999999697</v>
      </c>
      <c r="AG531">
        <f t="shared" si="754"/>
        <v>151938.00000000125</v>
      </c>
      <c r="AH531">
        <f t="shared" si="755"/>
        <v>6.0000000000000497</v>
      </c>
      <c r="AI531">
        <f t="shared" si="756"/>
        <v>-0.20773046888330141</v>
      </c>
      <c r="AJ531">
        <f t="shared" si="757"/>
        <v>17241.493680390409</v>
      </c>
      <c r="AK531">
        <f t="shared" si="758"/>
        <v>54077.721840186641</v>
      </c>
      <c r="AL531">
        <f t="shared" si="759"/>
        <v>-6565.9882189635855</v>
      </c>
      <c r="AM531" s="1">
        <f t="shared" si="760"/>
        <v>8692.5835571413354</v>
      </c>
      <c r="AN531" s="1">
        <f t="shared" si="737"/>
        <v>-310066.3968717134</v>
      </c>
      <c r="AO531">
        <f t="shared" si="738"/>
        <v>-1.4745297322614261</v>
      </c>
    </row>
    <row r="532" spans="1:41" x14ac:dyDescent="0.25">
      <c r="A532" s="4">
        <v>45321</v>
      </c>
      <c r="B532">
        <f t="shared" ref="B532:N532" si="772">(B1082-B1081)*100</f>
        <v>0</v>
      </c>
      <c r="C532">
        <f t="shared" si="772"/>
        <v>-0.99999999999997868</v>
      </c>
      <c r="D532">
        <f t="shared" si="772"/>
        <v>0</v>
      </c>
      <c r="E532">
        <f t="shared" si="772"/>
        <v>-0.99999999999997868</v>
      </c>
      <c r="F532">
        <f t="shared" si="772"/>
        <v>0</v>
      </c>
      <c r="G532">
        <f t="shared" si="772"/>
        <v>-4.0000000000000036</v>
      </c>
      <c r="H532">
        <f t="shared" si="772"/>
        <v>-7.0000000000000284</v>
      </c>
      <c r="I532">
        <f t="shared" si="772"/>
        <v>-4.0000000000000036</v>
      </c>
      <c r="J532">
        <f t="shared" si="772"/>
        <v>-2.9999999999999805</v>
      </c>
      <c r="K532">
        <f t="shared" si="772"/>
        <v>-1.0000000000000675</v>
      </c>
      <c r="L532">
        <f t="shared" si="772"/>
        <v>2.0000000000000462</v>
      </c>
      <c r="M532">
        <f t="shared" si="772"/>
        <v>1.9999999999999574</v>
      </c>
      <c r="N532">
        <f t="shared" si="772"/>
        <v>2.9999999999999361</v>
      </c>
      <c r="O532" s="5">
        <f t="shared" si="765"/>
        <v>8.3555520156462278E-3</v>
      </c>
      <c r="P532" s="5">
        <f t="shared" si="765"/>
        <v>-3.2231996157012538E-3</v>
      </c>
      <c r="Q532" s="5">
        <f t="shared" si="765"/>
        <v>1.2441924475170603E-2</v>
      </c>
      <c r="R532" s="5">
        <f t="shared" si="765"/>
        <v>-5.2521009610679995E-4</v>
      </c>
      <c r="S532" s="5">
        <f t="shared" si="765"/>
        <v>-4.009794145770895E-3</v>
      </c>
      <c r="U532" s="4">
        <v>45321</v>
      </c>
      <c r="V532">
        <f t="shared" si="743"/>
        <v>0</v>
      </c>
      <c r="W532">
        <f t="shared" si="744"/>
        <v>2222.9999999999527</v>
      </c>
      <c r="X532">
        <f t="shared" si="745"/>
        <v>0</v>
      </c>
      <c r="Y532">
        <f t="shared" si="746"/>
        <v>3444.9999999999268</v>
      </c>
      <c r="Z532">
        <f t="shared" si="747"/>
        <v>0</v>
      </c>
      <c r="AA532">
        <f t="shared" si="748"/>
        <v>8000.0000000000073</v>
      </c>
      <c r="AB532">
        <f t="shared" si="749"/>
        <v>-31948.000000000131</v>
      </c>
      <c r="AC532">
        <f t="shared" si="750"/>
        <v>8892.0000000000073</v>
      </c>
      <c r="AD532">
        <f t="shared" si="751"/>
        <v>301631.99999999802</v>
      </c>
      <c r="AE532">
        <f t="shared" si="752"/>
        <v>-1.0000000000000675</v>
      </c>
      <c r="AF532">
        <f t="shared" si="753"/>
        <v>100646.00000000233</v>
      </c>
      <c r="AG532">
        <f t="shared" si="754"/>
        <v>50645.999999998923</v>
      </c>
      <c r="AH532">
        <f t="shared" si="755"/>
        <v>2.9999999999999361</v>
      </c>
      <c r="AI532">
        <f t="shared" si="756"/>
        <v>0.83555520156462282</v>
      </c>
      <c r="AJ532">
        <f t="shared" si="757"/>
        <v>32231.996157012538</v>
      </c>
      <c r="AK532">
        <f t="shared" si="758"/>
        <v>124419.24475170602</v>
      </c>
      <c r="AL532">
        <f t="shared" si="759"/>
        <v>13130.252402669999</v>
      </c>
      <c r="AM532" s="1">
        <f t="shared" si="760"/>
        <v>40097.941457708948</v>
      </c>
      <c r="AN532" s="1">
        <f t="shared" si="737"/>
        <v>653418.27032429806</v>
      </c>
      <c r="AO532">
        <f t="shared" si="738"/>
        <v>-2.9801880937831231</v>
      </c>
    </row>
    <row r="533" spans="1:41" x14ac:dyDescent="0.25">
      <c r="A533" s="4">
        <v>45320</v>
      </c>
      <c r="B533">
        <f t="shared" ref="B533:N533" si="773">(B1083-B1082)*100</f>
        <v>0.99999999999997868</v>
      </c>
      <c r="C533">
        <f t="shared" si="773"/>
        <v>-0.99999999999997868</v>
      </c>
      <c r="D533">
        <f t="shared" si="773"/>
        <v>2.0000000000000462</v>
      </c>
      <c r="E533">
        <f t="shared" si="773"/>
        <v>1.9999999999999574</v>
      </c>
      <c r="F533">
        <f t="shared" si="773"/>
        <v>0</v>
      </c>
      <c r="G533">
        <f t="shared" si="773"/>
        <v>2.0000000000000462</v>
      </c>
      <c r="H533">
        <f t="shared" si="773"/>
        <v>4.9999999999999822</v>
      </c>
      <c r="I533">
        <f t="shared" si="773"/>
        <v>5.0000000000000711</v>
      </c>
      <c r="J533">
        <f t="shared" si="773"/>
        <v>6.999999999999984</v>
      </c>
      <c r="K533">
        <f t="shared" si="773"/>
        <v>8.0000000000000071</v>
      </c>
      <c r="L533">
        <f t="shared" si="773"/>
        <v>7.0000000000000284</v>
      </c>
      <c r="M533">
        <f t="shared" si="773"/>
        <v>7.0000000000000284</v>
      </c>
      <c r="N533">
        <f t="shared" si="773"/>
        <v>7.0000000000000284</v>
      </c>
      <c r="O533" s="5">
        <f t="shared" si="765"/>
        <v>2.0336784036726137E-3</v>
      </c>
      <c r="P533" s="5">
        <f t="shared" si="765"/>
        <v>6.6360631480739543E-3</v>
      </c>
      <c r="Q533" s="5">
        <f t="shared" si="765"/>
        <v>5.6810560372491043E-3</v>
      </c>
      <c r="R533" s="5">
        <f t="shared" si="765"/>
        <v>4.4731031036916056E-3</v>
      </c>
      <c r="S533" s="5">
        <f t="shared" si="765"/>
        <v>4.2547435241241998E-3</v>
      </c>
      <c r="U533" s="4">
        <v>45320</v>
      </c>
      <c r="V533">
        <f t="shared" si="743"/>
        <v>-3999.9999999999145</v>
      </c>
      <c r="W533">
        <f t="shared" si="744"/>
        <v>2222.9999999999527</v>
      </c>
      <c r="X533">
        <f t="shared" si="745"/>
        <v>9180.0000000002128</v>
      </c>
      <c r="Y533">
        <f t="shared" si="746"/>
        <v>-6889.9999999998536</v>
      </c>
      <c r="Z533">
        <f t="shared" si="747"/>
        <v>0</v>
      </c>
      <c r="AA533">
        <f t="shared" si="748"/>
        <v>-4000.0000000000923</v>
      </c>
      <c r="AB533">
        <f t="shared" si="749"/>
        <v>22819.99999999992</v>
      </c>
      <c r="AC533">
        <f t="shared" si="750"/>
        <v>-11115.000000000158</v>
      </c>
      <c r="AD533">
        <f t="shared" si="751"/>
        <v>-703807.99999999837</v>
      </c>
      <c r="AE533">
        <f t="shared" si="752"/>
        <v>8.0000000000000071</v>
      </c>
      <c r="AF533">
        <f t="shared" si="753"/>
        <v>352261.00000000146</v>
      </c>
      <c r="AG533">
        <f t="shared" si="754"/>
        <v>177261.00000000073</v>
      </c>
      <c r="AH533">
        <f t="shared" si="755"/>
        <v>7.0000000000000284</v>
      </c>
      <c r="AI533">
        <f t="shared" si="756"/>
        <v>0.20336784036726138</v>
      </c>
      <c r="AJ533">
        <f t="shared" si="757"/>
        <v>-66360.631480739539</v>
      </c>
      <c r="AK533">
        <f t="shared" si="758"/>
        <v>56810.56037249104</v>
      </c>
      <c r="AL533">
        <f t="shared" si="759"/>
        <v>-111827.57759229014</v>
      </c>
      <c r="AM533" s="1">
        <f t="shared" si="760"/>
        <v>-42547.435241241998</v>
      </c>
      <c r="AN533" s="1">
        <f t="shared" si="737"/>
        <v>-329977.88057393633</v>
      </c>
      <c r="AO533">
        <f t="shared" si="738"/>
        <v>-2.6617910352841458</v>
      </c>
    </row>
    <row r="534" spans="1:41" x14ac:dyDescent="0.25">
      <c r="A534" s="4">
        <v>45317</v>
      </c>
      <c r="B534">
        <f t="shared" ref="B534:N534" si="774">(B1084-B1083)*100</f>
        <v>0</v>
      </c>
      <c r="C534">
        <f t="shared" si="774"/>
        <v>3.0000000000000249</v>
      </c>
      <c r="D534">
        <f t="shared" si="774"/>
        <v>0</v>
      </c>
      <c r="E534">
        <f t="shared" si="774"/>
        <v>0</v>
      </c>
      <c r="F534">
        <f t="shared" si="774"/>
        <v>0</v>
      </c>
      <c r="G534">
        <f t="shared" si="774"/>
        <v>-2.0000000000000462</v>
      </c>
      <c r="H534">
        <f t="shared" si="774"/>
        <v>-5.9999999999999609</v>
      </c>
      <c r="I534">
        <f t="shared" si="774"/>
        <v>-3.0000000000000249</v>
      </c>
      <c r="J534">
        <f t="shared" si="774"/>
        <v>-3.0000000000000249</v>
      </c>
      <c r="K534">
        <f t="shared" si="774"/>
        <v>-2.9999999999999361</v>
      </c>
      <c r="L534">
        <f t="shared" si="774"/>
        <v>-1.0000000000000675</v>
      </c>
      <c r="M534">
        <f t="shared" si="774"/>
        <v>0</v>
      </c>
      <c r="N534">
        <f t="shared" si="774"/>
        <v>0</v>
      </c>
      <c r="O534" s="5">
        <f t="shared" si="765"/>
        <v>-2.1758811240472219E-3</v>
      </c>
      <c r="P534" s="5">
        <f t="shared" si="765"/>
        <v>-9.6992883280354221E-3</v>
      </c>
      <c r="Q534" s="5">
        <f t="shared" si="765"/>
        <v>2.7040709422030997E-3</v>
      </c>
      <c r="R534" s="5">
        <f t="shared" si="765"/>
        <v>7.6770727814752032E-3</v>
      </c>
      <c r="S534" s="5">
        <f t="shared" si="765"/>
        <v>-3.853905826071845E-3</v>
      </c>
      <c r="U534" s="4">
        <v>45317</v>
      </c>
      <c r="V534">
        <f t="shared" si="743"/>
        <v>0</v>
      </c>
      <c r="W534">
        <f t="shared" si="744"/>
        <v>-6669.0000000000555</v>
      </c>
      <c r="X534">
        <f t="shared" si="745"/>
        <v>0</v>
      </c>
      <c r="Y534">
        <f t="shared" si="746"/>
        <v>0</v>
      </c>
      <c r="Z534">
        <f t="shared" si="747"/>
        <v>0</v>
      </c>
      <c r="AA534">
        <f t="shared" si="748"/>
        <v>4000.0000000000923</v>
      </c>
      <c r="AB534">
        <f t="shared" si="749"/>
        <v>-27383.999999999822</v>
      </c>
      <c r="AC534">
        <f t="shared" si="750"/>
        <v>6669.0000000000555</v>
      </c>
      <c r="AD534">
        <f t="shared" si="751"/>
        <v>301632.0000000025</v>
      </c>
      <c r="AE534">
        <f t="shared" si="752"/>
        <v>-2.9999999999999361</v>
      </c>
      <c r="AF534">
        <f t="shared" si="753"/>
        <v>-50323.000000003398</v>
      </c>
      <c r="AG534">
        <f t="shared" si="754"/>
        <v>0</v>
      </c>
      <c r="AH534">
        <f t="shared" si="755"/>
        <v>0</v>
      </c>
      <c r="AI534">
        <f t="shared" si="756"/>
        <v>-0.2175881124047222</v>
      </c>
      <c r="AJ534">
        <f t="shared" si="757"/>
        <v>96992.883280354217</v>
      </c>
      <c r="AK534">
        <f t="shared" si="758"/>
        <v>27040.709422030995</v>
      </c>
      <c r="AL534">
        <f t="shared" si="759"/>
        <v>-191926.81953688007</v>
      </c>
      <c r="AM534" s="1">
        <f t="shared" si="760"/>
        <v>38539.058260718448</v>
      </c>
      <c r="AN534" s="1">
        <f t="shared" si="737"/>
        <v>198567.61383811061</v>
      </c>
      <c r="AO534">
        <f t="shared" si="738"/>
        <v>-1.6485508537196316</v>
      </c>
    </row>
    <row r="535" spans="1:41" x14ac:dyDescent="0.25">
      <c r="A535" s="4">
        <v>45316</v>
      </c>
      <c r="B535">
        <f t="shared" ref="B535:N535" si="775">(B1085-B1084)*100</f>
        <v>-2.0000000000000462</v>
      </c>
      <c r="C535">
        <f t="shared" si="775"/>
        <v>-4.0000000000000036</v>
      </c>
      <c r="D535">
        <f t="shared" si="775"/>
        <v>0</v>
      </c>
      <c r="E535">
        <f t="shared" si="775"/>
        <v>1.0000000000000675</v>
      </c>
      <c r="F535">
        <f t="shared" si="775"/>
        <v>2.9999999999999361</v>
      </c>
      <c r="G535">
        <f t="shared" si="775"/>
        <v>7.0000000000000284</v>
      </c>
      <c r="H535">
        <f t="shared" si="775"/>
        <v>5.9999999999999609</v>
      </c>
      <c r="I535">
        <f t="shared" si="775"/>
        <v>7.0000000000000284</v>
      </c>
      <c r="J535">
        <f t="shared" si="775"/>
        <v>4.9999999999999822</v>
      </c>
      <c r="K535">
        <f t="shared" si="775"/>
        <v>6.9999999999999396</v>
      </c>
      <c r="L535">
        <f t="shared" si="775"/>
        <v>4.0000000000000036</v>
      </c>
      <c r="M535">
        <f t="shared" si="775"/>
        <v>2.9999999999999361</v>
      </c>
      <c r="N535">
        <f t="shared" si="775"/>
        <v>3.0000000000000249</v>
      </c>
      <c r="O535" s="5">
        <f t="shared" ref="O535:S544" si="776">LN(O1084/O1085)</f>
        <v>8.1285948103954422E-4</v>
      </c>
      <c r="P535" s="5">
        <f t="shared" si="776"/>
        <v>7.9083194471137423E-3</v>
      </c>
      <c r="Q535" s="5">
        <f t="shared" si="776"/>
        <v>-3.961747182302916E-4</v>
      </c>
      <c r="R535" s="5">
        <f t="shared" si="776"/>
        <v>1.0635470292591983E-3</v>
      </c>
      <c r="S535" s="5">
        <f t="shared" si="776"/>
        <v>-1.3363041913026766E-4</v>
      </c>
      <c r="U535" s="4">
        <v>45316</v>
      </c>
      <c r="V535">
        <f t="shared" si="743"/>
        <v>8000.0000000001846</v>
      </c>
      <c r="W535">
        <f t="shared" si="744"/>
        <v>8892.0000000000073</v>
      </c>
      <c r="X535">
        <f t="shared" si="745"/>
        <v>0</v>
      </c>
      <c r="Y535">
        <f t="shared" si="746"/>
        <v>-3445.0000000002324</v>
      </c>
      <c r="Z535">
        <f t="shared" si="747"/>
        <v>16304.999999999653</v>
      </c>
      <c r="AA535">
        <f t="shared" si="748"/>
        <v>-14000.000000000056</v>
      </c>
      <c r="AB535">
        <f t="shared" si="749"/>
        <v>27383.999999999822</v>
      </c>
      <c r="AC535">
        <f t="shared" si="750"/>
        <v>-15561.000000000064</v>
      </c>
      <c r="AD535">
        <f t="shared" si="751"/>
        <v>-502719.9999999982</v>
      </c>
      <c r="AE535">
        <f t="shared" si="752"/>
        <v>6.9999999999999396</v>
      </c>
      <c r="AF535">
        <f t="shared" si="753"/>
        <v>201292.00000000017</v>
      </c>
      <c r="AG535">
        <f t="shared" si="754"/>
        <v>75968.999999998385</v>
      </c>
      <c r="AH535">
        <f t="shared" si="755"/>
        <v>3.0000000000000249</v>
      </c>
      <c r="AI535">
        <f t="shared" si="756"/>
        <v>8.1285948103954425E-2</v>
      </c>
      <c r="AJ535">
        <f t="shared" si="757"/>
        <v>-79083.194471137424</v>
      </c>
      <c r="AK535">
        <f t="shared" si="758"/>
        <v>-3961.7471823029159</v>
      </c>
      <c r="AL535">
        <f t="shared" si="759"/>
        <v>-26588.675731479958</v>
      </c>
      <c r="AM535" s="1">
        <f t="shared" si="760"/>
        <v>1336.3041913026766</v>
      </c>
      <c r="AN535" s="1">
        <f t="shared" si="737"/>
        <v>-306171.23190766986</v>
      </c>
      <c r="AO535">
        <f t="shared" si="738"/>
        <v>8.3726748801076667</v>
      </c>
    </row>
    <row r="536" spans="1:41" x14ac:dyDescent="0.25">
      <c r="A536" s="4">
        <v>45315</v>
      </c>
      <c r="B536">
        <f t="shared" ref="B536:N536" si="777">(B1086-B1085)*100</f>
        <v>1.0000000000000675</v>
      </c>
      <c r="C536">
        <f t="shared" si="777"/>
        <v>1.9999999999999574</v>
      </c>
      <c r="D536">
        <f t="shared" si="777"/>
        <v>0.99999999999997868</v>
      </c>
      <c r="E536">
        <f t="shared" si="777"/>
        <v>-2.0000000000000462</v>
      </c>
      <c r="F536">
        <f t="shared" si="777"/>
        <v>-0.99999999999997868</v>
      </c>
      <c r="G536">
        <f t="shared" si="777"/>
        <v>-2.0000000000000462</v>
      </c>
      <c r="H536">
        <f t="shared" si="777"/>
        <v>-3.0000000000000249</v>
      </c>
      <c r="I536">
        <f t="shared" si="777"/>
        <v>-3.0000000000000249</v>
      </c>
      <c r="J536">
        <f t="shared" si="777"/>
        <v>0</v>
      </c>
      <c r="K536">
        <f t="shared" si="777"/>
        <v>-2.9999999999999361</v>
      </c>
      <c r="L536">
        <f t="shared" si="777"/>
        <v>-4.0000000000000036</v>
      </c>
      <c r="M536">
        <f t="shared" si="777"/>
        <v>-3.9999999999999147</v>
      </c>
      <c r="N536">
        <f t="shared" si="777"/>
        <v>-3.0000000000000249</v>
      </c>
      <c r="O536" s="5">
        <f t="shared" si="776"/>
        <v>-1.057633138531755E-2</v>
      </c>
      <c r="P536" s="5">
        <f t="shared" si="776"/>
        <v>-1.2561367689175033E-2</v>
      </c>
      <c r="Q536" s="5">
        <f t="shared" si="776"/>
        <v>3.5712355398232619E-3</v>
      </c>
      <c r="R536" s="5">
        <f t="shared" si="776"/>
        <v>-2.12596412786311E-3</v>
      </c>
      <c r="S536" s="5">
        <f t="shared" si="776"/>
        <v>-6.0873555733132892E-3</v>
      </c>
      <c r="U536" s="4">
        <v>45315</v>
      </c>
      <c r="V536">
        <f t="shared" si="743"/>
        <v>-4000.0000000002701</v>
      </c>
      <c r="W536">
        <f t="shared" si="744"/>
        <v>-4445.9999999999054</v>
      </c>
      <c r="X536">
        <f t="shared" si="745"/>
        <v>4589.9999999999018</v>
      </c>
      <c r="Y536">
        <f t="shared" si="746"/>
        <v>6890.0000000001592</v>
      </c>
      <c r="Z536">
        <f t="shared" si="747"/>
        <v>-5434.9999999998845</v>
      </c>
      <c r="AA536">
        <f t="shared" si="748"/>
        <v>4000.0000000000923</v>
      </c>
      <c r="AB536">
        <f t="shared" si="749"/>
        <v>-13692.000000000113</v>
      </c>
      <c r="AC536">
        <f t="shared" si="750"/>
        <v>6669.0000000000555</v>
      </c>
      <c r="AD536">
        <f t="shared" si="751"/>
        <v>0</v>
      </c>
      <c r="AE536">
        <f t="shared" si="752"/>
        <v>-2.9999999999999361</v>
      </c>
      <c r="AF536">
        <f t="shared" si="753"/>
        <v>-201292.00000000017</v>
      </c>
      <c r="AG536">
        <f t="shared" si="754"/>
        <v>-101291.99999999785</v>
      </c>
      <c r="AH536">
        <f t="shared" si="755"/>
        <v>-3.0000000000000249</v>
      </c>
      <c r="AI536">
        <f t="shared" si="756"/>
        <v>-1.057633138531755</v>
      </c>
      <c r="AJ536">
        <f t="shared" si="757"/>
        <v>125613.67689175034</v>
      </c>
      <c r="AK536">
        <f t="shared" si="758"/>
        <v>35712.355398232619</v>
      </c>
      <c r="AL536">
        <f t="shared" si="759"/>
        <v>53149.103196577751</v>
      </c>
      <c r="AM536" s="1">
        <f t="shared" si="760"/>
        <v>60873.555733132889</v>
      </c>
      <c r="AN536" s="1">
        <f t="shared" si="737"/>
        <v>-32666.366413442986</v>
      </c>
      <c r="AO536">
        <f t="shared" si="738"/>
        <v>-0.91484432679113448</v>
      </c>
    </row>
    <row r="537" spans="1:41" x14ac:dyDescent="0.25">
      <c r="A537" s="4">
        <v>45314</v>
      </c>
      <c r="B537">
        <f t="shared" ref="B537:N537" si="778">(B1087-B1086)*100</f>
        <v>0</v>
      </c>
      <c r="C537">
        <f t="shared" si="778"/>
        <v>0.99999999999997868</v>
      </c>
      <c r="D537">
        <f t="shared" si="778"/>
        <v>0.99999999999997868</v>
      </c>
      <c r="E537">
        <f t="shared" si="778"/>
        <v>0.99999999999997868</v>
      </c>
      <c r="F537">
        <f t="shared" si="778"/>
        <v>0.99999999999997868</v>
      </c>
      <c r="G537">
        <f t="shared" si="778"/>
        <v>2.0000000000000462</v>
      </c>
      <c r="H537">
        <f t="shared" si="778"/>
        <v>6.0000000000000497</v>
      </c>
      <c r="I537">
        <f t="shared" si="778"/>
        <v>-2.0000000000000462</v>
      </c>
      <c r="J537">
        <f t="shared" si="778"/>
        <v>-2.9999999999999361</v>
      </c>
      <c r="K537">
        <f t="shared" si="778"/>
        <v>-4.0000000000000036</v>
      </c>
      <c r="L537">
        <f t="shared" si="778"/>
        <v>-2.9999999999999361</v>
      </c>
      <c r="M537">
        <f t="shared" si="778"/>
        <v>-4.0000000000000036</v>
      </c>
      <c r="N537">
        <f t="shared" si="778"/>
        <v>-5.9999999999999609</v>
      </c>
      <c r="O537" s="5">
        <f t="shared" si="776"/>
        <v>4.5363438309894309E-3</v>
      </c>
      <c r="P537" s="5">
        <f t="shared" si="776"/>
        <v>1.44803857411533E-2</v>
      </c>
      <c r="Q537" s="5">
        <f t="shared" si="776"/>
        <v>-5.6156416157051199E-3</v>
      </c>
      <c r="R537" s="5">
        <f t="shared" si="776"/>
        <v>7.4607327149274587E-3</v>
      </c>
      <c r="S537" s="5">
        <f t="shared" si="776"/>
        <v>7.7677497274309506E-3</v>
      </c>
      <c r="U537" s="4">
        <v>45314</v>
      </c>
      <c r="V537">
        <f t="shared" si="743"/>
        <v>0</v>
      </c>
      <c r="W537">
        <f t="shared" si="744"/>
        <v>-2222.9999999999527</v>
      </c>
      <c r="X537">
        <f t="shared" si="745"/>
        <v>4589.9999999999018</v>
      </c>
      <c r="Y537">
        <f t="shared" si="746"/>
        <v>-3444.9999999999268</v>
      </c>
      <c r="Z537">
        <f t="shared" si="747"/>
        <v>5434.9999999998845</v>
      </c>
      <c r="AA537">
        <f t="shared" si="748"/>
        <v>-4000.0000000000923</v>
      </c>
      <c r="AB537">
        <f t="shared" si="749"/>
        <v>27384.000000000226</v>
      </c>
      <c r="AC537">
        <f t="shared" si="750"/>
        <v>4446.0000000001028</v>
      </c>
      <c r="AD537">
        <f t="shared" si="751"/>
        <v>301631.9999999936</v>
      </c>
      <c r="AE537">
        <f t="shared" si="752"/>
        <v>-4.0000000000000036</v>
      </c>
      <c r="AF537">
        <f t="shared" si="753"/>
        <v>-150968.99999999677</v>
      </c>
      <c r="AG537">
        <f t="shared" si="754"/>
        <v>-101292.00000000009</v>
      </c>
      <c r="AH537">
        <f t="shared" si="755"/>
        <v>-5.9999999999999609</v>
      </c>
      <c r="AI537">
        <f t="shared" si="756"/>
        <v>0.45363438309894311</v>
      </c>
      <c r="AJ537">
        <f t="shared" si="757"/>
        <v>-144803.85741153301</v>
      </c>
      <c r="AK537">
        <f t="shared" si="758"/>
        <v>-56156.416157051201</v>
      </c>
      <c r="AL537">
        <f t="shared" si="759"/>
        <v>-186518.31787318646</v>
      </c>
      <c r="AM537" s="1">
        <f t="shared" si="760"/>
        <v>-77677.497274309499</v>
      </c>
      <c r="AN537" s="1">
        <f t="shared" si="737"/>
        <v>-383607.63508170022</v>
      </c>
      <c r="AO537">
        <f t="shared" si="738"/>
        <v>9.4365162081540443E-2</v>
      </c>
    </row>
    <row r="538" spans="1:41" x14ac:dyDescent="0.25">
      <c r="A538" s="4">
        <v>45313</v>
      </c>
      <c r="B538">
        <f t="shared" ref="B538:N538" si="779">(B1088-B1087)*100</f>
        <v>0.99999999999997868</v>
      </c>
      <c r="C538">
        <f t="shared" si="779"/>
        <v>0</v>
      </c>
      <c r="D538">
        <f t="shared" si="779"/>
        <v>-0.99999999999997868</v>
      </c>
      <c r="E538">
        <f t="shared" si="779"/>
        <v>0</v>
      </c>
      <c r="F538">
        <f t="shared" si="779"/>
        <v>-0.99999999999997868</v>
      </c>
      <c r="G538">
        <f t="shared" si="779"/>
        <v>0.99999999999997868</v>
      </c>
      <c r="H538">
        <f t="shared" si="779"/>
        <v>1.9999999999999574</v>
      </c>
      <c r="I538">
        <f t="shared" si="779"/>
        <v>4.0000000000000036</v>
      </c>
      <c r="J538">
        <f t="shared" si="779"/>
        <v>4.9999999999999822</v>
      </c>
      <c r="K538">
        <f t="shared" si="779"/>
        <v>4.9999999999999822</v>
      </c>
      <c r="L538">
        <f t="shared" si="779"/>
        <v>4.0000000000000036</v>
      </c>
      <c r="M538">
        <f t="shared" si="779"/>
        <v>2.9999999999999361</v>
      </c>
      <c r="N538">
        <f t="shared" si="779"/>
        <v>4.0000000000000036</v>
      </c>
      <c r="O538" s="5">
        <f t="shared" si="776"/>
        <v>5.4099638567924697E-3</v>
      </c>
      <c r="P538" s="5">
        <f t="shared" si="776"/>
        <v>-2.11582894929156E-3</v>
      </c>
      <c r="Q538" s="5">
        <f t="shared" si="776"/>
        <v>-8.6260681924085394E-3</v>
      </c>
      <c r="R538" s="5">
        <f t="shared" si="776"/>
        <v>-2.6741543146398912E-4</v>
      </c>
      <c r="S538" s="5">
        <f t="shared" si="776"/>
        <v>5.0874365137052475E-3</v>
      </c>
      <c r="U538" s="4">
        <v>45313</v>
      </c>
      <c r="V538">
        <f t="shared" si="743"/>
        <v>-3999.9999999999145</v>
      </c>
      <c r="W538">
        <f t="shared" si="744"/>
        <v>0</v>
      </c>
      <c r="X538">
        <f t="shared" si="745"/>
        <v>-4589.9999999999018</v>
      </c>
      <c r="Y538">
        <f t="shared" si="746"/>
        <v>0</v>
      </c>
      <c r="Z538">
        <f t="shared" si="747"/>
        <v>-5434.9999999998845</v>
      </c>
      <c r="AA538">
        <f t="shared" si="748"/>
        <v>-1999.9999999999573</v>
      </c>
      <c r="AB538">
        <f t="shared" si="749"/>
        <v>9127.9999999998054</v>
      </c>
      <c r="AC538">
        <f t="shared" si="750"/>
        <v>-8892.0000000000073</v>
      </c>
      <c r="AD538">
        <f t="shared" si="751"/>
        <v>-502719.9999999982</v>
      </c>
      <c r="AE538">
        <f t="shared" si="752"/>
        <v>4.9999999999999822</v>
      </c>
      <c r="AF538">
        <f t="shared" si="753"/>
        <v>201292.00000000017</v>
      </c>
      <c r="AG538">
        <f t="shared" si="754"/>
        <v>75968.999999998385</v>
      </c>
      <c r="AH538">
        <f t="shared" si="755"/>
        <v>4.0000000000000036</v>
      </c>
      <c r="AI538">
        <f t="shared" si="756"/>
        <v>0.54099638567924702</v>
      </c>
      <c r="AJ538">
        <f t="shared" si="757"/>
        <v>21158.289492915599</v>
      </c>
      <c r="AK538">
        <f t="shared" si="758"/>
        <v>-86260.681924085395</v>
      </c>
      <c r="AL538">
        <f t="shared" si="759"/>
        <v>6685.3857865997279</v>
      </c>
      <c r="AM538" s="1">
        <f t="shared" si="760"/>
        <v>-50874.365137052475</v>
      </c>
      <c r="AN538" s="1">
        <f t="shared" si="737"/>
        <v>-350529.83078523644</v>
      </c>
      <c r="AO538">
        <f t="shared" si="738"/>
        <v>-1.9540910587453406</v>
      </c>
    </row>
    <row r="539" spans="1:41" x14ac:dyDescent="0.25">
      <c r="A539" s="4">
        <v>45310</v>
      </c>
      <c r="B539">
        <f t="shared" ref="B539:N539" si="780">(B1089-B1088)*100</f>
        <v>-0.99999999999997868</v>
      </c>
      <c r="C539">
        <f t="shared" si="780"/>
        <v>1.0000000000000675</v>
      </c>
      <c r="D539">
        <f t="shared" si="780"/>
        <v>0</v>
      </c>
      <c r="E539">
        <f t="shared" si="780"/>
        <v>0</v>
      </c>
      <c r="F539">
        <f t="shared" si="780"/>
        <v>-0.99999999999997868</v>
      </c>
      <c r="G539">
        <f t="shared" si="780"/>
        <v>-4.0000000000000036</v>
      </c>
      <c r="H539">
        <f t="shared" si="780"/>
        <v>-4.9999999999999822</v>
      </c>
      <c r="I539">
        <f t="shared" si="780"/>
        <v>-4.9999999999999822</v>
      </c>
      <c r="J539">
        <f t="shared" si="780"/>
        <v>-4.0000000000000036</v>
      </c>
      <c r="K539">
        <f t="shared" si="780"/>
        <v>-2.0000000000000462</v>
      </c>
      <c r="L539">
        <f t="shared" si="780"/>
        <v>-1.0000000000000675</v>
      </c>
      <c r="M539">
        <f t="shared" si="780"/>
        <v>1.0000000000000675</v>
      </c>
      <c r="N539">
        <f t="shared" si="780"/>
        <v>0.99999999999997868</v>
      </c>
      <c r="O539" s="5">
        <f t="shared" si="776"/>
        <v>-3.6503792309671729E-3</v>
      </c>
      <c r="P539" s="5">
        <f t="shared" si="776"/>
        <v>1.9681089731332603E-4</v>
      </c>
      <c r="Q539" s="5">
        <f t="shared" si="776"/>
        <v>-8.8328786742549893E-3</v>
      </c>
      <c r="R539" s="5">
        <f t="shared" si="776"/>
        <v>-1.3360055427422512E-3</v>
      </c>
      <c r="S539" s="5">
        <f t="shared" si="776"/>
        <v>-5.4481742845341472E-3</v>
      </c>
      <c r="U539" s="4">
        <v>45310</v>
      </c>
      <c r="V539">
        <f t="shared" si="743"/>
        <v>3999.9999999999145</v>
      </c>
      <c r="W539">
        <f t="shared" si="744"/>
        <v>-2223.0000000001501</v>
      </c>
      <c r="X539">
        <f t="shared" si="745"/>
        <v>0</v>
      </c>
      <c r="Y539">
        <f t="shared" si="746"/>
        <v>0</v>
      </c>
      <c r="Z539">
        <f t="shared" si="747"/>
        <v>-5434.9999999998845</v>
      </c>
      <c r="AA539">
        <f t="shared" si="748"/>
        <v>8000.0000000000073</v>
      </c>
      <c r="AB539">
        <f t="shared" si="749"/>
        <v>-22819.99999999992</v>
      </c>
      <c r="AC539">
        <f t="shared" si="750"/>
        <v>11114.99999999996</v>
      </c>
      <c r="AD539">
        <f t="shared" si="751"/>
        <v>402176.00000000035</v>
      </c>
      <c r="AE539">
        <f t="shared" si="752"/>
        <v>-2.0000000000000462</v>
      </c>
      <c r="AF539">
        <f t="shared" si="753"/>
        <v>-50323.000000003398</v>
      </c>
      <c r="AG539">
        <f t="shared" si="754"/>
        <v>25323.00000000171</v>
      </c>
      <c r="AH539">
        <f t="shared" si="755"/>
        <v>0.99999999999997868</v>
      </c>
      <c r="AI539">
        <f t="shared" si="756"/>
        <v>-0.36503792309671729</v>
      </c>
      <c r="AJ539">
        <f t="shared" si="757"/>
        <v>-1968.1089731332602</v>
      </c>
      <c r="AK539">
        <f t="shared" si="758"/>
        <v>-88328.786742549899</v>
      </c>
      <c r="AL539">
        <f t="shared" si="759"/>
        <v>33400.138568556278</v>
      </c>
      <c r="AM539" s="1">
        <f t="shared" si="760"/>
        <v>54481.742845341469</v>
      </c>
      <c r="AN539" s="1">
        <f t="shared" si="737"/>
        <v>367396.62066029006</v>
      </c>
      <c r="AO539">
        <f t="shared" si="738"/>
        <v>5.8805540923181381</v>
      </c>
    </row>
    <row r="540" spans="1:41" x14ac:dyDescent="0.25">
      <c r="A540" s="4">
        <v>45309</v>
      </c>
      <c r="B540">
        <f t="shared" ref="B540:N540" si="781">(B1090-B1089)*100</f>
        <v>0.99999999999997868</v>
      </c>
      <c r="C540">
        <f t="shared" si="781"/>
        <v>-1.0000000000000675</v>
      </c>
      <c r="D540">
        <f t="shared" si="781"/>
        <v>1.9999999999999574</v>
      </c>
      <c r="E540">
        <f t="shared" si="781"/>
        <v>1.0000000000000675</v>
      </c>
      <c r="F540">
        <f t="shared" si="781"/>
        <v>0</v>
      </c>
      <c r="G540">
        <f t="shared" si="781"/>
        <v>0</v>
      </c>
      <c r="H540">
        <f t="shared" si="781"/>
        <v>0</v>
      </c>
      <c r="I540">
        <f t="shared" si="781"/>
        <v>-0.99999999999997868</v>
      </c>
      <c r="J540">
        <f t="shared" si="781"/>
        <v>-2.0000000000000462</v>
      </c>
      <c r="K540">
        <f t="shared" si="781"/>
        <v>-2.9999999999999361</v>
      </c>
      <c r="L540">
        <f t="shared" si="781"/>
        <v>-4.0000000000000036</v>
      </c>
      <c r="M540">
        <f t="shared" si="781"/>
        <v>-6.0000000000000497</v>
      </c>
      <c r="N540">
        <f t="shared" si="781"/>
        <v>-6.0000000000000497</v>
      </c>
      <c r="O540" s="5">
        <f t="shared" si="776"/>
        <v>1.1545123468248784E-3</v>
      </c>
      <c r="P540" s="5">
        <f t="shared" si="776"/>
        <v>-1.3835341587349646E-2</v>
      </c>
      <c r="Q540" s="5">
        <f t="shared" si="776"/>
        <v>5.0951252299171849E-3</v>
      </c>
      <c r="R540" s="5">
        <f t="shared" si="776"/>
        <v>5.3418804689101635E-4</v>
      </c>
      <c r="S540" s="5">
        <f t="shared" si="776"/>
        <v>-2.3416288789818371E-3</v>
      </c>
      <c r="U540" s="4">
        <v>45309</v>
      </c>
      <c r="V540">
        <f t="shared" si="743"/>
        <v>-3999.9999999999145</v>
      </c>
      <c r="W540">
        <f t="shared" si="744"/>
        <v>2223.0000000001501</v>
      </c>
      <c r="X540">
        <f t="shared" si="745"/>
        <v>9179.9999999998035</v>
      </c>
      <c r="Y540">
        <f t="shared" si="746"/>
        <v>-3445.0000000002324</v>
      </c>
      <c r="Z540">
        <f t="shared" si="747"/>
        <v>0</v>
      </c>
      <c r="AA540">
        <f t="shared" si="748"/>
        <v>0</v>
      </c>
      <c r="AB540">
        <f t="shared" si="749"/>
        <v>0</v>
      </c>
      <c r="AC540">
        <f t="shared" si="750"/>
        <v>2222.9999999999527</v>
      </c>
      <c r="AD540">
        <f t="shared" si="751"/>
        <v>201088.00000000466</v>
      </c>
      <c r="AE540">
        <f t="shared" si="752"/>
        <v>-2.9999999999999361</v>
      </c>
      <c r="AF540">
        <f t="shared" si="753"/>
        <v>-201292.00000000017</v>
      </c>
      <c r="AG540">
        <f t="shared" si="754"/>
        <v>-151938.00000000125</v>
      </c>
      <c r="AH540">
        <f t="shared" si="755"/>
        <v>-6.0000000000000497</v>
      </c>
      <c r="AI540">
        <f t="shared" si="756"/>
        <v>0.11545123468248784</v>
      </c>
      <c r="AJ540">
        <f t="shared" si="757"/>
        <v>138353.41587349644</v>
      </c>
      <c r="AK540">
        <f t="shared" si="758"/>
        <v>50951.252299171851</v>
      </c>
      <c r="AL540">
        <f t="shared" si="759"/>
        <v>-13354.701172275409</v>
      </c>
      <c r="AM540" s="1">
        <f t="shared" si="760"/>
        <v>23416.288789818373</v>
      </c>
      <c r="AN540" s="1">
        <f t="shared" si="737"/>
        <v>53396.371241448942</v>
      </c>
      <c r="AO540">
        <f t="shared" si="738"/>
        <v>-0.87491565164722085</v>
      </c>
    </row>
    <row r="541" spans="1:41" x14ac:dyDescent="0.25">
      <c r="A541" s="4">
        <v>45308</v>
      </c>
      <c r="B541">
        <f t="shared" ref="B541:N541" si="782">(B1091-B1090)*100</f>
        <v>0</v>
      </c>
      <c r="C541">
        <f t="shared" si="782"/>
        <v>0</v>
      </c>
      <c r="D541">
        <f t="shared" si="782"/>
        <v>-1.9999999999999574</v>
      </c>
      <c r="E541">
        <f t="shared" si="782"/>
        <v>-3.0000000000000249</v>
      </c>
      <c r="F541">
        <f t="shared" si="782"/>
        <v>-2.0000000000000462</v>
      </c>
      <c r="G541">
        <f t="shared" si="782"/>
        <v>-9.9999999999999645</v>
      </c>
      <c r="H541">
        <f t="shared" si="782"/>
        <v>-12.000000000000011</v>
      </c>
      <c r="I541">
        <f t="shared" si="782"/>
        <v>-10.000000000000053</v>
      </c>
      <c r="J541">
        <f t="shared" si="782"/>
        <v>-6.9999999999999396</v>
      </c>
      <c r="K541">
        <f t="shared" si="782"/>
        <v>-6.0000000000000497</v>
      </c>
      <c r="L541">
        <f t="shared" si="782"/>
        <v>-2.9999999999999361</v>
      </c>
      <c r="M541">
        <f t="shared" si="782"/>
        <v>0.99999999999997868</v>
      </c>
      <c r="N541">
        <f t="shared" si="782"/>
        <v>-0.99999999999997868</v>
      </c>
      <c r="O541" s="5">
        <f t="shared" si="776"/>
        <v>6.2615830027681956E-3</v>
      </c>
      <c r="P541" s="5">
        <f t="shared" si="776"/>
        <v>5.9422388644303692E-3</v>
      </c>
      <c r="Q541" s="5">
        <f t="shared" si="776"/>
        <v>1.0948377702719021E-2</v>
      </c>
      <c r="R541" s="5">
        <f t="shared" si="776"/>
        <v>6.1637606372366548E-3</v>
      </c>
      <c r="S541" s="5">
        <f t="shared" si="776"/>
        <v>2.4987083644331153E-3</v>
      </c>
      <c r="U541" s="4">
        <v>45308</v>
      </c>
      <c r="V541">
        <f t="shared" si="743"/>
        <v>0</v>
      </c>
      <c r="W541">
        <f t="shared" si="744"/>
        <v>0</v>
      </c>
      <c r="X541">
        <f t="shared" si="745"/>
        <v>-9179.9999999998035</v>
      </c>
      <c r="Y541">
        <f t="shared" si="746"/>
        <v>10335.000000000085</v>
      </c>
      <c r="Z541">
        <f t="shared" si="747"/>
        <v>-10870.000000000251</v>
      </c>
      <c r="AA541">
        <f t="shared" si="748"/>
        <v>19999.999999999927</v>
      </c>
      <c r="AB541">
        <f t="shared" si="749"/>
        <v>-54768.000000000051</v>
      </c>
      <c r="AC541">
        <f t="shared" si="750"/>
        <v>22230.00000000012</v>
      </c>
      <c r="AD541">
        <f t="shared" si="751"/>
        <v>703807.99999999395</v>
      </c>
      <c r="AE541">
        <f t="shared" si="752"/>
        <v>-6.0000000000000497</v>
      </c>
      <c r="AF541">
        <f t="shared" si="753"/>
        <v>-150968.99999999677</v>
      </c>
      <c r="AG541">
        <f t="shared" si="754"/>
        <v>25322.999999999462</v>
      </c>
      <c r="AH541">
        <f t="shared" si="755"/>
        <v>-0.99999999999997868</v>
      </c>
      <c r="AI541">
        <f t="shared" si="756"/>
        <v>0.62615830027681951</v>
      </c>
      <c r="AJ541">
        <f t="shared" si="757"/>
        <v>-59422.38864430369</v>
      </c>
      <c r="AK541">
        <f t="shared" si="758"/>
        <v>109483.77702719021</v>
      </c>
      <c r="AL541">
        <f t="shared" si="759"/>
        <v>-154094.01593091636</v>
      </c>
      <c r="AM541" s="1">
        <f t="shared" si="760"/>
        <v>-24987.083644331153</v>
      </c>
      <c r="AN541" s="1">
        <f t="shared" si="737"/>
        <v>426882.91496593598</v>
      </c>
      <c r="AO541">
        <f t="shared" si="738"/>
        <v>-3.3109599487418335</v>
      </c>
    </row>
    <row r="542" spans="1:41" x14ac:dyDescent="0.25">
      <c r="A542" s="4">
        <v>45307</v>
      </c>
      <c r="B542">
        <f t="shared" ref="B542:N542" si="783">(B1092-B1091)*100</f>
        <v>0.99999999999997868</v>
      </c>
      <c r="C542">
        <f t="shared" si="783"/>
        <v>0</v>
      </c>
      <c r="D542">
        <f t="shared" si="783"/>
        <v>0</v>
      </c>
      <c r="E542">
        <f t="shared" si="783"/>
        <v>0</v>
      </c>
      <c r="F542">
        <f t="shared" si="783"/>
        <v>-1.9999999999999574</v>
      </c>
      <c r="G542">
        <f t="shared" si="783"/>
        <v>-4.9999999999999822</v>
      </c>
      <c r="H542">
        <f t="shared" si="783"/>
        <v>-8.0000000000000071</v>
      </c>
      <c r="I542">
        <f t="shared" si="783"/>
        <v>-9.9999999999999645</v>
      </c>
      <c r="J542">
        <f t="shared" si="783"/>
        <v>-11.000000000000032</v>
      </c>
      <c r="K542">
        <f t="shared" si="783"/>
        <v>-9.9999999999999645</v>
      </c>
      <c r="L542">
        <f t="shared" si="783"/>
        <v>-11.000000000000032</v>
      </c>
      <c r="M542">
        <f t="shared" si="783"/>
        <v>-10.999999999999943</v>
      </c>
      <c r="N542">
        <f t="shared" si="783"/>
        <v>-9.9999999999999645</v>
      </c>
      <c r="O542" s="5">
        <f t="shared" si="776"/>
        <v>1.0146128545828316E-2</v>
      </c>
      <c r="P542" s="5">
        <f t="shared" si="776"/>
        <v>8.6602680846724397E-3</v>
      </c>
      <c r="Q542" s="5">
        <f t="shared" si="776"/>
        <v>7.1295776277516037E-4</v>
      </c>
      <c r="R542" s="5">
        <f t="shared" si="776"/>
        <v>6.7431138848901007E-3</v>
      </c>
      <c r="S542" s="5">
        <f t="shared" si="776"/>
        <v>1.9137709987345933E-2</v>
      </c>
      <c r="U542" s="4">
        <v>45307</v>
      </c>
      <c r="V542">
        <f t="shared" si="743"/>
        <v>-3999.9999999999145</v>
      </c>
      <c r="W542">
        <f t="shared" si="744"/>
        <v>0</v>
      </c>
      <c r="X542">
        <f t="shared" si="745"/>
        <v>0</v>
      </c>
      <c r="Y542">
        <f t="shared" si="746"/>
        <v>0</v>
      </c>
      <c r="Z542">
        <f t="shared" si="747"/>
        <v>-10869.999999999769</v>
      </c>
      <c r="AA542">
        <f t="shared" si="748"/>
        <v>9999.9999999999636</v>
      </c>
      <c r="AB542">
        <f t="shared" si="749"/>
        <v>-36512.000000000029</v>
      </c>
      <c r="AC542">
        <f t="shared" si="750"/>
        <v>22229.99999999992</v>
      </c>
      <c r="AD542">
        <f t="shared" si="751"/>
        <v>1105984.0000000033</v>
      </c>
      <c r="AE542">
        <f t="shared" si="752"/>
        <v>-9.9999999999999645</v>
      </c>
      <c r="AF542">
        <f t="shared" si="753"/>
        <v>-553553.00000000163</v>
      </c>
      <c r="AG542">
        <f t="shared" si="754"/>
        <v>-278552.99999999854</v>
      </c>
      <c r="AH542">
        <f t="shared" si="755"/>
        <v>-9.9999999999999645</v>
      </c>
      <c r="AI542">
        <f t="shared" si="756"/>
        <v>1.0146128545828315</v>
      </c>
      <c r="AJ542">
        <f t="shared" si="757"/>
        <v>-86602.680846724397</v>
      </c>
      <c r="AK542">
        <f t="shared" si="758"/>
        <v>7129.5776277516034</v>
      </c>
      <c r="AL542">
        <f t="shared" si="759"/>
        <v>-168577.84712225251</v>
      </c>
      <c r="AM542" s="1">
        <f t="shared" si="760"/>
        <v>-191377.09987345934</v>
      </c>
      <c r="AN542" s="1">
        <f t="shared" si="737"/>
        <v>-184721.03560182676</v>
      </c>
      <c r="AO542">
        <f t="shared" si="738"/>
        <v>-0.56634488618854339</v>
      </c>
    </row>
    <row r="543" spans="1:41" x14ac:dyDescent="0.25">
      <c r="A543" s="4">
        <v>45303</v>
      </c>
      <c r="B543">
        <f t="shared" ref="B543:N543" si="784">(B1093-B1092)*100</f>
        <v>-0.99999999999997868</v>
      </c>
      <c r="C543">
        <f t="shared" si="784"/>
        <v>0</v>
      </c>
      <c r="D543">
        <f t="shared" si="784"/>
        <v>0.99999999999997868</v>
      </c>
      <c r="E543">
        <f t="shared" si="784"/>
        <v>0.99999999999997868</v>
      </c>
      <c r="F543">
        <f t="shared" si="784"/>
        <v>5.9999999999999609</v>
      </c>
      <c r="G543">
        <f t="shared" si="784"/>
        <v>9.9999999999999645</v>
      </c>
      <c r="H543">
        <f t="shared" si="784"/>
        <v>12.000000000000011</v>
      </c>
      <c r="I543">
        <f t="shared" si="784"/>
        <v>9.9999999999999645</v>
      </c>
      <c r="J543">
        <f t="shared" si="784"/>
        <v>6.0000000000000053</v>
      </c>
      <c r="K543">
        <f t="shared" si="784"/>
        <v>4.0000000000000036</v>
      </c>
      <c r="L543">
        <f t="shared" si="784"/>
        <v>2.0000000000000018</v>
      </c>
      <c r="M543">
        <f t="shared" si="784"/>
        <v>0</v>
      </c>
      <c r="N543">
        <f t="shared" si="784"/>
        <v>-2.0000000000000462</v>
      </c>
      <c r="O543" s="5">
        <f t="shared" si="776"/>
        <v>-5.1576693225296871E-3</v>
      </c>
      <c r="P543" s="5">
        <f t="shared" si="776"/>
        <v>-4.7215043368214003E-3</v>
      </c>
      <c r="Q543" s="5">
        <f t="shared" si="776"/>
        <v>-8.4133273089845861E-3</v>
      </c>
      <c r="R543" s="5">
        <f t="shared" si="776"/>
        <v>-1.0819584501518147E-3</v>
      </c>
      <c r="S543" s="5">
        <f t="shared" si="776"/>
        <v>-3.6229778798750746E-3</v>
      </c>
      <c r="U543" s="4">
        <v>45303</v>
      </c>
      <c r="V543">
        <f t="shared" si="743"/>
        <v>3999.9999999999145</v>
      </c>
      <c r="W543">
        <f t="shared" si="744"/>
        <v>0</v>
      </c>
      <c r="X543">
        <f t="shared" si="745"/>
        <v>4589.9999999999018</v>
      </c>
      <c r="Y543">
        <f t="shared" si="746"/>
        <v>-3444.9999999999268</v>
      </c>
      <c r="Z543">
        <f t="shared" si="747"/>
        <v>32609.999999999789</v>
      </c>
      <c r="AA543">
        <f t="shared" si="748"/>
        <v>-19999.999999999927</v>
      </c>
      <c r="AB543">
        <f t="shared" si="749"/>
        <v>54768.000000000051</v>
      </c>
      <c r="AC543">
        <f t="shared" si="750"/>
        <v>-22229.99999999992</v>
      </c>
      <c r="AD543">
        <f t="shared" si="751"/>
        <v>-603264.00000000058</v>
      </c>
      <c r="AE543">
        <f t="shared" si="752"/>
        <v>4.0000000000000036</v>
      </c>
      <c r="AF543">
        <f t="shared" si="753"/>
        <v>100646.00000000009</v>
      </c>
      <c r="AG543">
        <f t="shared" si="754"/>
        <v>0</v>
      </c>
      <c r="AH543">
        <f t="shared" si="755"/>
        <v>-2.0000000000000462</v>
      </c>
      <c r="AI543">
        <f t="shared" si="756"/>
        <v>-0.51576693225296877</v>
      </c>
      <c r="AJ543">
        <f t="shared" si="757"/>
        <v>47215.043368213999</v>
      </c>
      <c r="AK543">
        <f t="shared" si="758"/>
        <v>-84133.273089845869</v>
      </c>
      <c r="AL543">
        <f t="shared" si="759"/>
        <v>27048.961253795369</v>
      </c>
      <c r="AM543" s="1">
        <f t="shared" si="760"/>
        <v>36229.778798750747</v>
      </c>
      <c r="AN543" s="1">
        <f t="shared" si="737"/>
        <v>-425963.00543601857</v>
      </c>
      <c r="AO543">
        <f t="shared" si="738"/>
        <v>3.9002748536277831E-2</v>
      </c>
    </row>
    <row r="544" spans="1:41" x14ac:dyDescent="0.25">
      <c r="A544" s="4">
        <v>45302</v>
      </c>
      <c r="B544">
        <f t="shared" ref="B544:N544" si="785">(B1094-B1093)*100</f>
        <v>-0.99999999999997868</v>
      </c>
      <c r="C544">
        <f t="shared" si="785"/>
        <v>-0.99999999999997868</v>
      </c>
      <c r="D544">
        <f t="shared" si="785"/>
        <v>0</v>
      </c>
      <c r="E544">
        <f t="shared" si="785"/>
        <v>0.99999999999997868</v>
      </c>
      <c r="F544">
        <f t="shared" si="785"/>
        <v>1.0000000000000675</v>
      </c>
      <c r="G544">
        <f t="shared" si="785"/>
        <v>7.0000000000000284</v>
      </c>
      <c r="H544">
        <f t="shared" si="785"/>
        <v>11.000000000000032</v>
      </c>
      <c r="I544">
        <f t="shared" si="785"/>
        <v>8.0000000000000071</v>
      </c>
      <c r="J544">
        <f t="shared" si="785"/>
        <v>9.0000000000000302</v>
      </c>
      <c r="K544">
        <f t="shared" si="785"/>
        <v>5.9999999999999609</v>
      </c>
      <c r="L544">
        <f t="shared" si="785"/>
        <v>6.0000000000000053</v>
      </c>
      <c r="M544">
        <f t="shared" si="785"/>
        <v>2.9999999999999361</v>
      </c>
      <c r="N544">
        <f t="shared" si="785"/>
        <v>2.0000000000000462</v>
      </c>
      <c r="O544" s="5">
        <f t="shared" si="776"/>
        <v>-2.1906262279208812E-3</v>
      </c>
      <c r="P544" s="5">
        <f t="shared" si="776"/>
        <v>-1.6536288192281084E-3</v>
      </c>
      <c r="Q544" s="5">
        <f t="shared" si="776"/>
        <v>4.7552140558980915E-3</v>
      </c>
      <c r="R544" s="5">
        <f t="shared" si="776"/>
        <v>5.4083289582210149E-4</v>
      </c>
      <c r="S544" s="5">
        <f t="shared" si="776"/>
        <v>-3.9807678529307925E-3</v>
      </c>
      <c r="U544" s="4">
        <v>45302</v>
      </c>
      <c r="V544">
        <f t="shared" si="743"/>
        <v>3999.9999999999145</v>
      </c>
      <c r="W544">
        <f t="shared" si="744"/>
        <v>2222.9999999999527</v>
      </c>
      <c r="X544">
        <f t="shared" si="745"/>
        <v>0</v>
      </c>
      <c r="Y544">
        <f t="shared" si="746"/>
        <v>-3444.9999999999268</v>
      </c>
      <c r="Z544">
        <f t="shared" si="747"/>
        <v>5435.0000000003665</v>
      </c>
      <c r="AA544">
        <f t="shared" si="748"/>
        <v>-14000.000000000056</v>
      </c>
      <c r="AB544">
        <f t="shared" si="749"/>
        <v>50204.000000000146</v>
      </c>
      <c r="AC544">
        <f t="shared" si="750"/>
        <v>-17784.000000000015</v>
      </c>
      <c r="AD544">
        <f t="shared" si="751"/>
        <v>-904896.00000000303</v>
      </c>
      <c r="AE544">
        <f t="shared" si="752"/>
        <v>5.9999999999999609</v>
      </c>
      <c r="AF544">
        <f t="shared" si="753"/>
        <v>301938.00000000029</v>
      </c>
      <c r="AG544">
        <f t="shared" si="754"/>
        <v>75968.999999998385</v>
      </c>
      <c r="AH544">
        <f t="shared" si="755"/>
        <v>2.0000000000000462</v>
      </c>
      <c r="AI544">
        <f t="shared" si="756"/>
        <v>-0.2190626227920881</v>
      </c>
      <c r="AJ544">
        <f t="shared" si="757"/>
        <v>16536.288192281085</v>
      </c>
      <c r="AK544">
        <f t="shared" si="758"/>
        <v>47552.140558980915</v>
      </c>
      <c r="AL544">
        <f t="shared" si="759"/>
        <v>-13520.822395552537</v>
      </c>
      <c r="AM544" s="1">
        <f t="shared" si="760"/>
        <v>39807.678529307923</v>
      </c>
      <c r="AN544" s="1">
        <f t="shared" si="737"/>
        <v>-409972.93417760934</v>
      </c>
      <c r="AO544">
        <f t="shared" si="738"/>
        <v>-2.5165291466336566</v>
      </c>
    </row>
    <row r="545" spans="1:41" x14ac:dyDescent="0.25">
      <c r="A545" s="4">
        <v>45301</v>
      </c>
      <c r="B545">
        <f t="shared" ref="B545:N545" si="786">(B1095-B1094)*100</f>
        <v>0</v>
      </c>
      <c r="C545">
        <f t="shared" si="786"/>
        <v>0</v>
      </c>
      <c r="D545">
        <f t="shared" si="786"/>
        <v>0.99999999999997868</v>
      </c>
      <c r="E545">
        <f t="shared" si="786"/>
        <v>-0.99999999999997868</v>
      </c>
      <c r="F545">
        <f t="shared" si="786"/>
        <v>0.99999999999997868</v>
      </c>
      <c r="G545">
        <f t="shared" si="786"/>
        <v>0</v>
      </c>
      <c r="H545">
        <f t="shared" si="786"/>
        <v>-0.99999999999997868</v>
      </c>
      <c r="I545">
        <f t="shared" si="786"/>
        <v>-0.99999999999997868</v>
      </c>
      <c r="J545">
        <f t="shared" si="786"/>
        <v>-2.0000000000000018</v>
      </c>
      <c r="K545">
        <f t="shared" si="786"/>
        <v>-0.99999999999997868</v>
      </c>
      <c r="L545">
        <f t="shared" si="786"/>
        <v>-2.0000000000000462</v>
      </c>
      <c r="M545">
        <f t="shared" si="786"/>
        <v>-1.9999999999999574</v>
      </c>
      <c r="N545">
        <f t="shared" si="786"/>
        <v>-2.0000000000000462</v>
      </c>
      <c r="O545" s="5">
        <f t="shared" ref="O545:S554" si="787">LN(O1094/O1095)</f>
        <v>-7.3595554879569665E-4</v>
      </c>
      <c r="P545" s="5">
        <f t="shared" si="787"/>
        <v>-2.0314887636611332E-3</v>
      </c>
      <c r="Q545" s="5">
        <f t="shared" si="787"/>
        <v>1.4757814563057543E-2</v>
      </c>
      <c r="R545" s="5">
        <f t="shared" si="787"/>
        <v>-2.4314479086731751E-3</v>
      </c>
      <c r="S545" s="5">
        <f t="shared" si="787"/>
        <v>1.9264820571159558E-3</v>
      </c>
      <c r="U545" s="4">
        <v>45301</v>
      </c>
      <c r="V545">
        <f t="shared" si="743"/>
        <v>0</v>
      </c>
      <c r="W545">
        <f t="shared" si="744"/>
        <v>0</v>
      </c>
      <c r="X545">
        <f t="shared" si="745"/>
        <v>4589.9999999999018</v>
      </c>
      <c r="Y545">
        <f t="shared" si="746"/>
        <v>3444.9999999999268</v>
      </c>
      <c r="Z545">
        <f t="shared" si="747"/>
        <v>5434.9999999998845</v>
      </c>
      <c r="AA545">
        <f t="shared" si="748"/>
        <v>0</v>
      </c>
      <c r="AB545">
        <f t="shared" si="749"/>
        <v>-4563.9999999999027</v>
      </c>
      <c r="AC545">
        <f t="shared" si="750"/>
        <v>2222.9999999999527</v>
      </c>
      <c r="AD545">
        <f t="shared" si="751"/>
        <v>201088.00000000017</v>
      </c>
      <c r="AE545">
        <f t="shared" si="752"/>
        <v>-0.99999999999997868</v>
      </c>
      <c r="AF545">
        <f t="shared" si="753"/>
        <v>-100646.00000000233</v>
      </c>
      <c r="AG545">
        <f t="shared" si="754"/>
        <v>-50645.999999998923</v>
      </c>
      <c r="AH545">
        <f t="shared" si="755"/>
        <v>-2.0000000000000462</v>
      </c>
      <c r="AI545">
        <f t="shared" si="756"/>
        <v>-7.3595554879569661E-2</v>
      </c>
      <c r="AJ545">
        <f t="shared" si="757"/>
        <v>20314.887636611333</v>
      </c>
      <c r="AK545">
        <f t="shared" si="758"/>
        <v>147578.14563057543</v>
      </c>
      <c r="AL545">
        <f t="shared" si="759"/>
        <v>60786.197716829374</v>
      </c>
      <c r="AM545" s="1">
        <f t="shared" si="760"/>
        <v>-19264.820571159558</v>
      </c>
      <c r="AN545" s="1">
        <f t="shared" si="737"/>
        <v>270336.33681730041</v>
      </c>
      <c r="AO545">
        <f t="shared" si="738"/>
        <v>-1.9096171352122937</v>
      </c>
    </row>
    <row r="546" spans="1:41" x14ac:dyDescent="0.25">
      <c r="A546" s="4">
        <v>45300</v>
      </c>
      <c r="B546">
        <f t="shared" ref="B546:N546" si="788">(B1096-B1095)*100</f>
        <v>0.99999999999997868</v>
      </c>
      <c r="C546">
        <f t="shared" si="788"/>
        <v>2.0000000000000462</v>
      </c>
      <c r="D546">
        <f t="shared" si="788"/>
        <v>2.0000000000000462</v>
      </c>
      <c r="E546">
        <f t="shared" si="788"/>
        <v>0.99999999999997868</v>
      </c>
      <c r="F546">
        <f t="shared" si="788"/>
        <v>0</v>
      </c>
      <c r="G546">
        <f t="shared" si="788"/>
        <v>0</v>
      </c>
      <c r="H546">
        <f t="shared" si="788"/>
        <v>0</v>
      </c>
      <c r="I546">
        <f t="shared" si="788"/>
        <v>2.0000000000000462</v>
      </c>
      <c r="J546">
        <f t="shared" si="788"/>
        <v>0</v>
      </c>
      <c r="K546">
        <f t="shared" si="788"/>
        <v>-0.99999999999997868</v>
      </c>
      <c r="L546">
        <f t="shared" si="788"/>
        <v>-0.99999999999997868</v>
      </c>
      <c r="M546">
        <f t="shared" si="788"/>
        <v>0</v>
      </c>
      <c r="N546">
        <f t="shared" si="788"/>
        <v>-0.99999999999997868</v>
      </c>
      <c r="O546" s="5">
        <f t="shared" si="787"/>
        <v>1.7794872819395292E-3</v>
      </c>
      <c r="P546" s="5">
        <f t="shared" si="787"/>
        <v>1.7658808197913243E-2</v>
      </c>
      <c r="Q546" s="5">
        <f t="shared" si="787"/>
        <v>9.1842953233217638E-3</v>
      </c>
      <c r="R546" s="5">
        <f t="shared" si="787"/>
        <v>2.7019740837302621E-3</v>
      </c>
      <c r="S546" s="5">
        <f t="shared" si="787"/>
        <v>8.7421634958658942E-3</v>
      </c>
      <c r="U546" s="4">
        <v>45300</v>
      </c>
      <c r="V546">
        <f t="shared" si="743"/>
        <v>-3999.9999999999145</v>
      </c>
      <c r="W546">
        <f t="shared" si="744"/>
        <v>-4446.0000000001028</v>
      </c>
      <c r="X546">
        <f t="shared" si="745"/>
        <v>9180.0000000002128</v>
      </c>
      <c r="Y546">
        <f t="shared" si="746"/>
        <v>-3444.9999999999268</v>
      </c>
      <c r="Z546">
        <f t="shared" si="747"/>
        <v>0</v>
      </c>
      <c r="AA546">
        <f t="shared" si="748"/>
        <v>0</v>
      </c>
      <c r="AB546">
        <f t="shared" si="749"/>
        <v>0</v>
      </c>
      <c r="AC546">
        <f t="shared" si="750"/>
        <v>-4446.0000000001028</v>
      </c>
      <c r="AD546">
        <f t="shared" si="751"/>
        <v>0</v>
      </c>
      <c r="AE546">
        <f t="shared" si="752"/>
        <v>-0.99999999999997868</v>
      </c>
      <c r="AF546">
        <f t="shared" si="753"/>
        <v>-50322.99999999893</v>
      </c>
      <c r="AG546">
        <f t="shared" si="754"/>
        <v>0</v>
      </c>
      <c r="AH546">
        <f t="shared" si="755"/>
        <v>-0.99999999999997868</v>
      </c>
      <c r="AI546">
        <f t="shared" si="756"/>
        <v>0.17794872819395291</v>
      </c>
      <c r="AJ546">
        <f t="shared" si="757"/>
        <v>-176588.08197913243</v>
      </c>
      <c r="AK546">
        <f t="shared" si="758"/>
        <v>91842.953233217631</v>
      </c>
      <c r="AL546">
        <f t="shared" si="759"/>
        <v>-67549.352093256559</v>
      </c>
      <c r="AM546" s="1">
        <f t="shared" si="760"/>
        <v>-87421.634958658935</v>
      </c>
      <c r="AN546" s="1">
        <f t="shared" si="737"/>
        <v>-297197.93784910085</v>
      </c>
      <c r="AO546">
        <f t="shared" si="738"/>
        <v>-5.9468371439760892</v>
      </c>
    </row>
    <row r="547" spans="1:41" x14ac:dyDescent="0.25">
      <c r="A547" s="4">
        <v>45299</v>
      </c>
      <c r="B547">
        <f t="shared" ref="B547:N547" si="789">(B1097-B1096)*100</f>
        <v>0</v>
      </c>
      <c r="C547">
        <f t="shared" si="789"/>
        <v>0</v>
      </c>
      <c r="D547">
        <f t="shared" si="789"/>
        <v>-2.0000000000000462</v>
      </c>
      <c r="E547">
        <f t="shared" si="789"/>
        <v>2.0000000000000462</v>
      </c>
      <c r="F547">
        <f t="shared" si="789"/>
        <v>0</v>
      </c>
      <c r="G547">
        <f t="shared" si="789"/>
        <v>1.9999999999999574</v>
      </c>
      <c r="H547">
        <f t="shared" si="789"/>
        <v>4.0000000000000036</v>
      </c>
      <c r="I547">
        <f t="shared" si="789"/>
        <v>5.9999999999999609</v>
      </c>
      <c r="J547">
        <f t="shared" si="789"/>
        <v>4.9999999999999378</v>
      </c>
      <c r="K547">
        <f t="shared" si="789"/>
        <v>4.9999999999999822</v>
      </c>
      <c r="L547">
        <f t="shared" si="789"/>
        <v>4.0000000000000036</v>
      </c>
      <c r="M547">
        <f t="shared" si="789"/>
        <v>4.0000000000000036</v>
      </c>
      <c r="N547">
        <f t="shared" si="789"/>
        <v>4.0000000000000036</v>
      </c>
      <c r="O547" s="5">
        <f t="shared" si="787"/>
        <v>-1.0026294282932775E-3</v>
      </c>
      <c r="P547" s="5">
        <f t="shared" si="787"/>
        <v>0</v>
      </c>
      <c r="Q547" s="5">
        <f t="shared" si="787"/>
        <v>9.6989823728530367E-3</v>
      </c>
      <c r="R547" s="5">
        <f t="shared" si="787"/>
        <v>-5.3966671721543879E-3</v>
      </c>
      <c r="S547" s="5">
        <f t="shared" si="787"/>
        <v>-4.3450972402247351E-3</v>
      </c>
      <c r="U547" s="4">
        <v>45299</v>
      </c>
      <c r="V547">
        <f t="shared" si="743"/>
        <v>0</v>
      </c>
      <c r="W547">
        <f t="shared" si="744"/>
        <v>0</v>
      </c>
      <c r="X547">
        <f t="shared" si="745"/>
        <v>-9180.0000000002128</v>
      </c>
      <c r="Y547">
        <f t="shared" si="746"/>
        <v>-6890.0000000001592</v>
      </c>
      <c r="Z547">
        <f t="shared" si="747"/>
        <v>0</v>
      </c>
      <c r="AA547">
        <f t="shared" si="748"/>
        <v>-3999.9999999999145</v>
      </c>
      <c r="AB547">
        <f t="shared" si="749"/>
        <v>18256.000000000015</v>
      </c>
      <c r="AC547">
        <f t="shared" si="750"/>
        <v>-13337.999999999913</v>
      </c>
      <c r="AD547">
        <f t="shared" si="751"/>
        <v>-502719.99999999377</v>
      </c>
      <c r="AE547">
        <f t="shared" si="752"/>
        <v>4.9999999999999822</v>
      </c>
      <c r="AF547">
        <f t="shared" si="753"/>
        <v>201292.00000000017</v>
      </c>
      <c r="AG547">
        <f t="shared" si="754"/>
        <v>101292.00000000009</v>
      </c>
      <c r="AH547">
        <f t="shared" si="755"/>
        <v>4.0000000000000036</v>
      </c>
      <c r="AI547">
        <f t="shared" si="756"/>
        <v>-0.10026294282932775</v>
      </c>
      <c r="AJ547">
        <f t="shared" si="757"/>
        <v>0</v>
      </c>
      <c r="AK547">
        <f t="shared" si="758"/>
        <v>96989.823728530362</v>
      </c>
      <c r="AL547">
        <f t="shared" si="759"/>
        <v>134916.67930385971</v>
      </c>
      <c r="AM547" s="1">
        <f t="shared" si="760"/>
        <v>43450.972402247353</v>
      </c>
      <c r="AN547" s="1">
        <f t="shared" si="737"/>
        <v>60078.3751717009</v>
      </c>
      <c r="AO547">
        <f t="shared" si="738"/>
        <v>-0.81786183119222344</v>
      </c>
    </row>
    <row r="548" spans="1:41" x14ac:dyDescent="0.25">
      <c r="A548" s="4">
        <v>45296</v>
      </c>
      <c r="B548">
        <f t="shared" ref="B548:N548" si="790">(B1098-B1097)*100</f>
        <v>1.9999999999999574</v>
      </c>
      <c r="C548">
        <f t="shared" si="790"/>
        <v>0</v>
      </c>
      <c r="D548">
        <f t="shared" si="790"/>
        <v>1.0000000000000675</v>
      </c>
      <c r="E548">
        <f t="shared" si="790"/>
        <v>0</v>
      </c>
      <c r="F548">
        <f t="shared" si="790"/>
        <v>0.99999999999997868</v>
      </c>
      <c r="G548">
        <f t="shared" si="790"/>
        <v>0.99999999999997868</v>
      </c>
      <c r="H548">
        <f t="shared" si="790"/>
        <v>-2.0000000000000462</v>
      </c>
      <c r="I548">
        <f t="shared" si="790"/>
        <v>-3.0000000000000249</v>
      </c>
      <c r="J548">
        <f t="shared" si="790"/>
        <v>-4.9999999999999378</v>
      </c>
      <c r="K548">
        <f t="shared" si="790"/>
        <v>-4.9999999999999822</v>
      </c>
      <c r="L548">
        <f t="shared" si="790"/>
        <v>-5.9999999999999609</v>
      </c>
      <c r="M548">
        <f t="shared" si="790"/>
        <v>-7.0000000000000284</v>
      </c>
      <c r="N548">
        <f t="shared" si="790"/>
        <v>-8.0000000000000071</v>
      </c>
      <c r="O548" s="5">
        <f t="shared" si="787"/>
        <v>-5.8931054206660489E-3</v>
      </c>
      <c r="P548" s="5">
        <f t="shared" si="787"/>
        <v>-1.5823029819091946E-2</v>
      </c>
      <c r="Q548" s="5">
        <f t="shared" si="787"/>
        <v>6.7841071010564023E-5</v>
      </c>
      <c r="R548" s="5">
        <f t="shared" si="787"/>
        <v>-2.4190308799306882E-3</v>
      </c>
      <c r="S548" s="5">
        <f t="shared" si="787"/>
        <v>-8.9392658490661074E-3</v>
      </c>
      <c r="U548" s="4">
        <v>45296</v>
      </c>
      <c r="V548">
        <f t="shared" si="743"/>
        <v>-7999.999999999829</v>
      </c>
      <c r="W548">
        <f t="shared" si="744"/>
        <v>0</v>
      </c>
      <c r="X548">
        <f t="shared" si="745"/>
        <v>4590.0000000003101</v>
      </c>
      <c r="Y548">
        <f t="shared" si="746"/>
        <v>0</v>
      </c>
      <c r="Z548">
        <f t="shared" si="747"/>
        <v>5434.9999999998845</v>
      </c>
      <c r="AA548">
        <f t="shared" si="748"/>
        <v>-1999.9999999999573</v>
      </c>
      <c r="AB548">
        <f t="shared" si="749"/>
        <v>-9128.000000000211</v>
      </c>
      <c r="AC548">
        <f t="shared" si="750"/>
        <v>6669.0000000000555</v>
      </c>
      <c r="AD548">
        <f t="shared" si="751"/>
        <v>502719.99999999377</v>
      </c>
      <c r="AE548">
        <f t="shared" si="752"/>
        <v>-4.9999999999999822</v>
      </c>
      <c r="AF548">
        <f t="shared" si="753"/>
        <v>-301937.99999999802</v>
      </c>
      <c r="AG548">
        <f t="shared" si="754"/>
        <v>-177261.00000000073</v>
      </c>
      <c r="AH548">
        <f t="shared" si="755"/>
        <v>-8.0000000000000071</v>
      </c>
      <c r="AI548">
        <f t="shared" si="756"/>
        <v>-0.58931054206660494</v>
      </c>
      <c r="AJ548">
        <f t="shared" si="757"/>
        <v>158230.29819091945</v>
      </c>
      <c r="AK548">
        <f t="shared" si="758"/>
        <v>678.41071010564019</v>
      </c>
      <c r="AL548">
        <f t="shared" si="759"/>
        <v>60475.771998267206</v>
      </c>
      <c r="AM548" s="1">
        <f t="shared" si="760"/>
        <v>89392.658490661081</v>
      </c>
      <c r="AN548" s="1">
        <f t="shared" si="737"/>
        <v>329850.55007940659</v>
      </c>
      <c r="AO548">
        <f t="shared" si="738"/>
        <v>1.5110640568413984</v>
      </c>
    </row>
    <row r="549" spans="1:41" x14ac:dyDescent="0.25">
      <c r="A549" s="4">
        <v>45295</v>
      </c>
      <c r="B549">
        <f t="shared" ref="B549:N549" si="791">(B1099-B1098)*100</f>
        <v>-1.9999999999999574</v>
      </c>
      <c r="C549">
        <f t="shared" si="791"/>
        <v>5.9999999999999609</v>
      </c>
      <c r="D549">
        <f t="shared" si="791"/>
        <v>0</v>
      </c>
      <c r="E549">
        <f t="shared" si="791"/>
        <v>0</v>
      </c>
      <c r="F549">
        <f t="shared" si="791"/>
        <v>0</v>
      </c>
      <c r="G549">
        <f t="shared" si="791"/>
        <v>-4.0000000000000036</v>
      </c>
      <c r="H549">
        <f t="shared" si="791"/>
        <v>-4.9999999999999822</v>
      </c>
      <c r="I549">
        <f t="shared" si="791"/>
        <v>-6.9999999999999396</v>
      </c>
      <c r="J549">
        <f t="shared" si="791"/>
        <v>-7.0000000000000284</v>
      </c>
      <c r="K549">
        <f t="shared" si="791"/>
        <v>-7.0000000000000284</v>
      </c>
      <c r="L549">
        <f t="shared" si="791"/>
        <v>-8.0000000000000071</v>
      </c>
      <c r="M549">
        <f t="shared" si="791"/>
        <v>-8.9999999999999858</v>
      </c>
      <c r="N549">
        <f t="shared" si="791"/>
        <v>-8.0000000000000071</v>
      </c>
      <c r="O549" s="5">
        <f t="shared" si="787"/>
        <v>-4.8783463373701841E-4</v>
      </c>
      <c r="P549" s="5">
        <f t="shared" si="787"/>
        <v>3.1232247266563596E-3</v>
      </c>
      <c r="Q549" s="5">
        <f t="shared" si="787"/>
        <v>3.9313259078158341E-3</v>
      </c>
      <c r="R549" s="5">
        <f t="shared" si="787"/>
        <v>-2.1453481009238991E-3</v>
      </c>
      <c r="S549" s="5">
        <f t="shared" si="787"/>
        <v>-9.3920965576602759E-5</v>
      </c>
      <c r="U549" s="4">
        <v>45295</v>
      </c>
      <c r="V549">
        <f t="shared" si="743"/>
        <v>7999.999999999829</v>
      </c>
      <c r="W549">
        <f t="shared" si="744"/>
        <v>-13337.999999999913</v>
      </c>
      <c r="X549">
        <f t="shared" si="745"/>
        <v>0</v>
      </c>
      <c r="Y549">
        <f t="shared" si="746"/>
        <v>0</v>
      </c>
      <c r="Z549">
        <f t="shared" si="747"/>
        <v>0</v>
      </c>
      <c r="AA549">
        <f t="shared" si="748"/>
        <v>8000.0000000000073</v>
      </c>
      <c r="AB549">
        <f t="shared" si="749"/>
        <v>-22819.99999999992</v>
      </c>
      <c r="AC549">
        <f t="shared" si="750"/>
        <v>15560.999999999865</v>
      </c>
      <c r="AD549">
        <f t="shared" si="751"/>
        <v>703808.00000000291</v>
      </c>
      <c r="AE549">
        <f t="shared" si="752"/>
        <v>-7.0000000000000284</v>
      </c>
      <c r="AF549">
        <f t="shared" si="753"/>
        <v>-402584.00000000035</v>
      </c>
      <c r="AG549">
        <f t="shared" si="754"/>
        <v>-227906.99999999965</v>
      </c>
      <c r="AH549">
        <f t="shared" si="755"/>
        <v>-8.0000000000000071</v>
      </c>
      <c r="AI549">
        <f t="shared" si="756"/>
        <v>-4.8783463373701839E-2</v>
      </c>
      <c r="AJ549">
        <f t="shared" si="757"/>
        <v>-31232.247266563598</v>
      </c>
      <c r="AK549">
        <f t="shared" si="758"/>
        <v>39313.259078158342</v>
      </c>
      <c r="AL549">
        <f t="shared" si="759"/>
        <v>53633.702523097476</v>
      </c>
      <c r="AM549" s="1">
        <f t="shared" si="760"/>
        <v>939.20965576602759</v>
      </c>
      <c r="AN549" s="1">
        <f t="shared" si="737"/>
        <v>131358.87520699768</v>
      </c>
      <c r="AO549">
        <f t="shared" si="738"/>
        <v>-1.4753783064528692</v>
      </c>
    </row>
    <row r="550" spans="1:41" x14ac:dyDescent="0.25">
      <c r="A550" s="4">
        <v>45294</v>
      </c>
      <c r="B550">
        <f>(B1100-B1099)*100</f>
        <v>0.99999999999997868</v>
      </c>
      <c r="C550">
        <f t="shared" ref="C550:N550" si="792">(C1100-C1099)*100</f>
        <v>0</v>
      </c>
      <c r="D550">
        <f t="shared" si="792"/>
        <v>-2.0000000000000462</v>
      </c>
      <c r="E550">
        <f t="shared" si="792"/>
        <v>0</v>
      </c>
      <c r="F550">
        <f t="shared" si="792"/>
        <v>-0.99999999999997868</v>
      </c>
      <c r="G550">
        <f t="shared" si="792"/>
        <v>-0.99999999999997868</v>
      </c>
      <c r="H550">
        <f t="shared" si="792"/>
        <v>0</v>
      </c>
      <c r="I550">
        <f t="shared" si="792"/>
        <v>1.9999999999999574</v>
      </c>
      <c r="J550">
        <f t="shared" si="792"/>
        <v>3.0000000000000249</v>
      </c>
      <c r="K550">
        <f t="shared" si="792"/>
        <v>3.0000000000000249</v>
      </c>
      <c r="L550">
        <f t="shared" si="792"/>
        <v>4.0000000000000036</v>
      </c>
      <c r="M550">
        <f t="shared" si="792"/>
        <v>4.0000000000000036</v>
      </c>
      <c r="N550">
        <f t="shared" si="792"/>
        <v>3.0000000000000249</v>
      </c>
      <c r="O550" s="5">
        <f t="shared" si="787"/>
        <v>6.0333237783713953E-3</v>
      </c>
      <c r="P550" s="5">
        <f t="shared" si="787"/>
        <v>1.0894051989868495E-2</v>
      </c>
      <c r="Q550" s="5">
        <f t="shared" si="787"/>
        <v>4.3230027962691819E-3</v>
      </c>
      <c r="R550" s="5">
        <f t="shared" si="787"/>
        <v>7.7988831485138986E-3</v>
      </c>
      <c r="S550" s="5">
        <f t="shared" si="787"/>
        <v>-4.4600416227404469E-4</v>
      </c>
      <c r="U550" s="4">
        <v>45294</v>
      </c>
      <c r="V550">
        <f t="shared" si="743"/>
        <v>-3999.9999999999145</v>
      </c>
      <c r="W550">
        <f t="shared" si="744"/>
        <v>0</v>
      </c>
      <c r="X550">
        <f t="shared" si="745"/>
        <v>-9180.0000000002128</v>
      </c>
      <c r="Y550">
        <f t="shared" si="746"/>
        <v>0</v>
      </c>
      <c r="Z550">
        <f t="shared" si="747"/>
        <v>-5434.9999999998845</v>
      </c>
      <c r="AA550">
        <f t="shared" si="748"/>
        <v>1999.9999999999573</v>
      </c>
      <c r="AB550">
        <f t="shared" si="749"/>
        <v>0</v>
      </c>
      <c r="AC550">
        <f t="shared" si="750"/>
        <v>-4445.9999999999054</v>
      </c>
      <c r="AD550">
        <f t="shared" si="751"/>
        <v>-301632.0000000025</v>
      </c>
      <c r="AE550">
        <f t="shared" si="752"/>
        <v>3.0000000000000249</v>
      </c>
      <c r="AF550">
        <f t="shared" si="753"/>
        <v>201292.00000000017</v>
      </c>
      <c r="AG550">
        <f t="shared" si="754"/>
        <v>101292.00000000009</v>
      </c>
      <c r="AH550">
        <f t="shared" si="755"/>
        <v>3.0000000000000249</v>
      </c>
      <c r="AI550">
        <f t="shared" si="756"/>
        <v>0.60333237783713956</v>
      </c>
      <c r="AJ550">
        <f t="shared" si="757"/>
        <v>-108940.51989868494</v>
      </c>
      <c r="AK550">
        <f t="shared" si="758"/>
        <v>43230.02796269182</v>
      </c>
      <c r="AL550">
        <f t="shared" si="759"/>
        <v>-194972.07871284746</v>
      </c>
      <c r="AM550" s="1">
        <f t="shared" si="760"/>
        <v>4460.0416227404467</v>
      </c>
      <c r="AN550" s="1">
        <f t="shared" si="737"/>
        <v>-276324.92569372448</v>
      </c>
    </row>
    <row r="551" spans="1:41" x14ac:dyDescent="0.25">
      <c r="A551" s="4">
        <v>45293</v>
      </c>
      <c r="U551" s="4">
        <v>45293</v>
      </c>
      <c r="AM551" s="1"/>
      <c r="AN551" s="1"/>
    </row>
    <row r="553" spans="1:41" x14ac:dyDescent="0.25">
      <c r="A553" t="s">
        <v>30</v>
      </c>
      <c r="B553" t="s">
        <v>12</v>
      </c>
      <c r="C553" t="s">
        <v>13</v>
      </c>
      <c r="D553" t="s">
        <v>14</v>
      </c>
      <c r="E553" t="s">
        <v>15</v>
      </c>
      <c r="F553" t="s">
        <v>16</v>
      </c>
      <c r="G553" t="s">
        <v>17</v>
      </c>
      <c r="H553" t="s">
        <v>18</v>
      </c>
      <c r="I553" t="s">
        <v>19</v>
      </c>
      <c r="J553" t="s">
        <v>20</v>
      </c>
      <c r="K553" t="s">
        <v>21</v>
      </c>
      <c r="L553" t="s">
        <v>22</v>
      </c>
      <c r="M553" t="s">
        <v>23</v>
      </c>
      <c r="N553" t="s">
        <v>24</v>
      </c>
      <c r="O553" t="s">
        <v>25</v>
      </c>
      <c r="P553" t="s">
        <v>26</v>
      </c>
      <c r="Q553" t="s">
        <v>27</v>
      </c>
      <c r="R553" t="s">
        <v>28</v>
      </c>
      <c r="S553" t="s">
        <v>29</v>
      </c>
    </row>
    <row r="554" spans="1:41" x14ac:dyDescent="0.25">
      <c r="A554" s="4">
        <v>46093</v>
      </c>
      <c r="B554">
        <v>3.76</v>
      </c>
      <c r="C554">
        <v>3.72</v>
      </c>
      <c r="D554">
        <v>3.72</v>
      </c>
      <c r="E554">
        <v>3.69</v>
      </c>
      <c r="F554">
        <v>3.7</v>
      </c>
      <c r="G554">
        <v>3.66</v>
      </c>
      <c r="H554">
        <v>3.76</v>
      </c>
      <c r="I554">
        <v>3.75</v>
      </c>
      <c r="J554">
        <v>3.88</v>
      </c>
      <c r="K554">
        <v>4.0599999999999996</v>
      </c>
      <c r="L554">
        <v>4.2699999999999996</v>
      </c>
      <c r="M554">
        <v>4.8600000000000003</v>
      </c>
      <c r="N554">
        <v>4.88</v>
      </c>
      <c r="O554">
        <v>5.2047999999999996</v>
      </c>
      <c r="P554">
        <v>3683</v>
      </c>
      <c r="Q554">
        <v>895.86</v>
      </c>
      <c r="R554">
        <v>3.4449999999999998</v>
      </c>
      <c r="S554">
        <v>17.844899999999999</v>
      </c>
    </row>
    <row r="555" spans="1:41" x14ac:dyDescent="0.25">
      <c r="A555" s="4">
        <v>46092</v>
      </c>
      <c r="B555">
        <v>3.75</v>
      </c>
      <c r="C555">
        <v>3.7</v>
      </c>
      <c r="D555">
        <v>3.71</v>
      </c>
      <c r="E555">
        <v>3.69</v>
      </c>
      <c r="F555">
        <v>3.68</v>
      </c>
      <c r="G555">
        <v>3.6</v>
      </c>
      <c r="H555">
        <v>3.64</v>
      </c>
      <c r="I555">
        <v>3.64</v>
      </c>
      <c r="J555">
        <v>3.79</v>
      </c>
      <c r="K555">
        <v>3.98</v>
      </c>
      <c r="L555">
        <v>4.21</v>
      </c>
      <c r="M555">
        <v>4.82</v>
      </c>
      <c r="N555">
        <v>4.8600000000000003</v>
      </c>
      <c r="O555">
        <v>5.1593</v>
      </c>
      <c r="P555">
        <v>3704.9</v>
      </c>
      <c r="Q555">
        <v>893.69</v>
      </c>
      <c r="R555">
        <v>3.419</v>
      </c>
      <c r="S555">
        <v>17.669799999999999</v>
      </c>
    </row>
    <row r="556" spans="1:41" x14ac:dyDescent="0.25">
      <c r="A556" s="4">
        <v>46091</v>
      </c>
      <c r="B556">
        <v>3.75</v>
      </c>
      <c r="C556">
        <v>3.71</v>
      </c>
      <c r="D556">
        <v>3.71</v>
      </c>
      <c r="E556">
        <v>3.69</v>
      </c>
      <c r="F556">
        <v>3.68</v>
      </c>
      <c r="G556">
        <v>3.56</v>
      </c>
      <c r="H556">
        <v>3.57</v>
      </c>
      <c r="I556">
        <v>3.58</v>
      </c>
      <c r="J556">
        <v>3.73</v>
      </c>
      <c r="K556">
        <v>3.93</v>
      </c>
      <c r="L556">
        <v>4.1500000000000004</v>
      </c>
      <c r="M556">
        <v>4.74</v>
      </c>
      <c r="N556">
        <v>4.78</v>
      </c>
      <c r="O556">
        <v>5.1619000000000002</v>
      </c>
      <c r="P556">
        <v>3697.05</v>
      </c>
      <c r="Q556">
        <v>916.36</v>
      </c>
      <c r="R556">
        <v>3.423</v>
      </c>
      <c r="S556">
        <v>17.590299999999999</v>
      </c>
    </row>
    <row r="557" spans="1:41" x14ac:dyDescent="0.25">
      <c r="A557" s="4">
        <v>46090</v>
      </c>
      <c r="B557">
        <v>3.75</v>
      </c>
      <c r="C557">
        <v>3.72</v>
      </c>
      <c r="D557">
        <v>3.71</v>
      </c>
      <c r="E557">
        <v>3.68</v>
      </c>
      <c r="F557">
        <v>3.68</v>
      </c>
      <c r="G557">
        <v>3.56</v>
      </c>
      <c r="H557">
        <v>3.56</v>
      </c>
      <c r="I557">
        <v>3.58</v>
      </c>
      <c r="J557">
        <v>3.71</v>
      </c>
      <c r="K557">
        <v>3.9</v>
      </c>
      <c r="L557">
        <v>4.12</v>
      </c>
      <c r="M557">
        <v>4.7</v>
      </c>
      <c r="N557">
        <v>4.72</v>
      </c>
      <c r="O557">
        <v>5.2135999999999996</v>
      </c>
      <c r="P557">
        <v>3767</v>
      </c>
      <c r="Q557">
        <v>921.76</v>
      </c>
      <c r="R557">
        <v>3.488</v>
      </c>
      <c r="S557">
        <v>17.671099999999999</v>
      </c>
    </row>
    <row r="558" spans="1:41" x14ac:dyDescent="0.25">
      <c r="A558" s="4">
        <v>46087</v>
      </c>
      <c r="B558">
        <v>3.75</v>
      </c>
      <c r="C558">
        <v>3.72</v>
      </c>
      <c r="D558">
        <v>3.69</v>
      </c>
      <c r="E558">
        <v>3.67</v>
      </c>
      <c r="F558">
        <v>3.66</v>
      </c>
      <c r="G558">
        <v>3.55</v>
      </c>
      <c r="H558">
        <v>3.56</v>
      </c>
      <c r="I558">
        <v>3.59</v>
      </c>
      <c r="J558">
        <v>3.72</v>
      </c>
      <c r="K558">
        <v>3.93</v>
      </c>
      <c r="L558">
        <v>4.1500000000000004</v>
      </c>
      <c r="M558">
        <v>4.74</v>
      </c>
      <c r="N558">
        <v>4.7699999999999996</v>
      </c>
      <c r="O558">
        <v>5.2874999999999996</v>
      </c>
      <c r="P558">
        <v>3770</v>
      </c>
      <c r="Q558">
        <v>907.66</v>
      </c>
      <c r="R558">
        <v>3.4780000000000002</v>
      </c>
      <c r="S558">
        <v>17.8034</v>
      </c>
    </row>
    <row r="559" spans="1:41" x14ac:dyDescent="0.25">
      <c r="A559" s="4">
        <v>46086</v>
      </c>
      <c r="B559">
        <v>3.75</v>
      </c>
      <c r="C559">
        <v>3.72</v>
      </c>
      <c r="D559">
        <v>3.7</v>
      </c>
      <c r="E559">
        <v>3.68</v>
      </c>
      <c r="F559">
        <v>3.68</v>
      </c>
      <c r="G559">
        <v>3.59</v>
      </c>
      <c r="H559">
        <v>3.57</v>
      </c>
      <c r="I559">
        <v>3.59</v>
      </c>
      <c r="J559">
        <v>3.72</v>
      </c>
      <c r="K559">
        <v>3.92</v>
      </c>
      <c r="L559">
        <v>4.13</v>
      </c>
      <c r="M559">
        <v>4.71</v>
      </c>
      <c r="N559">
        <v>4.74</v>
      </c>
      <c r="O559">
        <v>5.2443999999999997</v>
      </c>
      <c r="P559">
        <v>3775</v>
      </c>
      <c r="Q559">
        <v>895.14</v>
      </c>
      <c r="R559">
        <v>3.4390000000000001</v>
      </c>
      <c r="S559">
        <v>17.79</v>
      </c>
    </row>
    <row r="560" spans="1:41" x14ac:dyDescent="0.25">
      <c r="A560" s="4">
        <v>46085</v>
      </c>
      <c r="B560">
        <v>3.75</v>
      </c>
      <c r="C560">
        <v>3.75</v>
      </c>
      <c r="D560">
        <v>3.71</v>
      </c>
      <c r="E560">
        <v>3.68</v>
      </c>
      <c r="F560">
        <v>3.68</v>
      </c>
      <c r="G560">
        <v>3.58</v>
      </c>
      <c r="H560">
        <v>3.54</v>
      </c>
      <c r="I560">
        <v>3.55</v>
      </c>
      <c r="J560">
        <v>3.67</v>
      </c>
      <c r="K560">
        <v>3.87</v>
      </c>
      <c r="L560">
        <v>4.09</v>
      </c>
      <c r="M560">
        <v>4.67</v>
      </c>
      <c r="N560">
        <v>4.72</v>
      </c>
      <c r="O560">
        <v>5.2088000000000001</v>
      </c>
      <c r="P560">
        <v>3747</v>
      </c>
      <c r="Q560">
        <v>906.32</v>
      </c>
      <c r="R560">
        <v>3.411</v>
      </c>
      <c r="S560">
        <v>17.559200000000001</v>
      </c>
    </row>
    <row r="561" spans="1:19" x14ac:dyDescent="0.25">
      <c r="A561" s="4">
        <v>46084</v>
      </c>
      <c r="B561">
        <v>3.75</v>
      </c>
      <c r="C561">
        <v>3.74</v>
      </c>
      <c r="D561">
        <v>3.71</v>
      </c>
      <c r="E561">
        <v>3.67</v>
      </c>
      <c r="F561">
        <v>3.68</v>
      </c>
      <c r="G561">
        <v>3.55</v>
      </c>
      <c r="H561">
        <v>3.51</v>
      </c>
      <c r="I561">
        <v>3.5</v>
      </c>
      <c r="J561">
        <v>3.63</v>
      </c>
      <c r="K561">
        <v>3.83</v>
      </c>
      <c r="L561">
        <v>4.0599999999999996</v>
      </c>
      <c r="M561">
        <v>4.6500000000000004</v>
      </c>
      <c r="N561">
        <v>4.7</v>
      </c>
      <c r="O561">
        <v>5.2866999999999997</v>
      </c>
      <c r="P561">
        <v>3800</v>
      </c>
      <c r="Q561">
        <v>884.21</v>
      </c>
      <c r="R561">
        <v>3.415</v>
      </c>
      <c r="S561">
        <v>17.636700000000001</v>
      </c>
    </row>
    <row r="562" spans="1:19" x14ac:dyDescent="0.25">
      <c r="A562" s="4">
        <v>46083</v>
      </c>
      <c r="B562">
        <v>3.74</v>
      </c>
      <c r="C562">
        <v>3.74</v>
      </c>
      <c r="D562">
        <v>3.72</v>
      </c>
      <c r="E562">
        <v>3.68</v>
      </c>
      <c r="F562">
        <v>3.68</v>
      </c>
      <c r="G562">
        <v>3.54</v>
      </c>
      <c r="H562">
        <v>3.47</v>
      </c>
      <c r="I562">
        <v>3.49</v>
      </c>
      <c r="J562">
        <v>3.62</v>
      </c>
      <c r="K562">
        <v>3.82</v>
      </c>
      <c r="L562">
        <v>4.05</v>
      </c>
      <c r="M562">
        <v>4.6399999999999997</v>
      </c>
      <c r="N562">
        <v>4.7</v>
      </c>
      <c r="O562">
        <v>5.1997999999999998</v>
      </c>
      <c r="P562">
        <v>3749</v>
      </c>
      <c r="Q562">
        <v>871.41</v>
      </c>
      <c r="R562">
        <v>3.363</v>
      </c>
      <c r="S562">
        <v>17.285299999999999</v>
      </c>
    </row>
    <row r="563" spans="1:19" x14ac:dyDescent="0.25">
      <c r="A563" s="4">
        <v>46080</v>
      </c>
      <c r="B563">
        <v>3.74</v>
      </c>
      <c r="C563">
        <v>3.73</v>
      </c>
      <c r="D563">
        <v>3.67</v>
      </c>
      <c r="E563">
        <v>3.67</v>
      </c>
      <c r="F563">
        <v>3.6</v>
      </c>
      <c r="G563">
        <v>3.48</v>
      </c>
      <c r="H563">
        <v>3.38</v>
      </c>
      <c r="I563">
        <v>3.39</v>
      </c>
      <c r="J563">
        <v>3.51</v>
      </c>
      <c r="K563">
        <v>3.72</v>
      </c>
      <c r="L563">
        <v>3.97</v>
      </c>
      <c r="M563">
        <v>4.57</v>
      </c>
      <c r="N563">
        <v>4.6399999999999997</v>
      </c>
      <c r="O563">
        <v>5.1492000000000004</v>
      </c>
      <c r="P563">
        <v>3752.3</v>
      </c>
      <c r="Q563">
        <v>861.19</v>
      </c>
      <c r="R563">
        <v>3.3530000000000002</v>
      </c>
      <c r="S563">
        <v>17.2318</v>
      </c>
    </row>
    <row r="564" spans="1:19" x14ac:dyDescent="0.25">
      <c r="A564" s="4">
        <v>46079</v>
      </c>
      <c r="B564">
        <v>3.74</v>
      </c>
      <c r="C564">
        <v>3.75</v>
      </c>
      <c r="D564">
        <v>3.68</v>
      </c>
      <c r="E564">
        <v>3.68</v>
      </c>
      <c r="F564">
        <v>3.61</v>
      </c>
      <c r="G564">
        <v>3.52</v>
      </c>
      <c r="H564">
        <v>3.42</v>
      </c>
      <c r="I564">
        <v>3.46</v>
      </c>
      <c r="J564">
        <v>3.57</v>
      </c>
      <c r="K564">
        <v>3.78</v>
      </c>
      <c r="L564">
        <v>4.0199999999999996</v>
      </c>
      <c r="M564">
        <v>4.5999999999999996</v>
      </c>
      <c r="N564">
        <v>4.67</v>
      </c>
      <c r="O564">
        <v>5.1379000000000001</v>
      </c>
      <c r="P564">
        <v>3830</v>
      </c>
      <c r="Q564">
        <v>857.58</v>
      </c>
      <c r="R564">
        <v>3.355</v>
      </c>
      <c r="S564">
        <v>17.195</v>
      </c>
    </row>
    <row r="565" spans="1:19" x14ac:dyDescent="0.25">
      <c r="A565" s="4">
        <v>46078</v>
      </c>
      <c r="B565">
        <v>3.71</v>
      </c>
      <c r="C565">
        <v>3.73</v>
      </c>
      <c r="D565">
        <v>3.69</v>
      </c>
      <c r="E565">
        <v>3.68</v>
      </c>
      <c r="F565">
        <v>3.62</v>
      </c>
      <c r="G565">
        <v>3.53</v>
      </c>
      <c r="H565">
        <v>3.45</v>
      </c>
      <c r="I565">
        <v>3.49</v>
      </c>
      <c r="J565">
        <v>3.61</v>
      </c>
      <c r="K565">
        <v>3.82</v>
      </c>
      <c r="L565">
        <v>4.05</v>
      </c>
      <c r="M565">
        <v>4.63</v>
      </c>
      <c r="N565">
        <v>4.7</v>
      </c>
      <c r="O565">
        <v>5.1436999999999999</v>
      </c>
      <c r="P565">
        <v>3687</v>
      </c>
      <c r="Q565">
        <v>865.36</v>
      </c>
      <c r="R565">
        <v>3.355</v>
      </c>
      <c r="S565">
        <v>17.157900000000001</v>
      </c>
    </row>
    <row r="566" spans="1:19" x14ac:dyDescent="0.25">
      <c r="A566" s="4">
        <v>46077</v>
      </c>
      <c r="B566">
        <v>3.72</v>
      </c>
      <c r="C566">
        <v>3.73</v>
      </c>
      <c r="D566">
        <v>3.69</v>
      </c>
      <c r="E566">
        <v>3.7</v>
      </c>
      <c r="F566">
        <v>3.62</v>
      </c>
      <c r="G566">
        <v>3.52</v>
      </c>
      <c r="H566">
        <v>3.43</v>
      </c>
      <c r="I566">
        <v>3.47</v>
      </c>
      <c r="J566">
        <v>3.61</v>
      </c>
      <c r="K566">
        <v>3.81</v>
      </c>
      <c r="L566">
        <v>4.04</v>
      </c>
      <c r="M566">
        <v>4.63</v>
      </c>
      <c r="N566">
        <v>4.7</v>
      </c>
      <c r="O566">
        <v>5.1679000000000004</v>
      </c>
      <c r="P566">
        <v>3704</v>
      </c>
      <c r="Q566">
        <v>867.29</v>
      </c>
      <c r="R566">
        <v>3.3559999999999999</v>
      </c>
      <c r="S566">
        <v>17.1753</v>
      </c>
    </row>
    <row r="567" spans="1:19" x14ac:dyDescent="0.25">
      <c r="A567" s="4">
        <v>46076</v>
      </c>
      <c r="B567">
        <v>3.72</v>
      </c>
      <c r="C567">
        <v>3.74</v>
      </c>
      <c r="D567">
        <v>3.69</v>
      </c>
      <c r="E567">
        <v>3.7</v>
      </c>
      <c r="F567">
        <v>3.62</v>
      </c>
      <c r="G567">
        <v>3.5</v>
      </c>
      <c r="H567">
        <v>3.43</v>
      </c>
      <c r="I567">
        <v>3.45</v>
      </c>
      <c r="J567">
        <v>3.59</v>
      </c>
      <c r="K567">
        <v>3.79</v>
      </c>
      <c r="L567">
        <v>4.03</v>
      </c>
      <c r="M567">
        <v>4.63</v>
      </c>
      <c r="N567">
        <v>4.7</v>
      </c>
      <c r="O567">
        <v>5.1631999999999998</v>
      </c>
      <c r="P567">
        <v>3683.3</v>
      </c>
      <c r="Q567">
        <v>867.13</v>
      </c>
      <c r="R567">
        <v>3.3580000000000001</v>
      </c>
      <c r="S567">
        <v>17.265899999999998</v>
      </c>
    </row>
    <row r="568" spans="1:19" x14ac:dyDescent="0.25">
      <c r="A568" s="4">
        <v>46073</v>
      </c>
      <c r="B568">
        <v>3.72</v>
      </c>
      <c r="C568">
        <v>3.74</v>
      </c>
      <c r="D568">
        <v>3.69</v>
      </c>
      <c r="E568">
        <v>3.71</v>
      </c>
      <c r="F568">
        <v>3.61</v>
      </c>
      <c r="G568">
        <v>3.51</v>
      </c>
      <c r="H568">
        <v>3.48</v>
      </c>
      <c r="I568">
        <v>3.5</v>
      </c>
      <c r="J568">
        <v>3.65</v>
      </c>
      <c r="K568">
        <v>3.85</v>
      </c>
      <c r="L568">
        <v>4.08</v>
      </c>
      <c r="M568">
        <v>4.66</v>
      </c>
      <c r="N568">
        <v>4.72</v>
      </c>
      <c r="O568">
        <v>5.2003000000000004</v>
      </c>
      <c r="P568">
        <v>3717.5</v>
      </c>
      <c r="Q568">
        <v>866.74</v>
      </c>
      <c r="R568">
        <v>3.36</v>
      </c>
      <c r="S568">
        <v>17.136600000000001</v>
      </c>
    </row>
    <row r="569" spans="1:19" x14ac:dyDescent="0.25">
      <c r="A569" s="4">
        <v>46072</v>
      </c>
      <c r="B569">
        <v>3.72</v>
      </c>
      <c r="C569">
        <v>3.75</v>
      </c>
      <c r="D569">
        <v>3.69</v>
      </c>
      <c r="E569">
        <v>3.7</v>
      </c>
      <c r="F569">
        <v>3.6</v>
      </c>
      <c r="G569">
        <v>3.5</v>
      </c>
      <c r="H569">
        <v>3.47</v>
      </c>
      <c r="I569">
        <v>3.5</v>
      </c>
      <c r="J569">
        <v>3.65</v>
      </c>
      <c r="K569">
        <v>3.85</v>
      </c>
      <c r="L569">
        <v>4.08</v>
      </c>
      <c r="M569">
        <v>4.6399999999999997</v>
      </c>
      <c r="N569">
        <v>4.7</v>
      </c>
      <c r="O569">
        <v>5.2253499999999997</v>
      </c>
      <c r="P569">
        <v>3698.44</v>
      </c>
      <c r="Q569">
        <v>863.29</v>
      </c>
      <c r="R569">
        <v>3.3580000000000001</v>
      </c>
      <c r="S569">
        <v>17.276800000000001</v>
      </c>
    </row>
    <row r="570" spans="1:19" x14ac:dyDescent="0.25">
      <c r="A570" s="4">
        <v>46071</v>
      </c>
      <c r="B570">
        <v>3.71</v>
      </c>
      <c r="C570">
        <v>3.73</v>
      </c>
      <c r="D570">
        <v>3.7</v>
      </c>
      <c r="E570">
        <v>3.7</v>
      </c>
      <c r="F570">
        <v>3.6</v>
      </c>
      <c r="G570">
        <v>3.49</v>
      </c>
      <c r="H570">
        <v>3.47</v>
      </c>
      <c r="I570">
        <v>3.5</v>
      </c>
      <c r="J570">
        <v>3.66</v>
      </c>
      <c r="K570">
        <v>3.86</v>
      </c>
      <c r="L570">
        <v>4.09</v>
      </c>
      <c r="M570">
        <v>4.6500000000000004</v>
      </c>
      <c r="N570">
        <v>4.71</v>
      </c>
      <c r="O570">
        <v>5.2346000000000004</v>
      </c>
      <c r="P570">
        <v>3681</v>
      </c>
      <c r="Q570">
        <v>868.24</v>
      </c>
      <c r="R570">
        <v>3.351</v>
      </c>
      <c r="S570">
        <v>17.2319</v>
      </c>
    </row>
    <row r="571" spans="1:19" x14ac:dyDescent="0.25">
      <c r="A571" s="4">
        <v>46070</v>
      </c>
      <c r="B571">
        <v>3.72</v>
      </c>
      <c r="C571">
        <v>3.73</v>
      </c>
      <c r="D571">
        <v>3.69</v>
      </c>
      <c r="E571">
        <v>3.7</v>
      </c>
      <c r="F571">
        <v>3.59</v>
      </c>
      <c r="G571">
        <v>3.48</v>
      </c>
      <c r="H571">
        <v>3.43</v>
      </c>
      <c r="I571">
        <v>3.47</v>
      </c>
      <c r="J571">
        <v>3.63</v>
      </c>
      <c r="K571">
        <v>3.82</v>
      </c>
      <c r="L571">
        <v>4.05</v>
      </c>
      <c r="M571">
        <v>4.63</v>
      </c>
      <c r="N571">
        <v>4.68</v>
      </c>
      <c r="O571">
        <v>5.2285000000000004</v>
      </c>
      <c r="P571">
        <v>3649</v>
      </c>
      <c r="Q571">
        <v>862.91</v>
      </c>
      <c r="R571">
        <v>3.3450000000000002</v>
      </c>
      <c r="S571">
        <v>17.128799999999998</v>
      </c>
    </row>
    <row r="572" spans="1:19" x14ac:dyDescent="0.25">
      <c r="A572" s="4">
        <v>46066</v>
      </c>
      <c r="B572">
        <v>3.72</v>
      </c>
      <c r="C572">
        <v>3.73</v>
      </c>
      <c r="D572">
        <v>3.68</v>
      </c>
      <c r="E572">
        <v>3.7</v>
      </c>
      <c r="F572">
        <v>3.59</v>
      </c>
      <c r="G572">
        <v>3.42</v>
      </c>
      <c r="H572">
        <v>3.4</v>
      </c>
      <c r="I572">
        <v>3.43</v>
      </c>
      <c r="J572">
        <v>3.61</v>
      </c>
      <c r="K572">
        <v>3.81</v>
      </c>
      <c r="L572">
        <v>4.04</v>
      </c>
      <c r="M572">
        <v>4.6399999999999997</v>
      </c>
      <c r="N572">
        <v>4.6900000000000004</v>
      </c>
      <c r="O572">
        <v>5.2285000000000004</v>
      </c>
      <c r="P572">
        <v>3656</v>
      </c>
      <c r="Q572">
        <v>854.41</v>
      </c>
      <c r="R572">
        <v>3.351</v>
      </c>
      <c r="S572">
        <v>17.144300000000001</v>
      </c>
    </row>
    <row r="573" spans="1:19" x14ac:dyDescent="0.25">
      <c r="A573" s="4">
        <v>46065</v>
      </c>
      <c r="B573">
        <v>3.72</v>
      </c>
      <c r="C573">
        <v>3.74</v>
      </c>
      <c r="D573">
        <v>3.7</v>
      </c>
      <c r="E573">
        <v>3.7</v>
      </c>
      <c r="F573">
        <v>3.58</v>
      </c>
      <c r="G573">
        <v>3.45</v>
      </c>
      <c r="H573">
        <v>3.47</v>
      </c>
      <c r="I573">
        <v>3.49</v>
      </c>
      <c r="J573">
        <v>3.67</v>
      </c>
      <c r="K573">
        <v>3.87</v>
      </c>
      <c r="L573">
        <v>4.09</v>
      </c>
      <c r="M573">
        <v>4.68</v>
      </c>
      <c r="N573">
        <v>4.72</v>
      </c>
      <c r="O573">
        <v>5.1670999999999996</v>
      </c>
      <c r="P573">
        <v>3663</v>
      </c>
      <c r="Q573">
        <v>856.38</v>
      </c>
      <c r="R573">
        <v>3.3530000000000002</v>
      </c>
      <c r="S573">
        <v>17.208400000000001</v>
      </c>
    </row>
    <row r="574" spans="1:19" x14ac:dyDescent="0.25">
      <c r="A574" s="4">
        <v>46064</v>
      </c>
      <c r="B574">
        <v>3.71</v>
      </c>
      <c r="C574">
        <v>3.73</v>
      </c>
      <c r="D574">
        <v>3.7</v>
      </c>
      <c r="E574">
        <v>3.7</v>
      </c>
      <c r="F574">
        <v>3.6</v>
      </c>
      <c r="G574">
        <v>3.47</v>
      </c>
      <c r="H574">
        <v>3.52</v>
      </c>
      <c r="I574">
        <v>3.55</v>
      </c>
      <c r="J574">
        <v>3.75</v>
      </c>
      <c r="K574">
        <v>3.96</v>
      </c>
      <c r="L574">
        <v>4.18</v>
      </c>
      <c r="M574">
        <v>4.76</v>
      </c>
      <c r="N574">
        <v>4.82</v>
      </c>
      <c r="O574">
        <v>5.1833</v>
      </c>
      <c r="P574">
        <v>3664</v>
      </c>
      <c r="Q574">
        <v>856.06</v>
      </c>
      <c r="R574">
        <v>3.3540000000000001</v>
      </c>
      <c r="S574">
        <v>17.185600000000001</v>
      </c>
    </row>
    <row r="575" spans="1:19" x14ac:dyDescent="0.25">
      <c r="A575" s="4">
        <v>46063</v>
      </c>
      <c r="B575">
        <v>3.72</v>
      </c>
      <c r="C575">
        <v>3.74</v>
      </c>
      <c r="D575">
        <v>3.69</v>
      </c>
      <c r="E575">
        <v>3.69</v>
      </c>
      <c r="F575">
        <v>3.58</v>
      </c>
      <c r="G575">
        <v>3.4</v>
      </c>
      <c r="H575">
        <v>3.45</v>
      </c>
      <c r="I575">
        <v>3.5</v>
      </c>
      <c r="J575">
        <v>3.7</v>
      </c>
      <c r="K575">
        <v>3.92</v>
      </c>
      <c r="L575">
        <v>4.16</v>
      </c>
      <c r="M575">
        <v>4.7300000000000004</v>
      </c>
      <c r="N575">
        <v>4.78</v>
      </c>
      <c r="O575">
        <v>5.2018000000000004</v>
      </c>
      <c r="P575">
        <v>3671.1</v>
      </c>
      <c r="Q575">
        <v>854.25</v>
      </c>
      <c r="R575">
        <v>3.3570000000000002</v>
      </c>
      <c r="S575">
        <v>17.180399999999999</v>
      </c>
    </row>
    <row r="576" spans="1:19" x14ac:dyDescent="0.25">
      <c r="A576" s="4">
        <v>46062</v>
      </c>
      <c r="B576">
        <v>3.72</v>
      </c>
      <c r="C576">
        <v>3.73</v>
      </c>
      <c r="D576">
        <v>3.69</v>
      </c>
      <c r="E576">
        <v>3.7</v>
      </c>
      <c r="F576">
        <v>3.59</v>
      </c>
      <c r="G576">
        <v>3.43</v>
      </c>
      <c r="H576">
        <v>3.48</v>
      </c>
      <c r="I576">
        <v>3.56</v>
      </c>
      <c r="J576">
        <v>3.75</v>
      </c>
      <c r="K576">
        <v>3.97</v>
      </c>
      <c r="L576">
        <v>4.22</v>
      </c>
      <c r="M576">
        <v>4.79</v>
      </c>
      <c r="N576">
        <v>4.8499999999999996</v>
      </c>
      <c r="O576">
        <v>5.194</v>
      </c>
      <c r="P576">
        <v>3658</v>
      </c>
      <c r="Q576">
        <v>859.66</v>
      </c>
      <c r="R576">
        <v>3.355</v>
      </c>
      <c r="S576">
        <v>17.200500000000002</v>
      </c>
    </row>
    <row r="577" spans="1:19" x14ac:dyDescent="0.25">
      <c r="A577" s="4">
        <v>46059</v>
      </c>
      <c r="B577">
        <v>3.72</v>
      </c>
      <c r="C577">
        <v>3.74</v>
      </c>
      <c r="D577">
        <v>3.68</v>
      </c>
      <c r="E577">
        <v>3.7</v>
      </c>
      <c r="F577">
        <v>3.59</v>
      </c>
      <c r="G577">
        <v>3.45</v>
      </c>
      <c r="H577">
        <v>3.5</v>
      </c>
      <c r="I577">
        <v>3.57</v>
      </c>
      <c r="J577">
        <v>3.76</v>
      </c>
      <c r="K577">
        <v>3.98</v>
      </c>
      <c r="L577">
        <v>4.22</v>
      </c>
      <c r="M577">
        <v>4.8</v>
      </c>
      <c r="N577">
        <v>4.8499999999999996</v>
      </c>
      <c r="O577">
        <v>5.2337999999999996</v>
      </c>
      <c r="P577">
        <v>3656.25</v>
      </c>
      <c r="Q577">
        <v>865.67</v>
      </c>
      <c r="R577">
        <v>3.3580000000000001</v>
      </c>
      <c r="S577">
        <v>17.2592</v>
      </c>
    </row>
    <row r="578" spans="1:19" x14ac:dyDescent="0.25">
      <c r="A578" s="4">
        <v>46058</v>
      </c>
      <c r="B578">
        <v>3.72</v>
      </c>
      <c r="C578">
        <v>3.74</v>
      </c>
      <c r="D578">
        <v>3.67</v>
      </c>
      <c r="E578">
        <v>3.68</v>
      </c>
      <c r="F578">
        <v>3.58</v>
      </c>
      <c r="G578">
        <v>3.44</v>
      </c>
      <c r="H578">
        <v>3.47</v>
      </c>
      <c r="I578">
        <v>3.55</v>
      </c>
      <c r="J578">
        <v>3.74</v>
      </c>
      <c r="K578">
        <v>3.97</v>
      </c>
      <c r="L578">
        <v>4.21</v>
      </c>
      <c r="M578">
        <v>4.79</v>
      </c>
      <c r="N578">
        <v>4.8499999999999996</v>
      </c>
      <c r="O578">
        <v>5.2576999999999998</v>
      </c>
      <c r="P578">
        <v>3710</v>
      </c>
      <c r="Q578">
        <v>857.59</v>
      </c>
      <c r="R578">
        <v>3.3660000000000001</v>
      </c>
      <c r="S578">
        <v>17.407900000000001</v>
      </c>
    </row>
    <row r="579" spans="1:19" x14ac:dyDescent="0.25">
      <c r="A579" s="4">
        <v>46057</v>
      </c>
      <c r="B579">
        <v>3.72</v>
      </c>
      <c r="C579">
        <v>3.74</v>
      </c>
      <c r="D579">
        <v>3.69</v>
      </c>
      <c r="E579">
        <v>3.7</v>
      </c>
      <c r="F579">
        <v>3.62</v>
      </c>
      <c r="G579">
        <v>3.49</v>
      </c>
      <c r="H579">
        <v>3.57</v>
      </c>
      <c r="I579">
        <v>3.64</v>
      </c>
      <c r="J579">
        <v>3.83</v>
      </c>
      <c r="K579">
        <v>4.05</v>
      </c>
      <c r="L579">
        <v>4.29</v>
      </c>
      <c r="M579">
        <v>4.8600000000000003</v>
      </c>
      <c r="N579">
        <v>4.91</v>
      </c>
      <c r="O579">
        <v>5.2355999999999998</v>
      </c>
      <c r="P579">
        <v>3650.5</v>
      </c>
      <c r="Q579">
        <v>859.53</v>
      </c>
      <c r="R579">
        <v>3.3610000000000002</v>
      </c>
      <c r="S579">
        <v>17.326699999999999</v>
      </c>
    </row>
    <row r="580" spans="1:19" x14ac:dyDescent="0.25">
      <c r="A580" s="4">
        <v>46056</v>
      </c>
      <c r="B580">
        <v>3.72</v>
      </c>
      <c r="C580">
        <v>3.74</v>
      </c>
      <c r="D580">
        <v>3.69</v>
      </c>
      <c r="E580">
        <v>3.7</v>
      </c>
      <c r="F580">
        <v>3.62</v>
      </c>
      <c r="G580">
        <v>3.49</v>
      </c>
      <c r="H580">
        <v>3.57</v>
      </c>
      <c r="I580">
        <v>3.64</v>
      </c>
      <c r="J580">
        <v>3.83</v>
      </c>
      <c r="K580">
        <v>4.04</v>
      </c>
      <c r="L580">
        <v>4.28</v>
      </c>
      <c r="M580">
        <v>4.8499999999999996</v>
      </c>
      <c r="N580">
        <v>4.9000000000000004</v>
      </c>
      <c r="O580">
        <v>5.2233000000000001</v>
      </c>
      <c r="P580">
        <v>3648</v>
      </c>
      <c r="Q580">
        <v>868.52</v>
      </c>
      <c r="R580">
        <v>3.3610000000000002</v>
      </c>
      <c r="S580">
        <v>17.259899999999998</v>
      </c>
    </row>
    <row r="581" spans="1:19" x14ac:dyDescent="0.25">
      <c r="A581" s="4">
        <v>46055</v>
      </c>
      <c r="B581">
        <v>3.72</v>
      </c>
      <c r="C581">
        <v>3.74</v>
      </c>
      <c r="D581">
        <v>3.69</v>
      </c>
      <c r="E581">
        <v>3.7</v>
      </c>
      <c r="F581">
        <v>3.62</v>
      </c>
      <c r="G581">
        <v>3.49</v>
      </c>
      <c r="H581">
        <v>3.57</v>
      </c>
      <c r="I581">
        <v>3.64</v>
      </c>
      <c r="J581">
        <v>3.83</v>
      </c>
      <c r="K581">
        <v>4.05</v>
      </c>
      <c r="L581">
        <v>4.29</v>
      </c>
      <c r="M581">
        <v>4.8499999999999996</v>
      </c>
      <c r="N581">
        <v>4.9000000000000004</v>
      </c>
      <c r="O581">
        <v>5.2584</v>
      </c>
      <c r="P581">
        <v>3613.58</v>
      </c>
      <c r="Q581">
        <v>865.1</v>
      </c>
      <c r="R581">
        <v>3.3650000000000002</v>
      </c>
      <c r="S581">
        <v>17.420100000000001</v>
      </c>
    </row>
    <row r="582" spans="1:19" x14ac:dyDescent="0.25">
      <c r="A582" s="4">
        <v>46052</v>
      </c>
      <c r="B582">
        <v>3.72</v>
      </c>
      <c r="C582">
        <v>3.75</v>
      </c>
      <c r="D582">
        <v>3.67</v>
      </c>
      <c r="E582">
        <v>3.69</v>
      </c>
      <c r="F582">
        <v>3.61</v>
      </c>
      <c r="G582">
        <v>3.48</v>
      </c>
      <c r="H582">
        <v>3.52</v>
      </c>
      <c r="I582">
        <v>3.6</v>
      </c>
      <c r="J582">
        <v>3.79</v>
      </c>
      <c r="K582">
        <v>4.01</v>
      </c>
      <c r="L582">
        <v>4.26</v>
      </c>
      <c r="M582">
        <v>4.82</v>
      </c>
      <c r="N582">
        <v>4.87</v>
      </c>
      <c r="O582">
        <v>5.2298</v>
      </c>
      <c r="P582">
        <v>3690</v>
      </c>
      <c r="Q582">
        <v>858.45</v>
      </c>
      <c r="R582">
        <v>3.3679999999999999</v>
      </c>
      <c r="S582">
        <v>17.420100000000001</v>
      </c>
    </row>
    <row r="583" spans="1:19" x14ac:dyDescent="0.25">
      <c r="A583" s="4">
        <v>46051</v>
      </c>
      <c r="B583">
        <v>3.72</v>
      </c>
      <c r="C583">
        <v>3.75</v>
      </c>
      <c r="D583">
        <v>3.67</v>
      </c>
      <c r="E583">
        <v>3.69</v>
      </c>
      <c r="F583">
        <v>3.62</v>
      </c>
      <c r="G583">
        <v>3.5</v>
      </c>
      <c r="H583">
        <v>3.53</v>
      </c>
      <c r="I583">
        <v>3.63</v>
      </c>
      <c r="J583">
        <v>3.8</v>
      </c>
      <c r="K583">
        <v>4.01</v>
      </c>
      <c r="L583">
        <v>4.24</v>
      </c>
      <c r="M583">
        <v>4.8</v>
      </c>
      <c r="N583">
        <v>4.8499999999999996</v>
      </c>
      <c r="O583">
        <v>5.1952999999999996</v>
      </c>
      <c r="P583">
        <v>3641</v>
      </c>
      <c r="Q583">
        <v>857.95</v>
      </c>
      <c r="R583">
        <v>3.3450000000000002</v>
      </c>
      <c r="S583">
        <v>17.2333</v>
      </c>
    </row>
    <row r="584" spans="1:19" x14ac:dyDescent="0.25">
      <c r="A584" s="4">
        <v>46050</v>
      </c>
      <c r="B584">
        <v>3.76</v>
      </c>
      <c r="C584">
        <v>3.71</v>
      </c>
      <c r="D584">
        <v>3.68</v>
      </c>
      <c r="E584">
        <v>3.7</v>
      </c>
      <c r="F584">
        <v>3.63</v>
      </c>
      <c r="G584">
        <v>3.52</v>
      </c>
      <c r="H584">
        <v>3.56</v>
      </c>
      <c r="I584">
        <v>3.66</v>
      </c>
      <c r="J584">
        <v>3.83</v>
      </c>
      <c r="K584">
        <v>4.05</v>
      </c>
      <c r="L584">
        <v>4.26</v>
      </c>
      <c r="M584">
        <v>4.8099999999999996</v>
      </c>
      <c r="N584">
        <v>4.8499999999999996</v>
      </c>
      <c r="O584">
        <v>5.1835000000000004</v>
      </c>
      <c r="P584">
        <v>3672.2</v>
      </c>
      <c r="Q584">
        <v>862.17</v>
      </c>
      <c r="R584">
        <v>3.3450000000000002</v>
      </c>
      <c r="S584">
        <v>17.2178</v>
      </c>
    </row>
    <row r="585" spans="1:19" x14ac:dyDescent="0.25">
      <c r="A585" s="4">
        <v>46049</v>
      </c>
      <c r="B585">
        <v>3.77</v>
      </c>
      <c r="C585">
        <v>3.7</v>
      </c>
      <c r="D585">
        <v>3.67</v>
      </c>
      <c r="E585">
        <v>3.66</v>
      </c>
      <c r="F585">
        <v>3.61</v>
      </c>
      <c r="G585">
        <v>3.5</v>
      </c>
      <c r="H585">
        <v>3.53</v>
      </c>
      <c r="I585">
        <v>3.65</v>
      </c>
      <c r="J585">
        <v>3.81</v>
      </c>
      <c r="K585">
        <v>4.03</v>
      </c>
      <c r="L585">
        <v>4.24</v>
      </c>
      <c r="M585">
        <v>4.79</v>
      </c>
      <c r="N585">
        <v>4.83</v>
      </c>
      <c r="O585">
        <v>5.2389000000000001</v>
      </c>
      <c r="P585">
        <v>3623</v>
      </c>
      <c r="Q585">
        <v>862.98</v>
      </c>
      <c r="R585">
        <v>3.3450000000000002</v>
      </c>
      <c r="S585">
        <v>17.242000000000001</v>
      </c>
    </row>
    <row r="586" spans="1:19" x14ac:dyDescent="0.25">
      <c r="A586" s="4">
        <v>46048</v>
      </c>
      <c r="B586">
        <v>3.77</v>
      </c>
      <c r="C586">
        <v>3.7</v>
      </c>
      <c r="D586">
        <v>3.67</v>
      </c>
      <c r="E586">
        <v>3.67</v>
      </c>
      <c r="F586">
        <v>3.62</v>
      </c>
      <c r="G586">
        <v>3.52</v>
      </c>
      <c r="H586">
        <v>3.56</v>
      </c>
      <c r="I586">
        <v>3.66</v>
      </c>
      <c r="J586">
        <v>3.82</v>
      </c>
      <c r="K586">
        <v>4.0199999999999996</v>
      </c>
      <c r="L586">
        <v>4.22</v>
      </c>
      <c r="M586">
        <v>4.75</v>
      </c>
      <c r="N586">
        <v>4.8</v>
      </c>
      <c r="O586">
        <v>5.2756999999999996</v>
      </c>
      <c r="P586">
        <v>3685</v>
      </c>
      <c r="Q586">
        <v>870.71</v>
      </c>
      <c r="R586">
        <v>3.35</v>
      </c>
      <c r="S586">
        <v>17.369800000000001</v>
      </c>
    </row>
    <row r="587" spans="1:19" x14ac:dyDescent="0.25">
      <c r="A587" s="4">
        <v>46045</v>
      </c>
      <c r="B587">
        <v>3.78</v>
      </c>
      <c r="C587">
        <v>3.72</v>
      </c>
      <c r="D587">
        <v>3.7</v>
      </c>
      <c r="E587">
        <v>3.67</v>
      </c>
      <c r="F587">
        <v>3.61</v>
      </c>
      <c r="G587">
        <v>3.53</v>
      </c>
      <c r="H587">
        <v>3.6</v>
      </c>
      <c r="I587">
        <v>3.67</v>
      </c>
      <c r="J587">
        <v>3.84</v>
      </c>
      <c r="K587">
        <v>4.03</v>
      </c>
      <c r="L587">
        <v>4.24</v>
      </c>
      <c r="M587">
        <v>4.78</v>
      </c>
      <c r="N587">
        <v>4.82</v>
      </c>
      <c r="O587">
        <v>5.2875500000000004</v>
      </c>
      <c r="P587">
        <v>3650</v>
      </c>
      <c r="Q587">
        <v>872.22</v>
      </c>
      <c r="R587">
        <v>3.3519999999999999</v>
      </c>
      <c r="S587">
        <v>17.367699999999999</v>
      </c>
    </row>
    <row r="588" spans="1:19" x14ac:dyDescent="0.25">
      <c r="A588" s="4">
        <v>46044</v>
      </c>
      <c r="B588">
        <v>3.79</v>
      </c>
      <c r="C588">
        <v>3.72</v>
      </c>
      <c r="D588">
        <v>3.71</v>
      </c>
      <c r="E588">
        <v>3.67</v>
      </c>
      <c r="F588">
        <v>3.61</v>
      </c>
      <c r="G588">
        <v>3.53</v>
      </c>
      <c r="H588">
        <v>3.61</v>
      </c>
      <c r="I588">
        <v>3.68</v>
      </c>
      <c r="J588">
        <v>3.85</v>
      </c>
      <c r="K588">
        <v>4.05</v>
      </c>
      <c r="L588">
        <v>4.26</v>
      </c>
      <c r="M588">
        <v>4.79</v>
      </c>
      <c r="N588">
        <v>4.84</v>
      </c>
      <c r="O588">
        <v>5.3114999999999997</v>
      </c>
      <c r="P588">
        <v>3602</v>
      </c>
      <c r="Q588">
        <v>878.21</v>
      </c>
      <c r="R588">
        <v>3.3530000000000002</v>
      </c>
      <c r="S588">
        <v>17.4802</v>
      </c>
    </row>
    <row r="589" spans="1:19" x14ac:dyDescent="0.25">
      <c r="A589" s="4">
        <v>46043</v>
      </c>
      <c r="B589">
        <v>3.75</v>
      </c>
      <c r="C589">
        <v>3.7</v>
      </c>
      <c r="D589">
        <v>3.7</v>
      </c>
      <c r="E589">
        <v>3.67</v>
      </c>
      <c r="F589">
        <v>3.62</v>
      </c>
      <c r="G589">
        <v>3.53</v>
      </c>
      <c r="H589">
        <v>3.6</v>
      </c>
      <c r="I589">
        <v>3.66</v>
      </c>
      <c r="J589">
        <v>3.83</v>
      </c>
      <c r="K589">
        <v>4.04</v>
      </c>
      <c r="L589">
        <v>4.26</v>
      </c>
      <c r="M589">
        <v>4.82</v>
      </c>
      <c r="N589">
        <v>4.87</v>
      </c>
      <c r="O589">
        <v>5.3365</v>
      </c>
      <c r="P589">
        <v>3671.9</v>
      </c>
      <c r="Q589">
        <v>889.54</v>
      </c>
      <c r="R589">
        <v>3.3559999999999999</v>
      </c>
      <c r="S589">
        <v>17.484300000000001</v>
      </c>
    </row>
    <row r="590" spans="1:19" x14ac:dyDescent="0.25">
      <c r="A590" s="4">
        <v>46042</v>
      </c>
      <c r="B590">
        <v>3.75</v>
      </c>
      <c r="C590">
        <v>3.69</v>
      </c>
      <c r="D590">
        <v>3.7</v>
      </c>
      <c r="E590">
        <v>3.65</v>
      </c>
      <c r="F590">
        <v>3.61</v>
      </c>
      <c r="G590">
        <v>3.53</v>
      </c>
      <c r="H590">
        <v>3.6</v>
      </c>
      <c r="I590">
        <v>3.68</v>
      </c>
      <c r="J590">
        <v>3.86</v>
      </c>
      <c r="K590">
        <v>4.08</v>
      </c>
      <c r="L590">
        <v>4.3</v>
      </c>
      <c r="M590">
        <v>4.87</v>
      </c>
      <c r="N590">
        <v>4.91</v>
      </c>
      <c r="O590">
        <v>5.3787000000000003</v>
      </c>
      <c r="P590">
        <v>3673</v>
      </c>
      <c r="Q590">
        <v>888.66</v>
      </c>
      <c r="R590">
        <v>3.3570000000000002</v>
      </c>
      <c r="S590">
        <v>17.605599999999999</v>
      </c>
    </row>
    <row r="591" spans="1:19" x14ac:dyDescent="0.25">
      <c r="A591" s="4">
        <v>46038</v>
      </c>
      <c r="B591">
        <v>3.75</v>
      </c>
      <c r="C591">
        <v>3.68</v>
      </c>
      <c r="D591">
        <v>3.67</v>
      </c>
      <c r="E591">
        <v>3.66</v>
      </c>
      <c r="F591">
        <v>3.6</v>
      </c>
      <c r="G591">
        <v>3.55</v>
      </c>
      <c r="H591">
        <v>3.59</v>
      </c>
      <c r="I591">
        <v>3.67</v>
      </c>
      <c r="J591">
        <v>3.82</v>
      </c>
      <c r="K591">
        <v>4.0199999999999996</v>
      </c>
      <c r="L591">
        <v>4.24</v>
      </c>
      <c r="M591">
        <v>4.79</v>
      </c>
      <c r="N591">
        <v>4.83</v>
      </c>
      <c r="O591">
        <v>5.3795000000000002</v>
      </c>
      <c r="P591">
        <v>3685</v>
      </c>
      <c r="Q591">
        <v>884.57</v>
      </c>
      <c r="R591">
        <v>3.3580000000000001</v>
      </c>
      <c r="S591">
        <v>17.6465</v>
      </c>
    </row>
    <row r="592" spans="1:19" x14ac:dyDescent="0.25">
      <c r="A592" s="4">
        <v>46037</v>
      </c>
      <c r="B592">
        <v>3.75</v>
      </c>
      <c r="C592">
        <v>3.69</v>
      </c>
      <c r="D592">
        <v>3.68</v>
      </c>
      <c r="E592">
        <v>3.66</v>
      </c>
      <c r="F592">
        <v>3.6</v>
      </c>
      <c r="G592">
        <v>3.54</v>
      </c>
      <c r="H592">
        <v>3.56</v>
      </c>
      <c r="I592">
        <v>3.62</v>
      </c>
      <c r="J592">
        <v>3.77</v>
      </c>
      <c r="K592">
        <v>3.96</v>
      </c>
      <c r="L592">
        <v>4.17</v>
      </c>
      <c r="M592">
        <v>4.74</v>
      </c>
      <c r="N592">
        <v>4.79</v>
      </c>
      <c r="O592">
        <v>5.3842999999999996</v>
      </c>
      <c r="P592">
        <v>3688</v>
      </c>
      <c r="Q592">
        <v>882.74</v>
      </c>
      <c r="R592">
        <v>3.36</v>
      </c>
      <c r="S592">
        <v>17.649899999999999</v>
      </c>
    </row>
    <row r="593" spans="1:19" x14ac:dyDescent="0.25">
      <c r="A593" s="4">
        <v>46036</v>
      </c>
      <c r="B593">
        <v>3.72</v>
      </c>
      <c r="C593">
        <v>3.66</v>
      </c>
      <c r="D593">
        <v>3.67</v>
      </c>
      <c r="E593">
        <v>3.65</v>
      </c>
      <c r="F593">
        <v>3.58</v>
      </c>
      <c r="G593">
        <v>3.5</v>
      </c>
      <c r="H593">
        <v>3.51</v>
      </c>
      <c r="I593">
        <v>3.56</v>
      </c>
      <c r="J593">
        <v>3.72</v>
      </c>
      <c r="K593">
        <v>3.92</v>
      </c>
      <c r="L593">
        <v>4.1500000000000004</v>
      </c>
      <c r="M593">
        <v>4.7300000000000004</v>
      </c>
      <c r="N593">
        <v>4.79</v>
      </c>
      <c r="O593">
        <v>5.3792</v>
      </c>
      <c r="P593">
        <v>3681.15</v>
      </c>
      <c r="Q593">
        <v>883.96</v>
      </c>
      <c r="R593">
        <v>3.36</v>
      </c>
      <c r="S593">
        <v>17.813600000000001</v>
      </c>
    </row>
    <row r="594" spans="1:19" x14ac:dyDescent="0.25">
      <c r="A594" s="4">
        <v>46035</v>
      </c>
      <c r="B594">
        <v>3.72</v>
      </c>
      <c r="C594">
        <v>3.66</v>
      </c>
      <c r="D594">
        <v>3.67</v>
      </c>
      <c r="E594">
        <v>3.63</v>
      </c>
      <c r="F594">
        <v>3.59</v>
      </c>
      <c r="G594">
        <v>3.51</v>
      </c>
      <c r="H594">
        <v>3.53</v>
      </c>
      <c r="I594">
        <v>3.57</v>
      </c>
      <c r="J594">
        <v>3.75</v>
      </c>
      <c r="K594">
        <v>3.95</v>
      </c>
      <c r="L594">
        <v>4.18</v>
      </c>
      <c r="M594">
        <v>4.7699999999999996</v>
      </c>
      <c r="N594">
        <v>4.83</v>
      </c>
      <c r="O594">
        <v>5.3761000000000001</v>
      </c>
      <c r="P594">
        <v>3629.9</v>
      </c>
      <c r="Q594">
        <v>885.71</v>
      </c>
      <c r="R594">
        <v>3.359</v>
      </c>
      <c r="S594">
        <v>17.843800000000002</v>
      </c>
    </row>
    <row r="595" spans="1:19" x14ac:dyDescent="0.25">
      <c r="A595" s="4">
        <v>46034</v>
      </c>
      <c r="B595">
        <v>3.71</v>
      </c>
      <c r="C595">
        <v>3.64</v>
      </c>
      <c r="D595">
        <v>3.67</v>
      </c>
      <c r="E595">
        <v>3.63</v>
      </c>
      <c r="F595">
        <v>3.58</v>
      </c>
      <c r="G595">
        <v>3.53</v>
      </c>
      <c r="H595">
        <v>3.54</v>
      </c>
      <c r="I595">
        <v>3.59</v>
      </c>
      <c r="J595">
        <v>3.77</v>
      </c>
      <c r="K595">
        <v>3.97</v>
      </c>
      <c r="L595">
        <v>4.1900000000000004</v>
      </c>
      <c r="M595">
        <v>4.78</v>
      </c>
      <c r="N595">
        <v>4.83</v>
      </c>
      <c r="O595">
        <v>5.3757000000000001</v>
      </c>
      <c r="P595">
        <v>3718.4</v>
      </c>
      <c r="Q595">
        <v>895.54</v>
      </c>
      <c r="R595">
        <v>3.359</v>
      </c>
      <c r="S595">
        <v>17.918800000000001</v>
      </c>
    </row>
    <row r="596" spans="1:19" x14ac:dyDescent="0.25">
      <c r="A596" s="4">
        <v>46031</v>
      </c>
      <c r="B596">
        <v>3.7</v>
      </c>
      <c r="C596">
        <v>3.63</v>
      </c>
      <c r="D596">
        <v>3.62</v>
      </c>
      <c r="E596">
        <v>3.62</v>
      </c>
      <c r="F596">
        <v>3.57</v>
      </c>
      <c r="G596">
        <v>3.52</v>
      </c>
      <c r="H596">
        <v>3.54</v>
      </c>
      <c r="I596">
        <v>3.59</v>
      </c>
      <c r="J596">
        <v>3.75</v>
      </c>
      <c r="K596">
        <v>3.95</v>
      </c>
      <c r="L596">
        <v>4.18</v>
      </c>
      <c r="M596">
        <v>4.76</v>
      </c>
      <c r="N596">
        <v>4.82</v>
      </c>
      <c r="O596">
        <v>5.3704000000000001</v>
      </c>
      <c r="P596">
        <v>3718.4</v>
      </c>
      <c r="Q596">
        <v>896.89</v>
      </c>
      <c r="R596">
        <v>3.3610000000000002</v>
      </c>
      <c r="S596">
        <v>17.983599999999999</v>
      </c>
    </row>
    <row r="597" spans="1:19" x14ac:dyDescent="0.25">
      <c r="A597" s="4">
        <v>46030</v>
      </c>
      <c r="B597">
        <v>3.7</v>
      </c>
      <c r="C597">
        <v>3.63</v>
      </c>
      <c r="D597">
        <v>3.62</v>
      </c>
      <c r="E597">
        <v>3.6</v>
      </c>
      <c r="F597">
        <v>3.56</v>
      </c>
      <c r="G597">
        <v>3.48</v>
      </c>
      <c r="H597">
        <v>3.49</v>
      </c>
      <c r="I597">
        <v>3.56</v>
      </c>
      <c r="J597">
        <v>3.74</v>
      </c>
      <c r="K597">
        <v>3.95</v>
      </c>
      <c r="L597">
        <v>4.1900000000000004</v>
      </c>
      <c r="M597">
        <v>4.79</v>
      </c>
      <c r="N597">
        <v>4.8499999999999996</v>
      </c>
      <c r="O597">
        <v>5.3856999999999999</v>
      </c>
      <c r="P597">
        <v>3711.93</v>
      </c>
      <c r="Q597">
        <v>895.33</v>
      </c>
      <c r="R597">
        <v>3.3620000000000001</v>
      </c>
      <c r="S597">
        <v>17.9846</v>
      </c>
    </row>
    <row r="598" spans="1:19" x14ac:dyDescent="0.25">
      <c r="A598" s="4">
        <v>46029</v>
      </c>
      <c r="B598">
        <v>3.7</v>
      </c>
      <c r="C598">
        <v>3.6</v>
      </c>
      <c r="D598">
        <v>3.62</v>
      </c>
      <c r="E598">
        <v>3.6</v>
      </c>
      <c r="F598">
        <v>3.56</v>
      </c>
      <c r="G598">
        <v>3.48</v>
      </c>
      <c r="H598">
        <v>3.47</v>
      </c>
      <c r="I598">
        <v>3.53</v>
      </c>
      <c r="J598">
        <v>3.7</v>
      </c>
      <c r="K598">
        <v>3.91</v>
      </c>
      <c r="L598">
        <v>4.1500000000000004</v>
      </c>
      <c r="M598">
        <v>4.76</v>
      </c>
      <c r="N598">
        <v>4.82</v>
      </c>
      <c r="O598">
        <v>5.3876999999999997</v>
      </c>
      <c r="P598">
        <v>3742</v>
      </c>
      <c r="Q598">
        <v>896.82</v>
      </c>
      <c r="R598">
        <v>3.3620000000000001</v>
      </c>
      <c r="S598">
        <v>17.9666</v>
      </c>
    </row>
    <row r="599" spans="1:19" x14ac:dyDescent="0.25">
      <c r="A599" s="4">
        <v>46028</v>
      </c>
      <c r="B599">
        <v>3.7</v>
      </c>
      <c r="C599">
        <v>3.61</v>
      </c>
      <c r="D599">
        <v>3.63</v>
      </c>
      <c r="E599">
        <v>3.58</v>
      </c>
      <c r="F599">
        <v>3.56</v>
      </c>
      <c r="G599">
        <v>3.48</v>
      </c>
      <c r="H599">
        <v>3.47</v>
      </c>
      <c r="I599">
        <v>3.54</v>
      </c>
      <c r="J599">
        <v>3.72</v>
      </c>
      <c r="K599">
        <v>3.93</v>
      </c>
      <c r="L599">
        <v>4.18</v>
      </c>
      <c r="M599">
        <v>4.8</v>
      </c>
      <c r="N599">
        <v>4.8600000000000003</v>
      </c>
      <c r="O599">
        <v>5.3794000000000004</v>
      </c>
      <c r="P599">
        <v>3716.99</v>
      </c>
      <c r="Q599">
        <v>905.14</v>
      </c>
      <c r="R599">
        <v>3.3620000000000001</v>
      </c>
      <c r="S599">
        <v>17.972300000000001</v>
      </c>
    </row>
    <row r="600" spans="1:19" x14ac:dyDescent="0.25">
      <c r="A600" s="4">
        <v>46027</v>
      </c>
      <c r="B600">
        <v>3.71</v>
      </c>
      <c r="C600">
        <v>3.64</v>
      </c>
      <c r="D600">
        <v>3.64</v>
      </c>
      <c r="E600">
        <v>3.61</v>
      </c>
      <c r="F600">
        <v>3.57</v>
      </c>
      <c r="G600">
        <v>3.47</v>
      </c>
      <c r="H600">
        <v>3.46</v>
      </c>
      <c r="I600">
        <v>3.53</v>
      </c>
      <c r="J600">
        <v>3.71</v>
      </c>
      <c r="K600">
        <v>3.92</v>
      </c>
      <c r="L600">
        <v>4.17</v>
      </c>
      <c r="M600">
        <v>4.79</v>
      </c>
      <c r="N600">
        <v>4.8499999999999996</v>
      </c>
      <c r="O600">
        <v>5.4348000000000001</v>
      </c>
      <c r="P600">
        <v>3737</v>
      </c>
      <c r="Q600">
        <v>901.55</v>
      </c>
      <c r="R600">
        <v>3.3620000000000001</v>
      </c>
      <c r="S600">
        <v>17.906300000000002</v>
      </c>
    </row>
    <row r="601" spans="1:19" x14ac:dyDescent="0.25">
      <c r="A601" s="4">
        <v>46024</v>
      </c>
      <c r="B601">
        <v>3.72</v>
      </c>
      <c r="C601">
        <v>3.66</v>
      </c>
      <c r="D601">
        <v>3.65</v>
      </c>
      <c r="E601">
        <v>3.62</v>
      </c>
      <c r="F601">
        <v>3.58</v>
      </c>
      <c r="G601">
        <v>3.47</v>
      </c>
      <c r="H601">
        <v>3.47</v>
      </c>
      <c r="I601">
        <v>3.55</v>
      </c>
      <c r="J601">
        <v>3.74</v>
      </c>
      <c r="K601">
        <v>3.95</v>
      </c>
      <c r="L601">
        <v>4.1900000000000004</v>
      </c>
      <c r="M601">
        <v>4.8099999999999996</v>
      </c>
      <c r="N601">
        <v>4.8600000000000003</v>
      </c>
      <c r="O601">
        <v>5.4368999999999996</v>
      </c>
      <c r="P601">
        <v>3772</v>
      </c>
      <c r="Q601">
        <v>907.13</v>
      </c>
      <c r="R601">
        <v>3.363</v>
      </c>
      <c r="S601">
        <v>17.914200000000001</v>
      </c>
    </row>
    <row r="602" spans="1:19" x14ac:dyDescent="0.25">
      <c r="A602" s="4">
        <v>46022</v>
      </c>
      <c r="B602">
        <v>3.74</v>
      </c>
      <c r="C602">
        <v>3.67</v>
      </c>
      <c r="D602">
        <v>3.67</v>
      </c>
      <c r="E602">
        <v>3.63</v>
      </c>
      <c r="F602">
        <v>3.59</v>
      </c>
      <c r="G602">
        <v>3.48</v>
      </c>
      <c r="H602">
        <v>3.47</v>
      </c>
      <c r="I602">
        <v>3.55</v>
      </c>
      <c r="J602">
        <v>3.73</v>
      </c>
      <c r="K602">
        <v>3.94</v>
      </c>
      <c r="L602">
        <v>4.18</v>
      </c>
      <c r="M602">
        <v>4.79</v>
      </c>
      <c r="N602">
        <v>4.84</v>
      </c>
      <c r="O602">
        <v>5.5021000000000004</v>
      </c>
      <c r="P602">
        <v>3780</v>
      </c>
      <c r="Q602">
        <v>911.18</v>
      </c>
      <c r="R602">
        <v>3.363</v>
      </c>
      <c r="S602">
        <v>18.007999999999999</v>
      </c>
    </row>
    <row r="603" spans="1:19" x14ac:dyDescent="0.25">
      <c r="A603" s="4">
        <v>46021</v>
      </c>
      <c r="B603">
        <v>3.65</v>
      </c>
      <c r="C603">
        <v>3.65</v>
      </c>
      <c r="D603">
        <v>3.65</v>
      </c>
      <c r="E603">
        <v>3.63</v>
      </c>
      <c r="F603">
        <v>3.59</v>
      </c>
      <c r="G603">
        <v>3.47</v>
      </c>
      <c r="H603">
        <v>3.45</v>
      </c>
      <c r="I603">
        <v>3.5</v>
      </c>
      <c r="J603">
        <v>3.68</v>
      </c>
      <c r="K603">
        <v>3.89</v>
      </c>
      <c r="L603">
        <v>4.1399999999999997</v>
      </c>
      <c r="M603">
        <v>4.76</v>
      </c>
      <c r="N603">
        <v>4.8099999999999996</v>
      </c>
      <c r="O603">
        <v>5.5021000000000004</v>
      </c>
      <c r="P603">
        <v>3780</v>
      </c>
      <c r="Q603">
        <v>911.18</v>
      </c>
      <c r="R603">
        <v>3.363</v>
      </c>
      <c r="S603">
        <v>17.995899999999999</v>
      </c>
    </row>
    <row r="604" spans="1:19" x14ac:dyDescent="0.25">
      <c r="A604" s="4">
        <v>46020</v>
      </c>
      <c r="B604">
        <v>3.69</v>
      </c>
      <c r="C604">
        <v>3.7</v>
      </c>
      <c r="D604">
        <v>3.68</v>
      </c>
      <c r="E604">
        <v>3.66</v>
      </c>
      <c r="F604">
        <v>3.59</v>
      </c>
      <c r="G604">
        <v>3.48</v>
      </c>
      <c r="H604">
        <v>3.45</v>
      </c>
      <c r="I604">
        <v>3.51</v>
      </c>
      <c r="J604">
        <v>3.67</v>
      </c>
      <c r="K604">
        <v>3.88</v>
      </c>
      <c r="L604">
        <v>4.12</v>
      </c>
      <c r="M604">
        <v>4.75</v>
      </c>
      <c r="N604">
        <v>4.8</v>
      </c>
      <c r="O604">
        <v>5.5735999999999999</v>
      </c>
      <c r="P604">
        <v>3754.77</v>
      </c>
      <c r="Q604">
        <v>904.54</v>
      </c>
      <c r="R604">
        <v>3.3660000000000001</v>
      </c>
      <c r="S604">
        <v>17.9682</v>
      </c>
    </row>
    <row r="605" spans="1:19" x14ac:dyDescent="0.25">
      <c r="A605" s="4">
        <v>46017</v>
      </c>
      <c r="B605">
        <v>3.7</v>
      </c>
      <c r="C605">
        <v>3.72</v>
      </c>
      <c r="D605">
        <v>3.64</v>
      </c>
      <c r="E605">
        <v>3.66</v>
      </c>
      <c r="F605">
        <v>3.58</v>
      </c>
      <c r="G605">
        <v>3.49</v>
      </c>
      <c r="H605">
        <v>3.46</v>
      </c>
      <c r="I605">
        <v>3.54</v>
      </c>
      <c r="J605">
        <v>3.68</v>
      </c>
      <c r="K605">
        <v>3.89</v>
      </c>
      <c r="L605">
        <v>4.1399999999999997</v>
      </c>
      <c r="M605">
        <v>4.76</v>
      </c>
      <c r="N605">
        <v>4.8099999999999996</v>
      </c>
      <c r="O605">
        <v>5.5410000000000004</v>
      </c>
      <c r="P605">
        <v>3685.1</v>
      </c>
      <c r="Q605">
        <v>905.04</v>
      </c>
      <c r="R605">
        <v>3.3639999999999999</v>
      </c>
      <c r="S605">
        <v>17.893000000000001</v>
      </c>
    </row>
    <row r="606" spans="1:19" x14ac:dyDescent="0.25">
      <c r="A606" s="4">
        <v>46015</v>
      </c>
      <c r="B606">
        <v>3.72</v>
      </c>
      <c r="C606">
        <v>3.74</v>
      </c>
      <c r="D606">
        <v>3.69</v>
      </c>
      <c r="E606">
        <v>3.67</v>
      </c>
      <c r="F606">
        <v>3.59</v>
      </c>
      <c r="G606">
        <v>3.5</v>
      </c>
      <c r="H606">
        <v>3.47</v>
      </c>
      <c r="I606">
        <v>3.56</v>
      </c>
      <c r="J606">
        <v>3.7</v>
      </c>
      <c r="K606">
        <v>3.91</v>
      </c>
      <c r="L606">
        <v>4.1500000000000004</v>
      </c>
      <c r="M606">
        <v>4.75</v>
      </c>
      <c r="N606">
        <v>4.79</v>
      </c>
      <c r="O606">
        <v>5.5346000000000002</v>
      </c>
      <c r="P606">
        <v>3738</v>
      </c>
      <c r="Q606">
        <v>906.44</v>
      </c>
      <c r="R606">
        <v>3.3639999999999999</v>
      </c>
      <c r="S606">
        <v>17.941800000000001</v>
      </c>
    </row>
    <row r="607" spans="1:19" x14ac:dyDescent="0.25">
      <c r="A607" s="4">
        <v>46014</v>
      </c>
      <c r="B607">
        <v>3.71</v>
      </c>
      <c r="C607">
        <v>3.7</v>
      </c>
      <c r="D607">
        <v>3.65</v>
      </c>
      <c r="E607">
        <v>3.66</v>
      </c>
      <c r="F607">
        <v>3.59</v>
      </c>
      <c r="G607">
        <v>3.52</v>
      </c>
      <c r="H607">
        <v>3.48</v>
      </c>
      <c r="I607">
        <v>3.58</v>
      </c>
      <c r="J607">
        <v>3.72</v>
      </c>
      <c r="K607">
        <v>3.94</v>
      </c>
      <c r="L607">
        <v>4.18</v>
      </c>
      <c r="M607">
        <v>4.78</v>
      </c>
      <c r="N607">
        <v>4.83</v>
      </c>
      <c r="O607">
        <v>5.5640000000000001</v>
      </c>
      <c r="P607">
        <v>3755</v>
      </c>
      <c r="Q607">
        <v>908.4</v>
      </c>
      <c r="R607">
        <v>3.3650000000000002</v>
      </c>
      <c r="S607">
        <v>17.915600000000001</v>
      </c>
    </row>
    <row r="608" spans="1:19" x14ac:dyDescent="0.25">
      <c r="A608" s="4">
        <v>46013</v>
      </c>
      <c r="B608">
        <v>3.72</v>
      </c>
      <c r="C608">
        <v>3.71</v>
      </c>
      <c r="D608">
        <v>3.64</v>
      </c>
      <c r="E608">
        <v>3.65</v>
      </c>
      <c r="F608">
        <v>3.6</v>
      </c>
      <c r="G608">
        <v>3.53</v>
      </c>
      <c r="H608">
        <v>3.44</v>
      </c>
      <c r="I608">
        <v>3.56</v>
      </c>
      <c r="J608">
        <v>3.71</v>
      </c>
      <c r="K608">
        <v>3.93</v>
      </c>
      <c r="L608">
        <v>4.17</v>
      </c>
      <c r="M608">
        <v>4.78</v>
      </c>
      <c r="N608">
        <v>4.84</v>
      </c>
      <c r="O608">
        <v>5.5385999999999997</v>
      </c>
      <c r="P608">
        <v>3785</v>
      </c>
      <c r="Q608">
        <v>909.9</v>
      </c>
      <c r="R608">
        <v>3.367</v>
      </c>
      <c r="S608">
        <v>17.9816</v>
      </c>
    </row>
    <row r="609" spans="1:19" x14ac:dyDescent="0.25">
      <c r="A609" s="4">
        <v>46010</v>
      </c>
      <c r="B609">
        <v>3.71</v>
      </c>
      <c r="C609">
        <v>3.72</v>
      </c>
      <c r="D609">
        <v>3.62</v>
      </c>
      <c r="E609">
        <v>3.64</v>
      </c>
      <c r="F609">
        <v>3.6</v>
      </c>
      <c r="G609">
        <v>3.51</v>
      </c>
      <c r="H609">
        <v>3.48</v>
      </c>
      <c r="I609">
        <v>3.53</v>
      </c>
      <c r="J609">
        <v>3.7</v>
      </c>
      <c r="K609">
        <v>3.91</v>
      </c>
      <c r="L609">
        <v>4.16</v>
      </c>
      <c r="M609">
        <v>4.7699999999999996</v>
      </c>
      <c r="N609">
        <v>4.82</v>
      </c>
      <c r="O609">
        <v>5.5156999999999998</v>
      </c>
      <c r="P609">
        <v>3822.3</v>
      </c>
      <c r="Q609">
        <v>914.99</v>
      </c>
      <c r="R609">
        <v>3.367</v>
      </c>
      <c r="S609">
        <v>17.999400000000001</v>
      </c>
    </row>
    <row r="610" spans="1:19" x14ac:dyDescent="0.25">
      <c r="A610" s="4">
        <v>46009</v>
      </c>
      <c r="B610">
        <v>3.71</v>
      </c>
      <c r="C610">
        <v>3.72</v>
      </c>
      <c r="D610">
        <v>3.62</v>
      </c>
      <c r="E610">
        <v>3.63</v>
      </c>
      <c r="F610">
        <v>3.58</v>
      </c>
      <c r="G610">
        <v>3.49</v>
      </c>
      <c r="H610">
        <v>3.46</v>
      </c>
      <c r="I610">
        <v>3.5</v>
      </c>
      <c r="J610">
        <v>3.66</v>
      </c>
      <c r="K610">
        <v>3.87</v>
      </c>
      <c r="L610">
        <v>4.12</v>
      </c>
      <c r="M610">
        <v>4.74</v>
      </c>
      <c r="N610">
        <v>4.8</v>
      </c>
      <c r="O610">
        <v>5.5279999999999996</v>
      </c>
      <c r="P610">
        <v>3858</v>
      </c>
      <c r="Q610">
        <v>917.45</v>
      </c>
      <c r="R610">
        <v>3.367</v>
      </c>
      <c r="S610">
        <v>18.0032</v>
      </c>
    </row>
    <row r="611" spans="1:19" x14ac:dyDescent="0.25">
      <c r="A611" s="4">
        <v>46008</v>
      </c>
      <c r="B611">
        <v>3.73</v>
      </c>
      <c r="C611">
        <v>3.73</v>
      </c>
      <c r="D611">
        <v>3.64</v>
      </c>
      <c r="E611">
        <v>3.65</v>
      </c>
      <c r="F611">
        <v>3.59</v>
      </c>
      <c r="G611">
        <v>3.51</v>
      </c>
      <c r="H611">
        <v>3.49</v>
      </c>
      <c r="I611">
        <v>3.53</v>
      </c>
      <c r="J611">
        <v>3.7</v>
      </c>
      <c r="K611">
        <v>3.91</v>
      </c>
      <c r="L611">
        <v>4.16</v>
      </c>
      <c r="M611">
        <v>4.78</v>
      </c>
      <c r="N611">
        <v>4.83</v>
      </c>
      <c r="O611">
        <v>5.5090000000000003</v>
      </c>
      <c r="P611">
        <v>3867</v>
      </c>
      <c r="Q611">
        <v>913.74</v>
      </c>
      <c r="R611">
        <v>3.3679999999999999</v>
      </c>
      <c r="S611">
        <v>18.0154</v>
      </c>
    </row>
    <row r="612" spans="1:19" x14ac:dyDescent="0.25">
      <c r="A612" s="4">
        <v>46007</v>
      </c>
      <c r="B612">
        <v>3.76</v>
      </c>
      <c r="C612">
        <v>3.73</v>
      </c>
      <c r="D612">
        <v>3.64</v>
      </c>
      <c r="E612">
        <v>3.64</v>
      </c>
      <c r="F612">
        <v>3.6</v>
      </c>
      <c r="G612">
        <v>3.51</v>
      </c>
      <c r="H612">
        <v>3.48</v>
      </c>
      <c r="I612">
        <v>3.52</v>
      </c>
      <c r="J612">
        <v>3.69</v>
      </c>
      <c r="K612">
        <v>3.9</v>
      </c>
      <c r="L612">
        <v>4.1500000000000004</v>
      </c>
      <c r="M612">
        <v>4.7699999999999996</v>
      </c>
      <c r="N612">
        <v>4.82</v>
      </c>
      <c r="O612">
        <v>5.4501999999999997</v>
      </c>
      <c r="P612">
        <v>3842.5</v>
      </c>
      <c r="Q612">
        <v>912.03</v>
      </c>
      <c r="R612">
        <v>3.3690000000000002</v>
      </c>
      <c r="S612">
        <v>17.950900000000001</v>
      </c>
    </row>
    <row r="613" spans="1:19" x14ac:dyDescent="0.25">
      <c r="A613" s="4">
        <v>46006</v>
      </c>
      <c r="B613">
        <v>3.77</v>
      </c>
      <c r="C613">
        <v>3.75</v>
      </c>
      <c r="D613">
        <v>3.65</v>
      </c>
      <c r="E613">
        <v>3.65</v>
      </c>
      <c r="F613">
        <v>3.6</v>
      </c>
      <c r="G613">
        <v>3.52</v>
      </c>
      <c r="H613">
        <v>3.51</v>
      </c>
      <c r="I613">
        <v>3.56</v>
      </c>
      <c r="J613">
        <v>3.73</v>
      </c>
      <c r="K613">
        <v>3.94</v>
      </c>
      <c r="L613">
        <v>4.18</v>
      </c>
      <c r="M613">
        <v>4.8</v>
      </c>
      <c r="N613">
        <v>4.84</v>
      </c>
      <c r="O613">
        <v>5.3925999999999998</v>
      </c>
      <c r="P613">
        <v>3830.25</v>
      </c>
      <c r="Q613">
        <v>912.66</v>
      </c>
      <c r="R613">
        <v>3.37</v>
      </c>
      <c r="S613">
        <v>17.981200000000001</v>
      </c>
    </row>
    <row r="614" spans="1:19" x14ac:dyDescent="0.25">
      <c r="A614" s="4">
        <v>46003</v>
      </c>
      <c r="B614">
        <v>3.76</v>
      </c>
      <c r="C614">
        <v>3.75</v>
      </c>
      <c r="D614">
        <v>3.63</v>
      </c>
      <c r="E614">
        <v>3.64</v>
      </c>
      <c r="F614">
        <v>3.58</v>
      </c>
      <c r="G614">
        <v>3.54</v>
      </c>
      <c r="H614">
        <v>3.52</v>
      </c>
      <c r="I614">
        <v>3.58</v>
      </c>
      <c r="J614">
        <v>3.75</v>
      </c>
      <c r="K614">
        <v>3.95</v>
      </c>
      <c r="L614">
        <v>4.1900000000000004</v>
      </c>
      <c r="M614">
        <v>4.82</v>
      </c>
      <c r="N614">
        <v>4.8499999999999996</v>
      </c>
      <c r="O614">
        <v>5.4008000000000003</v>
      </c>
      <c r="P614">
        <v>3802.33</v>
      </c>
      <c r="Q614">
        <v>916.9</v>
      </c>
      <c r="R614">
        <v>3.3679999999999999</v>
      </c>
      <c r="S614">
        <v>18.035399999999999</v>
      </c>
    </row>
    <row r="615" spans="1:19" x14ac:dyDescent="0.25">
      <c r="A615" s="4">
        <v>46002</v>
      </c>
      <c r="B615">
        <v>3.77</v>
      </c>
      <c r="C615">
        <v>3.76</v>
      </c>
      <c r="D615">
        <v>3.66</v>
      </c>
      <c r="E615">
        <v>3.67</v>
      </c>
      <c r="F615">
        <v>3.62</v>
      </c>
      <c r="G615">
        <v>3.56</v>
      </c>
      <c r="H615">
        <v>3.52</v>
      </c>
      <c r="I615">
        <v>3.55</v>
      </c>
      <c r="J615">
        <v>3.72</v>
      </c>
      <c r="K615">
        <v>3.91</v>
      </c>
      <c r="L615">
        <v>4.1399999999999997</v>
      </c>
      <c r="M615">
        <v>4.75</v>
      </c>
      <c r="N615">
        <v>4.79</v>
      </c>
      <c r="O615">
        <v>5.4234</v>
      </c>
      <c r="P615">
        <v>3800.6</v>
      </c>
      <c r="Q615">
        <v>923.99</v>
      </c>
      <c r="R615">
        <v>3.3690000000000002</v>
      </c>
      <c r="S615">
        <v>18.035399999999999</v>
      </c>
    </row>
    <row r="616" spans="1:19" x14ac:dyDescent="0.25">
      <c r="A616" s="4">
        <v>46001</v>
      </c>
      <c r="B616">
        <v>3.79</v>
      </c>
      <c r="C616">
        <v>3.75</v>
      </c>
      <c r="D616">
        <v>3.69</v>
      </c>
      <c r="E616">
        <v>3.69</v>
      </c>
      <c r="F616">
        <v>3.66</v>
      </c>
      <c r="G616">
        <v>3.58</v>
      </c>
      <c r="H616">
        <v>3.54</v>
      </c>
      <c r="I616">
        <v>3.56</v>
      </c>
      <c r="J616">
        <v>3.72</v>
      </c>
      <c r="K616">
        <v>3.92</v>
      </c>
      <c r="L616">
        <v>4.13</v>
      </c>
      <c r="M616">
        <v>4.74</v>
      </c>
      <c r="N616">
        <v>4.78</v>
      </c>
      <c r="O616">
        <v>5.4653</v>
      </c>
      <c r="P616">
        <v>3839.3</v>
      </c>
      <c r="Q616">
        <v>926.89</v>
      </c>
      <c r="R616">
        <v>3.3719999999999999</v>
      </c>
      <c r="S616">
        <v>18.182400000000001</v>
      </c>
    </row>
    <row r="617" spans="1:19" x14ac:dyDescent="0.25">
      <c r="A617" s="4">
        <v>46000</v>
      </c>
      <c r="B617">
        <v>3.81</v>
      </c>
      <c r="C617">
        <v>3.78</v>
      </c>
      <c r="D617">
        <v>3.73</v>
      </c>
      <c r="E617">
        <v>3.73</v>
      </c>
      <c r="F617">
        <v>3.7</v>
      </c>
      <c r="G617">
        <v>3.63</v>
      </c>
      <c r="H617">
        <v>3.61</v>
      </c>
      <c r="I617">
        <v>3.62</v>
      </c>
      <c r="J617">
        <v>3.78</v>
      </c>
      <c r="K617">
        <v>3.96</v>
      </c>
      <c r="L617">
        <v>4.18</v>
      </c>
      <c r="M617">
        <v>4.7699999999999996</v>
      </c>
      <c r="N617">
        <v>4.8</v>
      </c>
      <c r="O617">
        <v>5.4566999999999997</v>
      </c>
      <c r="P617">
        <v>3865</v>
      </c>
      <c r="Q617">
        <v>920.02</v>
      </c>
      <c r="R617">
        <v>3.363</v>
      </c>
      <c r="S617">
        <v>18.1919</v>
      </c>
    </row>
    <row r="618" spans="1:19" x14ac:dyDescent="0.25">
      <c r="A618" s="4">
        <v>45999</v>
      </c>
      <c r="B618">
        <v>3.82</v>
      </c>
      <c r="C618">
        <v>3.78</v>
      </c>
      <c r="D618">
        <v>3.73</v>
      </c>
      <c r="E618">
        <v>3.73</v>
      </c>
      <c r="F618">
        <v>3.69</v>
      </c>
      <c r="G618">
        <v>3.61</v>
      </c>
      <c r="H618">
        <v>3.57</v>
      </c>
      <c r="I618">
        <v>3.59</v>
      </c>
      <c r="J618">
        <v>3.75</v>
      </c>
      <c r="K618">
        <v>3.94</v>
      </c>
      <c r="L618">
        <v>4.17</v>
      </c>
      <c r="M618">
        <v>4.78</v>
      </c>
      <c r="N618">
        <v>4.8099999999999996</v>
      </c>
      <c r="O618">
        <v>5.4245999999999999</v>
      </c>
      <c r="P618">
        <v>3840.5</v>
      </c>
      <c r="Q618">
        <v>918.15</v>
      </c>
      <c r="R618">
        <v>3.363</v>
      </c>
      <c r="S618">
        <v>18.2559</v>
      </c>
    </row>
    <row r="619" spans="1:19" x14ac:dyDescent="0.25">
      <c r="A619" s="4">
        <v>45996</v>
      </c>
      <c r="B619">
        <v>3.82</v>
      </c>
      <c r="C619">
        <v>3.77</v>
      </c>
      <c r="D619">
        <v>3.71</v>
      </c>
      <c r="E619">
        <v>3.73</v>
      </c>
      <c r="F619">
        <v>3.68</v>
      </c>
      <c r="G619">
        <v>3.61</v>
      </c>
      <c r="H619">
        <v>3.56</v>
      </c>
      <c r="I619">
        <v>3.59</v>
      </c>
      <c r="J619">
        <v>3.72</v>
      </c>
      <c r="K619">
        <v>3.9</v>
      </c>
      <c r="L619">
        <v>4.1399999999999997</v>
      </c>
      <c r="M619">
        <v>4.75</v>
      </c>
      <c r="N619">
        <v>4.79</v>
      </c>
      <c r="O619">
        <v>5.3402000000000003</v>
      </c>
      <c r="P619">
        <v>3840.5</v>
      </c>
      <c r="Q619">
        <v>918.15</v>
      </c>
      <c r="R619">
        <v>3.363</v>
      </c>
      <c r="S619">
        <v>18.182400000000001</v>
      </c>
    </row>
    <row r="620" spans="1:19" x14ac:dyDescent="0.25">
      <c r="A620" s="4">
        <v>45995</v>
      </c>
      <c r="B620">
        <v>3.83</v>
      </c>
      <c r="C620">
        <v>3.78</v>
      </c>
      <c r="D620">
        <v>3.71</v>
      </c>
      <c r="E620">
        <v>3.73</v>
      </c>
      <c r="F620">
        <v>3.69</v>
      </c>
      <c r="G620">
        <v>3.6</v>
      </c>
      <c r="H620">
        <v>3.52</v>
      </c>
      <c r="I620">
        <v>3.55</v>
      </c>
      <c r="J620">
        <v>3.68</v>
      </c>
      <c r="K620">
        <v>3.87</v>
      </c>
      <c r="L620">
        <v>4.1100000000000003</v>
      </c>
      <c r="M620">
        <v>4.72</v>
      </c>
      <c r="N620">
        <v>4.76</v>
      </c>
      <c r="O620">
        <v>5.2949000000000002</v>
      </c>
      <c r="P620">
        <v>3799.8</v>
      </c>
      <c r="Q620">
        <v>919.46</v>
      </c>
      <c r="R620">
        <v>3.3610000000000002</v>
      </c>
      <c r="S620">
        <v>18.238900000000001</v>
      </c>
    </row>
    <row r="621" spans="1:19" x14ac:dyDescent="0.25">
      <c r="A621" s="4">
        <v>45994</v>
      </c>
      <c r="B621">
        <v>3.83</v>
      </c>
      <c r="C621">
        <v>3.78</v>
      </c>
      <c r="D621">
        <v>3.72</v>
      </c>
      <c r="E621">
        <v>3.73</v>
      </c>
      <c r="F621">
        <v>3.68</v>
      </c>
      <c r="G621">
        <v>3.57</v>
      </c>
      <c r="H621">
        <v>3.49</v>
      </c>
      <c r="I621">
        <v>3.5</v>
      </c>
      <c r="J621">
        <v>3.62</v>
      </c>
      <c r="K621">
        <v>3.82</v>
      </c>
      <c r="L621">
        <v>4.0599999999999996</v>
      </c>
      <c r="M621">
        <v>4.68</v>
      </c>
      <c r="N621">
        <v>4.7300000000000004</v>
      </c>
      <c r="O621">
        <v>5.3110999999999997</v>
      </c>
      <c r="P621">
        <v>3761.1</v>
      </c>
      <c r="Q621">
        <v>925.37</v>
      </c>
      <c r="R621">
        <v>3.3620000000000001</v>
      </c>
      <c r="S621">
        <v>18.283799999999999</v>
      </c>
    </row>
    <row r="622" spans="1:19" x14ac:dyDescent="0.25">
      <c r="A622" s="4">
        <v>45993</v>
      </c>
      <c r="B622">
        <v>3.9</v>
      </c>
      <c r="C622">
        <v>3.83</v>
      </c>
      <c r="D622">
        <v>3.77</v>
      </c>
      <c r="E622">
        <v>3.78</v>
      </c>
      <c r="F622">
        <v>3.72</v>
      </c>
      <c r="G622">
        <v>3.59</v>
      </c>
      <c r="H622">
        <v>3.51</v>
      </c>
      <c r="I622">
        <v>3.54</v>
      </c>
      <c r="J622">
        <v>3.66</v>
      </c>
      <c r="K622">
        <v>3.85</v>
      </c>
      <c r="L622">
        <v>4.09</v>
      </c>
      <c r="M622">
        <v>4.7</v>
      </c>
      <c r="N622">
        <v>4.74</v>
      </c>
      <c r="O622">
        <v>5.3461999999999996</v>
      </c>
      <c r="P622">
        <v>3808.5</v>
      </c>
      <c r="Q622">
        <v>927.95</v>
      </c>
      <c r="R622">
        <v>3.367</v>
      </c>
      <c r="S622">
        <v>18.282599999999999</v>
      </c>
    </row>
    <row r="623" spans="1:19" x14ac:dyDescent="0.25">
      <c r="A623" s="4">
        <v>45992</v>
      </c>
      <c r="B623">
        <v>3.98</v>
      </c>
      <c r="C623">
        <v>3.92</v>
      </c>
      <c r="D623">
        <v>3.81</v>
      </c>
      <c r="E623">
        <v>3.82</v>
      </c>
      <c r="F623">
        <v>3.75</v>
      </c>
      <c r="G623">
        <v>3.62</v>
      </c>
      <c r="H623">
        <v>3.54</v>
      </c>
      <c r="I623">
        <v>3.55</v>
      </c>
      <c r="J623">
        <v>3.67</v>
      </c>
      <c r="K623">
        <v>3.86</v>
      </c>
      <c r="L623">
        <v>4.09</v>
      </c>
      <c r="M623">
        <v>4.71</v>
      </c>
      <c r="N623">
        <v>4.74</v>
      </c>
      <c r="O623">
        <v>5.3465999999999996</v>
      </c>
      <c r="P623">
        <v>3813.13</v>
      </c>
      <c r="Q623">
        <v>928.16</v>
      </c>
      <c r="R623">
        <v>3.3719999999999999</v>
      </c>
      <c r="S623">
        <v>18.310300000000002</v>
      </c>
    </row>
    <row r="624" spans="1:19" x14ac:dyDescent="0.25">
      <c r="A624" s="4">
        <v>45989</v>
      </c>
      <c r="B624">
        <v>4.05</v>
      </c>
      <c r="C624">
        <v>3.99</v>
      </c>
      <c r="D624">
        <v>3.88</v>
      </c>
      <c r="E624">
        <v>3.86</v>
      </c>
      <c r="F624">
        <v>3.74</v>
      </c>
      <c r="G624">
        <v>3.61</v>
      </c>
      <c r="H624">
        <v>3.47</v>
      </c>
      <c r="I624">
        <v>3.49</v>
      </c>
      <c r="J624">
        <v>3.59</v>
      </c>
      <c r="K624">
        <v>3.78</v>
      </c>
      <c r="L624">
        <v>4.0199999999999996</v>
      </c>
      <c r="M624">
        <v>4.62</v>
      </c>
      <c r="N624">
        <v>4.67</v>
      </c>
      <c r="O624">
        <v>5.3334999999999999</v>
      </c>
      <c r="P624">
        <v>3755</v>
      </c>
      <c r="Q624">
        <v>929.14</v>
      </c>
      <c r="R624">
        <v>3.3639999999999999</v>
      </c>
      <c r="S624">
        <v>18.295300000000001</v>
      </c>
    </row>
    <row r="625" spans="1:19" x14ac:dyDescent="0.25">
      <c r="A625" s="4">
        <v>45987</v>
      </c>
      <c r="B625">
        <v>4.0599999999999996</v>
      </c>
      <c r="C625">
        <v>4</v>
      </c>
      <c r="D625">
        <v>3.92</v>
      </c>
      <c r="E625">
        <v>3.86</v>
      </c>
      <c r="F625">
        <v>3.76</v>
      </c>
      <c r="G625">
        <v>3.61</v>
      </c>
      <c r="H625">
        <v>3.45</v>
      </c>
      <c r="I625">
        <v>3.47</v>
      </c>
      <c r="J625">
        <v>3.56</v>
      </c>
      <c r="K625">
        <v>3.75</v>
      </c>
      <c r="L625">
        <v>4</v>
      </c>
      <c r="M625">
        <v>4.5999999999999996</v>
      </c>
      <c r="N625">
        <v>4.6399999999999997</v>
      </c>
      <c r="O625">
        <v>5.3691000000000004</v>
      </c>
      <c r="P625">
        <v>3729</v>
      </c>
      <c r="Q625">
        <v>937.15</v>
      </c>
      <c r="R625">
        <v>3.3679999999999999</v>
      </c>
      <c r="S625">
        <v>18.343499999999999</v>
      </c>
    </row>
    <row r="626" spans="1:19" x14ac:dyDescent="0.25">
      <c r="A626" s="4">
        <v>45986</v>
      </c>
      <c r="B626">
        <v>4.04</v>
      </c>
      <c r="C626">
        <v>3.97</v>
      </c>
      <c r="D626">
        <v>3.9</v>
      </c>
      <c r="E626">
        <v>3.82</v>
      </c>
      <c r="F626">
        <v>3.75</v>
      </c>
      <c r="G626">
        <v>3.6</v>
      </c>
      <c r="H626">
        <v>3.43</v>
      </c>
      <c r="I626">
        <v>3.46</v>
      </c>
      <c r="J626">
        <v>3.55</v>
      </c>
      <c r="K626">
        <v>3.77</v>
      </c>
      <c r="L626">
        <v>4.01</v>
      </c>
      <c r="M626">
        <v>4.62</v>
      </c>
      <c r="N626">
        <v>4.67</v>
      </c>
      <c r="O626">
        <v>5.3837999999999999</v>
      </c>
      <c r="P626">
        <v>3811.92</v>
      </c>
      <c r="Q626">
        <v>939.57</v>
      </c>
      <c r="R626">
        <v>3.3690000000000002</v>
      </c>
      <c r="S626">
        <v>18.383199999999999</v>
      </c>
    </row>
    <row r="627" spans="1:19" x14ac:dyDescent="0.25">
      <c r="A627" s="4">
        <v>45985</v>
      </c>
      <c r="B627">
        <v>4.03</v>
      </c>
      <c r="C627">
        <v>3.99</v>
      </c>
      <c r="D627">
        <v>3.91</v>
      </c>
      <c r="E627">
        <v>3.83</v>
      </c>
      <c r="F627">
        <v>3.76</v>
      </c>
      <c r="G627">
        <v>3.61</v>
      </c>
      <c r="H627">
        <v>3.46</v>
      </c>
      <c r="I627">
        <v>3.49</v>
      </c>
      <c r="J627">
        <v>3.61</v>
      </c>
      <c r="K627">
        <v>3.8</v>
      </c>
      <c r="L627">
        <v>4.04</v>
      </c>
      <c r="M627">
        <v>4.6399999999999997</v>
      </c>
      <c r="N627">
        <v>4.68</v>
      </c>
      <c r="O627">
        <v>5.3944999999999999</v>
      </c>
      <c r="P627">
        <v>3800.5</v>
      </c>
      <c r="Q627">
        <v>937.36</v>
      </c>
      <c r="R627">
        <v>3.383</v>
      </c>
      <c r="S627">
        <v>18.513300000000001</v>
      </c>
    </row>
    <row r="628" spans="1:19" x14ac:dyDescent="0.25">
      <c r="A628" s="4">
        <v>45982</v>
      </c>
      <c r="B628">
        <v>4.03</v>
      </c>
      <c r="C628">
        <v>4</v>
      </c>
      <c r="D628">
        <v>3.9</v>
      </c>
      <c r="E628">
        <v>3.84</v>
      </c>
      <c r="F628">
        <v>3.75</v>
      </c>
      <c r="G628">
        <v>3.62</v>
      </c>
      <c r="H628">
        <v>3.51</v>
      </c>
      <c r="I628">
        <v>3.5</v>
      </c>
      <c r="J628">
        <v>3.62</v>
      </c>
      <c r="K628">
        <v>3.82</v>
      </c>
      <c r="L628">
        <v>4.0599999999999996</v>
      </c>
      <c r="M628">
        <v>4.67</v>
      </c>
      <c r="N628">
        <v>4.71</v>
      </c>
      <c r="O628">
        <v>5.3898999999999999</v>
      </c>
      <c r="P628">
        <v>3805.35</v>
      </c>
      <c r="Q628">
        <v>929</v>
      </c>
      <c r="R628">
        <v>3.387</v>
      </c>
      <c r="S628">
        <v>18.4847</v>
      </c>
    </row>
    <row r="629" spans="1:19" x14ac:dyDescent="0.25">
      <c r="A629" s="4">
        <v>45981</v>
      </c>
      <c r="B629">
        <v>4.04</v>
      </c>
      <c r="C629">
        <v>4.0199999999999996</v>
      </c>
      <c r="D629">
        <v>3.94</v>
      </c>
      <c r="E629">
        <v>3.86</v>
      </c>
      <c r="F629">
        <v>3.79</v>
      </c>
      <c r="G629">
        <v>3.65</v>
      </c>
      <c r="H629">
        <v>3.55</v>
      </c>
      <c r="I629">
        <v>3.56</v>
      </c>
      <c r="J629">
        <v>3.68</v>
      </c>
      <c r="K629">
        <v>3.87</v>
      </c>
      <c r="L629">
        <v>4.0999999999999996</v>
      </c>
      <c r="M629">
        <v>4.68</v>
      </c>
      <c r="N629">
        <v>4.7300000000000004</v>
      </c>
      <c r="O629">
        <v>5.3342999999999998</v>
      </c>
      <c r="P629">
        <v>3763.44</v>
      </c>
      <c r="Q629">
        <v>931.36</v>
      </c>
      <c r="R629">
        <v>3.379</v>
      </c>
      <c r="S629">
        <v>18.389199999999999</v>
      </c>
    </row>
    <row r="630" spans="1:19" x14ac:dyDescent="0.25">
      <c r="A630" s="4">
        <v>45980</v>
      </c>
      <c r="B630">
        <v>4.01</v>
      </c>
      <c r="C630">
        <v>4</v>
      </c>
      <c r="D630">
        <v>3.95</v>
      </c>
      <c r="E630">
        <v>3.86</v>
      </c>
      <c r="F630">
        <v>3.8</v>
      </c>
      <c r="G630">
        <v>3.68</v>
      </c>
      <c r="H630">
        <v>3.58</v>
      </c>
      <c r="I630">
        <v>3.59</v>
      </c>
      <c r="J630">
        <v>3.71</v>
      </c>
      <c r="K630">
        <v>3.9</v>
      </c>
      <c r="L630">
        <v>4.13</v>
      </c>
      <c r="M630">
        <v>4.71</v>
      </c>
      <c r="N630">
        <v>4.75</v>
      </c>
      <c r="O630">
        <v>5.3342999999999998</v>
      </c>
      <c r="P630">
        <v>3712.5</v>
      </c>
      <c r="Q630">
        <v>929.26</v>
      </c>
      <c r="R630">
        <v>3.379</v>
      </c>
      <c r="S630">
        <v>18.359200000000001</v>
      </c>
    </row>
    <row r="631" spans="1:19" x14ac:dyDescent="0.25">
      <c r="A631" s="4">
        <v>45979</v>
      </c>
      <c r="B631">
        <v>4.0199999999999996</v>
      </c>
      <c r="C631">
        <v>3.99</v>
      </c>
      <c r="D631">
        <v>3.94</v>
      </c>
      <c r="E631">
        <v>3.85</v>
      </c>
      <c r="F631">
        <v>3.79</v>
      </c>
      <c r="G631">
        <v>3.67</v>
      </c>
      <c r="H631">
        <v>3.58</v>
      </c>
      <c r="I631">
        <v>3.58</v>
      </c>
      <c r="J631">
        <v>3.7</v>
      </c>
      <c r="K631">
        <v>3.89</v>
      </c>
      <c r="L631">
        <v>4.12</v>
      </c>
      <c r="M631">
        <v>4.72</v>
      </c>
      <c r="N631">
        <v>4.74</v>
      </c>
      <c r="O631">
        <v>5.3357999999999999</v>
      </c>
      <c r="P631">
        <v>3722</v>
      </c>
      <c r="Q631">
        <v>919.82</v>
      </c>
      <c r="R631">
        <v>3.3719999999999999</v>
      </c>
      <c r="S631">
        <v>18.338999999999999</v>
      </c>
    </row>
    <row r="632" spans="1:19" x14ac:dyDescent="0.25">
      <c r="A632" s="4">
        <v>45978</v>
      </c>
      <c r="B632">
        <v>4.04</v>
      </c>
      <c r="C632">
        <v>4.01</v>
      </c>
      <c r="D632">
        <v>3.97</v>
      </c>
      <c r="E632">
        <v>3.87</v>
      </c>
      <c r="F632">
        <v>3.81</v>
      </c>
      <c r="G632">
        <v>3.69</v>
      </c>
      <c r="H632">
        <v>3.6</v>
      </c>
      <c r="I632">
        <v>3.6</v>
      </c>
      <c r="J632">
        <v>3.72</v>
      </c>
      <c r="K632">
        <v>3.9</v>
      </c>
      <c r="L632">
        <v>4.13</v>
      </c>
      <c r="M632">
        <v>4.71</v>
      </c>
      <c r="N632">
        <v>4.7300000000000004</v>
      </c>
      <c r="O632">
        <v>5.3105000000000002</v>
      </c>
      <c r="P632">
        <v>3757.8</v>
      </c>
      <c r="Q632">
        <v>932.63</v>
      </c>
      <c r="R632">
        <v>3.3610000000000002</v>
      </c>
      <c r="S632">
        <v>18.310199999999998</v>
      </c>
    </row>
    <row r="633" spans="1:19" x14ac:dyDescent="0.25">
      <c r="A633" s="4">
        <v>45975</v>
      </c>
      <c r="B633">
        <v>4.04</v>
      </c>
      <c r="C633">
        <v>4.01</v>
      </c>
      <c r="D633">
        <v>3.95</v>
      </c>
      <c r="E633">
        <v>3.88</v>
      </c>
      <c r="F633">
        <v>3.8</v>
      </c>
      <c r="G633">
        <v>3.7</v>
      </c>
      <c r="H633">
        <v>3.62</v>
      </c>
      <c r="I633">
        <v>3.61</v>
      </c>
      <c r="J633">
        <v>3.74</v>
      </c>
      <c r="K633">
        <v>3.92</v>
      </c>
      <c r="L633">
        <v>4.1399999999999997</v>
      </c>
      <c r="M633">
        <v>4.7300000000000004</v>
      </c>
      <c r="N633">
        <v>4.74</v>
      </c>
      <c r="O633">
        <v>5.2949000000000002</v>
      </c>
      <c r="P633">
        <v>3757.8</v>
      </c>
      <c r="Q633">
        <v>925.63</v>
      </c>
      <c r="R633">
        <v>3.363</v>
      </c>
      <c r="S633">
        <v>18.310199999999998</v>
      </c>
    </row>
    <row r="634" spans="1:19" x14ac:dyDescent="0.25">
      <c r="A634" s="4">
        <v>45974</v>
      </c>
      <c r="B634">
        <v>4.05</v>
      </c>
      <c r="C634">
        <v>4</v>
      </c>
      <c r="D634">
        <v>3.96</v>
      </c>
      <c r="E634">
        <v>3.88</v>
      </c>
      <c r="F634">
        <v>3.8</v>
      </c>
      <c r="G634">
        <v>3.68</v>
      </c>
      <c r="H634">
        <v>3.58</v>
      </c>
      <c r="I634">
        <v>3.57</v>
      </c>
      <c r="J634">
        <v>3.71</v>
      </c>
      <c r="K634">
        <v>3.89</v>
      </c>
      <c r="L634">
        <v>4.1100000000000003</v>
      </c>
      <c r="M634">
        <v>4.6900000000000004</v>
      </c>
      <c r="N634">
        <v>4.7</v>
      </c>
      <c r="O634">
        <v>5.2816999999999998</v>
      </c>
      <c r="P634">
        <v>3743.3</v>
      </c>
      <c r="Q634">
        <v>932.37</v>
      </c>
      <c r="R634">
        <v>3.3730000000000002</v>
      </c>
      <c r="S634">
        <v>18.3215</v>
      </c>
    </row>
    <row r="635" spans="1:19" x14ac:dyDescent="0.25">
      <c r="A635" s="4">
        <v>45973</v>
      </c>
      <c r="B635">
        <v>4.03</v>
      </c>
      <c r="C635">
        <v>3.98</v>
      </c>
      <c r="D635">
        <v>3.95</v>
      </c>
      <c r="E635">
        <v>3.86</v>
      </c>
      <c r="F635">
        <v>3.78</v>
      </c>
      <c r="G635">
        <v>3.65</v>
      </c>
      <c r="H635">
        <v>3.56</v>
      </c>
      <c r="I635">
        <v>3.55</v>
      </c>
      <c r="J635">
        <v>3.68</v>
      </c>
      <c r="K635">
        <v>3.86</v>
      </c>
      <c r="L635">
        <v>4.08</v>
      </c>
      <c r="M635">
        <v>4.6500000000000004</v>
      </c>
      <c r="N635">
        <v>4.67</v>
      </c>
      <c r="O635">
        <v>5.2881999999999998</v>
      </c>
      <c r="P635">
        <v>3706</v>
      </c>
      <c r="Q635">
        <v>936.89</v>
      </c>
      <c r="R635">
        <v>3.367</v>
      </c>
      <c r="S635">
        <v>18.309999999999999</v>
      </c>
    </row>
    <row r="636" spans="1:19" x14ac:dyDescent="0.25">
      <c r="A636" s="4">
        <v>45971</v>
      </c>
      <c r="B636">
        <v>4.04</v>
      </c>
      <c r="C636">
        <v>4</v>
      </c>
      <c r="D636">
        <v>3.95</v>
      </c>
      <c r="E636">
        <v>3.85</v>
      </c>
      <c r="F636">
        <v>3.79</v>
      </c>
      <c r="G636">
        <v>3.66</v>
      </c>
      <c r="H636">
        <v>3.58</v>
      </c>
      <c r="I636">
        <v>3.56</v>
      </c>
      <c r="J636">
        <v>3.72</v>
      </c>
      <c r="K636">
        <v>3.9</v>
      </c>
      <c r="L636">
        <v>4.13</v>
      </c>
      <c r="M636">
        <v>4.6900000000000004</v>
      </c>
      <c r="N636">
        <v>4.71</v>
      </c>
      <c r="O636">
        <v>5.3178000000000001</v>
      </c>
      <c r="P636">
        <v>3753</v>
      </c>
      <c r="Q636">
        <v>946.24</v>
      </c>
      <c r="R636">
        <v>3.3660000000000001</v>
      </c>
      <c r="S636">
        <v>18.380700000000001</v>
      </c>
    </row>
    <row r="637" spans="1:19" x14ac:dyDescent="0.25">
      <c r="A637" s="4">
        <v>45968</v>
      </c>
      <c r="B637">
        <v>4.01</v>
      </c>
      <c r="C637">
        <v>3.98</v>
      </c>
      <c r="D637">
        <v>3.92</v>
      </c>
      <c r="E637">
        <v>3.83</v>
      </c>
      <c r="F637">
        <v>3.76</v>
      </c>
      <c r="G637">
        <v>3.63</v>
      </c>
      <c r="H637">
        <v>3.55</v>
      </c>
      <c r="I637">
        <v>3.57</v>
      </c>
      <c r="J637">
        <v>3.67</v>
      </c>
      <c r="K637">
        <v>3.87</v>
      </c>
      <c r="L637">
        <v>4.1100000000000003</v>
      </c>
      <c r="M637">
        <v>4.68</v>
      </c>
      <c r="N637">
        <v>4.7</v>
      </c>
      <c r="O637">
        <v>5.3563999999999998</v>
      </c>
      <c r="P637">
        <v>3783</v>
      </c>
      <c r="Q637">
        <v>940.84</v>
      </c>
      <c r="R637">
        <v>3.375</v>
      </c>
      <c r="S637">
        <v>18.4573</v>
      </c>
    </row>
    <row r="638" spans="1:19" x14ac:dyDescent="0.25">
      <c r="A638" s="4">
        <v>45967</v>
      </c>
      <c r="B638">
        <v>4.0199999999999996</v>
      </c>
      <c r="C638">
        <v>3.98</v>
      </c>
      <c r="D638">
        <v>3.93</v>
      </c>
      <c r="E638">
        <v>3.84</v>
      </c>
      <c r="F638">
        <v>3.76</v>
      </c>
      <c r="G638">
        <v>3.65</v>
      </c>
      <c r="H638">
        <v>3.57</v>
      </c>
      <c r="I638">
        <v>3.58</v>
      </c>
      <c r="J638">
        <v>3.69</v>
      </c>
      <c r="K638">
        <v>3.87</v>
      </c>
      <c r="L638">
        <v>4.1100000000000003</v>
      </c>
      <c r="M638">
        <v>4.67</v>
      </c>
      <c r="N638">
        <v>4.6900000000000004</v>
      </c>
      <c r="O638">
        <v>5.3448000000000002</v>
      </c>
      <c r="P638">
        <v>3785</v>
      </c>
      <c r="Q638">
        <v>945.6</v>
      </c>
      <c r="R638">
        <v>3.3730000000000002</v>
      </c>
      <c r="S638">
        <v>18.564699999999998</v>
      </c>
    </row>
    <row r="639" spans="1:19" x14ac:dyDescent="0.25">
      <c r="A639" s="4">
        <v>45966</v>
      </c>
      <c r="B639">
        <v>4</v>
      </c>
      <c r="C639">
        <v>4</v>
      </c>
      <c r="D639">
        <v>3.96</v>
      </c>
      <c r="E639">
        <v>3.87</v>
      </c>
      <c r="F639">
        <v>3.79</v>
      </c>
      <c r="G639">
        <v>3.71</v>
      </c>
      <c r="H639">
        <v>3.63</v>
      </c>
      <c r="I639">
        <v>3.65</v>
      </c>
      <c r="J639">
        <v>3.76</v>
      </c>
      <c r="K639">
        <v>3.95</v>
      </c>
      <c r="L639">
        <v>4.17</v>
      </c>
      <c r="M639">
        <v>4.72</v>
      </c>
      <c r="N639">
        <v>4.74</v>
      </c>
      <c r="O639">
        <v>5.3795000000000002</v>
      </c>
      <c r="P639">
        <v>3833.1</v>
      </c>
      <c r="Q639">
        <v>945.13</v>
      </c>
      <c r="R639">
        <v>3.3679999999999999</v>
      </c>
      <c r="S639">
        <v>18.590399999999999</v>
      </c>
    </row>
    <row r="640" spans="1:19" x14ac:dyDescent="0.25">
      <c r="A640" s="4">
        <v>45965</v>
      </c>
      <c r="B640">
        <v>4.0199999999999996</v>
      </c>
      <c r="C640">
        <v>4.01</v>
      </c>
      <c r="D640">
        <v>3.96</v>
      </c>
      <c r="E640">
        <v>3.87</v>
      </c>
      <c r="F640">
        <v>3.78</v>
      </c>
      <c r="G640">
        <v>3.67</v>
      </c>
      <c r="H640">
        <v>3.58</v>
      </c>
      <c r="I640">
        <v>3.59</v>
      </c>
      <c r="J640">
        <v>3.69</v>
      </c>
      <c r="K640">
        <v>3.88</v>
      </c>
      <c r="L640">
        <v>4.0999999999999996</v>
      </c>
      <c r="M640">
        <v>4.6500000000000004</v>
      </c>
      <c r="N640">
        <v>4.67</v>
      </c>
      <c r="O640">
        <v>5.3842999999999996</v>
      </c>
      <c r="P640">
        <v>3858</v>
      </c>
      <c r="Q640">
        <v>940.53</v>
      </c>
      <c r="R640">
        <v>3.3839999999999999</v>
      </c>
      <c r="S640">
        <v>18.656300000000002</v>
      </c>
    </row>
    <row r="641" spans="1:19" x14ac:dyDescent="0.25">
      <c r="A641" s="4">
        <v>45964</v>
      </c>
      <c r="B641">
        <v>4.0599999999999996</v>
      </c>
      <c r="C641">
        <v>4.05</v>
      </c>
      <c r="D641">
        <v>3.98</v>
      </c>
      <c r="E641">
        <v>3.88</v>
      </c>
      <c r="F641">
        <v>3.8</v>
      </c>
      <c r="G641">
        <v>3.7</v>
      </c>
      <c r="H641">
        <v>3.6</v>
      </c>
      <c r="I641">
        <v>3.61</v>
      </c>
      <c r="J641">
        <v>3.72</v>
      </c>
      <c r="K641">
        <v>3.9</v>
      </c>
      <c r="L641">
        <v>4.13</v>
      </c>
      <c r="M641">
        <v>4.67</v>
      </c>
      <c r="N641">
        <v>4.6900000000000004</v>
      </c>
      <c r="O641">
        <v>5.3502000000000001</v>
      </c>
      <c r="P641">
        <v>3852</v>
      </c>
      <c r="Q641">
        <v>943.69</v>
      </c>
      <c r="R641">
        <v>3.3759999999999999</v>
      </c>
      <c r="S641">
        <v>18.4847</v>
      </c>
    </row>
    <row r="642" spans="1:19" x14ac:dyDescent="0.25">
      <c r="A642" s="4">
        <v>45961</v>
      </c>
      <c r="B642">
        <v>4.0599999999999996</v>
      </c>
      <c r="C642">
        <v>4.04</v>
      </c>
      <c r="D642">
        <v>3.89</v>
      </c>
      <c r="E642">
        <v>3.87</v>
      </c>
      <c r="F642">
        <v>3.79</v>
      </c>
      <c r="G642">
        <v>3.7</v>
      </c>
      <c r="H642">
        <v>3.6</v>
      </c>
      <c r="I642">
        <v>3.6</v>
      </c>
      <c r="J642">
        <v>3.71</v>
      </c>
      <c r="K642">
        <v>3.89</v>
      </c>
      <c r="L642">
        <v>4.1100000000000003</v>
      </c>
      <c r="M642">
        <v>4.6500000000000004</v>
      </c>
      <c r="N642">
        <v>4.67</v>
      </c>
      <c r="O642">
        <v>5.3840000000000003</v>
      </c>
      <c r="P642">
        <v>3852</v>
      </c>
      <c r="Q642">
        <v>940.57</v>
      </c>
      <c r="R642">
        <v>3.367</v>
      </c>
      <c r="S642">
        <v>18.579599999999999</v>
      </c>
    </row>
    <row r="643" spans="1:19" x14ac:dyDescent="0.25">
      <c r="A643" s="4">
        <v>45960</v>
      </c>
      <c r="B643">
        <v>4.05</v>
      </c>
      <c r="C643">
        <v>4.04</v>
      </c>
      <c r="D643">
        <v>3.92</v>
      </c>
      <c r="E643">
        <v>3.87</v>
      </c>
      <c r="F643">
        <v>3.79</v>
      </c>
      <c r="G643">
        <v>3.7</v>
      </c>
      <c r="H643">
        <v>3.61</v>
      </c>
      <c r="I643">
        <v>3.61</v>
      </c>
      <c r="J643">
        <v>3.72</v>
      </c>
      <c r="K643">
        <v>3.9</v>
      </c>
      <c r="L643">
        <v>4.1100000000000003</v>
      </c>
      <c r="M643">
        <v>4.6399999999999997</v>
      </c>
      <c r="N643">
        <v>4.6500000000000004</v>
      </c>
      <c r="O643">
        <v>5.3846999999999996</v>
      </c>
      <c r="P643">
        <v>3863</v>
      </c>
      <c r="Q643">
        <v>940.57</v>
      </c>
      <c r="R643">
        <v>3.3820000000000001</v>
      </c>
      <c r="S643">
        <v>18.547599999999999</v>
      </c>
    </row>
    <row r="644" spans="1:19" x14ac:dyDescent="0.25">
      <c r="A644" s="4">
        <v>45959</v>
      </c>
      <c r="B644">
        <v>4.03</v>
      </c>
      <c r="C644">
        <v>3.99</v>
      </c>
      <c r="D644">
        <v>3.93</v>
      </c>
      <c r="E644">
        <v>3.86</v>
      </c>
      <c r="F644">
        <v>3.79</v>
      </c>
      <c r="G644">
        <v>3.7</v>
      </c>
      <c r="H644">
        <v>3.59</v>
      </c>
      <c r="I644">
        <v>3.6</v>
      </c>
      <c r="J644">
        <v>3.7</v>
      </c>
      <c r="K644">
        <v>3.87</v>
      </c>
      <c r="L644">
        <v>4.08</v>
      </c>
      <c r="M644">
        <v>4.59</v>
      </c>
      <c r="N644">
        <v>4.6100000000000003</v>
      </c>
      <c r="O644">
        <v>5.3413000000000004</v>
      </c>
      <c r="P644">
        <v>3873</v>
      </c>
      <c r="Q644">
        <v>941.63</v>
      </c>
      <c r="R644">
        <v>3.391</v>
      </c>
      <c r="S644">
        <v>18.470600000000001</v>
      </c>
    </row>
    <row r="645" spans="1:19" x14ac:dyDescent="0.25">
      <c r="A645" s="4">
        <v>45958</v>
      </c>
      <c r="B645">
        <v>4.07</v>
      </c>
      <c r="C645">
        <v>3.97</v>
      </c>
      <c r="D645">
        <v>3.89</v>
      </c>
      <c r="E645">
        <v>3.86</v>
      </c>
      <c r="F645">
        <v>3.72</v>
      </c>
      <c r="G645">
        <v>3.59</v>
      </c>
      <c r="H645">
        <v>3.47</v>
      </c>
      <c r="I645">
        <v>3.5</v>
      </c>
      <c r="J645">
        <v>3.6</v>
      </c>
      <c r="K645">
        <v>3.77</v>
      </c>
      <c r="L645">
        <v>3.99</v>
      </c>
      <c r="M645">
        <v>4.53</v>
      </c>
      <c r="N645">
        <v>4.55</v>
      </c>
      <c r="O645">
        <v>5.3686999999999996</v>
      </c>
      <c r="P645">
        <v>3897.93</v>
      </c>
      <c r="Q645">
        <v>938.19</v>
      </c>
      <c r="R645">
        <v>3.391</v>
      </c>
      <c r="S645">
        <v>18.4315</v>
      </c>
    </row>
    <row r="646" spans="1:19" x14ac:dyDescent="0.25">
      <c r="A646" s="4">
        <v>45957</v>
      </c>
      <c r="B646">
        <v>4.09</v>
      </c>
      <c r="C646">
        <v>4</v>
      </c>
      <c r="D646">
        <v>3.89</v>
      </c>
      <c r="E646">
        <v>3.87</v>
      </c>
      <c r="F646">
        <v>3.73</v>
      </c>
      <c r="G646">
        <v>3.59</v>
      </c>
      <c r="H646">
        <v>3.48</v>
      </c>
      <c r="I646">
        <v>3.5</v>
      </c>
      <c r="J646">
        <v>3.61</v>
      </c>
      <c r="K646">
        <v>3.79</v>
      </c>
      <c r="L646">
        <v>4.01</v>
      </c>
      <c r="M646">
        <v>4.55</v>
      </c>
      <c r="N646">
        <v>4.57</v>
      </c>
      <c r="O646">
        <v>5.3741000000000003</v>
      </c>
      <c r="P646">
        <v>3846.5</v>
      </c>
      <c r="Q646">
        <v>943.47</v>
      </c>
      <c r="R646">
        <v>3.3839999999999999</v>
      </c>
      <c r="S646">
        <v>18.396100000000001</v>
      </c>
    </row>
    <row r="647" spans="1:19" x14ac:dyDescent="0.25">
      <c r="A647" s="4">
        <v>45954</v>
      </c>
      <c r="B647">
        <v>4.1100000000000003</v>
      </c>
      <c r="C647">
        <v>4.0199999999999996</v>
      </c>
      <c r="D647">
        <v>3.93</v>
      </c>
      <c r="E647">
        <v>3.89</v>
      </c>
      <c r="F647">
        <v>3.76</v>
      </c>
      <c r="G647">
        <v>3.58</v>
      </c>
      <c r="H647">
        <v>3.48</v>
      </c>
      <c r="I647">
        <v>3.49</v>
      </c>
      <c r="J647">
        <v>3.61</v>
      </c>
      <c r="K647">
        <v>3.79</v>
      </c>
      <c r="L647">
        <v>4.0199999999999996</v>
      </c>
      <c r="M647">
        <v>4.5599999999999996</v>
      </c>
      <c r="N647">
        <v>4.59</v>
      </c>
      <c r="O647">
        <v>5.3794000000000004</v>
      </c>
      <c r="P647">
        <v>3850.5</v>
      </c>
      <c r="Q647">
        <v>945.34</v>
      </c>
      <c r="R647">
        <v>3.383</v>
      </c>
      <c r="S647">
        <v>18.441099999999999</v>
      </c>
    </row>
    <row r="648" spans="1:19" x14ac:dyDescent="0.25">
      <c r="A648" s="4">
        <v>45953</v>
      </c>
      <c r="B648">
        <v>4.12</v>
      </c>
      <c r="C648">
        <v>4.05</v>
      </c>
      <c r="D648">
        <v>3.95</v>
      </c>
      <c r="E648">
        <v>3.9</v>
      </c>
      <c r="F648">
        <v>3.78</v>
      </c>
      <c r="G648">
        <v>3.59</v>
      </c>
      <c r="H648">
        <v>3.48</v>
      </c>
      <c r="I648">
        <v>3.49</v>
      </c>
      <c r="J648">
        <v>3.61</v>
      </c>
      <c r="K648">
        <v>3.79</v>
      </c>
      <c r="L648">
        <v>4.01</v>
      </c>
      <c r="M648">
        <v>4.55</v>
      </c>
      <c r="N648">
        <v>4.58</v>
      </c>
      <c r="O648">
        <v>5.3837000000000002</v>
      </c>
      <c r="P648">
        <v>3881.9</v>
      </c>
      <c r="Q648">
        <v>950.46</v>
      </c>
      <c r="R648">
        <v>3.3889999999999998</v>
      </c>
      <c r="S648">
        <v>18.395199999999999</v>
      </c>
    </row>
    <row r="649" spans="1:19" x14ac:dyDescent="0.25">
      <c r="A649" s="4">
        <v>45952</v>
      </c>
      <c r="B649">
        <v>4.1100000000000003</v>
      </c>
      <c r="C649">
        <v>4.04</v>
      </c>
      <c r="D649">
        <v>3.96</v>
      </c>
      <c r="E649">
        <v>3.9</v>
      </c>
      <c r="F649">
        <v>3.78</v>
      </c>
      <c r="G649">
        <v>3.55</v>
      </c>
      <c r="H649">
        <v>3.45</v>
      </c>
      <c r="I649">
        <v>3.44</v>
      </c>
      <c r="J649">
        <v>3.56</v>
      </c>
      <c r="K649">
        <v>3.74</v>
      </c>
      <c r="L649">
        <v>3.97</v>
      </c>
      <c r="M649">
        <v>4.5199999999999996</v>
      </c>
      <c r="N649">
        <v>4.54</v>
      </c>
      <c r="O649">
        <v>5.3895</v>
      </c>
      <c r="P649">
        <v>3908</v>
      </c>
      <c r="Q649">
        <v>951.78</v>
      </c>
      <c r="R649">
        <v>3.4060000000000001</v>
      </c>
      <c r="S649">
        <v>18.447900000000001</v>
      </c>
    </row>
    <row r="650" spans="1:19" x14ac:dyDescent="0.25">
      <c r="A650" s="4">
        <v>45951</v>
      </c>
      <c r="B650">
        <v>4.12</v>
      </c>
      <c r="C650">
        <v>4.05</v>
      </c>
      <c r="D650">
        <v>3.96</v>
      </c>
      <c r="E650">
        <v>3.9</v>
      </c>
      <c r="F650">
        <v>3.78</v>
      </c>
      <c r="G650">
        <v>3.56</v>
      </c>
      <c r="H650">
        <v>3.45</v>
      </c>
      <c r="I650">
        <v>3.46</v>
      </c>
      <c r="J650">
        <v>3.56</v>
      </c>
      <c r="K650">
        <v>3.74</v>
      </c>
      <c r="L650">
        <v>3.98</v>
      </c>
      <c r="M650">
        <v>4.53</v>
      </c>
      <c r="N650">
        <v>4.55</v>
      </c>
      <c r="O650">
        <v>5.3845000000000001</v>
      </c>
      <c r="P650">
        <v>3890</v>
      </c>
      <c r="Q650">
        <v>953.21</v>
      </c>
      <c r="R650">
        <v>3.39</v>
      </c>
      <c r="S650">
        <v>18.439699999999998</v>
      </c>
    </row>
    <row r="651" spans="1:19" x14ac:dyDescent="0.25">
      <c r="A651" s="4">
        <v>45950</v>
      </c>
      <c r="B651">
        <v>4.1500000000000004</v>
      </c>
      <c r="C651">
        <v>4.05</v>
      </c>
      <c r="D651">
        <v>3.97</v>
      </c>
      <c r="E651">
        <v>3.92</v>
      </c>
      <c r="F651">
        <v>3.78</v>
      </c>
      <c r="G651">
        <v>3.55</v>
      </c>
      <c r="H651">
        <v>3.46</v>
      </c>
      <c r="I651">
        <v>3.47</v>
      </c>
      <c r="J651">
        <v>3.58</v>
      </c>
      <c r="K651">
        <v>3.77</v>
      </c>
      <c r="L651">
        <v>4</v>
      </c>
      <c r="M651">
        <v>4.5599999999999996</v>
      </c>
      <c r="N651">
        <v>4.58</v>
      </c>
      <c r="O651">
        <v>5.3768000000000002</v>
      </c>
      <c r="P651">
        <v>3883.2</v>
      </c>
      <c r="Q651">
        <v>960.34</v>
      </c>
      <c r="R651">
        <v>3.3719999999999999</v>
      </c>
      <c r="S651">
        <v>18.411100000000001</v>
      </c>
    </row>
    <row r="652" spans="1:19" x14ac:dyDescent="0.25">
      <c r="A652" s="4">
        <v>45947</v>
      </c>
      <c r="B652">
        <v>4.18</v>
      </c>
      <c r="C652">
        <v>4.08</v>
      </c>
      <c r="D652">
        <v>4</v>
      </c>
      <c r="E652">
        <v>3.95</v>
      </c>
      <c r="F652">
        <v>3.79</v>
      </c>
      <c r="G652">
        <v>3.56</v>
      </c>
      <c r="H652">
        <v>3.46</v>
      </c>
      <c r="I652">
        <v>3.47</v>
      </c>
      <c r="J652">
        <v>3.59</v>
      </c>
      <c r="K652">
        <v>3.78</v>
      </c>
      <c r="L652">
        <v>4.0199999999999996</v>
      </c>
      <c r="M652">
        <v>4.58</v>
      </c>
      <c r="N652">
        <v>4.5999999999999996</v>
      </c>
      <c r="O652">
        <v>5.4386999999999999</v>
      </c>
      <c r="P652">
        <v>3834</v>
      </c>
      <c r="Q652">
        <v>956.13</v>
      </c>
      <c r="R652">
        <v>3.379</v>
      </c>
      <c r="S652">
        <v>18.389900000000001</v>
      </c>
    </row>
    <row r="653" spans="1:19" x14ac:dyDescent="0.25">
      <c r="A653" s="4">
        <v>45946</v>
      </c>
      <c r="B653">
        <v>4.2</v>
      </c>
      <c r="C653">
        <v>4.0999999999999996</v>
      </c>
      <c r="D653">
        <v>4.0199999999999996</v>
      </c>
      <c r="E653">
        <v>3.96</v>
      </c>
      <c r="F653">
        <v>3.79</v>
      </c>
      <c r="G653">
        <v>3.54</v>
      </c>
      <c r="H653">
        <v>3.41</v>
      </c>
      <c r="I653">
        <v>3.42</v>
      </c>
      <c r="J653">
        <v>3.55</v>
      </c>
      <c r="K653">
        <v>3.74</v>
      </c>
      <c r="L653">
        <v>3.99</v>
      </c>
      <c r="M653">
        <v>4.5599999999999996</v>
      </c>
      <c r="N653">
        <v>4.58</v>
      </c>
      <c r="O653">
        <v>5.4351000000000003</v>
      </c>
      <c r="P653">
        <v>3845</v>
      </c>
      <c r="Q653">
        <v>959.36</v>
      </c>
      <c r="R653">
        <v>3.3849999999999998</v>
      </c>
      <c r="S653">
        <v>18.431799999999999</v>
      </c>
    </row>
    <row r="654" spans="1:19" x14ac:dyDescent="0.25">
      <c r="A654" s="4">
        <v>45945</v>
      </c>
      <c r="B654">
        <v>4.2</v>
      </c>
      <c r="C654">
        <v>4.09</v>
      </c>
      <c r="D654">
        <v>4.03</v>
      </c>
      <c r="E654">
        <v>3.98</v>
      </c>
      <c r="F654">
        <v>3.82</v>
      </c>
      <c r="G654">
        <v>3.61</v>
      </c>
      <c r="H654">
        <v>3.5</v>
      </c>
      <c r="I654">
        <v>3.51</v>
      </c>
      <c r="J654">
        <v>3.63</v>
      </c>
      <c r="K654">
        <v>3.82</v>
      </c>
      <c r="L654">
        <v>4.05</v>
      </c>
      <c r="M654">
        <v>4.6100000000000003</v>
      </c>
      <c r="N654">
        <v>4.6399999999999997</v>
      </c>
      <c r="O654">
        <v>5.4461000000000004</v>
      </c>
      <c r="P654">
        <v>3895</v>
      </c>
      <c r="Q654">
        <v>963.69</v>
      </c>
      <c r="R654">
        <v>3.4039999999999999</v>
      </c>
      <c r="S654">
        <v>18.472300000000001</v>
      </c>
    </row>
    <row r="655" spans="1:19" x14ac:dyDescent="0.25">
      <c r="A655" s="4">
        <v>45944</v>
      </c>
      <c r="B655">
        <v>4.1900000000000004</v>
      </c>
      <c r="C655">
        <v>4.08</v>
      </c>
      <c r="D655">
        <v>4.0199999999999996</v>
      </c>
      <c r="E655">
        <v>3.95</v>
      </c>
      <c r="F655">
        <v>3.8</v>
      </c>
      <c r="G655">
        <v>3.58</v>
      </c>
      <c r="H655">
        <v>3.48</v>
      </c>
      <c r="I655">
        <v>3.47</v>
      </c>
      <c r="J655">
        <v>3.6</v>
      </c>
      <c r="K655">
        <v>3.79</v>
      </c>
      <c r="L655">
        <v>4.03</v>
      </c>
      <c r="M655">
        <v>4.59</v>
      </c>
      <c r="N655">
        <v>4.62</v>
      </c>
      <c r="O655">
        <v>5.4978999999999996</v>
      </c>
      <c r="P655">
        <v>3925</v>
      </c>
      <c r="Q655">
        <v>957.66</v>
      </c>
      <c r="R655">
        <v>3.4249999999999998</v>
      </c>
      <c r="S655">
        <v>18.506399999999999</v>
      </c>
    </row>
    <row r="656" spans="1:19" x14ac:dyDescent="0.25">
      <c r="A656" s="4">
        <v>45940</v>
      </c>
      <c r="B656">
        <v>4.1900000000000004</v>
      </c>
      <c r="C656">
        <v>4.0999999999999996</v>
      </c>
      <c r="D656">
        <v>4.0199999999999996</v>
      </c>
      <c r="E656">
        <v>3.96</v>
      </c>
      <c r="F656">
        <v>3.81</v>
      </c>
      <c r="G656">
        <v>3.6</v>
      </c>
      <c r="H656">
        <v>3.52</v>
      </c>
      <c r="I656">
        <v>3.52</v>
      </c>
      <c r="J656">
        <v>3.65</v>
      </c>
      <c r="K656">
        <v>3.83</v>
      </c>
      <c r="L656">
        <v>4.05</v>
      </c>
      <c r="M656">
        <v>4.5999999999999996</v>
      </c>
      <c r="N656">
        <v>4.63</v>
      </c>
      <c r="O656">
        <v>5.4443000000000001</v>
      </c>
      <c r="P656">
        <v>3924.63</v>
      </c>
      <c r="Q656">
        <v>948.77</v>
      </c>
      <c r="R656">
        <v>3.4340000000000002</v>
      </c>
      <c r="S656">
        <v>18.542400000000001</v>
      </c>
    </row>
    <row r="657" spans="1:19" x14ac:dyDescent="0.25">
      <c r="A657" s="4">
        <v>45939</v>
      </c>
      <c r="B657">
        <v>4.2</v>
      </c>
      <c r="C657">
        <v>4.1100000000000003</v>
      </c>
      <c r="D657">
        <v>4.03</v>
      </c>
      <c r="E657">
        <v>3.95</v>
      </c>
      <c r="F657">
        <v>3.83</v>
      </c>
      <c r="G657">
        <v>3.66</v>
      </c>
      <c r="H657">
        <v>3.6</v>
      </c>
      <c r="I657">
        <v>3.59</v>
      </c>
      <c r="J657">
        <v>3.74</v>
      </c>
      <c r="K657">
        <v>3.92</v>
      </c>
      <c r="L657">
        <v>4.1399999999999997</v>
      </c>
      <c r="M657">
        <v>4.7</v>
      </c>
      <c r="N657">
        <v>4.72</v>
      </c>
      <c r="O657">
        <v>5.3535000000000004</v>
      </c>
      <c r="P657">
        <v>3886.89</v>
      </c>
      <c r="Q657">
        <v>951.45</v>
      </c>
      <c r="R657">
        <v>3.423</v>
      </c>
      <c r="S657">
        <v>18.3855</v>
      </c>
    </row>
    <row r="658" spans="1:19" x14ac:dyDescent="0.25">
      <c r="A658" s="4">
        <v>45938</v>
      </c>
      <c r="B658">
        <v>4.2</v>
      </c>
      <c r="C658">
        <v>4.09</v>
      </c>
      <c r="D658">
        <v>4.01</v>
      </c>
      <c r="E658">
        <v>3.94</v>
      </c>
      <c r="F658">
        <v>3.82</v>
      </c>
      <c r="G658">
        <v>3.66</v>
      </c>
      <c r="H658">
        <v>3.58</v>
      </c>
      <c r="I658">
        <v>3.58</v>
      </c>
      <c r="J658">
        <v>3.72</v>
      </c>
      <c r="K658">
        <v>3.91</v>
      </c>
      <c r="L658">
        <v>4.13</v>
      </c>
      <c r="M658">
        <v>4.6900000000000004</v>
      </c>
      <c r="N658">
        <v>4.72</v>
      </c>
      <c r="O658">
        <v>5.3423999999999996</v>
      </c>
      <c r="P658">
        <v>3895</v>
      </c>
      <c r="Q658">
        <v>961.61</v>
      </c>
      <c r="R658">
        <v>3.4430000000000001</v>
      </c>
      <c r="S658">
        <v>18.324200000000001</v>
      </c>
    </row>
    <row r="659" spans="1:19" x14ac:dyDescent="0.25">
      <c r="A659" s="4">
        <v>45937</v>
      </c>
      <c r="B659">
        <v>4.2</v>
      </c>
      <c r="C659">
        <v>4.0999999999999996</v>
      </c>
      <c r="D659">
        <v>4.01</v>
      </c>
      <c r="E659">
        <v>3.95</v>
      </c>
      <c r="F659">
        <v>3.81</v>
      </c>
      <c r="G659">
        <v>3.65</v>
      </c>
      <c r="H659">
        <v>3.57</v>
      </c>
      <c r="I659">
        <v>3.56</v>
      </c>
      <c r="J659">
        <v>3.71</v>
      </c>
      <c r="K659">
        <v>3.9</v>
      </c>
      <c r="L659">
        <v>4.1399999999999997</v>
      </c>
      <c r="M659">
        <v>4.7</v>
      </c>
      <c r="N659">
        <v>4.7300000000000004</v>
      </c>
      <c r="O659">
        <v>5.3360000000000003</v>
      </c>
      <c r="P659">
        <v>3877.06</v>
      </c>
      <c r="Q659">
        <v>963.09</v>
      </c>
      <c r="R659">
        <v>3.4430000000000001</v>
      </c>
      <c r="S659">
        <v>18.394500000000001</v>
      </c>
    </row>
    <row r="660" spans="1:19" x14ac:dyDescent="0.25">
      <c r="A660" s="4">
        <v>45936</v>
      </c>
      <c r="B660">
        <v>4.22</v>
      </c>
      <c r="C660">
        <v>4.1100000000000003</v>
      </c>
      <c r="D660">
        <v>4.0199999999999996</v>
      </c>
      <c r="E660">
        <v>3.95</v>
      </c>
      <c r="F660">
        <v>3.81</v>
      </c>
      <c r="G660">
        <v>3.66</v>
      </c>
      <c r="H660">
        <v>3.6</v>
      </c>
      <c r="I660">
        <v>3.63</v>
      </c>
      <c r="J660">
        <v>3.75</v>
      </c>
      <c r="K660">
        <v>3.95</v>
      </c>
      <c r="L660">
        <v>4.18</v>
      </c>
      <c r="M660">
        <v>4.7300000000000004</v>
      </c>
      <c r="N660">
        <v>4.76</v>
      </c>
      <c r="O660">
        <v>5.3223000000000003</v>
      </c>
      <c r="P660">
        <v>3858.95</v>
      </c>
      <c r="Q660">
        <v>963.17</v>
      </c>
      <c r="R660">
        <v>3.4590000000000001</v>
      </c>
      <c r="S660">
        <v>18.3474</v>
      </c>
    </row>
    <row r="661" spans="1:19" x14ac:dyDescent="0.25">
      <c r="A661" s="4">
        <v>45933</v>
      </c>
      <c r="B661">
        <v>4.24</v>
      </c>
      <c r="C661">
        <v>4.1100000000000003</v>
      </c>
      <c r="D661">
        <v>4.03</v>
      </c>
      <c r="E661">
        <v>3.96</v>
      </c>
      <c r="F661">
        <v>3.82</v>
      </c>
      <c r="G661">
        <v>3.64</v>
      </c>
      <c r="H661">
        <v>3.58</v>
      </c>
      <c r="I661">
        <v>3.59</v>
      </c>
      <c r="J661">
        <v>3.72</v>
      </c>
      <c r="K661">
        <v>3.9</v>
      </c>
      <c r="L661">
        <v>4.13</v>
      </c>
      <c r="M661">
        <v>4.6900000000000004</v>
      </c>
      <c r="N661">
        <v>4.71</v>
      </c>
      <c r="O661">
        <v>5.3494999999999999</v>
      </c>
      <c r="P661">
        <v>3870</v>
      </c>
      <c r="Q661">
        <v>961.54</v>
      </c>
      <c r="R661">
        <v>3.4609999999999999</v>
      </c>
      <c r="S661">
        <v>18.3935</v>
      </c>
    </row>
    <row r="662" spans="1:19" x14ac:dyDescent="0.25">
      <c r="A662" s="4">
        <v>45932</v>
      </c>
      <c r="B662">
        <v>4.2300000000000004</v>
      </c>
      <c r="C662">
        <v>4.1100000000000003</v>
      </c>
      <c r="D662">
        <v>4.0199999999999996</v>
      </c>
      <c r="E662">
        <v>3.96</v>
      </c>
      <c r="F662">
        <v>3.81</v>
      </c>
      <c r="G662">
        <v>3.62</v>
      </c>
      <c r="H662">
        <v>3.55</v>
      </c>
      <c r="I662">
        <v>3.56</v>
      </c>
      <c r="J662">
        <v>3.67</v>
      </c>
      <c r="K662">
        <v>3.86</v>
      </c>
      <c r="L662">
        <v>4.0999999999999996</v>
      </c>
      <c r="M662">
        <v>4.66</v>
      </c>
      <c r="N662">
        <v>4.6900000000000004</v>
      </c>
      <c r="O662">
        <v>5.3445999999999998</v>
      </c>
      <c r="P662">
        <v>3887</v>
      </c>
      <c r="Q662">
        <v>959.19</v>
      </c>
      <c r="R662">
        <v>3.4729999999999999</v>
      </c>
      <c r="S662">
        <v>18.4252</v>
      </c>
    </row>
    <row r="663" spans="1:19" x14ac:dyDescent="0.25">
      <c r="A663" s="4">
        <v>45931</v>
      </c>
      <c r="B663">
        <v>4.17</v>
      </c>
      <c r="C663">
        <v>4.12</v>
      </c>
      <c r="D663">
        <v>4.01</v>
      </c>
      <c r="E663">
        <v>3.95</v>
      </c>
      <c r="F663">
        <v>3.8</v>
      </c>
      <c r="G663">
        <v>3.62</v>
      </c>
      <c r="H663">
        <v>3.55</v>
      </c>
      <c r="I663">
        <v>3.56</v>
      </c>
      <c r="J663">
        <v>3.68</v>
      </c>
      <c r="K663">
        <v>3.88</v>
      </c>
      <c r="L663">
        <v>4.12</v>
      </c>
      <c r="M663">
        <v>4.6900000000000004</v>
      </c>
      <c r="N663">
        <v>4.72</v>
      </c>
      <c r="O663">
        <v>5.3205</v>
      </c>
      <c r="P663">
        <v>3880</v>
      </c>
      <c r="Q663">
        <v>962.39</v>
      </c>
      <c r="R663">
        <v>3.4750000000000001</v>
      </c>
      <c r="S663">
        <v>18.368600000000001</v>
      </c>
    </row>
    <row r="664" spans="1:19" x14ac:dyDescent="0.25">
      <c r="A664" s="4">
        <v>45930</v>
      </c>
      <c r="B664">
        <v>4.2</v>
      </c>
      <c r="C664">
        <v>4.1500000000000004</v>
      </c>
      <c r="D664">
        <v>4.0199999999999996</v>
      </c>
      <c r="E664">
        <v>3.98</v>
      </c>
      <c r="F664">
        <v>3.83</v>
      </c>
      <c r="G664">
        <v>3.68</v>
      </c>
      <c r="H664">
        <v>3.6</v>
      </c>
      <c r="I664">
        <v>3.61</v>
      </c>
      <c r="J664">
        <v>3.74</v>
      </c>
      <c r="K664">
        <v>3.93</v>
      </c>
      <c r="L664">
        <v>4.16</v>
      </c>
      <c r="M664">
        <v>4.71</v>
      </c>
      <c r="N664">
        <v>4.7300000000000004</v>
      </c>
      <c r="O664">
        <v>5.4260999999999999</v>
      </c>
      <c r="P664">
        <v>4015.92</v>
      </c>
      <c r="Q664">
        <v>967.48</v>
      </c>
      <c r="R664">
        <v>3.53</v>
      </c>
      <c r="S664">
        <v>18.6615</v>
      </c>
    </row>
    <row r="665" spans="1:19" x14ac:dyDescent="0.25">
      <c r="A665" s="4">
        <v>45929</v>
      </c>
      <c r="B665">
        <v>4.22</v>
      </c>
      <c r="C665">
        <v>4.16</v>
      </c>
      <c r="D665">
        <v>4.04</v>
      </c>
      <c r="E665">
        <v>3.99</v>
      </c>
      <c r="F665">
        <v>3.84</v>
      </c>
      <c r="G665">
        <v>3.65</v>
      </c>
      <c r="H665">
        <v>3.63</v>
      </c>
      <c r="I665">
        <v>3.63</v>
      </c>
      <c r="J665">
        <v>3.74</v>
      </c>
      <c r="K665">
        <v>3.92</v>
      </c>
      <c r="L665">
        <v>4.1500000000000004</v>
      </c>
      <c r="M665">
        <v>4.6900000000000004</v>
      </c>
      <c r="N665">
        <v>4.71</v>
      </c>
      <c r="O665">
        <v>5.4260999999999999</v>
      </c>
      <c r="P665">
        <v>4015.92</v>
      </c>
      <c r="Q665">
        <v>967.48</v>
      </c>
      <c r="R665">
        <v>3.53</v>
      </c>
      <c r="S665">
        <v>18.6615</v>
      </c>
    </row>
    <row r="666" spans="1:19" x14ac:dyDescent="0.25">
      <c r="A666" s="4">
        <v>45926</v>
      </c>
      <c r="B666">
        <v>4.22</v>
      </c>
      <c r="C666">
        <v>4.17</v>
      </c>
      <c r="D666">
        <v>4.0199999999999996</v>
      </c>
      <c r="E666">
        <v>4</v>
      </c>
      <c r="F666">
        <v>3.83</v>
      </c>
      <c r="G666">
        <v>3.67</v>
      </c>
      <c r="H666">
        <v>3.63</v>
      </c>
      <c r="I666">
        <v>3.66</v>
      </c>
      <c r="J666">
        <v>3.76</v>
      </c>
      <c r="K666">
        <v>3.96</v>
      </c>
      <c r="L666">
        <v>4.2</v>
      </c>
      <c r="M666">
        <v>4.74</v>
      </c>
      <c r="N666">
        <v>4.7699999999999996</v>
      </c>
      <c r="O666">
        <v>5.4260999999999999</v>
      </c>
      <c r="P666">
        <v>4015.92</v>
      </c>
      <c r="Q666">
        <v>967.48</v>
      </c>
      <c r="R666">
        <v>3.53</v>
      </c>
      <c r="S666">
        <v>18.6615</v>
      </c>
    </row>
    <row r="667" spans="1:19" x14ac:dyDescent="0.25">
      <c r="A667" s="4">
        <v>45925</v>
      </c>
      <c r="B667">
        <v>4.24</v>
      </c>
      <c r="C667">
        <v>4.18</v>
      </c>
      <c r="D667">
        <v>4.04</v>
      </c>
      <c r="E667">
        <v>4.01</v>
      </c>
      <c r="F667">
        <v>3.85</v>
      </c>
      <c r="G667">
        <v>3.68</v>
      </c>
      <c r="H667">
        <v>3.64</v>
      </c>
      <c r="I667">
        <v>3.66</v>
      </c>
      <c r="J667">
        <v>3.75</v>
      </c>
      <c r="K667">
        <v>3.94</v>
      </c>
      <c r="L667">
        <v>4.18</v>
      </c>
      <c r="M667">
        <v>4.7300000000000004</v>
      </c>
      <c r="N667">
        <v>4.75</v>
      </c>
      <c r="O667">
        <v>5.4260999999999999</v>
      </c>
      <c r="P667">
        <v>4015.92</v>
      </c>
      <c r="Q667">
        <v>967.48</v>
      </c>
      <c r="R667">
        <v>3.53</v>
      </c>
      <c r="S667">
        <v>18.6615</v>
      </c>
    </row>
    <row r="668" spans="1:19" x14ac:dyDescent="0.25">
      <c r="A668" s="4">
        <v>45924</v>
      </c>
      <c r="B668">
        <v>4.18</v>
      </c>
      <c r="C668">
        <v>4.13</v>
      </c>
      <c r="D668">
        <v>4.0199999999999996</v>
      </c>
      <c r="E668">
        <v>3.98</v>
      </c>
      <c r="F668">
        <v>3.82</v>
      </c>
      <c r="G668">
        <v>3.63</v>
      </c>
      <c r="H668">
        <v>3.57</v>
      </c>
      <c r="I668">
        <v>3.6</v>
      </c>
      <c r="J668">
        <v>3.7</v>
      </c>
      <c r="K668">
        <v>3.91</v>
      </c>
      <c r="L668">
        <v>4.16</v>
      </c>
      <c r="M668">
        <v>4.7300000000000004</v>
      </c>
      <c r="N668">
        <v>4.76</v>
      </c>
      <c r="O668">
        <v>5.4260999999999999</v>
      </c>
      <c r="P668">
        <v>4015.92</v>
      </c>
      <c r="Q668">
        <v>967.48</v>
      </c>
      <c r="R668">
        <v>3.53</v>
      </c>
      <c r="S668">
        <v>18.6615</v>
      </c>
    </row>
    <row r="669" spans="1:19" x14ac:dyDescent="0.25">
      <c r="A669" s="4">
        <v>45923</v>
      </c>
      <c r="B669">
        <v>4.16</v>
      </c>
      <c r="C669">
        <v>4.12</v>
      </c>
      <c r="D669">
        <v>4</v>
      </c>
      <c r="E669">
        <v>3.97</v>
      </c>
      <c r="F669">
        <v>3.81</v>
      </c>
      <c r="G669">
        <v>3.61</v>
      </c>
      <c r="H669">
        <v>3.53</v>
      </c>
      <c r="I669">
        <v>3.57</v>
      </c>
      <c r="J669">
        <v>3.68</v>
      </c>
      <c r="K669">
        <v>3.87</v>
      </c>
      <c r="L669">
        <v>4.12</v>
      </c>
      <c r="M669">
        <v>4.7</v>
      </c>
      <c r="N669">
        <v>4.7300000000000004</v>
      </c>
      <c r="O669">
        <v>5.4260999999999999</v>
      </c>
      <c r="P669">
        <v>4015.92</v>
      </c>
      <c r="Q669">
        <v>967.48</v>
      </c>
      <c r="R669">
        <v>3.53</v>
      </c>
      <c r="S669">
        <v>18.6615</v>
      </c>
    </row>
    <row r="670" spans="1:19" x14ac:dyDescent="0.25">
      <c r="A670" s="4">
        <v>45922</v>
      </c>
      <c r="B670">
        <v>4.17</v>
      </c>
      <c r="C670">
        <v>4.13</v>
      </c>
      <c r="D670">
        <v>4</v>
      </c>
      <c r="E670">
        <v>3.98</v>
      </c>
      <c r="F670">
        <v>3.81</v>
      </c>
      <c r="G670">
        <v>3.61</v>
      </c>
      <c r="H670">
        <v>3.61</v>
      </c>
      <c r="I670">
        <v>3.59</v>
      </c>
      <c r="J670">
        <v>3.71</v>
      </c>
      <c r="K670">
        <v>3.9</v>
      </c>
      <c r="L670">
        <v>4.1500000000000004</v>
      </c>
      <c r="M670">
        <v>4.7300000000000004</v>
      </c>
      <c r="N670">
        <v>4.7699999999999996</v>
      </c>
      <c r="O670">
        <v>5.4260999999999999</v>
      </c>
      <c r="P670">
        <v>4015.92</v>
      </c>
      <c r="Q670">
        <v>967.48</v>
      </c>
      <c r="R670">
        <v>3.53</v>
      </c>
      <c r="S670">
        <v>18.6615</v>
      </c>
    </row>
    <row r="671" spans="1:19" x14ac:dyDescent="0.25">
      <c r="A671" s="4">
        <v>45919</v>
      </c>
      <c r="B671">
        <v>4.1900000000000004</v>
      </c>
      <c r="C671">
        <v>4.1399999999999997</v>
      </c>
      <c r="D671">
        <v>4.03</v>
      </c>
      <c r="E671">
        <v>3.98</v>
      </c>
      <c r="F671">
        <v>3.81</v>
      </c>
      <c r="G671">
        <v>3.6</v>
      </c>
      <c r="H671">
        <v>3.57</v>
      </c>
      <c r="I671">
        <v>3.56</v>
      </c>
      <c r="J671">
        <v>3.68</v>
      </c>
      <c r="K671">
        <v>3.88</v>
      </c>
      <c r="L671">
        <v>4.1399999999999997</v>
      </c>
      <c r="M671">
        <v>4.71</v>
      </c>
      <c r="N671">
        <v>4.75</v>
      </c>
      <c r="O671">
        <v>5.4260999999999999</v>
      </c>
      <c r="P671">
        <v>4015.92</v>
      </c>
      <c r="Q671">
        <v>967.48</v>
      </c>
      <c r="R671">
        <v>3.53</v>
      </c>
      <c r="S671">
        <v>18.6615</v>
      </c>
    </row>
    <row r="672" spans="1:19" x14ac:dyDescent="0.25">
      <c r="A672" s="4">
        <v>45918</v>
      </c>
      <c r="B672">
        <v>4.2</v>
      </c>
      <c r="C672">
        <v>4.1399999999999997</v>
      </c>
      <c r="D672">
        <v>4.03</v>
      </c>
      <c r="E672">
        <v>3.98</v>
      </c>
      <c r="F672">
        <v>3.81</v>
      </c>
      <c r="G672">
        <v>3.61</v>
      </c>
      <c r="H672">
        <v>3.57</v>
      </c>
      <c r="I672">
        <v>3.55</v>
      </c>
      <c r="J672">
        <v>3.67</v>
      </c>
      <c r="K672">
        <v>3.86</v>
      </c>
      <c r="L672">
        <v>4.1100000000000003</v>
      </c>
      <c r="M672">
        <v>4.68</v>
      </c>
      <c r="N672">
        <v>4.72</v>
      </c>
      <c r="O672">
        <v>5.4260999999999999</v>
      </c>
      <c r="P672">
        <v>4015.92</v>
      </c>
      <c r="Q672">
        <v>967.48</v>
      </c>
      <c r="R672">
        <v>3.53</v>
      </c>
      <c r="S672">
        <v>18.6615</v>
      </c>
    </row>
    <row r="673" spans="1:19" x14ac:dyDescent="0.25">
      <c r="A673" s="4">
        <v>45917</v>
      </c>
      <c r="B673">
        <v>4.17</v>
      </c>
      <c r="C673">
        <v>4.1100000000000003</v>
      </c>
      <c r="D673">
        <v>4.0199999999999996</v>
      </c>
      <c r="E673">
        <v>3.97</v>
      </c>
      <c r="F673">
        <v>3.8</v>
      </c>
      <c r="G673">
        <v>3.6</v>
      </c>
      <c r="H673">
        <v>3.52</v>
      </c>
      <c r="I673">
        <v>3.51</v>
      </c>
      <c r="J673">
        <v>3.62</v>
      </c>
      <c r="K673">
        <v>3.81</v>
      </c>
      <c r="L673">
        <v>4.0599999999999996</v>
      </c>
      <c r="M673">
        <v>4.62</v>
      </c>
      <c r="N673">
        <v>4.66</v>
      </c>
      <c r="O673">
        <v>5.4260999999999999</v>
      </c>
      <c r="P673">
        <v>4015.92</v>
      </c>
      <c r="Q673">
        <v>967.48</v>
      </c>
      <c r="R673">
        <v>3.53</v>
      </c>
      <c r="S673">
        <v>18.6615</v>
      </c>
    </row>
    <row r="674" spans="1:19" x14ac:dyDescent="0.25">
      <c r="A674" s="4">
        <v>45916</v>
      </c>
      <c r="B674">
        <v>4.2</v>
      </c>
      <c r="C674">
        <v>4.1500000000000004</v>
      </c>
      <c r="D674">
        <v>4.04</v>
      </c>
      <c r="E674">
        <v>4</v>
      </c>
      <c r="F674">
        <v>3.81</v>
      </c>
      <c r="G674">
        <v>3.62</v>
      </c>
      <c r="H674">
        <v>3.51</v>
      </c>
      <c r="I674">
        <v>3.47</v>
      </c>
      <c r="J674">
        <v>3.59</v>
      </c>
      <c r="K674">
        <v>3.78</v>
      </c>
      <c r="L674">
        <v>4.04</v>
      </c>
      <c r="M674">
        <v>4.6100000000000003</v>
      </c>
      <c r="N674">
        <v>4.6500000000000004</v>
      </c>
      <c r="O674">
        <v>5.4260999999999999</v>
      </c>
      <c r="P674">
        <v>4015.92</v>
      </c>
      <c r="Q674">
        <v>967.48</v>
      </c>
      <c r="R674">
        <v>3.53</v>
      </c>
      <c r="S674">
        <v>18.6615</v>
      </c>
    </row>
    <row r="675" spans="1:19" x14ac:dyDescent="0.25">
      <c r="A675" s="4">
        <v>45915</v>
      </c>
      <c r="B675">
        <v>4.22</v>
      </c>
      <c r="C675">
        <v>4.17</v>
      </c>
      <c r="D675">
        <v>4.0599999999999996</v>
      </c>
      <c r="E675">
        <v>4</v>
      </c>
      <c r="F675">
        <v>3.81</v>
      </c>
      <c r="G675">
        <v>3.64</v>
      </c>
      <c r="H675">
        <v>3.54</v>
      </c>
      <c r="I675">
        <v>3.5</v>
      </c>
      <c r="J675">
        <v>3.61</v>
      </c>
      <c r="K675">
        <v>3.79</v>
      </c>
      <c r="L675">
        <v>4.05</v>
      </c>
      <c r="M675">
        <v>4.63</v>
      </c>
      <c r="N675">
        <v>4.66</v>
      </c>
      <c r="O675">
        <v>5.4260999999999999</v>
      </c>
      <c r="P675">
        <v>4015.92</v>
      </c>
      <c r="Q675">
        <v>967.48</v>
      </c>
      <c r="R675">
        <v>3.53</v>
      </c>
      <c r="S675">
        <v>18.6615</v>
      </c>
    </row>
    <row r="676" spans="1:19" x14ac:dyDescent="0.25">
      <c r="A676" s="4">
        <v>45912</v>
      </c>
      <c r="B676">
        <v>4.24</v>
      </c>
      <c r="C676">
        <v>4.2</v>
      </c>
      <c r="D676">
        <v>4.08</v>
      </c>
      <c r="E676">
        <v>4.0199999999999996</v>
      </c>
      <c r="F676">
        <v>3.83</v>
      </c>
      <c r="G676">
        <v>3.66</v>
      </c>
      <c r="H676">
        <v>3.56</v>
      </c>
      <c r="I676">
        <v>3.52</v>
      </c>
      <c r="J676">
        <v>3.63</v>
      </c>
      <c r="K676">
        <v>3.81</v>
      </c>
      <c r="L676">
        <v>4.0599999999999996</v>
      </c>
      <c r="M676">
        <v>4.6500000000000004</v>
      </c>
      <c r="N676">
        <v>4.68</v>
      </c>
      <c r="O676">
        <v>5.4260999999999999</v>
      </c>
      <c r="P676">
        <v>4015.92</v>
      </c>
      <c r="Q676">
        <v>967.48</v>
      </c>
      <c r="R676">
        <v>3.53</v>
      </c>
      <c r="S676">
        <v>18.6615</v>
      </c>
    </row>
    <row r="677" spans="1:19" x14ac:dyDescent="0.25">
      <c r="A677" s="4">
        <v>45911</v>
      </c>
      <c r="B677">
        <v>4.22</v>
      </c>
      <c r="C677">
        <v>4.18</v>
      </c>
      <c r="D677">
        <v>4.08</v>
      </c>
      <c r="E677">
        <v>4</v>
      </c>
      <c r="F677">
        <v>3.82</v>
      </c>
      <c r="G677">
        <v>3.63</v>
      </c>
      <c r="H677">
        <v>3.52</v>
      </c>
      <c r="I677">
        <v>3.47</v>
      </c>
      <c r="J677">
        <v>3.59</v>
      </c>
      <c r="K677">
        <v>3.76</v>
      </c>
      <c r="L677">
        <v>4.01</v>
      </c>
      <c r="M677">
        <v>4.6100000000000003</v>
      </c>
      <c r="N677">
        <v>4.6500000000000004</v>
      </c>
      <c r="O677">
        <v>5.4260999999999999</v>
      </c>
      <c r="P677">
        <v>4015.92</v>
      </c>
      <c r="Q677">
        <v>967.48</v>
      </c>
      <c r="R677">
        <v>3.53</v>
      </c>
      <c r="S677">
        <v>18.6615</v>
      </c>
    </row>
    <row r="678" spans="1:19" x14ac:dyDescent="0.25">
      <c r="A678" s="4">
        <v>45910</v>
      </c>
      <c r="B678">
        <v>4.2300000000000004</v>
      </c>
      <c r="C678">
        <v>4.2</v>
      </c>
      <c r="D678">
        <v>4.09</v>
      </c>
      <c r="E678">
        <v>4.0199999999999996</v>
      </c>
      <c r="F678">
        <v>3.83</v>
      </c>
      <c r="G678">
        <v>3.66</v>
      </c>
      <c r="H678">
        <v>3.54</v>
      </c>
      <c r="I678">
        <v>3.47</v>
      </c>
      <c r="J678">
        <v>3.59</v>
      </c>
      <c r="K678">
        <v>3.78</v>
      </c>
      <c r="L678">
        <v>4.04</v>
      </c>
      <c r="M678">
        <v>4.6500000000000004</v>
      </c>
      <c r="N678">
        <v>4.6900000000000004</v>
      </c>
      <c r="O678">
        <v>5.4260999999999999</v>
      </c>
      <c r="P678">
        <v>4015.92</v>
      </c>
      <c r="Q678">
        <v>967.48</v>
      </c>
      <c r="R678">
        <v>3.53</v>
      </c>
      <c r="S678">
        <v>18.6615</v>
      </c>
    </row>
    <row r="679" spans="1:19" x14ac:dyDescent="0.25">
      <c r="A679" s="4">
        <v>45909</v>
      </c>
      <c r="B679">
        <v>4.25</v>
      </c>
      <c r="C679">
        <v>4.22</v>
      </c>
      <c r="D679">
        <v>4.0999999999999996</v>
      </c>
      <c r="E679">
        <v>4.05</v>
      </c>
      <c r="F679">
        <v>3.85</v>
      </c>
      <c r="G679">
        <v>3.68</v>
      </c>
      <c r="H679">
        <v>3.54</v>
      </c>
      <c r="I679">
        <v>3.48</v>
      </c>
      <c r="J679">
        <v>3.61</v>
      </c>
      <c r="K679">
        <v>3.81</v>
      </c>
      <c r="L679">
        <v>4.08</v>
      </c>
      <c r="M679">
        <v>4.68</v>
      </c>
      <c r="N679">
        <v>4.72</v>
      </c>
      <c r="O679">
        <v>5.4260999999999999</v>
      </c>
      <c r="P679">
        <v>4015.92</v>
      </c>
      <c r="Q679">
        <v>967.48</v>
      </c>
      <c r="R679">
        <v>3.53</v>
      </c>
      <c r="S679">
        <v>18.6615</v>
      </c>
    </row>
    <row r="680" spans="1:19" x14ac:dyDescent="0.25">
      <c r="A680" s="4">
        <v>45908</v>
      </c>
      <c r="B680">
        <v>4.26</v>
      </c>
      <c r="C680">
        <v>4.21</v>
      </c>
      <c r="D680">
        <v>4.0999999999999996</v>
      </c>
      <c r="E680">
        <v>4.04</v>
      </c>
      <c r="F680">
        <v>3.84</v>
      </c>
      <c r="G680">
        <v>3.64</v>
      </c>
      <c r="H680">
        <v>3.49</v>
      </c>
      <c r="I680">
        <v>3.47</v>
      </c>
      <c r="J680">
        <v>3.57</v>
      </c>
      <c r="K680">
        <v>3.77</v>
      </c>
      <c r="L680">
        <v>4.05</v>
      </c>
      <c r="M680">
        <v>4.6500000000000004</v>
      </c>
      <c r="N680">
        <v>4.6900000000000004</v>
      </c>
      <c r="O680">
        <v>5.4260999999999999</v>
      </c>
      <c r="P680">
        <v>4015.92</v>
      </c>
      <c r="Q680">
        <v>967.48</v>
      </c>
      <c r="R680">
        <v>3.53</v>
      </c>
      <c r="S680">
        <v>18.6615</v>
      </c>
    </row>
    <row r="681" spans="1:19" x14ac:dyDescent="0.25">
      <c r="A681" s="4">
        <v>45905</v>
      </c>
      <c r="B681">
        <v>4.29</v>
      </c>
      <c r="C681">
        <v>4.24</v>
      </c>
      <c r="D681">
        <v>4.07</v>
      </c>
      <c r="E681">
        <v>4.05</v>
      </c>
      <c r="F681">
        <v>3.85</v>
      </c>
      <c r="G681">
        <v>3.65</v>
      </c>
      <c r="H681">
        <v>3.51</v>
      </c>
      <c r="I681">
        <v>3.48</v>
      </c>
      <c r="J681">
        <v>3.59</v>
      </c>
      <c r="K681">
        <v>3.8</v>
      </c>
      <c r="L681">
        <v>4.0999999999999996</v>
      </c>
      <c r="M681">
        <v>4.72</v>
      </c>
      <c r="N681">
        <v>4.78</v>
      </c>
      <c r="O681">
        <v>5.4260999999999999</v>
      </c>
      <c r="P681">
        <v>4015.92</v>
      </c>
      <c r="Q681">
        <v>967.48</v>
      </c>
      <c r="R681">
        <v>3.53</v>
      </c>
      <c r="S681">
        <v>18.6615</v>
      </c>
    </row>
    <row r="682" spans="1:19" x14ac:dyDescent="0.25">
      <c r="A682" s="4">
        <v>45904</v>
      </c>
      <c r="B682">
        <v>4.33</v>
      </c>
      <c r="C682">
        <v>4.28</v>
      </c>
      <c r="D682">
        <v>4.16</v>
      </c>
      <c r="E682">
        <v>4.12</v>
      </c>
      <c r="F682">
        <v>3.94</v>
      </c>
      <c r="G682">
        <v>3.76</v>
      </c>
      <c r="H682">
        <v>3.59</v>
      </c>
      <c r="I682">
        <v>3.55</v>
      </c>
      <c r="J682">
        <v>3.65</v>
      </c>
      <c r="K682">
        <v>3.87</v>
      </c>
      <c r="L682">
        <v>4.17</v>
      </c>
      <c r="M682">
        <v>4.8099999999999996</v>
      </c>
      <c r="N682">
        <v>4.8600000000000003</v>
      </c>
      <c r="O682">
        <v>5.4260999999999999</v>
      </c>
      <c r="P682">
        <v>4015.92</v>
      </c>
      <c r="Q682">
        <v>967.48</v>
      </c>
      <c r="R682">
        <v>3.53</v>
      </c>
      <c r="S682">
        <v>18.6615</v>
      </c>
    </row>
    <row r="683" spans="1:19" x14ac:dyDescent="0.25">
      <c r="A683" s="4">
        <v>45903</v>
      </c>
      <c r="B683">
        <v>4.3499999999999996</v>
      </c>
      <c r="C683">
        <v>4.26</v>
      </c>
      <c r="D683">
        <v>4.18</v>
      </c>
      <c r="E683">
        <v>4.1399999999999997</v>
      </c>
      <c r="F683">
        <v>3.96</v>
      </c>
      <c r="G683">
        <v>3.77</v>
      </c>
      <c r="H683">
        <v>3.61</v>
      </c>
      <c r="I683">
        <v>3.58</v>
      </c>
      <c r="J683">
        <v>3.69</v>
      </c>
      <c r="K683">
        <v>3.92</v>
      </c>
      <c r="L683">
        <v>4.22</v>
      </c>
      <c r="M683">
        <v>4.8499999999999996</v>
      </c>
      <c r="N683">
        <v>4.9000000000000004</v>
      </c>
      <c r="O683">
        <v>5.4260999999999999</v>
      </c>
      <c r="P683">
        <v>4015.92</v>
      </c>
      <c r="Q683">
        <v>967.48</v>
      </c>
      <c r="R683">
        <v>3.53</v>
      </c>
      <c r="S683">
        <v>18.6615</v>
      </c>
    </row>
    <row r="684" spans="1:19" x14ac:dyDescent="0.25">
      <c r="A684" s="4">
        <v>45902</v>
      </c>
      <c r="B684">
        <v>4.4000000000000004</v>
      </c>
      <c r="C684">
        <v>4.29</v>
      </c>
      <c r="D684">
        <v>4.2</v>
      </c>
      <c r="E684">
        <v>4.1500000000000004</v>
      </c>
      <c r="F684">
        <v>3.99</v>
      </c>
      <c r="G684">
        <v>3.82</v>
      </c>
      <c r="H684">
        <v>3.66</v>
      </c>
      <c r="I684">
        <v>3.63</v>
      </c>
      <c r="J684">
        <v>3.74</v>
      </c>
      <c r="K684">
        <v>3.98</v>
      </c>
      <c r="L684">
        <v>4.28</v>
      </c>
      <c r="M684">
        <v>4.92</v>
      </c>
      <c r="N684">
        <v>4.97</v>
      </c>
      <c r="O684">
        <v>5.4260999999999999</v>
      </c>
      <c r="P684">
        <v>4015.92</v>
      </c>
      <c r="Q684">
        <v>967.48</v>
      </c>
      <c r="R684">
        <v>3.53</v>
      </c>
      <c r="S684">
        <v>18.6615</v>
      </c>
    </row>
    <row r="685" spans="1:19" x14ac:dyDescent="0.25">
      <c r="A685" s="4">
        <v>45898</v>
      </c>
      <c r="B685">
        <v>4.41</v>
      </c>
      <c r="C685">
        <v>4.3</v>
      </c>
      <c r="D685">
        <v>4.2300000000000004</v>
      </c>
      <c r="E685">
        <v>4.17</v>
      </c>
      <c r="F685">
        <v>4.01</v>
      </c>
      <c r="G685">
        <v>3.83</v>
      </c>
      <c r="H685">
        <v>3.59</v>
      </c>
      <c r="I685">
        <v>3.58</v>
      </c>
      <c r="J685">
        <v>3.68</v>
      </c>
      <c r="K685">
        <v>3.92</v>
      </c>
      <c r="L685">
        <v>4.2300000000000004</v>
      </c>
      <c r="M685">
        <v>4.8600000000000003</v>
      </c>
      <c r="N685">
        <v>4.92</v>
      </c>
      <c r="O685">
        <v>5.4260999999999999</v>
      </c>
      <c r="P685">
        <v>4015.92</v>
      </c>
      <c r="Q685">
        <v>967.48</v>
      </c>
      <c r="R685">
        <v>3.53</v>
      </c>
      <c r="S685">
        <v>18.6615</v>
      </c>
    </row>
    <row r="686" spans="1:19" x14ac:dyDescent="0.25">
      <c r="A686" s="4">
        <v>45897</v>
      </c>
      <c r="B686">
        <v>4.42</v>
      </c>
      <c r="C686">
        <v>4.3099999999999996</v>
      </c>
      <c r="D686">
        <v>4.26</v>
      </c>
      <c r="E686">
        <v>4.17</v>
      </c>
      <c r="F686">
        <v>4.04</v>
      </c>
      <c r="G686">
        <v>3.85</v>
      </c>
      <c r="H686">
        <v>3.62</v>
      </c>
      <c r="I686">
        <v>3.6</v>
      </c>
      <c r="J686">
        <v>3.69</v>
      </c>
      <c r="K686">
        <v>3.92</v>
      </c>
      <c r="L686">
        <v>4.22</v>
      </c>
      <c r="M686">
        <v>4.83</v>
      </c>
      <c r="N686">
        <v>4.88</v>
      </c>
      <c r="O686">
        <v>5.4112</v>
      </c>
      <c r="P686">
        <v>4029</v>
      </c>
      <c r="Q686">
        <v>968.64</v>
      </c>
      <c r="R686">
        <v>3.5379999999999998</v>
      </c>
      <c r="S686">
        <v>18.643899999999999</v>
      </c>
    </row>
    <row r="687" spans="1:19" x14ac:dyDescent="0.25">
      <c r="A687" s="4">
        <v>45896</v>
      </c>
      <c r="B687">
        <v>4.42</v>
      </c>
      <c r="C687">
        <v>4.3</v>
      </c>
      <c r="D687">
        <v>4.26</v>
      </c>
      <c r="E687">
        <v>4.18</v>
      </c>
      <c r="F687">
        <v>4.04</v>
      </c>
      <c r="G687">
        <v>3.83</v>
      </c>
      <c r="H687">
        <v>3.59</v>
      </c>
      <c r="I687">
        <v>3.59</v>
      </c>
      <c r="J687">
        <v>3.69</v>
      </c>
      <c r="K687">
        <v>3.95</v>
      </c>
      <c r="L687">
        <v>4.24</v>
      </c>
      <c r="M687">
        <v>4.87</v>
      </c>
      <c r="N687">
        <v>4.91</v>
      </c>
      <c r="O687">
        <v>5.4424999999999999</v>
      </c>
      <c r="P687">
        <v>4029.5</v>
      </c>
      <c r="Q687">
        <v>965.01</v>
      </c>
      <c r="R687">
        <v>3.55</v>
      </c>
      <c r="S687">
        <v>18.659600000000001</v>
      </c>
    </row>
    <row r="688" spans="1:19" x14ac:dyDescent="0.25">
      <c r="A688" s="4">
        <v>45895</v>
      </c>
      <c r="B688">
        <v>4.42</v>
      </c>
      <c r="C688">
        <v>4.34</v>
      </c>
      <c r="D688">
        <v>4.28</v>
      </c>
      <c r="E688">
        <v>4.2</v>
      </c>
      <c r="F688">
        <v>4.0599999999999996</v>
      </c>
      <c r="G688">
        <v>3.85</v>
      </c>
      <c r="H688">
        <v>3.61</v>
      </c>
      <c r="I688">
        <v>3.63</v>
      </c>
      <c r="J688">
        <v>3.75</v>
      </c>
      <c r="K688">
        <v>3.98</v>
      </c>
      <c r="L688">
        <v>4.26</v>
      </c>
      <c r="M688">
        <v>4.8600000000000003</v>
      </c>
      <c r="N688">
        <v>4.9000000000000004</v>
      </c>
      <c r="O688">
        <v>5.4215</v>
      </c>
      <c r="P688">
        <v>4055</v>
      </c>
      <c r="Q688">
        <v>962.51</v>
      </c>
      <c r="R688">
        <v>3.548</v>
      </c>
      <c r="S688">
        <v>18.6663</v>
      </c>
    </row>
    <row r="689" spans="1:19" x14ac:dyDescent="0.25">
      <c r="A689" s="4">
        <v>45894</v>
      </c>
      <c r="B689">
        <v>4.45</v>
      </c>
      <c r="C689">
        <v>4.3499999999999996</v>
      </c>
      <c r="D689">
        <v>4.29</v>
      </c>
      <c r="E689">
        <v>4.21</v>
      </c>
      <c r="F689">
        <v>4.08</v>
      </c>
      <c r="G689">
        <v>3.88</v>
      </c>
      <c r="H689">
        <v>3.73</v>
      </c>
      <c r="I689">
        <v>3.68</v>
      </c>
      <c r="J689">
        <v>3.8</v>
      </c>
      <c r="K689">
        <v>4.01</v>
      </c>
      <c r="L689">
        <v>4.28</v>
      </c>
      <c r="M689">
        <v>4.8600000000000003</v>
      </c>
      <c r="N689">
        <v>4.8899999999999997</v>
      </c>
      <c r="O689">
        <v>5.4170999999999996</v>
      </c>
      <c r="P689">
        <v>4028.2</v>
      </c>
      <c r="Q689">
        <v>964.15</v>
      </c>
      <c r="R689">
        <v>3.532</v>
      </c>
      <c r="S689">
        <v>18.691299999999998</v>
      </c>
    </row>
    <row r="690" spans="1:19" x14ac:dyDescent="0.25">
      <c r="A690" s="4">
        <v>45891</v>
      </c>
      <c r="B690">
        <v>4.47</v>
      </c>
      <c r="C690">
        <v>4.3600000000000003</v>
      </c>
      <c r="D690">
        <v>4.2699999999999996</v>
      </c>
      <c r="E690">
        <v>4.21</v>
      </c>
      <c r="F690">
        <v>4.08</v>
      </c>
      <c r="G690">
        <v>3.87</v>
      </c>
      <c r="H690">
        <v>3.68</v>
      </c>
      <c r="I690">
        <v>3.64</v>
      </c>
      <c r="J690">
        <v>3.76</v>
      </c>
      <c r="K690">
        <v>3.98</v>
      </c>
      <c r="L690">
        <v>4.26</v>
      </c>
      <c r="M690">
        <v>4.84</v>
      </c>
      <c r="N690">
        <v>4.88</v>
      </c>
      <c r="O690">
        <v>5.4389000000000003</v>
      </c>
      <c r="P690">
        <v>4013</v>
      </c>
      <c r="Q690">
        <v>968.63</v>
      </c>
      <c r="R690">
        <v>3.5169999999999999</v>
      </c>
      <c r="S690">
        <v>18.593499999999999</v>
      </c>
    </row>
    <row r="691" spans="1:19" x14ac:dyDescent="0.25">
      <c r="A691" s="4">
        <v>45890</v>
      </c>
      <c r="B691">
        <v>4.49</v>
      </c>
      <c r="C691">
        <v>4.3899999999999997</v>
      </c>
      <c r="D691">
        <v>4.32</v>
      </c>
      <c r="E691">
        <v>4.24</v>
      </c>
      <c r="F691">
        <v>4.1399999999999997</v>
      </c>
      <c r="G691">
        <v>3.95</v>
      </c>
      <c r="H691">
        <v>3.79</v>
      </c>
      <c r="I691">
        <v>3.75</v>
      </c>
      <c r="J691">
        <v>3.86</v>
      </c>
      <c r="K691">
        <v>4.07</v>
      </c>
      <c r="L691">
        <v>4.33</v>
      </c>
      <c r="M691">
        <v>4.8899999999999997</v>
      </c>
      <c r="N691">
        <v>4.92</v>
      </c>
      <c r="O691">
        <v>5.4824999999999999</v>
      </c>
      <c r="P691">
        <v>4031</v>
      </c>
      <c r="Q691">
        <v>965.06</v>
      </c>
      <c r="R691">
        <v>3.5369999999999999</v>
      </c>
      <c r="S691">
        <v>18.7668</v>
      </c>
    </row>
    <row r="692" spans="1:19" x14ac:dyDescent="0.25">
      <c r="A692" s="4">
        <v>45889</v>
      </c>
      <c r="B692">
        <v>4.45</v>
      </c>
      <c r="C692">
        <v>4.3499999999999996</v>
      </c>
      <c r="D692">
        <v>4.3</v>
      </c>
      <c r="E692">
        <v>4.22</v>
      </c>
      <c r="F692">
        <v>4.1100000000000003</v>
      </c>
      <c r="G692">
        <v>3.9</v>
      </c>
      <c r="H692">
        <v>3.74</v>
      </c>
      <c r="I692">
        <v>3.69</v>
      </c>
      <c r="J692">
        <v>3.81</v>
      </c>
      <c r="K692">
        <v>4.0199999999999996</v>
      </c>
      <c r="L692">
        <v>4.29</v>
      </c>
      <c r="M692">
        <v>4.8600000000000003</v>
      </c>
      <c r="N692">
        <v>4.8899999999999997</v>
      </c>
      <c r="O692">
        <v>5.4722999999999997</v>
      </c>
      <c r="P692">
        <v>4020</v>
      </c>
      <c r="Q692">
        <v>963.57</v>
      </c>
      <c r="R692">
        <v>3.52</v>
      </c>
      <c r="S692">
        <v>18.7562</v>
      </c>
    </row>
    <row r="693" spans="1:19" x14ac:dyDescent="0.25">
      <c r="A693" s="4">
        <v>45888</v>
      </c>
      <c r="B693">
        <v>4.46</v>
      </c>
      <c r="C693">
        <v>4.3499999999999996</v>
      </c>
      <c r="D693">
        <v>4.3</v>
      </c>
      <c r="E693">
        <v>4.21</v>
      </c>
      <c r="F693">
        <v>4.1100000000000003</v>
      </c>
      <c r="G693">
        <v>3.91</v>
      </c>
      <c r="H693">
        <v>3.75</v>
      </c>
      <c r="I693">
        <v>3.7</v>
      </c>
      <c r="J693">
        <v>3.82</v>
      </c>
      <c r="K693">
        <v>4.04</v>
      </c>
      <c r="L693">
        <v>4.3</v>
      </c>
      <c r="M693">
        <v>4.8899999999999997</v>
      </c>
      <c r="N693">
        <v>4.9000000000000004</v>
      </c>
      <c r="O693">
        <v>5.4713000000000003</v>
      </c>
      <c r="P693">
        <v>4031.1</v>
      </c>
      <c r="Q693">
        <v>966.24</v>
      </c>
      <c r="R693">
        <v>3.528</v>
      </c>
      <c r="S693">
        <v>18.817599999999999</v>
      </c>
    </row>
    <row r="694" spans="1:19" x14ac:dyDescent="0.25">
      <c r="A694" s="4">
        <v>45887</v>
      </c>
      <c r="B694">
        <v>4.47</v>
      </c>
      <c r="C694">
        <v>4.3499999999999996</v>
      </c>
      <c r="D694">
        <v>4.33</v>
      </c>
      <c r="E694">
        <v>4.22</v>
      </c>
      <c r="F694">
        <v>4.13</v>
      </c>
      <c r="G694">
        <v>3.93</v>
      </c>
      <c r="H694">
        <v>3.77</v>
      </c>
      <c r="I694">
        <v>3.73</v>
      </c>
      <c r="J694">
        <v>3.86</v>
      </c>
      <c r="K694">
        <v>4.07</v>
      </c>
      <c r="L694">
        <v>4.34</v>
      </c>
      <c r="M694">
        <v>4.92</v>
      </c>
      <c r="N694">
        <v>4.9400000000000004</v>
      </c>
      <c r="O694">
        <v>5.4151999999999996</v>
      </c>
      <c r="P694">
        <v>4015</v>
      </c>
      <c r="Q694">
        <v>961.84</v>
      </c>
      <c r="R694">
        <v>3.5409999999999999</v>
      </c>
      <c r="S694">
        <v>18.7807</v>
      </c>
    </row>
    <row r="695" spans="1:19" x14ac:dyDescent="0.25">
      <c r="A695" s="4">
        <v>45884</v>
      </c>
      <c r="B695">
        <v>4.4800000000000004</v>
      </c>
      <c r="C695">
        <v>4.3499999999999996</v>
      </c>
      <c r="D695">
        <v>4.3</v>
      </c>
      <c r="E695">
        <v>4.22</v>
      </c>
      <c r="F695">
        <v>4.12</v>
      </c>
      <c r="G695">
        <v>3.93</v>
      </c>
      <c r="H695">
        <v>3.75</v>
      </c>
      <c r="I695">
        <v>3.73</v>
      </c>
      <c r="J695">
        <v>3.85</v>
      </c>
      <c r="K695">
        <v>4.07</v>
      </c>
      <c r="L695">
        <v>4.33</v>
      </c>
      <c r="M695">
        <v>4.91</v>
      </c>
      <c r="N695">
        <v>4.92</v>
      </c>
      <c r="O695">
        <v>5.3925000000000001</v>
      </c>
      <c r="P695">
        <v>4015</v>
      </c>
      <c r="Q695">
        <v>952.37</v>
      </c>
      <c r="R695">
        <v>3.5579999999999998</v>
      </c>
      <c r="S695">
        <v>18.741199999999999</v>
      </c>
    </row>
    <row r="696" spans="1:19" x14ac:dyDescent="0.25">
      <c r="A696" s="4">
        <v>45883</v>
      </c>
      <c r="B696">
        <v>4.4800000000000004</v>
      </c>
      <c r="C696">
        <v>4.3600000000000003</v>
      </c>
      <c r="D696">
        <v>4.3</v>
      </c>
      <c r="E696">
        <v>4.22</v>
      </c>
      <c r="F696">
        <v>4.12</v>
      </c>
      <c r="G696">
        <v>3.91</v>
      </c>
      <c r="H696">
        <v>3.74</v>
      </c>
      <c r="I696">
        <v>3.7</v>
      </c>
      <c r="J696">
        <v>3.82</v>
      </c>
      <c r="K696">
        <v>4.03</v>
      </c>
      <c r="L696">
        <v>4.29</v>
      </c>
      <c r="M696">
        <v>4.8600000000000003</v>
      </c>
      <c r="N696">
        <v>4.88</v>
      </c>
      <c r="O696">
        <v>5.4092000000000002</v>
      </c>
      <c r="P696">
        <v>4053.77</v>
      </c>
      <c r="Q696">
        <v>952.37</v>
      </c>
      <c r="R696">
        <v>3.5659999999999998</v>
      </c>
      <c r="S696">
        <v>18.815899999999999</v>
      </c>
    </row>
    <row r="697" spans="1:19" x14ac:dyDescent="0.25">
      <c r="A697" s="4">
        <v>45882</v>
      </c>
      <c r="B697">
        <v>4.4400000000000004</v>
      </c>
      <c r="C697">
        <v>4.32</v>
      </c>
      <c r="D697">
        <v>4.29</v>
      </c>
      <c r="E697">
        <v>4.21</v>
      </c>
      <c r="F697">
        <v>4.09</v>
      </c>
      <c r="G697">
        <v>3.86</v>
      </c>
      <c r="H697">
        <v>3.67</v>
      </c>
      <c r="I697">
        <v>3.64</v>
      </c>
      <c r="J697">
        <v>3.77</v>
      </c>
      <c r="K697">
        <v>3.98</v>
      </c>
      <c r="L697">
        <v>4.24</v>
      </c>
      <c r="M697">
        <v>4.8099999999999996</v>
      </c>
      <c r="N697">
        <v>4.83</v>
      </c>
      <c r="O697">
        <v>5.3925000000000001</v>
      </c>
      <c r="P697">
        <v>4028.01</v>
      </c>
      <c r="Q697">
        <v>962.28</v>
      </c>
      <c r="R697">
        <v>3.5390000000000001</v>
      </c>
      <c r="S697">
        <v>18.6402</v>
      </c>
    </row>
    <row r="698" spans="1:19" x14ac:dyDescent="0.25">
      <c r="A698" s="4">
        <v>45881</v>
      </c>
      <c r="B698">
        <v>4.4400000000000004</v>
      </c>
      <c r="C698">
        <v>4.3499999999999996</v>
      </c>
      <c r="D698">
        <v>4.33</v>
      </c>
      <c r="E698">
        <v>4.25</v>
      </c>
      <c r="F698">
        <v>4.12</v>
      </c>
      <c r="G698">
        <v>3.9</v>
      </c>
      <c r="H698">
        <v>3.72</v>
      </c>
      <c r="I698">
        <v>3.69</v>
      </c>
      <c r="J698">
        <v>3.83</v>
      </c>
      <c r="K698">
        <v>4.03</v>
      </c>
      <c r="L698">
        <v>4.29</v>
      </c>
      <c r="M698">
        <v>4.87</v>
      </c>
      <c r="N698">
        <v>4.88</v>
      </c>
      <c r="O698">
        <v>5.4048999999999996</v>
      </c>
      <c r="P698">
        <v>4016.7</v>
      </c>
      <c r="Q698">
        <v>969.77</v>
      </c>
      <c r="R698">
        <v>3.528</v>
      </c>
      <c r="S698">
        <v>18.580300000000001</v>
      </c>
    </row>
    <row r="699" spans="1:19" x14ac:dyDescent="0.25">
      <c r="A699" s="4">
        <v>45880</v>
      </c>
      <c r="B699">
        <v>4.46</v>
      </c>
      <c r="C699">
        <v>4.38</v>
      </c>
      <c r="D699">
        <v>4.34</v>
      </c>
      <c r="E699">
        <v>4.2699999999999996</v>
      </c>
      <c r="F699">
        <v>4.1500000000000004</v>
      </c>
      <c r="G699">
        <v>3.93</v>
      </c>
      <c r="H699">
        <v>3.76</v>
      </c>
      <c r="I699">
        <v>3.71</v>
      </c>
      <c r="J699">
        <v>3.83</v>
      </c>
      <c r="K699">
        <v>4.03</v>
      </c>
      <c r="L699">
        <v>4.2699999999999996</v>
      </c>
      <c r="M699">
        <v>4.83</v>
      </c>
      <c r="N699">
        <v>4.84</v>
      </c>
      <c r="O699">
        <v>5.4470000000000001</v>
      </c>
      <c r="P699">
        <v>4034</v>
      </c>
      <c r="Q699">
        <v>965.64</v>
      </c>
      <c r="R699">
        <v>3.532</v>
      </c>
      <c r="S699">
        <v>18.68</v>
      </c>
    </row>
    <row r="700" spans="1:19" x14ac:dyDescent="0.25">
      <c r="A700" s="4">
        <v>45877</v>
      </c>
      <c r="B700">
        <v>4.4800000000000004</v>
      </c>
      <c r="C700">
        <v>4.3899999999999997</v>
      </c>
      <c r="D700">
        <v>4.32</v>
      </c>
      <c r="E700">
        <v>4.2699999999999996</v>
      </c>
      <c r="F700">
        <v>4.1500000000000004</v>
      </c>
      <c r="G700">
        <v>3.93</v>
      </c>
      <c r="H700">
        <v>3.76</v>
      </c>
      <c r="I700">
        <v>3.7</v>
      </c>
      <c r="J700">
        <v>3.84</v>
      </c>
      <c r="K700">
        <v>4.03</v>
      </c>
      <c r="L700">
        <v>4.2699999999999996</v>
      </c>
      <c r="M700">
        <v>4.84</v>
      </c>
      <c r="N700">
        <v>4.8499999999999996</v>
      </c>
      <c r="O700">
        <v>5.4250999999999996</v>
      </c>
      <c r="P700">
        <v>4049</v>
      </c>
      <c r="Q700">
        <v>971.88</v>
      </c>
      <c r="R700">
        <v>3.5209999999999999</v>
      </c>
      <c r="S700">
        <v>18.601400000000002</v>
      </c>
    </row>
    <row r="701" spans="1:19" x14ac:dyDescent="0.25">
      <c r="A701" s="4">
        <v>45876</v>
      </c>
      <c r="B701">
        <v>4.49</v>
      </c>
      <c r="C701">
        <v>4.41</v>
      </c>
      <c r="D701">
        <v>4.32</v>
      </c>
      <c r="E701">
        <v>4.2699999999999996</v>
      </c>
      <c r="F701">
        <v>4.1500000000000004</v>
      </c>
      <c r="G701">
        <v>3.92</v>
      </c>
      <c r="H701">
        <v>3.72</v>
      </c>
      <c r="I701">
        <v>3.66</v>
      </c>
      <c r="J701">
        <v>3.79</v>
      </c>
      <c r="K701">
        <v>3.99</v>
      </c>
      <c r="L701">
        <v>4.2300000000000004</v>
      </c>
      <c r="M701">
        <v>4.8099999999999996</v>
      </c>
      <c r="N701">
        <v>4.8099999999999996</v>
      </c>
      <c r="O701">
        <v>5.4634999999999998</v>
      </c>
      <c r="P701">
        <v>4046.1</v>
      </c>
      <c r="Q701">
        <v>976.42</v>
      </c>
      <c r="R701">
        <v>3.5379999999999998</v>
      </c>
      <c r="S701">
        <v>18.636800000000001</v>
      </c>
    </row>
    <row r="702" spans="1:19" x14ac:dyDescent="0.25">
      <c r="A702" s="4">
        <v>45875</v>
      </c>
      <c r="B702">
        <v>4.4800000000000004</v>
      </c>
      <c r="C702">
        <v>4.4000000000000004</v>
      </c>
      <c r="D702">
        <v>4.32</v>
      </c>
      <c r="E702">
        <v>4.2699999999999996</v>
      </c>
      <c r="F702">
        <v>4.1500000000000004</v>
      </c>
      <c r="G702">
        <v>3.9</v>
      </c>
      <c r="H702">
        <v>3.69</v>
      </c>
      <c r="I702">
        <v>3.63</v>
      </c>
      <c r="J702">
        <v>3.77</v>
      </c>
      <c r="K702">
        <v>3.97</v>
      </c>
      <c r="L702">
        <v>4.22</v>
      </c>
      <c r="M702">
        <v>4.8</v>
      </c>
      <c r="N702">
        <v>4.8099999999999996</v>
      </c>
      <c r="O702">
        <v>5.4798999999999998</v>
      </c>
      <c r="P702">
        <v>4046.1</v>
      </c>
      <c r="Q702">
        <v>966.02</v>
      </c>
      <c r="R702">
        <v>3.5550000000000002</v>
      </c>
      <c r="S702">
        <v>18.6142</v>
      </c>
    </row>
    <row r="703" spans="1:19" x14ac:dyDescent="0.25">
      <c r="A703" s="4">
        <v>45874</v>
      </c>
      <c r="B703">
        <v>4.49</v>
      </c>
      <c r="C703">
        <v>4.41</v>
      </c>
      <c r="D703">
        <v>4.34</v>
      </c>
      <c r="E703">
        <v>4.29</v>
      </c>
      <c r="F703">
        <v>4.16</v>
      </c>
      <c r="G703">
        <v>3.92</v>
      </c>
      <c r="H703">
        <v>3.72</v>
      </c>
      <c r="I703">
        <v>3.63</v>
      </c>
      <c r="J703">
        <v>3.77</v>
      </c>
      <c r="K703">
        <v>3.97</v>
      </c>
      <c r="L703">
        <v>4.22</v>
      </c>
      <c r="M703">
        <v>4.7699999999999996</v>
      </c>
      <c r="N703">
        <v>4.78</v>
      </c>
      <c r="O703">
        <v>5.5115999999999996</v>
      </c>
      <c r="P703">
        <v>4090</v>
      </c>
      <c r="Q703">
        <v>964.28</v>
      </c>
      <c r="R703">
        <v>3.5550000000000002</v>
      </c>
      <c r="S703">
        <v>18.7378</v>
      </c>
    </row>
    <row r="704" spans="1:19" x14ac:dyDescent="0.25">
      <c r="A704" s="4">
        <v>45873</v>
      </c>
      <c r="B704">
        <v>4.4800000000000004</v>
      </c>
      <c r="C704">
        <v>4.43</v>
      </c>
      <c r="D704">
        <v>4.3499999999999996</v>
      </c>
      <c r="E704">
        <v>4.28</v>
      </c>
      <c r="F704">
        <v>4.1500000000000004</v>
      </c>
      <c r="G704">
        <v>3.82</v>
      </c>
      <c r="H704">
        <v>3.69</v>
      </c>
      <c r="I704">
        <v>3.66</v>
      </c>
      <c r="J704">
        <v>3.75</v>
      </c>
      <c r="K704">
        <v>3.95</v>
      </c>
      <c r="L704">
        <v>4.22</v>
      </c>
      <c r="M704">
        <v>4.78</v>
      </c>
      <c r="N704">
        <v>4.8</v>
      </c>
      <c r="O704">
        <v>5.5110000000000001</v>
      </c>
      <c r="P704">
        <v>4096.5</v>
      </c>
      <c r="Q704">
        <v>967.48</v>
      </c>
      <c r="R704">
        <v>3.5630000000000002</v>
      </c>
      <c r="S704">
        <v>18.9069</v>
      </c>
    </row>
    <row r="705" spans="1:19" x14ac:dyDescent="0.25">
      <c r="A705" s="4">
        <v>45870</v>
      </c>
      <c r="B705">
        <v>4.49</v>
      </c>
      <c r="C705">
        <v>4.4400000000000004</v>
      </c>
      <c r="D705">
        <v>4.3499999999999996</v>
      </c>
      <c r="E705">
        <v>4.3</v>
      </c>
      <c r="F705">
        <v>4.16</v>
      </c>
      <c r="G705">
        <v>3.87</v>
      </c>
      <c r="H705">
        <v>3.69</v>
      </c>
      <c r="I705">
        <v>3.67</v>
      </c>
      <c r="J705">
        <v>3.77</v>
      </c>
      <c r="K705">
        <v>3.97</v>
      </c>
      <c r="L705">
        <v>4.2300000000000004</v>
      </c>
      <c r="M705">
        <v>4.79</v>
      </c>
      <c r="N705">
        <v>4.8099999999999996</v>
      </c>
      <c r="O705">
        <v>5.5433000000000003</v>
      </c>
      <c r="P705">
        <v>4127</v>
      </c>
      <c r="Q705">
        <v>976.8</v>
      </c>
      <c r="R705">
        <v>3.581</v>
      </c>
      <c r="S705">
        <v>18.8886</v>
      </c>
    </row>
    <row r="706" spans="1:19" x14ac:dyDescent="0.25">
      <c r="A706" s="4">
        <v>45869</v>
      </c>
      <c r="B706">
        <v>4.49</v>
      </c>
      <c r="C706">
        <v>4.46</v>
      </c>
      <c r="D706">
        <v>4.41</v>
      </c>
      <c r="E706">
        <v>4.4000000000000004</v>
      </c>
      <c r="F706">
        <v>4.3099999999999996</v>
      </c>
      <c r="G706">
        <v>4.0999999999999996</v>
      </c>
      <c r="H706">
        <v>3.94</v>
      </c>
      <c r="I706">
        <v>3.89</v>
      </c>
      <c r="J706">
        <v>3.96</v>
      </c>
      <c r="K706">
        <v>4.1399999999999997</v>
      </c>
      <c r="L706">
        <v>4.37</v>
      </c>
      <c r="M706">
        <v>4.8899999999999997</v>
      </c>
      <c r="N706">
        <v>4.8899999999999997</v>
      </c>
      <c r="O706">
        <v>5.6017999999999999</v>
      </c>
      <c r="P706">
        <v>4181</v>
      </c>
      <c r="Q706">
        <v>978.07</v>
      </c>
      <c r="R706">
        <v>3.5910000000000002</v>
      </c>
      <c r="S706">
        <v>18.867999999999999</v>
      </c>
    </row>
    <row r="707" spans="1:19" x14ac:dyDescent="0.25">
      <c r="A707" s="4">
        <v>45868</v>
      </c>
      <c r="B707">
        <v>4.41</v>
      </c>
      <c r="C707">
        <v>4.45</v>
      </c>
      <c r="D707">
        <v>4.41</v>
      </c>
      <c r="E707">
        <v>4.3899999999999997</v>
      </c>
      <c r="F707">
        <v>4.3099999999999996</v>
      </c>
      <c r="G707">
        <v>4.12</v>
      </c>
      <c r="H707">
        <v>3.94</v>
      </c>
      <c r="I707">
        <v>3.89</v>
      </c>
      <c r="J707">
        <v>3.96</v>
      </c>
      <c r="K707">
        <v>4.1500000000000004</v>
      </c>
      <c r="L707">
        <v>4.38</v>
      </c>
      <c r="M707">
        <v>4.9000000000000004</v>
      </c>
      <c r="N707">
        <v>4.8899999999999997</v>
      </c>
      <c r="O707">
        <v>5.6031000000000004</v>
      </c>
      <c r="P707">
        <v>4183.8999999999996</v>
      </c>
      <c r="Q707">
        <v>970.09</v>
      </c>
      <c r="R707">
        <v>3.5680000000000001</v>
      </c>
      <c r="S707">
        <v>18.8567</v>
      </c>
    </row>
    <row r="708" spans="1:19" x14ac:dyDescent="0.25">
      <c r="A708" s="4">
        <v>45867</v>
      </c>
      <c r="B708">
        <v>4.4000000000000004</v>
      </c>
      <c r="C708">
        <v>4.45</v>
      </c>
      <c r="D708">
        <v>4.4000000000000004</v>
      </c>
      <c r="E708">
        <v>4.41</v>
      </c>
      <c r="F708">
        <v>4.28</v>
      </c>
      <c r="G708">
        <v>4.07</v>
      </c>
      <c r="H708">
        <v>3.86</v>
      </c>
      <c r="I708">
        <v>3.82</v>
      </c>
      <c r="J708">
        <v>3.9</v>
      </c>
      <c r="K708">
        <v>4.0999999999999996</v>
      </c>
      <c r="L708">
        <v>4.34</v>
      </c>
      <c r="M708">
        <v>4.8600000000000003</v>
      </c>
      <c r="N708">
        <v>4.8600000000000003</v>
      </c>
      <c r="O708">
        <v>5.5761000000000003</v>
      </c>
      <c r="P708">
        <v>4144</v>
      </c>
      <c r="Q708">
        <v>969.75</v>
      </c>
      <c r="R708">
        <v>3.544</v>
      </c>
      <c r="S708">
        <v>18.750900000000001</v>
      </c>
    </row>
    <row r="709" spans="1:19" x14ac:dyDescent="0.25">
      <c r="A709" s="4">
        <v>45866</v>
      </c>
      <c r="B709">
        <v>4.4000000000000004</v>
      </c>
      <c r="C709">
        <v>4.45</v>
      </c>
      <c r="D709">
        <v>4.4000000000000004</v>
      </c>
      <c r="E709">
        <v>4.42</v>
      </c>
      <c r="F709">
        <v>4.3</v>
      </c>
      <c r="G709">
        <v>4.09</v>
      </c>
      <c r="H709">
        <v>3.91</v>
      </c>
      <c r="I709">
        <v>3.87</v>
      </c>
      <c r="J709">
        <v>3.96</v>
      </c>
      <c r="K709">
        <v>4.18</v>
      </c>
      <c r="L709">
        <v>4.42</v>
      </c>
      <c r="M709">
        <v>4.95</v>
      </c>
      <c r="N709">
        <v>4.96</v>
      </c>
      <c r="O709">
        <v>5.5873999999999997</v>
      </c>
      <c r="P709">
        <v>4165</v>
      </c>
      <c r="Q709">
        <v>957.82</v>
      </c>
      <c r="R709">
        <v>3.544</v>
      </c>
      <c r="S709">
        <v>18.763400000000001</v>
      </c>
    </row>
    <row r="710" spans="1:19" x14ac:dyDescent="0.25">
      <c r="A710" s="4">
        <v>45863</v>
      </c>
      <c r="B710">
        <v>4.37</v>
      </c>
      <c r="C710">
        <v>4.46</v>
      </c>
      <c r="D710">
        <v>4.42</v>
      </c>
      <c r="E710">
        <v>4.42</v>
      </c>
      <c r="F710">
        <v>4.3099999999999996</v>
      </c>
      <c r="G710">
        <v>4.09</v>
      </c>
      <c r="H710">
        <v>3.91</v>
      </c>
      <c r="I710">
        <v>3.86</v>
      </c>
      <c r="J710">
        <v>3.95</v>
      </c>
      <c r="K710">
        <v>4.1500000000000004</v>
      </c>
      <c r="L710">
        <v>4.4000000000000004</v>
      </c>
      <c r="M710">
        <v>4.92</v>
      </c>
      <c r="N710">
        <v>4.92</v>
      </c>
      <c r="O710">
        <v>5.5423</v>
      </c>
      <c r="P710">
        <v>4141</v>
      </c>
      <c r="Q710">
        <v>951.27</v>
      </c>
      <c r="R710">
        <v>3.544</v>
      </c>
      <c r="S710">
        <v>18.546900000000001</v>
      </c>
    </row>
    <row r="711" spans="1:19" x14ac:dyDescent="0.25">
      <c r="A711" s="4">
        <v>45862</v>
      </c>
      <c r="B711">
        <v>4.37</v>
      </c>
      <c r="C711">
        <v>4.46</v>
      </c>
      <c r="D711">
        <v>4.42</v>
      </c>
      <c r="E711">
        <v>4.42</v>
      </c>
      <c r="F711">
        <v>4.32</v>
      </c>
      <c r="G711">
        <v>4.0999999999999996</v>
      </c>
      <c r="H711">
        <v>3.91</v>
      </c>
      <c r="I711">
        <v>3.87</v>
      </c>
      <c r="J711">
        <v>3.98</v>
      </c>
      <c r="K711">
        <v>4.18</v>
      </c>
      <c r="L711">
        <v>4.43</v>
      </c>
      <c r="M711">
        <v>4.95</v>
      </c>
      <c r="N711">
        <v>4.96</v>
      </c>
      <c r="O711">
        <v>5.5236000000000001</v>
      </c>
      <c r="P711">
        <v>4073.99</v>
      </c>
      <c r="Q711">
        <v>948.93</v>
      </c>
      <c r="R711">
        <v>3.5409999999999999</v>
      </c>
      <c r="S711">
        <v>18.5548</v>
      </c>
    </row>
    <row r="712" spans="1:19" x14ac:dyDescent="0.25">
      <c r="A712" s="4">
        <v>45861</v>
      </c>
      <c r="B712">
        <v>4.37</v>
      </c>
      <c r="C712">
        <v>4.45</v>
      </c>
      <c r="D712">
        <v>4.41</v>
      </c>
      <c r="E712">
        <v>4.42</v>
      </c>
      <c r="F712">
        <v>4.3099999999999996</v>
      </c>
      <c r="G712">
        <v>4.08</v>
      </c>
      <c r="H712">
        <v>3.88</v>
      </c>
      <c r="I712">
        <v>3.84</v>
      </c>
      <c r="J712">
        <v>3.94</v>
      </c>
      <c r="K712">
        <v>4.1500000000000004</v>
      </c>
      <c r="L712">
        <v>4.4000000000000004</v>
      </c>
      <c r="M712">
        <v>4.93</v>
      </c>
      <c r="N712">
        <v>4.95</v>
      </c>
      <c r="O712">
        <v>5.5533999999999999</v>
      </c>
      <c r="P712">
        <v>4045.03</v>
      </c>
      <c r="Q712">
        <v>953.4</v>
      </c>
      <c r="R712">
        <v>3.5539999999999998</v>
      </c>
      <c r="S712">
        <v>18.532900000000001</v>
      </c>
    </row>
    <row r="713" spans="1:19" x14ac:dyDescent="0.25">
      <c r="A713" s="4">
        <v>45860</v>
      </c>
      <c r="B713">
        <v>4.37</v>
      </c>
      <c r="C713">
        <v>4.45</v>
      </c>
      <c r="D713">
        <v>4.41</v>
      </c>
      <c r="E713">
        <v>4.42</v>
      </c>
      <c r="F713">
        <v>4.3</v>
      </c>
      <c r="G713">
        <v>4.05</v>
      </c>
      <c r="H713">
        <v>3.83</v>
      </c>
      <c r="I713">
        <v>3.77</v>
      </c>
      <c r="J713">
        <v>3.88</v>
      </c>
      <c r="K713">
        <v>4.09</v>
      </c>
      <c r="L713">
        <v>4.3499999999999996</v>
      </c>
      <c r="M713">
        <v>4.9000000000000004</v>
      </c>
      <c r="N713">
        <v>4.9000000000000004</v>
      </c>
      <c r="O713">
        <v>5.5705999999999998</v>
      </c>
      <c r="P713">
        <v>4075</v>
      </c>
      <c r="Q713">
        <v>956.65</v>
      </c>
      <c r="R713">
        <v>3.5539999999999998</v>
      </c>
      <c r="S713">
        <v>18.638300000000001</v>
      </c>
    </row>
    <row r="714" spans="1:19" x14ac:dyDescent="0.25">
      <c r="A714" s="4">
        <v>45859</v>
      </c>
      <c r="B714">
        <v>4.3499999999999996</v>
      </c>
      <c r="C714">
        <v>4.46</v>
      </c>
      <c r="D714">
        <v>4.41</v>
      </c>
      <c r="E714">
        <v>4.42</v>
      </c>
      <c r="F714">
        <v>4.3</v>
      </c>
      <c r="G714">
        <v>4.0599999999999996</v>
      </c>
      <c r="H714">
        <v>3.85</v>
      </c>
      <c r="I714">
        <v>3.81</v>
      </c>
      <c r="J714">
        <v>3.91</v>
      </c>
      <c r="K714">
        <v>4.13</v>
      </c>
      <c r="L714">
        <v>4.38</v>
      </c>
      <c r="M714">
        <v>4.93</v>
      </c>
      <c r="N714">
        <v>4.9400000000000004</v>
      </c>
      <c r="O714">
        <v>5.5621999999999998</v>
      </c>
      <c r="P714">
        <v>4044.6</v>
      </c>
      <c r="Q714">
        <v>961.55</v>
      </c>
      <c r="R714">
        <v>3.5590000000000002</v>
      </c>
      <c r="S714">
        <v>18.6617</v>
      </c>
    </row>
    <row r="715" spans="1:19" x14ac:dyDescent="0.25">
      <c r="A715" s="4">
        <v>45856</v>
      </c>
      <c r="B715">
        <v>4.3499999999999996</v>
      </c>
      <c r="C715">
        <v>4.46</v>
      </c>
      <c r="D715">
        <v>4.4000000000000004</v>
      </c>
      <c r="E715">
        <v>4.42</v>
      </c>
      <c r="F715">
        <v>4.3</v>
      </c>
      <c r="G715">
        <v>4.08</v>
      </c>
      <c r="H715">
        <v>3.88</v>
      </c>
      <c r="I715">
        <v>3.84</v>
      </c>
      <c r="J715">
        <v>3.96</v>
      </c>
      <c r="K715">
        <v>4.18</v>
      </c>
      <c r="L715">
        <v>4.4400000000000004</v>
      </c>
      <c r="M715">
        <v>4.99</v>
      </c>
      <c r="N715">
        <v>5</v>
      </c>
      <c r="O715">
        <v>5.5462999999999996</v>
      </c>
      <c r="P715">
        <v>4016.95</v>
      </c>
      <c r="Q715">
        <v>966.78</v>
      </c>
      <c r="R715">
        <v>3.5649999999999999</v>
      </c>
      <c r="S715">
        <v>18.731200000000001</v>
      </c>
    </row>
    <row r="716" spans="1:19" x14ac:dyDescent="0.25">
      <c r="A716" s="4">
        <v>45855</v>
      </c>
      <c r="B716">
        <v>4.3600000000000003</v>
      </c>
      <c r="C716">
        <v>4.47</v>
      </c>
      <c r="D716">
        <v>4.41</v>
      </c>
      <c r="E716">
        <v>4.42</v>
      </c>
      <c r="F716">
        <v>4.3099999999999996</v>
      </c>
      <c r="G716">
        <v>4.0999999999999996</v>
      </c>
      <c r="H716">
        <v>3.91</v>
      </c>
      <c r="I716">
        <v>3.89</v>
      </c>
      <c r="J716">
        <v>4.01</v>
      </c>
      <c r="K716">
        <v>4.22</v>
      </c>
      <c r="L716">
        <v>4.47</v>
      </c>
      <c r="M716">
        <v>5.01</v>
      </c>
      <c r="N716">
        <v>5.01</v>
      </c>
      <c r="O716">
        <v>5.5734000000000004</v>
      </c>
      <c r="P716">
        <v>4017.5</v>
      </c>
      <c r="Q716">
        <v>965.65</v>
      </c>
      <c r="R716">
        <v>3.5579999999999998</v>
      </c>
      <c r="S716">
        <v>18.756900000000002</v>
      </c>
    </row>
    <row r="717" spans="1:19" x14ac:dyDescent="0.25">
      <c r="A717" s="4">
        <v>45854</v>
      </c>
      <c r="B717">
        <v>4.3600000000000003</v>
      </c>
      <c r="C717">
        <v>4.45</v>
      </c>
      <c r="D717">
        <v>4.41</v>
      </c>
      <c r="E717">
        <v>4.42</v>
      </c>
      <c r="F717">
        <v>4.3099999999999996</v>
      </c>
      <c r="G717">
        <v>4.08</v>
      </c>
      <c r="H717">
        <v>3.88</v>
      </c>
      <c r="I717">
        <v>3.86</v>
      </c>
      <c r="J717">
        <v>3.99</v>
      </c>
      <c r="K717">
        <v>4.21</v>
      </c>
      <c r="L717">
        <v>4.46</v>
      </c>
      <c r="M717">
        <v>5.01</v>
      </c>
      <c r="N717">
        <v>5.01</v>
      </c>
      <c r="O717">
        <v>5.5719000000000003</v>
      </c>
      <c r="P717">
        <v>4014</v>
      </c>
      <c r="Q717">
        <v>967.22</v>
      </c>
      <c r="R717">
        <v>3.548</v>
      </c>
      <c r="S717">
        <v>18.727399999999999</v>
      </c>
    </row>
    <row r="718" spans="1:19" x14ac:dyDescent="0.25">
      <c r="A718" s="4">
        <v>45853</v>
      </c>
      <c r="B718">
        <v>4.3600000000000003</v>
      </c>
      <c r="C718">
        <v>4.46</v>
      </c>
      <c r="D718">
        <v>4.42</v>
      </c>
      <c r="E718">
        <v>4.43</v>
      </c>
      <c r="F718">
        <v>4.33</v>
      </c>
      <c r="G718">
        <v>4.12</v>
      </c>
      <c r="H718">
        <v>3.95</v>
      </c>
      <c r="I718">
        <v>3.93</v>
      </c>
      <c r="J718">
        <v>4.05</v>
      </c>
      <c r="K718">
        <v>4.26</v>
      </c>
      <c r="L718">
        <v>4.5</v>
      </c>
      <c r="M718">
        <v>5.0199999999999996</v>
      </c>
      <c r="N718">
        <v>5.01</v>
      </c>
      <c r="O718">
        <v>5.5572499999999998</v>
      </c>
      <c r="P718">
        <v>4028</v>
      </c>
      <c r="Q718">
        <v>967.22</v>
      </c>
      <c r="R718">
        <v>3.5590000000000002</v>
      </c>
      <c r="S718">
        <v>18.8188</v>
      </c>
    </row>
    <row r="719" spans="1:19" x14ac:dyDescent="0.25">
      <c r="A719" s="4">
        <v>45852</v>
      </c>
      <c r="B719">
        <v>4.37</v>
      </c>
      <c r="C719">
        <v>4.46</v>
      </c>
      <c r="D719">
        <v>4.42</v>
      </c>
      <c r="E719">
        <v>4.42</v>
      </c>
      <c r="F719">
        <v>4.3099999999999996</v>
      </c>
      <c r="G719">
        <v>4.08</v>
      </c>
      <c r="H719">
        <v>3.9</v>
      </c>
      <c r="I719">
        <v>3.86</v>
      </c>
      <c r="J719">
        <v>3.98</v>
      </c>
      <c r="K719">
        <v>4.1900000000000004</v>
      </c>
      <c r="L719">
        <v>4.43</v>
      </c>
      <c r="M719">
        <v>4.97</v>
      </c>
      <c r="N719">
        <v>4.97</v>
      </c>
      <c r="O719">
        <v>5.5591999999999997</v>
      </c>
      <c r="P719">
        <v>3999.85</v>
      </c>
      <c r="Q719">
        <v>955.73</v>
      </c>
      <c r="R719">
        <v>3.5659999999999998</v>
      </c>
      <c r="S719">
        <v>18.729299999999999</v>
      </c>
    </row>
    <row r="720" spans="1:19" x14ac:dyDescent="0.25">
      <c r="A720" s="4">
        <v>45849</v>
      </c>
      <c r="B720">
        <v>4.37</v>
      </c>
      <c r="C720">
        <v>4.47</v>
      </c>
      <c r="D720">
        <v>4.41</v>
      </c>
      <c r="E720">
        <v>4.42</v>
      </c>
      <c r="F720">
        <v>4.3099999999999996</v>
      </c>
      <c r="G720">
        <v>4.09</v>
      </c>
      <c r="H720">
        <v>3.9</v>
      </c>
      <c r="I720">
        <v>3.86</v>
      </c>
      <c r="J720">
        <v>3.99</v>
      </c>
      <c r="K720">
        <v>4.1900000000000004</v>
      </c>
      <c r="L720">
        <v>4.43</v>
      </c>
      <c r="M720">
        <v>4.96</v>
      </c>
      <c r="N720">
        <v>4.96</v>
      </c>
      <c r="O720">
        <v>5.5719000000000003</v>
      </c>
      <c r="P720">
        <v>3996.25</v>
      </c>
      <c r="Q720">
        <v>950.43</v>
      </c>
      <c r="R720">
        <v>3.5539999999999998</v>
      </c>
      <c r="S720">
        <v>18.644400000000001</v>
      </c>
    </row>
    <row r="721" spans="1:19" x14ac:dyDescent="0.25">
      <c r="A721" s="4">
        <v>45848</v>
      </c>
      <c r="B721">
        <v>4.3600000000000003</v>
      </c>
      <c r="C721">
        <v>4.47</v>
      </c>
      <c r="D721">
        <v>4.42</v>
      </c>
      <c r="E721">
        <v>4.42</v>
      </c>
      <c r="F721">
        <v>4.3099999999999996</v>
      </c>
      <c r="G721">
        <v>4.07</v>
      </c>
      <c r="H721">
        <v>3.86</v>
      </c>
      <c r="I721">
        <v>3.82</v>
      </c>
      <c r="J721">
        <v>3.93</v>
      </c>
      <c r="K721">
        <v>4.12</v>
      </c>
      <c r="L721">
        <v>4.3499999999999996</v>
      </c>
      <c r="M721">
        <v>4.87</v>
      </c>
      <c r="N721">
        <v>4.8600000000000003</v>
      </c>
      <c r="O721">
        <v>5.5430000000000001</v>
      </c>
      <c r="P721">
        <v>4011.6</v>
      </c>
      <c r="Q721">
        <v>948.33</v>
      </c>
      <c r="R721">
        <v>3.5449999999999999</v>
      </c>
      <c r="S721">
        <v>18.616900000000001</v>
      </c>
    </row>
    <row r="722" spans="1:19" x14ac:dyDescent="0.25">
      <c r="A722" s="4">
        <v>45847</v>
      </c>
      <c r="B722">
        <v>4.3600000000000003</v>
      </c>
      <c r="C722">
        <v>4.45</v>
      </c>
      <c r="D722">
        <v>4.42</v>
      </c>
      <c r="E722">
        <v>4.42</v>
      </c>
      <c r="F722">
        <v>4.3099999999999996</v>
      </c>
      <c r="G722">
        <v>4.07</v>
      </c>
      <c r="H722">
        <v>3.86</v>
      </c>
      <c r="I722">
        <v>3.8</v>
      </c>
      <c r="J722">
        <v>3.92</v>
      </c>
      <c r="K722">
        <v>4.1100000000000003</v>
      </c>
      <c r="L722">
        <v>4.34</v>
      </c>
      <c r="M722">
        <v>4.87</v>
      </c>
      <c r="N722">
        <v>4.87</v>
      </c>
      <c r="O722">
        <v>5.4622999999999999</v>
      </c>
      <c r="P722">
        <v>4008</v>
      </c>
      <c r="Q722">
        <v>945.39</v>
      </c>
      <c r="R722">
        <v>3.5489999999999999</v>
      </c>
      <c r="S722">
        <v>18.628399999999999</v>
      </c>
    </row>
    <row r="723" spans="1:19" x14ac:dyDescent="0.25">
      <c r="A723" s="4">
        <v>45846</v>
      </c>
      <c r="B723">
        <v>4.3600000000000003</v>
      </c>
      <c r="C723">
        <v>4.46</v>
      </c>
      <c r="D723">
        <v>4.42</v>
      </c>
      <c r="E723">
        <v>4.42</v>
      </c>
      <c r="F723">
        <v>4.34</v>
      </c>
      <c r="G723">
        <v>4.1100000000000003</v>
      </c>
      <c r="H723">
        <v>3.9</v>
      </c>
      <c r="I723">
        <v>3.86</v>
      </c>
      <c r="J723">
        <v>3.99</v>
      </c>
      <c r="K723">
        <v>4.18</v>
      </c>
      <c r="L723">
        <v>4.42</v>
      </c>
      <c r="M723">
        <v>4.95</v>
      </c>
      <c r="N723">
        <v>4.9400000000000004</v>
      </c>
      <c r="O723">
        <v>5.4568000000000003</v>
      </c>
      <c r="P723">
        <v>4049.9</v>
      </c>
      <c r="Q723">
        <v>940.28</v>
      </c>
      <c r="R723">
        <v>3.5449999999999999</v>
      </c>
      <c r="S723">
        <v>18.5943</v>
      </c>
    </row>
    <row r="724" spans="1:19" x14ac:dyDescent="0.25">
      <c r="A724" s="4">
        <v>45845</v>
      </c>
      <c r="B724">
        <v>4.37</v>
      </c>
      <c r="C724">
        <v>4.45</v>
      </c>
      <c r="D724">
        <v>4.42</v>
      </c>
      <c r="E724">
        <v>4.41</v>
      </c>
      <c r="F724">
        <v>4.33</v>
      </c>
      <c r="G724">
        <v>4.08</v>
      </c>
      <c r="H724">
        <v>3.9</v>
      </c>
      <c r="I724">
        <v>3.85</v>
      </c>
      <c r="J724">
        <v>3.96</v>
      </c>
      <c r="K724">
        <v>4.16</v>
      </c>
      <c r="L724">
        <v>4.4000000000000004</v>
      </c>
      <c r="M724">
        <v>4.93</v>
      </c>
      <c r="N724">
        <v>4.92</v>
      </c>
      <c r="O724">
        <v>5.4549000000000003</v>
      </c>
      <c r="P724">
        <v>4042</v>
      </c>
      <c r="Q724">
        <v>932.34</v>
      </c>
      <c r="R724">
        <v>3.5630000000000002</v>
      </c>
      <c r="S724">
        <v>18.6435</v>
      </c>
    </row>
    <row r="725" spans="1:19" x14ac:dyDescent="0.25">
      <c r="A725" s="4">
        <v>45841</v>
      </c>
      <c r="B725">
        <v>4.3499999999999996</v>
      </c>
      <c r="C725">
        <v>4.5</v>
      </c>
      <c r="D725">
        <v>4.42</v>
      </c>
      <c r="E725">
        <v>4.41</v>
      </c>
      <c r="F725">
        <v>4.34</v>
      </c>
      <c r="G725">
        <v>4.07</v>
      </c>
      <c r="H725">
        <v>3.88</v>
      </c>
      <c r="I725">
        <v>3.84</v>
      </c>
      <c r="J725">
        <v>3.94</v>
      </c>
      <c r="K725">
        <v>4.12</v>
      </c>
      <c r="L725">
        <v>4.3499999999999996</v>
      </c>
      <c r="M725">
        <v>4.87</v>
      </c>
      <c r="N725">
        <v>4.8600000000000003</v>
      </c>
      <c r="O725">
        <v>5.4204999999999997</v>
      </c>
      <c r="P725">
        <v>3987</v>
      </c>
      <c r="Q725">
        <v>926.51</v>
      </c>
      <c r="R725">
        <v>3.544</v>
      </c>
      <c r="S725">
        <v>18.6629</v>
      </c>
    </row>
    <row r="726" spans="1:19" x14ac:dyDescent="0.25">
      <c r="A726" s="4">
        <v>45840</v>
      </c>
      <c r="B726">
        <v>4.33</v>
      </c>
      <c r="C726">
        <v>4.43</v>
      </c>
      <c r="D726">
        <v>4.41</v>
      </c>
      <c r="E726">
        <v>4.37</v>
      </c>
      <c r="F726">
        <v>4.28</v>
      </c>
      <c r="G726">
        <v>3.99</v>
      </c>
      <c r="H726">
        <v>3.78</v>
      </c>
      <c r="I726">
        <v>3.77</v>
      </c>
      <c r="J726">
        <v>3.87</v>
      </c>
      <c r="K726">
        <v>4.0599999999999996</v>
      </c>
      <c r="L726">
        <v>4.3</v>
      </c>
      <c r="M726">
        <v>4.84</v>
      </c>
      <c r="N726">
        <v>4.82</v>
      </c>
      <c r="O726">
        <v>5.4508999999999999</v>
      </c>
      <c r="P726">
        <v>3992.3</v>
      </c>
      <c r="Q726">
        <v>926.62</v>
      </c>
      <c r="R726">
        <v>3.5489999999999999</v>
      </c>
      <c r="S726">
        <v>18.7681</v>
      </c>
    </row>
    <row r="727" spans="1:19" x14ac:dyDescent="0.25">
      <c r="A727" s="4">
        <v>45839</v>
      </c>
      <c r="B727">
        <v>4.32</v>
      </c>
      <c r="C727">
        <v>4.42</v>
      </c>
      <c r="D727">
        <v>4.4000000000000004</v>
      </c>
      <c r="E727">
        <v>4.3499999999999996</v>
      </c>
      <c r="F727">
        <v>4.29</v>
      </c>
      <c r="G727">
        <v>3.98</v>
      </c>
      <c r="H727">
        <v>3.78</v>
      </c>
      <c r="I727">
        <v>3.75</v>
      </c>
      <c r="J727">
        <v>3.84</v>
      </c>
      <c r="K727">
        <v>4.03</v>
      </c>
      <c r="L727">
        <v>4.26</v>
      </c>
      <c r="M727">
        <v>4.79</v>
      </c>
      <c r="N727">
        <v>4.78</v>
      </c>
      <c r="O727">
        <v>5.4508000000000001</v>
      </c>
      <c r="P727">
        <v>4026.2</v>
      </c>
      <c r="Q727">
        <v>933.42</v>
      </c>
      <c r="R727">
        <v>3.56</v>
      </c>
      <c r="S727">
        <v>18.730699999999999</v>
      </c>
    </row>
    <row r="728" spans="1:19" x14ac:dyDescent="0.25">
      <c r="A728" s="4">
        <v>45838</v>
      </c>
      <c r="B728">
        <v>4.28</v>
      </c>
      <c r="C728">
        <v>4.45</v>
      </c>
      <c r="D728">
        <v>4.41</v>
      </c>
      <c r="E728">
        <v>4.3600000000000003</v>
      </c>
      <c r="F728">
        <v>4.29</v>
      </c>
      <c r="G728">
        <v>3.96</v>
      </c>
      <c r="H728">
        <v>3.72</v>
      </c>
      <c r="I728">
        <v>3.68</v>
      </c>
      <c r="J728">
        <v>3.79</v>
      </c>
      <c r="K728">
        <v>3.98</v>
      </c>
      <c r="L728">
        <v>4.24</v>
      </c>
      <c r="M728">
        <v>4.79</v>
      </c>
      <c r="N728">
        <v>4.78</v>
      </c>
      <c r="O728">
        <v>5.4568000000000003</v>
      </c>
      <c r="P728">
        <v>4102</v>
      </c>
      <c r="Q728">
        <v>935.74</v>
      </c>
      <c r="R728">
        <v>3.5409999999999999</v>
      </c>
      <c r="S728">
        <v>18.7654</v>
      </c>
    </row>
    <row r="729" spans="1:19" x14ac:dyDescent="0.25">
      <c r="A729" s="4">
        <v>45835</v>
      </c>
      <c r="B729">
        <v>4.1900000000000004</v>
      </c>
      <c r="C729">
        <v>4.49</v>
      </c>
      <c r="D729">
        <v>4.3899999999999997</v>
      </c>
      <c r="E729">
        <v>4.3600000000000003</v>
      </c>
      <c r="F729">
        <v>4.26</v>
      </c>
      <c r="G729">
        <v>3.97</v>
      </c>
      <c r="H729">
        <v>3.73</v>
      </c>
      <c r="I729">
        <v>3.72</v>
      </c>
      <c r="J729">
        <v>3.83</v>
      </c>
      <c r="K729">
        <v>4.03</v>
      </c>
      <c r="L729">
        <v>4.29</v>
      </c>
      <c r="M729">
        <v>4.8499999999999996</v>
      </c>
      <c r="N729">
        <v>4.8499999999999996</v>
      </c>
      <c r="O729">
        <v>5.4756</v>
      </c>
      <c r="P729">
        <v>4102</v>
      </c>
      <c r="Q729">
        <v>930.67</v>
      </c>
      <c r="R729">
        <v>3.5489999999999999</v>
      </c>
      <c r="S729">
        <v>18.852900000000002</v>
      </c>
    </row>
    <row r="730" spans="1:19" x14ac:dyDescent="0.25">
      <c r="A730" s="4">
        <v>45834</v>
      </c>
      <c r="B730">
        <v>4.1100000000000003</v>
      </c>
      <c r="C730">
        <v>4.49</v>
      </c>
      <c r="D730">
        <v>4.3899999999999997</v>
      </c>
      <c r="E730">
        <v>4.3600000000000003</v>
      </c>
      <c r="F730">
        <v>4.26</v>
      </c>
      <c r="G730">
        <v>3.96</v>
      </c>
      <c r="H730">
        <v>3.7</v>
      </c>
      <c r="I730">
        <v>3.68</v>
      </c>
      <c r="J730">
        <v>3.79</v>
      </c>
      <c r="K730">
        <v>4</v>
      </c>
      <c r="L730">
        <v>4.26</v>
      </c>
      <c r="M730">
        <v>4.8099999999999996</v>
      </c>
      <c r="N730">
        <v>4.8099999999999996</v>
      </c>
      <c r="O730">
        <v>5.5141999999999998</v>
      </c>
      <c r="P730">
        <v>4040</v>
      </c>
      <c r="Q730">
        <v>936.29</v>
      </c>
      <c r="R730">
        <v>3.548</v>
      </c>
      <c r="S730">
        <v>18.862300000000001</v>
      </c>
    </row>
    <row r="731" spans="1:19" x14ac:dyDescent="0.25">
      <c r="A731" s="4">
        <v>45833</v>
      </c>
      <c r="B731">
        <v>4.21</v>
      </c>
      <c r="C731">
        <v>4.43</v>
      </c>
      <c r="D731">
        <v>4.38</v>
      </c>
      <c r="E731">
        <v>4.3600000000000003</v>
      </c>
      <c r="F731">
        <v>4.26</v>
      </c>
      <c r="G731">
        <v>3.99</v>
      </c>
      <c r="H731">
        <v>3.74</v>
      </c>
      <c r="I731">
        <v>3.74</v>
      </c>
      <c r="J731">
        <v>3.83</v>
      </c>
      <c r="K731">
        <v>4.05</v>
      </c>
      <c r="L731">
        <v>4.29</v>
      </c>
      <c r="M731">
        <v>4.83</v>
      </c>
      <c r="N731">
        <v>4.83</v>
      </c>
      <c r="O731">
        <v>5.5423999999999998</v>
      </c>
      <c r="P731">
        <v>4059.99</v>
      </c>
      <c r="Q731">
        <v>937.89</v>
      </c>
      <c r="R731">
        <v>3.5710000000000002</v>
      </c>
      <c r="S731">
        <v>18.924399999999999</v>
      </c>
    </row>
    <row r="732" spans="1:19" x14ac:dyDescent="0.25">
      <c r="A732" s="4">
        <v>45832</v>
      </c>
      <c r="B732">
        <v>4.21</v>
      </c>
      <c r="C732">
        <v>4.4400000000000004</v>
      </c>
      <c r="D732">
        <v>4.38</v>
      </c>
      <c r="E732">
        <v>4.37</v>
      </c>
      <c r="F732">
        <v>4.2699999999999996</v>
      </c>
      <c r="G732">
        <v>3.99</v>
      </c>
      <c r="H732">
        <v>3.75</v>
      </c>
      <c r="I732">
        <v>3.75</v>
      </c>
      <c r="J732">
        <v>3.86</v>
      </c>
      <c r="K732">
        <v>4.0599999999999996</v>
      </c>
      <c r="L732">
        <v>4.3</v>
      </c>
      <c r="M732">
        <v>4.83</v>
      </c>
      <c r="N732">
        <v>4.83</v>
      </c>
      <c r="O732">
        <v>5.4935</v>
      </c>
      <c r="P732">
        <v>4078.5</v>
      </c>
      <c r="Q732">
        <v>950.16</v>
      </c>
      <c r="R732">
        <v>3.5779999999999998</v>
      </c>
      <c r="S732">
        <v>18.992999999999999</v>
      </c>
    </row>
    <row r="733" spans="1:19" x14ac:dyDescent="0.25">
      <c r="A733" s="4">
        <v>45831</v>
      </c>
      <c r="B733">
        <v>4.2</v>
      </c>
      <c r="C733">
        <v>4.5199999999999996</v>
      </c>
      <c r="D733">
        <v>4.38</v>
      </c>
      <c r="E733">
        <v>4.37</v>
      </c>
      <c r="F733">
        <v>4.28</v>
      </c>
      <c r="G733">
        <v>4</v>
      </c>
      <c r="H733">
        <v>3.84</v>
      </c>
      <c r="I733">
        <v>3.8</v>
      </c>
      <c r="J733">
        <v>3.91</v>
      </c>
      <c r="K733">
        <v>4.0999999999999996</v>
      </c>
      <c r="L733">
        <v>4.34</v>
      </c>
      <c r="M733">
        <v>4.87</v>
      </c>
      <c r="N733">
        <v>4.87</v>
      </c>
      <c r="O733">
        <v>5.5209999999999999</v>
      </c>
      <c r="P733">
        <v>4094</v>
      </c>
      <c r="Q733">
        <v>947.03</v>
      </c>
      <c r="R733">
        <v>3.59</v>
      </c>
      <c r="S733">
        <v>19.145299999999999</v>
      </c>
    </row>
    <row r="734" spans="1:19" x14ac:dyDescent="0.25">
      <c r="A734" s="4">
        <v>45828</v>
      </c>
      <c r="B734">
        <v>4.2</v>
      </c>
      <c r="C734">
        <v>4.55</v>
      </c>
      <c r="D734">
        <v>4.3899999999999997</v>
      </c>
      <c r="E734">
        <v>4.4000000000000004</v>
      </c>
      <c r="F734">
        <v>4.29</v>
      </c>
      <c r="G734">
        <v>4.07</v>
      </c>
      <c r="H734">
        <v>3.9</v>
      </c>
      <c r="I734">
        <v>3.86</v>
      </c>
      <c r="J734">
        <v>3.96</v>
      </c>
      <c r="K734">
        <v>4.16</v>
      </c>
      <c r="L734">
        <v>4.38</v>
      </c>
      <c r="M734">
        <v>4.9000000000000004</v>
      </c>
      <c r="N734">
        <v>4.8899999999999997</v>
      </c>
      <c r="O734">
        <v>5.4954000000000001</v>
      </c>
      <c r="P734">
        <v>4094</v>
      </c>
      <c r="Q734">
        <v>943.36</v>
      </c>
      <c r="R734">
        <v>3.6</v>
      </c>
      <c r="S734">
        <v>19.168299999999999</v>
      </c>
    </row>
    <row r="735" spans="1:19" x14ac:dyDescent="0.25">
      <c r="A735" s="4">
        <v>45826</v>
      </c>
      <c r="B735">
        <v>4.2</v>
      </c>
      <c r="C735">
        <v>4.58</v>
      </c>
      <c r="D735">
        <v>4.42</v>
      </c>
      <c r="E735">
        <v>4.41</v>
      </c>
      <c r="F735">
        <v>4.33</v>
      </c>
      <c r="G735">
        <v>4.0999999999999996</v>
      </c>
      <c r="H735">
        <v>3.94</v>
      </c>
      <c r="I735">
        <v>3.89</v>
      </c>
      <c r="J735">
        <v>3.98</v>
      </c>
      <c r="K735">
        <v>4.17</v>
      </c>
      <c r="L735">
        <v>4.38</v>
      </c>
      <c r="M735">
        <v>4.8899999999999997</v>
      </c>
      <c r="N735">
        <v>4.88</v>
      </c>
      <c r="O735">
        <v>5.4875999999999996</v>
      </c>
      <c r="P735">
        <v>4068.5</v>
      </c>
      <c r="Q735">
        <v>939.29</v>
      </c>
      <c r="R735">
        <v>3.5779999999999998</v>
      </c>
      <c r="S735">
        <v>19.035499999999999</v>
      </c>
    </row>
    <row r="736" spans="1:19" x14ac:dyDescent="0.25">
      <c r="A736" s="4">
        <v>45825</v>
      </c>
      <c r="B736">
        <v>4.2300000000000004</v>
      </c>
      <c r="C736">
        <v>4.46</v>
      </c>
      <c r="D736">
        <v>4.42</v>
      </c>
      <c r="E736">
        <v>4.3899999999999997</v>
      </c>
      <c r="F736">
        <v>4.3099999999999996</v>
      </c>
      <c r="G736">
        <v>4.0999999999999996</v>
      </c>
      <c r="H736">
        <v>3.94</v>
      </c>
      <c r="I736">
        <v>3.9</v>
      </c>
      <c r="J736">
        <v>3.99</v>
      </c>
      <c r="K736">
        <v>4.17</v>
      </c>
      <c r="L736">
        <v>4.3899999999999997</v>
      </c>
      <c r="M736">
        <v>4.8899999999999997</v>
      </c>
      <c r="N736">
        <v>4.88</v>
      </c>
      <c r="O736">
        <v>5.4770000000000003</v>
      </c>
      <c r="P736">
        <v>4101</v>
      </c>
      <c r="Q736">
        <v>935.21</v>
      </c>
      <c r="R736">
        <v>3.61</v>
      </c>
      <c r="S736">
        <v>19.014500000000002</v>
      </c>
    </row>
    <row r="737" spans="1:19" x14ac:dyDescent="0.25">
      <c r="A737" s="4">
        <v>45824</v>
      </c>
      <c r="B737">
        <v>4.24</v>
      </c>
      <c r="C737">
        <v>4.47</v>
      </c>
      <c r="D737">
        <v>4.43</v>
      </c>
      <c r="E737">
        <v>4.4000000000000004</v>
      </c>
      <c r="F737">
        <v>4.32</v>
      </c>
      <c r="G737">
        <v>4.0999999999999996</v>
      </c>
      <c r="H737">
        <v>3.97</v>
      </c>
      <c r="I737">
        <v>3.93</v>
      </c>
      <c r="J737">
        <v>4.04</v>
      </c>
      <c r="K737">
        <v>4.2300000000000004</v>
      </c>
      <c r="L737">
        <v>4.46</v>
      </c>
      <c r="M737">
        <v>4.97</v>
      </c>
      <c r="N737">
        <v>4.96</v>
      </c>
      <c r="O737">
        <v>5.5119999999999996</v>
      </c>
      <c r="P737">
        <v>4106.5</v>
      </c>
      <c r="Q737">
        <v>937.78</v>
      </c>
      <c r="R737">
        <v>3.605</v>
      </c>
      <c r="S737">
        <v>18.9114</v>
      </c>
    </row>
    <row r="738" spans="1:19" x14ac:dyDescent="0.25">
      <c r="A738" s="4">
        <v>45821</v>
      </c>
      <c r="B738">
        <v>4.2300000000000004</v>
      </c>
      <c r="C738">
        <v>4.4800000000000004</v>
      </c>
      <c r="D738">
        <v>4.45</v>
      </c>
      <c r="E738">
        <v>4.4000000000000004</v>
      </c>
      <c r="F738">
        <v>4.3</v>
      </c>
      <c r="G738">
        <v>4.09</v>
      </c>
      <c r="H738">
        <v>3.96</v>
      </c>
      <c r="I738">
        <v>3.9</v>
      </c>
      <c r="J738">
        <v>4.0199999999999996</v>
      </c>
      <c r="K738">
        <v>4.2</v>
      </c>
      <c r="L738">
        <v>4.41</v>
      </c>
      <c r="M738">
        <v>4.93</v>
      </c>
      <c r="N738">
        <v>4.9000000000000004</v>
      </c>
      <c r="O738">
        <v>5.5648999999999997</v>
      </c>
      <c r="P738">
        <v>4130</v>
      </c>
      <c r="Q738">
        <v>930.25</v>
      </c>
      <c r="R738">
        <v>3.6190000000000002</v>
      </c>
      <c r="S738">
        <v>18.939599999999999</v>
      </c>
    </row>
    <row r="739" spans="1:19" x14ac:dyDescent="0.25">
      <c r="A739" s="4">
        <v>45820</v>
      </c>
      <c r="B739">
        <v>4.18</v>
      </c>
      <c r="C739">
        <v>4.49</v>
      </c>
      <c r="D739">
        <v>4.46</v>
      </c>
      <c r="E739">
        <v>4.4000000000000004</v>
      </c>
      <c r="F739">
        <v>4.29</v>
      </c>
      <c r="G739">
        <v>4.0599999999999996</v>
      </c>
      <c r="H739">
        <v>3.9</v>
      </c>
      <c r="I739">
        <v>3.85</v>
      </c>
      <c r="J739">
        <v>3.97</v>
      </c>
      <c r="K739">
        <v>4.1500000000000004</v>
      </c>
      <c r="L739">
        <v>4.3600000000000003</v>
      </c>
      <c r="M739">
        <v>4.8600000000000003</v>
      </c>
      <c r="N739">
        <v>4.84</v>
      </c>
      <c r="O739">
        <v>5.5385</v>
      </c>
      <c r="P739">
        <v>4157.91</v>
      </c>
      <c r="Q739">
        <v>936.36</v>
      </c>
      <c r="R739">
        <v>3.6080000000000001</v>
      </c>
      <c r="S739">
        <v>18.920999999999999</v>
      </c>
    </row>
    <row r="740" spans="1:19" x14ac:dyDescent="0.25">
      <c r="A740" s="4">
        <v>45819</v>
      </c>
      <c r="B740">
        <v>4.3</v>
      </c>
      <c r="C740">
        <v>4.3899999999999997</v>
      </c>
      <c r="D740">
        <v>4.45</v>
      </c>
      <c r="E740">
        <v>4.3899999999999997</v>
      </c>
      <c r="F740">
        <v>4.3099999999999996</v>
      </c>
      <c r="G740">
        <v>4.08</v>
      </c>
      <c r="H740">
        <v>3.94</v>
      </c>
      <c r="I740">
        <v>3.89</v>
      </c>
      <c r="J740">
        <v>4.0199999999999996</v>
      </c>
      <c r="K740">
        <v>4.21</v>
      </c>
      <c r="L740">
        <v>4.41</v>
      </c>
      <c r="M740">
        <v>4.93</v>
      </c>
      <c r="N740">
        <v>4.91</v>
      </c>
      <c r="O740">
        <v>5.5387000000000004</v>
      </c>
      <c r="P740">
        <v>4182.99</v>
      </c>
      <c r="Q740">
        <v>938.88</v>
      </c>
      <c r="R740">
        <v>3.6219999999999999</v>
      </c>
      <c r="S740">
        <v>18.9224</v>
      </c>
    </row>
    <row r="741" spans="1:19" x14ac:dyDescent="0.25">
      <c r="A741" s="4">
        <v>45818</v>
      </c>
      <c r="B741">
        <v>4.29</v>
      </c>
      <c r="C741">
        <v>4.37</v>
      </c>
      <c r="D741">
        <v>4.45</v>
      </c>
      <c r="E741">
        <v>4.38</v>
      </c>
      <c r="F741">
        <v>4.32</v>
      </c>
      <c r="G741">
        <v>4.12</v>
      </c>
      <c r="H741">
        <v>4.01</v>
      </c>
      <c r="I741">
        <v>3.95</v>
      </c>
      <c r="J741">
        <v>4.08</v>
      </c>
      <c r="K741">
        <v>4.2699999999999996</v>
      </c>
      <c r="L741">
        <v>4.47</v>
      </c>
      <c r="M741">
        <v>4.96</v>
      </c>
      <c r="N741">
        <v>4.93</v>
      </c>
      <c r="O741">
        <v>5.5553999999999997</v>
      </c>
      <c r="P741">
        <v>4207</v>
      </c>
      <c r="Q741">
        <v>937.09</v>
      </c>
      <c r="R741">
        <v>3.6339999999999999</v>
      </c>
      <c r="S741">
        <v>19.066800000000001</v>
      </c>
    </row>
    <row r="742" spans="1:19" x14ac:dyDescent="0.25">
      <c r="A742" s="4">
        <v>45817</v>
      </c>
      <c r="B742">
        <v>4.29</v>
      </c>
      <c r="C742">
        <v>4.3600000000000003</v>
      </c>
      <c r="D742">
        <v>4.4400000000000004</v>
      </c>
      <c r="E742">
        <v>4.38</v>
      </c>
      <c r="F742">
        <v>4.32</v>
      </c>
      <c r="G742">
        <v>4.13</v>
      </c>
      <c r="H742">
        <v>4.01</v>
      </c>
      <c r="I742">
        <v>3.99</v>
      </c>
      <c r="J742">
        <v>4.09</v>
      </c>
      <c r="K742">
        <v>4.28</v>
      </c>
      <c r="L742">
        <v>4.49</v>
      </c>
      <c r="M742">
        <v>4.9800000000000004</v>
      </c>
      <c r="N742">
        <v>4.95</v>
      </c>
      <c r="O742">
        <v>5.5757000000000003</v>
      </c>
      <c r="P742">
        <v>4146.99</v>
      </c>
      <c r="Q742">
        <v>933.91</v>
      </c>
      <c r="R742">
        <v>3.633</v>
      </c>
      <c r="S742">
        <v>19.042400000000001</v>
      </c>
    </row>
    <row r="743" spans="1:19" x14ac:dyDescent="0.25">
      <c r="A743" s="4">
        <v>45814</v>
      </c>
      <c r="B743">
        <v>4.28</v>
      </c>
      <c r="C743">
        <v>4.3499999999999996</v>
      </c>
      <c r="D743">
        <v>4.43</v>
      </c>
      <c r="E743">
        <v>4.38</v>
      </c>
      <c r="F743">
        <v>4.3099999999999996</v>
      </c>
      <c r="G743">
        <v>4.1399999999999997</v>
      </c>
      <c r="H743">
        <v>4.04</v>
      </c>
      <c r="I743">
        <v>4.0199999999999996</v>
      </c>
      <c r="J743">
        <v>4.13</v>
      </c>
      <c r="K743">
        <v>4.3099999999999996</v>
      </c>
      <c r="L743">
        <v>4.51</v>
      </c>
      <c r="M743">
        <v>4.99</v>
      </c>
      <c r="N743">
        <v>4.97</v>
      </c>
      <c r="O743">
        <v>5.5944000000000003</v>
      </c>
      <c r="P743">
        <v>4116</v>
      </c>
      <c r="Q743">
        <v>930.79</v>
      </c>
      <c r="R743">
        <v>3.65</v>
      </c>
      <c r="S743">
        <v>19.105399999999999</v>
      </c>
    </row>
    <row r="744" spans="1:19" x14ac:dyDescent="0.25">
      <c r="A744" s="4">
        <v>45813</v>
      </c>
      <c r="B744">
        <v>4.26</v>
      </c>
      <c r="C744">
        <v>4.3499999999999996</v>
      </c>
      <c r="D744">
        <v>4.4400000000000004</v>
      </c>
      <c r="E744">
        <v>4.37</v>
      </c>
      <c r="F744">
        <v>4.29</v>
      </c>
      <c r="G744">
        <v>4.08</v>
      </c>
      <c r="H744">
        <v>3.92</v>
      </c>
      <c r="I744">
        <v>3.9</v>
      </c>
      <c r="J744">
        <v>3.99</v>
      </c>
      <c r="K744">
        <v>4.18</v>
      </c>
      <c r="L744">
        <v>4.4000000000000004</v>
      </c>
      <c r="M744">
        <v>4.9000000000000004</v>
      </c>
      <c r="N744">
        <v>4.88</v>
      </c>
      <c r="O744">
        <v>5.5965999999999996</v>
      </c>
      <c r="P744">
        <v>4114.8</v>
      </c>
      <c r="Q744">
        <v>936.89</v>
      </c>
      <c r="R744">
        <v>3.6259999999999999</v>
      </c>
      <c r="S744">
        <v>19.1493</v>
      </c>
    </row>
    <row r="745" spans="1:19" x14ac:dyDescent="0.25">
      <c r="A745" s="4">
        <v>45812</v>
      </c>
      <c r="B745">
        <v>4.32</v>
      </c>
      <c r="C745">
        <v>4.3499999999999996</v>
      </c>
      <c r="D745">
        <v>4.4400000000000004</v>
      </c>
      <c r="E745">
        <v>4.37</v>
      </c>
      <c r="F745">
        <v>4.29</v>
      </c>
      <c r="G745">
        <v>4.0599999999999996</v>
      </c>
      <c r="H745">
        <v>3.87</v>
      </c>
      <c r="I745">
        <v>3.84</v>
      </c>
      <c r="J745">
        <v>3.93</v>
      </c>
      <c r="K745">
        <v>4.1399999999999997</v>
      </c>
      <c r="L745">
        <v>4.37</v>
      </c>
      <c r="M745">
        <v>4.9000000000000004</v>
      </c>
      <c r="N745">
        <v>4.8899999999999997</v>
      </c>
      <c r="O745">
        <v>5.6329000000000002</v>
      </c>
      <c r="P745">
        <v>4110.9799999999996</v>
      </c>
      <c r="Q745">
        <v>941.53</v>
      </c>
      <c r="R745">
        <v>3.6160000000000001</v>
      </c>
      <c r="S745">
        <v>19.1997</v>
      </c>
    </row>
    <row r="746" spans="1:19" x14ac:dyDescent="0.25">
      <c r="A746" s="4">
        <v>45811</v>
      </c>
      <c r="B746">
        <v>4.33</v>
      </c>
      <c r="C746">
        <v>4.3499999999999996</v>
      </c>
      <c r="D746">
        <v>4.43</v>
      </c>
      <c r="E746">
        <v>4.38</v>
      </c>
      <c r="F746">
        <v>4.3099999999999996</v>
      </c>
      <c r="G746">
        <v>4.12</v>
      </c>
      <c r="H746">
        <v>3.96</v>
      </c>
      <c r="I746">
        <v>3.93</v>
      </c>
      <c r="J746">
        <v>4.04</v>
      </c>
      <c r="K746">
        <v>4.2300000000000004</v>
      </c>
      <c r="L746">
        <v>4.46</v>
      </c>
      <c r="M746">
        <v>5</v>
      </c>
      <c r="N746">
        <v>4.9800000000000004</v>
      </c>
      <c r="O746">
        <v>5.6691000000000003</v>
      </c>
      <c r="P746">
        <v>4106.8999999999996</v>
      </c>
      <c r="Q746">
        <v>939.65</v>
      </c>
      <c r="R746">
        <v>3.6219999999999999</v>
      </c>
      <c r="S746">
        <v>19.2348</v>
      </c>
    </row>
    <row r="747" spans="1:19" x14ac:dyDescent="0.25">
      <c r="A747" s="4">
        <v>45810</v>
      </c>
      <c r="B747">
        <v>4.33</v>
      </c>
      <c r="C747">
        <v>4.3600000000000003</v>
      </c>
      <c r="D747">
        <v>4.4400000000000004</v>
      </c>
      <c r="E747">
        <v>4.38</v>
      </c>
      <c r="F747">
        <v>4.3099999999999996</v>
      </c>
      <c r="G747">
        <v>4.12</v>
      </c>
      <c r="H747">
        <v>3.94</v>
      </c>
      <c r="I747">
        <v>3.91</v>
      </c>
      <c r="J747">
        <v>4.01</v>
      </c>
      <c r="K747">
        <v>4.22</v>
      </c>
      <c r="L747">
        <v>4.46</v>
      </c>
      <c r="M747">
        <v>5</v>
      </c>
      <c r="N747">
        <v>4.99</v>
      </c>
      <c r="O747">
        <v>5.6933999999999996</v>
      </c>
      <c r="P747">
        <v>4157.1099999999997</v>
      </c>
      <c r="Q747">
        <v>941.97</v>
      </c>
      <c r="R747">
        <v>3.62</v>
      </c>
      <c r="S747">
        <v>19.1998</v>
      </c>
    </row>
    <row r="748" spans="1:19" x14ac:dyDescent="0.25">
      <c r="A748" s="4">
        <v>45807</v>
      </c>
      <c r="B748">
        <v>4.33</v>
      </c>
      <c r="C748">
        <v>4.3499999999999996</v>
      </c>
      <c r="D748">
        <v>4.3600000000000003</v>
      </c>
      <c r="E748">
        <v>4.3899999999999997</v>
      </c>
      <c r="F748">
        <v>4.3600000000000003</v>
      </c>
      <c r="G748">
        <v>4.1100000000000003</v>
      </c>
      <c r="H748">
        <v>3.89</v>
      </c>
      <c r="I748">
        <v>3.87</v>
      </c>
      <c r="J748">
        <v>3.96</v>
      </c>
      <c r="K748">
        <v>4.18</v>
      </c>
      <c r="L748">
        <v>4.41</v>
      </c>
      <c r="M748">
        <v>4.93</v>
      </c>
      <c r="N748">
        <v>4.92</v>
      </c>
      <c r="O748">
        <v>5.7084000000000001</v>
      </c>
      <c r="P748">
        <v>4157.1099999999997</v>
      </c>
      <c r="Q748">
        <v>937.37</v>
      </c>
      <c r="R748">
        <v>3.6179999999999999</v>
      </c>
      <c r="S748">
        <v>19.395700000000001</v>
      </c>
    </row>
    <row r="749" spans="1:19" x14ac:dyDescent="0.25">
      <c r="A749" s="4">
        <v>45806</v>
      </c>
      <c r="B749">
        <v>4.34</v>
      </c>
      <c r="C749">
        <v>4.3499999999999996</v>
      </c>
      <c r="D749">
        <v>4.3600000000000003</v>
      </c>
      <c r="E749">
        <v>4.3899999999999997</v>
      </c>
      <c r="F749">
        <v>4.3600000000000003</v>
      </c>
      <c r="G749">
        <v>4.13</v>
      </c>
      <c r="H749">
        <v>3.92</v>
      </c>
      <c r="I749">
        <v>3.91</v>
      </c>
      <c r="J749">
        <v>4</v>
      </c>
      <c r="K749">
        <v>4.2</v>
      </c>
      <c r="L749">
        <v>4.43</v>
      </c>
      <c r="M749">
        <v>4.9400000000000004</v>
      </c>
      <c r="N749">
        <v>4.92</v>
      </c>
      <c r="O749">
        <v>5.6555999999999997</v>
      </c>
      <c r="P749">
        <v>4123.8999999999996</v>
      </c>
      <c r="Q749">
        <v>940.21</v>
      </c>
      <c r="R749">
        <v>3.6219999999999999</v>
      </c>
      <c r="S749">
        <v>19.311599999999999</v>
      </c>
    </row>
    <row r="750" spans="1:19" x14ac:dyDescent="0.25">
      <c r="A750" s="4">
        <v>45805</v>
      </c>
      <c r="B750">
        <v>4.3499999999999996</v>
      </c>
      <c r="C750">
        <v>4.3499999999999996</v>
      </c>
      <c r="D750">
        <v>4.3499999999999996</v>
      </c>
      <c r="E750">
        <v>4.38</v>
      </c>
      <c r="F750">
        <v>4.3600000000000003</v>
      </c>
      <c r="G750">
        <v>4.16</v>
      </c>
      <c r="H750">
        <v>3.96</v>
      </c>
      <c r="I750">
        <v>3.95</v>
      </c>
      <c r="J750">
        <v>4.05</v>
      </c>
      <c r="K750">
        <v>4.2699999999999996</v>
      </c>
      <c r="L750">
        <v>4.47</v>
      </c>
      <c r="M750">
        <v>4.99</v>
      </c>
      <c r="N750">
        <v>4.97</v>
      </c>
      <c r="O750">
        <v>5.6932999999999998</v>
      </c>
      <c r="P750">
        <v>4125.2</v>
      </c>
      <c r="Q750">
        <v>937.93</v>
      </c>
      <c r="R750">
        <v>3.64</v>
      </c>
      <c r="S750">
        <v>19.4145</v>
      </c>
    </row>
    <row r="751" spans="1:19" x14ac:dyDescent="0.25">
      <c r="A751" s="4">
        <v>45804</v>
      </c>
      <c r="B751">
        <v>4.3499999999999996</v>
      </c>
      <c r="C751">
        <v>4.3499999999999996</v>
      </c>
      <c r="D751">
        <v>4.3499999999999996</v>
      </c>
      <c r="E751">
        <v>4.43</v>
      </c>
      <c r="F751">
        <v>4.3499999999999996</v>
      </c>
      <c r="G751">
        <v>4.1399999999999997</v>
      </c>
      <c r="H751">
        <v>3.92</v>
      </c>
      <c r="I751">
        <v>3.93</v>
      </c>
      <c r="J751">
        <v>4.04</v>
      </c>
      <c r="K751">
        <v>4.22</v>
      </c>
      <c r="L751">
        <v>4.43</v>
      </c>
      <c r="M751">
        <v>4.95</v>
      </c>
      <c r="N751">
        <v>4.9400000000000004</v>
      </c>
      <c r="O751">
        <v>5.6536</v>
      </c>
      <c r="P751">
        <v>4110.05</v>
      </c>
      <c r="Q751">
        <v>938.28</v>
      </c>
      <c r="R751">
        <v>3.6389999999999998</v>
      </c>
      <c r="S751">
        <v>19.2683</v>
      </c>
    </row>
    <row r="752" spans="1:19" x14ac:dyDescent="0.25">
      <c r="A752" s="4">
        <v>45800</v>
      </c>
      <c r="B752">
        <v>4.3600000000000003</v>
      </c>
      <c r="C752">
        <v>4.3499999999999996</v>
      </c>
      <c r="D752">
        <v>4.3600000000000003</v>
      </c>
      <c r="E752">
        <v>4.43</v>
      </c>
      <c r="F752">
        <v>4.3499999999999996</v>
      </c>
      <c r="G752">
        <v>4.1500000000000004</v>
      </c>
      <c r="H752">
        <v>4</v>
      </c>
      <c r="I752">
        <v>3.96</v>
      </c>
      <c r="J752">
        <v>4.08</v>
      </c>
      <c r="K752">
        <v>4.29</v>
      </c>
      <c r="L752">
        <v>4.51</v>
      </c>
      <c r="M752">
        <v>5.03</v>
      </c>
      <c r="N752">
        <v>5.04</v>
      </c>
      <c r="O752">
        <v>5.6928999999999998</v>
      </c>
      <c r="P752">
        <v>4152.8999999999996</v>
      </c>
      <c r="Q752">
        <v>944.84</v>
      </c>
      <c r="R752">
        <v>3.661</v>
      </c>
      <c r="S752">
        <v>19.239799999999999</v>
      </c>
    </row>
    <row r="753" spans="1:19" x14ac:dyDescent="0.25">
      <c r="A753" s="4">
        <v>45799</v>
      </c>
      <c r="B753">
        <v>4.37</v>
      </c>
      <c r="C753">
        <v>4.3499999999999996</v>
      </c>
      <c r="D753">
        <v>4.37</v>
      </c>
      <c r="E753">
        <v>4.42</v>
      </c>
      <c r="F753">
        <v>4.34</v>
      </c>
      <c r="G753">
        <v>4.13</v>
      </c>
      <c r="H753">
        <v>4</v>
      </c>
      <c r="I753">
        <v>3.99</v>
      </c>
      <c r="J753">
        <v>4.1100000000000003</v>
      </c>
      <c r="K753">
        <v>4.32</v>
      </c>
      <c r="L753">
        <v>4.54</v>
      </c>
      <c r="M753">
        <v>5.05</v>
      </c>
      <c r="N753">
        <v>5.05</v>
      </c>
      <c r="O753">
        <v>5.6387</v>
      </c>
      <c r="P753">
        <v>4175</v>
      </c>
      <c r="Q753">
        <v>942.21</v>
      </c>
      <c r="R753">
        <v>3.6579999999999999</v>
      </c>
      <c r="S753">
        <v>19.312100000000001</v>
      </c>
    </row>
    <row r="754" spans="1:19" x14ac:dyDescent="0.25">
      <c r="A754" s="4">
        <v>45798</v>
      </c>
      <c r="B754">
        <v>4.3499999999999996</v>
      </c>
      <c r="C754">
        <v>4.34</v>
      </c>
      <c r="D754">
        <v>4.3600000000000003</v>
      </c>
      <c r="E754">
        <v>4.42</v>
      </c>
      <c r="F754">
        <v>4.33</v>
      </c>
      <c r="G754">
        <v>4.13</v>
      </c>
      <c r="H754">
        <v>4</v>
      </c>
      <c r="I754">
        <v>4</v>
      </c>
      <c r="J754">
        <v>4.1500000000000004</v>
      </c>
      <c r="K754">
        <v>4.37</v>
      </c>
      <c r="L754">
        <v>4.58</v>
      </c>
      <c r="M754">
        <v>5.08</v>
      </c>
      <c r="N754">
        <v>5.08</v>
      </c>
      <c r="O754">
        <v>5.6567999999999996</v>
      </c>
      <c r="P754">
        <v>4178.1000000000004</v>
      </c>
      <c r="Q754">
        <v>936.69</v>
      </c>
      <c r="R754">
        <v>3.6749999999999998</v>
      </c>
      <c r="S754">
        <v>19.371600000000001</v>
      </c>
    </row>
    <row r="755" spans="1:19" x14ac:dyDescent="0.25">
      <c r="A755" s="4">
        <v>45797</v>
      </c>
      <c r="B755">
        <v>4.3600000000000003</v>
      </c>
      <c r="C755">
        <v>4.34</v>
      </c>
      <c r="D755">
        <v>4.38</v>
      </c>
      <c r="E755">
        <v>4.42</v>
      </c>
      <c r="F755">
        <v>4.32</v>
      </c>
      <c r="G755">
        <v>4.12</v>
      </c>
      <c r="H755">
        <v>3.97</v>
      </c>
      <c r="I755">
        <v>3.95</v>
      </c>
      <c r="J755">
        <v>4.07</v>
      </c>
      <c r="K755">
        <v>4.2699999999999996</v>
      </c>
      <c r="L755">
        <v>4.4800000000000004</v>
      </c>
      <c r="M755">
        <v>4.99</v>
      </c>
      <c r="N755">
        <v>4.96</v>
      </c>
      <c r="O755">
        <v>5.6616999999999997</v>
      </c>
      <c r="P755">
        <v>4165.3999999999996</v>
      </c>
      <c r="Q755">
        <v>936.69</v>
      </c>
      <c r="R755">
        <v>3.6859999999999999</v>
      </c>
      <c r="S755">
        <v>19.275700000000001</v>
      </c>
    </row>
    <row r="756" spans="1:19" x14ac:dyDescent="0.25">
      <c r="A756" s="4">
        <v>45796</v>
      </c>
      <c r="B756">
        <v>4.37</v>
      </c>
      <c r="C756">
        <v>4.3499999999999996</v>
      </c>
      <c r="D756">
        <v>4.3899999999999997</v>
      </c>
      <c r="E756">
        <v>4.42</v>
      </c>
      <c r="F756">
        <v>4.32</v>
      </c>
      <c r="G756">
        <v>4.12</v>
      </c>
      <c r="H756">
        <v>3.97</v>
      </c>
      <c r="I756">
        <v>3.95</v>
      </c>
      <c r="J756">
        <v>4.07</v>
      </c>
      <c r="K756">
        <v>4.26</v>
      </c>
      <c r="L756">
        <v>4.46</v>
      </c>
      <c r="M756">
        <v>4.95</v>
      </c>
      <c r="N756">
        <v>4.92</v>
      </c>
      <c r="O756">
        <v>5.6588000000000003</v>
      </c>
      <c r="P756">
        <v>4174.3</v>
      </c>
      <c r="Q756">
        <v>944.46</v>
      </c>
      <c r="R756">
        <v>3.69</v>
      </c>
      <c r="S756">
        <v>19.319800000000001</v>
      </c>
    </row>
    <row r="757" spans="1:19" x14ac:dyDescent="0.25">
      <c r="A757" s="4">
        <v>45793</v>
      </c>
      <c r="B757">
        <v>4.37</v>
      </c>
      <c r="C757">
        <v>4.34</v>
      </c>
      <c r="D757">
        <v>4.37</v>
      </c>
      <c r="E757">
        <v>4.42</v>
      </c>
      <c r="F757">
        <v>4.3</v>
      </c>
      <c r="G757">
        <v>4.13</v>
      </c>
      <c r="H757">
        <v>3.98</v>
      </c>
      <c r="I757">
        <v>3.95</v>
      </c>
      <c r="J757">
        <v>4.0599999999999996</v>
      </c>
      <c r="K757">
        <v>4.24</v>
      </c>
      <c r="L757">
        <v>4.43</v>
      </c>
      <c r="M757">
        <v>4.92</v>
      </c>
      <c r="N757">
        <v>4.8899999999999997</v>
      </c>
      <c r="O757">
        <v>5.6921999999999997</v>
      </c>
      <c r="P757">
        <v>4178.5</v>
      </c>
      <c r="Q757">
        <v>940.25</v>
      </c>
      <c r="R757">
        <v>3.6859999999999999</v>
      </c>
      <c r="S757">
        <v>19.474599999999999</v>
      </c>
    </row>
    <row r="758" spans="1:19" x14ac:dyDescent="0.25">
      <c r="A758" s="4">
        <v>45792</v>
      </c>
      <c r="B758">
        <v>4.37</v>
      </c>
      <c r="C758">
        <v>4.3499999999999996</v>
      </c>
      <c r="D758">
        <v>4.38</v>
      </c>
      <c r="E758">
        <v>4.43</v>
      </c>
      <c r="F758">
        <v>4.29</v>
      </c>
      <c r="G758">
        <v>4.0999999999999996</v>
      </c>
      <c r="H758">
        <v>3.96</v>
      </c>
      <c r="I758">
        <v>3.95</v>
      </c>
      <c r="J758">
        <v>4.07</v>
      </c>
      <c r="K758">
        <v>4.25</v>
      </c>
      <c r="L758">
        <v>4.45</v>
      </c>
      <c r="M758">
        <v>4.93</v>
      </c>
      <c r="N758">
        <v>4.91</v>
      </c>
      <c r="O758">
        <v>5.6325000000000003</v>
      </c>
      <c r="P758">
        <v>4204.75</v>
      </c>
      <c r="Q758">
        <v>939.43</v>
      </c>
      <c r="R758">
        <v>3.6859999999999999</v>
      </c>
      <c r="S758">
        <v>19.502800000000001</v>
      </c>
    </row>
    <row r="759" spans="1:19" x14ac:dyDescent="0.25">
      <c r="A759" s="4">
        <v>45791</v>
      </c>
      <c r="B759">
        <v>4.3899999999999997</v>
      </c>
      <c r="C759">
        <v>4.3600000000000003</v>
      </c>
      <c r="D759">
        <v>4.41</v>
      </c>
      <c r="E759">
        <v>4.4400000000000004</v>
      </c>
      <c r="F759">
        <v>4.3</v>
      </c>
      <c r="G759">
        <v>4.1399999999999997</v>
      </c>
      <c r="H759">
        <v>4.05</v>
      </c>
      <c r="I759">
        <v>4.05</v>
      </c>
      <c r="J759">
        <v>4.17</v>
      </c>
      <c r="K759">
        <v>4.3499999999999996</v>
      </c>
      <c r="L759">
        <v>4.53</v>
      </c>
      <c r="M759">
        <v>5</v>
      </c>
      <c r="N759">
        <v>4.97</v>
      </c>
      <c r="O759">
        <v>5.6097000000000001</v>
      </c>
      <c r="P759">
        <v>4177</v>
      </c>
      <c r="Q759">
        <v>940.18</v>
      </c>
      <c r="R759">
        <v>3.673</v>
      </c>
      <c r="S759">
        <v>19.389199999999999</v>
      </c>
    </row>
    <row r="760" spans="1:19" x14ac:dyDescent="0.25">
      <c r="A760" s="4">
        <v>45790</v>
      </c>
      <c r="B760">
        <v>4.3899999999999997</v>
      </c>
      <c r="C760">
        <v>4.3499999999999996</v>
      </c>
      <c r="D760">
        <v>4.41</v>
      </c>
      <c r="E760">
        <v>4.45</v>
      </c>
      <c r="F760">
        <v>4.29</v>
      </c>
      <c r="G760">
        <v>4.1100000000000003</v>
      </c>
      <c r="H760">
        <v>4.0199999999999996</v>
      </c>
      <c r="I760">
        <v>4</v>
      </c>
      <c r="J760">
        <v>4.12</v>
      </c>
      <c r="K760">
        <v>4.3</v>
      </c>
      <c r="L760">
        <v>4.49</v>
      </c>
      <c r="M760">
        <v>4.97</v>
      </c>
      <c r="N760">
        <v>4.9400000000000004</v>
      </c>
      <c r="O760">
        <v>5.6258999999999997</v>
      </c>
      <c r="P760">
        <v>4220</v>
      </c>
      <c r="Q760">
        <v>941.2</v>
      </c>
      <c r="R760">
        <v>3.6659999999999999</v>
      </c>
      <c r="S760">
        <v>19.392600000000002</v>
      </c>
    </row>
    <row r="761" spans="1:19" x14ac:dyDescent="0.25">
      <c r="A761" s="4">
        <v>45789</v>
      </c>
      <c r="B761">
        <v>4.38</v>
      </c>
      <c r="C761">
        <v>4.3600000000000003</v>
      </c>
      <c r="D761">
        <v>4.42</v>
      </c>
      <c r="E761">
        <v>4.45</v>
      </c>
      <c r="F761">
        <v>4.29</v>
      </c>
      <c r="G761">
        <v>4.1100000000000003</v>
      </c>
      <c r="H761">
        <v>3.98</v>
      </c>
      <c r="I761">
        <v>3.97</v>
      </c>
      <c r="J761">
        <v>4.09</v>
      </c>
      <c r="K761">
        <v>4.2699999999999996</v>
      </c>
      <c r="L761">
        <v>4.45</v>
      </c>
      <c r="M761">
        <v>4.92</v>
      </c>
      <c r="N761">
        <v>4.8899999999999997</v>
      </c>
      <c r="O761">
        <v>5.6818999999999997</v>
      </c>
      <c r="P761">
        <v>4225.0200000000004</v>
      </c>
      <c r="Q761">
        <v>933.26</v>
      </c>
      <c r="R761">
        <v>3.6579999999999999</v>
      </c>
      <c r="S761">
        <v>19.603899999999999</v>
      </c>
    </row>
    <row r="762" spans="1:19" x14ac:dyDescent="0.25">
      <c r="A762" s="4">
        <v>45786</v>
      </c>
      <c r="B762">
        <v>4.37</v>
      </c>
      <c r="C762">
        <v>4.34</v>
      </c>
      <c r="D762">
        <v>4.34</v>
      </c>
      <c r="E762">
        <v>4.4000000000000004</v>
      </c>
      <c r="F762">
        <v>4.28</v>
      </c>
      <c r="G762">
        <v>4.05</v>
      </c>
      <c r="H762">
        <v>3.88</v>
      </c>
      <c r="I762">
        <v>3.85</v>
      </c>
      <c r="J762">
        <v>4</v>
      </c>
      <c r="K762">
        <v>4.18</v>
      </c>
      <c r="L762">
        <v>4.37</v>
      </c>
      <c r="M762">
        <v>4.8600000000000003</v>
      </c>
      <c r="N762">
        <v>4.83</v>
      </c>
      <c r="O762">
        <v>5.6508000000000003</v>
      </c>
      <c r="P762">
        <v>4225</v>
      </c>
      <c r="Q762">
        <v>941.22</v>
      </c>
      <c r="R762">
        <v>3.6520000000000001</v>
      </c>
      <c r="S762">
        <v>19.466899999999999</v>
      </c>
    </row>
    <row r="763" spans="1:19" x14ac:dyDescent="0.25">
      <c r="A763" s="4">
        <v>45785</v>
      </c>
      <c r="B763">
        <v>4.37</v>
      </c>
      <c r="C763">
        <v>4.3499999999999996</v>
      </c>
      <c r="D763">
        <v>4.34</v>
      </c>
      <c r="E763">
        <v>4.4000000000000004</v>
      </c>
      <c r="F763">
        <v>4.28</v>
      </c>
      <c r="G763">
        <v>4.05</v>
      </c>
      <c r="H763">
        <v>3.9</v>
      </c>
      <c r="I763">
        <v>3.85</v>
      </c>
      <c r="J763">
        <v>4</v>
      </c>
      <c r="K763">
        <v>4.18</v>
      </c>
      <c r="L763">
        <v>4.37</v>
      </c>
      <c r="M763">
        <v>4.8600000000000003</v>
      </c>
      <c r="N763">
        <v>4.83</v>
      </c>
      <c r="O763">
        <v>5.6856999999999998</v>
      </c>
      <c r="P763">
        <v>4248</v>
      </c>
      <c r="Q763">
        <v>945.44</v>
      </c>
      <c r="R763">
        <v>3.6320000000000001</v>
      </c>
      <c r="S763">
        <v>19.537299999999998</v>
      </c>
    </row>
    <row r="764" spans="1:19" x14ac:dyDescent="0.25">
      <c r="A764" s="4">
        <v>45784</v>
      </c>
      <c r="B764">
        <v>4.37</v>
      </c>
      <c r="C764">
        <v>4.33</v>
      </c>
      <c r="D764">
        <v>4.34</v>
      </c>
      <c r="E764">
        <v>4.3899999999999997</v>
      </c>
      <c r="F764">
        <v>4.2699999999999996</v>
      </c>
      <c r="G764">
        <v>4</v>
      </c>
      <c r="H764">
        <v>3.78</v>
      </c>
      <c r="I764">
        <v>3.72</v>
      </c>
      <c r="J764">
        <v>3.87</v>
      </c>
      <c r="K764">
        <v>4.0599999999999996</v>
      </c>
      <c r="L764">
        <v>4.26</v>
      </c>
      <c r="M764">
        <v>4.78</v>
      </c>
      <c r="N764">
        <v>4.7699999999999996</v>
      </c>
      <c r="O764">
        <v>5.7371499999999997</v>
      </c>
      <c r="P764">
        <v>4283.33</v>
      </c>
      <c r="Q764">
        <v>939.67</v>
      </c>
      <c r="R764">
        <v>3.6440000000000001</v>
      </c>
      <c r="S764">
        <v>19.605</v>
      </c>
    </row>
    <row r="765" spans="1:19" x14ac:dyDescent="0.25">
      <c r="A765" s="4">
        <v>45783</v>
      </c>
      <c r="B765">
        <v>4.37</v>
      </c>
      <c r="C765">
        <v>4.33</v>
      </c>
      <c r="D765">
        <v>4.33</v>
      </c>
      <c r="E765">
        <v>4.38</v>
      </c>
      <c r="F765">
        <v>4.25</v>
      </c>
      <c r="G765">
        <v>3.98</v>
      </c>
      <c r="H765">
        <v>3.78</v>
      </c>
      <c r="I765">
        <v>3.73</v>
      </c>
      <c r="J765">
        <v>3.9</v>
      </c>
      <c r="K765">
        <v>4.0999999999999996</v>
      </c>
      <c r="L765">
        <v>4.3</v>
      </c>
      <c r="M765">
        <v>4.82</v>
      </c>
      <c r="N765">
        <v>4.8099999999999996</v>
      </c>
      <c r="O765">
        <v>5.7206999999999999</v>
      </c>
      <c r="P765">
        <v>4305.95</v>
      </c>
      <c r="Q765">
        <v>940.18</v>
      </c>
      <c r="R765">
        <v>3.653</v>
      </c>
      <c r="S765">
        <v>19.659800000000001</v>
      </c>
    </row>
    <row r="766" spans="1:19" x14ac:dyDescent="0.25">
      <c r="A766" s="4">
        <v>45782</v>
      </c>
      <c r="B766">
        <v>4.38</v>
      </c>
      <c r="C766">
        <v>4.34</v>
      </c>
      <c r="D766">
        <v>4.33</v>
      </c>
      <c r="E766">
        <v>4.4000000000000004</v>
      </c>
      <c r="F766">
        <v>4.2699999999999996</v>
      </c>
      <c r="G766">
        <v>4.0199999999999996</v>
      </c>
      <c r="H766">
        <v>3.83</v>
      </c>
      <c r="I766">
        <v>3.78</v>
      </c>
      <c r="J766">
        <v>3.95</v>
      </c>
      <c r="K766">
        <v>4.1399999999999997</v>
      </c>
      <c r="L766">
        <v>4.3600000000000003</v>
      </c>
      <c r="M766">
        <v>4.84</v>
      </c>
      <c r="N766">
        <v>4.83</v>
      </c>
      <c r="O766">
        <v>5.6516999999999999</v>
      </c>
      <c r="P766">
        <v>4301.2</v>
      </c>
      <c r="Q766">
        <v>940.95</v>
      </c>
      <c r="R766">
        <v>3.6640000000000001</v>
      </c>
      <c r="S766">
        <v>19.6694</v>
      </c>
    </row>
    <row r="767" spans="1:19" x14ac:dyDescent="0.25">
      <c r="A767" s="4">
        <v>45779</v>
      </c>
      <c r="B767">
        <v>4.38</v>
      </c>
      <c r="C767">
        <v>4.34</v>
      </c>
      <c r="D767">
        <v>4.33</v>
      </c>
      <c r="E767">
        <v>4.41</v>
      </c>
      <c r="F767">
        <v>4.26</v>
      </c>
      <c r="G767">
        <v>4</v>
      </c>
      <c r="H767">
        <v>3.83</v>
      </c>
      <c r="I767">
        <v>3.82</v>
      </c>
      <c r="J767">
        <v>3.92</v>
      </c>
      <c r="K767">
        <v>4.1100000000000003</v>
      </c>
      <c r="L767">
        <v>4.33</v>
      </c>
      <c r="M767">
        <v>4.8099999999999996</v>
      </c>
      <c r="N767">
        <v>4.79</v>
      </c>
      <c r="O767">
        <v>5.6391</v>
      </c>
      <c r="P767">
        <v>4247</v>
      </c>
      <c r="Q767">
        <v>955.67</v>
      </c>
      <c r="R767">
        <v>3.649</v>
      </c>
      <c r="S767">
        <v>19.598500000000001</v>
      </c>
    </row>
    <row r="768" spans="1:19" x14ac:dyDescent="0.25">
      <c r="A768" s="4">
        <v>45778</v>
      </c>
      <c r="B768">
        <v>4.38</v>
      </c>
      <c r="C768">
        <v>4.34</v>
      </c>
      <c r="D768">
        <v>4.3099999999999996</v>
      </c>
      <c r="E768">
        <v>4.38</v>
      </c>
      <c r="F768">
        <v>4.22</v>
      </c>
      <c r="G768">
        <v>3.92</v>
      </c>
      <c r="H768">
        <v>3.7</v>
      </c>
      <c r="I768">
        <v>3.69</v>
      </c>
      <c r="J768">
        <v>3.81</v>
      </c>
      <c r="K768">
        <v>4.0199999999999996</v>
      </c>
      <c r="L768">
        <v>4.25</v>
      </c>
      <c r="M768">
        <v>4.75</v>
      </c>
      <c r="N768">
        <v>4.74</v>
      </c>
      <c r="O768">
        <v>5.6604999999999999</v>
      </c>
      <c r="P768">
        <v>4206</v>
      </c>
      <c r="Q768">
        <v>945.42</v>
      </c>
      <c r="R768">
        <v>3.661</v>
      </c>
      <c r="S768">
        <v>19.613600000000002</v>
      </c>
    </row>
    <row r="769" spans="1:19" x14ac:dyDescent="0.25">
      <c r="A769" s="4">
        <v>45777</v>
      </c>
      <c r="B769">
        <v>4.3499999999999996</v>
      </c>
      <c r="C769">
        <v>4.3600000000000003</v>
      </c>
      <c r="D769">
        <v>4.3099999999999996</v>
      </c>
      <c r="E769">
        <v>4.37</v>
      </c>
      <c r="F769">
        <v>4.1900000000000004</v>
      </c>
      <c r="G769">
        <v>3.85</v>
      </c>
      <c r="H769">
        <v>3.6</v>
      </c>
      <c r="I769">
        <v>3.58</v>
      </c>
      <c r="J769">
        <v>3.72</v>
      </c>
      <c r="K769">
        <v>3.93</v>
      </c>
      <c r="L769">
        <v>4.17</v>
      </c>
      <c r="M769">
        <v>4.68</v>
      </c>
      <c r="N769">
        <v>4.66</v>
      </c>
      <c r="O769">
        <v>5.6604999999999999</v>
      </c>
      <c r="P769">
        <v>4206</v>
      </c>
      <c r="Q769">
        <v>945.42</v>
      </c>
      <c r="R769">
        <v>3.661</v>
      </c>
      <c r="S769">
        <v>19.613600000000002</v>
      </c>
    </row>
    <row r="770" spans="1:19" x14ac:dyDescent="0.25">
      <c r="A770" s="4">
        <v>45776</v>
      </c>
      <c r="B770">
        <v>4.3499999999999996</v>
      </c>
      <c r="C770">
        <v>4.3600000000000003</v>
      </c>
      <c r="D770">
        <v>4.3099999999999996</v>
      </c>
      <c r="E770">
        <v>4.3</v>
      </c>
      <c r="F770">
        <v>4.2</v>
      </c>
      <c r="G770">
        <v>3.89</v>
      </c>
      <c r="H770">
        <v>3.65</v>
      </c>
      <c r="I770">
        <v>3.65</v>
      </c>
      <c r="J770">
        <v>3.77</v>
      </c>
      <c r="K770">
        <v>3.96</v>
      </c>
      <c r="L770">
        <v>4.1900000000000004</v>
      </c>
      <c r="M770">
        <v>4.66</v>
      </c>
      <c r="N770">
        <v>4.6399999999999997</v>
      </c>
      <c r="O770">
        <v>5.6463999999999999</v>
      </c>
      <c r="P770">
        <v>4184.01</v>
      </c>
      <c r="Q770">
        <v>937.54</v>
      </c>
      <c r="R770">
        <v>3.6659999999999999</v>
      </c>
      <c r="S770">
        <v>19.575500000000002</v>
      </c>
    </row>
    <row r="771" spans="1:19" x14ac:dyDescent="0.25">
      <c r="A771" s="4">
        <v>45775</v>
      </c>
      <c r="B771">
        <v>4.3499999999999996</v>
      </c>
      <c r="C771">
        <v>4.37</v>
      </c>
      <c r="D771">
        <v>4.32</v>
      </c>
      <c r="E771">
        <v>4.32</v>
      </c>
      <c r="F771">
        <v>4.22</v>
      </c>
      <c r="G771">
        <v>3.92</v>
      </c>
      <c r="H771">
        <v>3.67</v>
      </c>
      <c r="I771">
        <v>3.67</v>
      </c>
      <c r="J771">
        <v>3.81</v>
      </c>
      <c r="K771">
        <v>4.01</v>
      </c>
      <c r="L771">
        <v>4.2300000000000004</v>
      </c>
      <c r="M771">
        <v>4.71</v>
      </c>
      <c r="N771">
        <v>4.6900000000000004</v>
      </c>
      <c r="O771">
        <v>5.6677999999999997</v>
      </c>
      <c r="P771">
        <v>4217.1000000000004</v>
      </c>
      <c r="Q771">
        <v>936.74</v>
      </c>
      <c r="R771">
        <v>3.6680000000000001</v>
      </c>
      <c r="S771">
        <v>19.578399999999998</v>
      </c>
    </row>
    <row r="772" spans="1:19" x14ac:dyDescent="0.25">
      <c r="A772" s="4">
        <v>45772</v>
      </c>
      <c r="B772">
        <v>4.34</v>
      </c>
      <c r="C772">
        <v>4.3600000000000003</v>
      </c>
      <c r="D772">
        <v>4.32</v>
      </c>
      <c r="E772">
        <v>4.32</v>
      </c>
      <c r="F772">
        <v>4.22</v>
      </c>
      <c r="G772">
        <v>3.95</v>
      </c>
      <c r="H772">
        <v>3.74</v>
      </c>
      <c r="I772">
        <v>3.76</v>
      </c>
      <c r="J772">
        <v>3.88</v>
      </c>
      <c r="K772">
        <v>4.0599999999999996</v>
      </c>
      <c r="L772">
        <v>4.29</v>
      </c>
      <c r="M772">
        <v>4.75</v>
      </c>
      <c r="N772">
        <v>4.74</v>
      </c>
      <c r="O772">
        <v>5.6843000000000004</v>
      </c>
      <c r="P772">
        <v>4218</v>
      </c>
      <c r="Q772">
        <v>937.81</v>
      </c>
      <c r="R772">
        <v>3.669</v>
      </c>
      <c r="S772">
        <v>19.522300000000001</v>
      </c>
    </row>
    <row r="773" spans="1:19" x14ac:dyDescent="0.25">
      <c r="A773" s="4">
        <v>45771</v>
      </c>
      <c r="B773">
        <v>4.34</v>
      </c>
      <c r="C773">
        <v>4.37</v>
      </c>
      <c r="D773">
        <v>4.32</v>
      </c>
      <c r="E773">
        <v>4.32</v>
      </c>
      <c r="F773">
        <v>4.22</v>
      </c>
      <c r="G773">
        <v>3.97</v>
      </c>
      <c r="H773">
        <v>3.77</v>
      </c>
      <c r="I773">
        <v>3.8</v>
      </c>
      <c r="J773">
        <v>3.91</v>
      </c>
      <c r="K773">
        <v>4.1100000000000003</v>
      </c>
      <c r="L773">
        <v>4.32</v>
      </c>
      <c r="M773">
        <v>4.79</v>
      </c>
      <c r="N773">
        <v>4.7699999999999996</v>
      </c>
      <c r="O773">
        <v>5.6734999999999998</v>
      </c>
      <c r="P773">
        <v>4264</v>
      </c>
      <c r="Q773">
        <v>938.02</v>
      </c>
      <c r="R773">
        <v>3.6709999999999998</v>
      </c>
      <c r="S773">
        <v>19.5809</v>
      </c>
    </row>
    <row r="774" spans="1:19" x14ac:dyDescent="0.25">
      <c r="A774" s="4">
        <v>45770</v>
      </c>
      <c r="B774">
        <v>4.33</v>
      </c>
      <c r="C774">
        <v>4.34</v>
      </c>
      <c r="D774">
        <v>4.33</v>
      </c>
      <c r="E774">
        <v>4.33</v>
      </c>
      <c r="F774">
        <v>4.22</v>
      </c>
      <c r="G774">
        <v>4.01</v>
      </c>
      <c r="H774">
        <v>3.81</v>
      </c>
      <c r="I774">
        <v>3.87</v>
      </c>
      <c r="J774">
        <v>4</v>
      </c>
      <c r="K774">
        <v>4.2</v>
      </c>
      <c r="L774">
        <v>4.4000000000000004</v>
      </c>
      <c r="M774">
        <v>4.8600000000000003</v>
      </c>
      <c r="N774">
        <v>4.83</v>
      </c>
      <c r="O774">
        <v>5.6877000000000004</v>
      </c>
      <c r="P774">
        <v>4304.75</v>
      </c>
      <c r="Q774">
        <v>950.04</v>
      </c>
      <c r="R774">
        <v>3.6890000000000001</v>
      </c>
      <c r="S774">
        <v>19.650200000000002</v>
      </c>
    </row>
    <row r="775" spans="1:19" x14ac:dyDescent="0.25">
      <c r="A775" s="4">
        <v>45769</v>
      </c>
      <c r="B775">
        <v>4.33</v>
      </c>
      <c r="C775">
        <v>4.3499999999999996</v>
      </c>
      <c r="D775">
        <v>4.33</v>
      </c>
      <c r="E775">
        <v>4.33</v>
      </c>
      <c r="F775">
        <v>4.21</v>
      </c>
      <c r="G775">
        <v>3.98</v>
      </c>
      <c r="H775">
        <v>3.76</v>
      </c>
      <c r="I775">
        <v>3.82</v>
      </c>
      <c r="J775">
        <v>3.98</v>
      </c>
      <c r="K775">
        <v>4.1900000000000004</v>
      </c>
      <c r="L775">
        <v>4.41</v>
      </c>
      <c r="M775">
        <v>4.9000000000000004</v>
      </c>
      <c r="N775">
        <v>4.88</v>
      </c>
      <c r="O775">
        <v>5.7492999999999999</v>
      </c>
      <c r="P775">
        <v>4292</v>
      </c>
      <c r="Q775">
        <v>961.14</v>
      </c>
      <c r="R775">
        <v>3.6970000000000001</v>
      </c>
      <c r="S775">
        <v>19.652999999999999</v>
      </c>
    </row>
    <row r="776" spans="1:19" x14ac:dyDescent="0.25">
      <c r="A776" s="4">
        <v>45768</v>
      </c>
      <c r="B776">
        <v>4.3499999999999996</v>
      </c>
      <c r="C776">
        <v>4.37</v>
      </c>
      <c r="D776">
        <v>4.34</v>
      </c>
      <c r="E776">
        <v>4.33</v>
      </c>
      <c r="F776">
        <v>4.21</v>
      </c>
      <c r="G776">
        <v>3.95</v>
      </c>
      <c r="H776">
        <v>3.75</v>
      </c>
      <c r="I776">
        <v>3.77</v>
      </c>
      <c r="J776">
        <v>3.97</v>
      </c>
      <c r="K776">
        <v>4.1900000000000004</v>
      </c>
      <c r="L776">
        <v>4.42</v>
      </c>
      <c r="M776">
        <v>4.9400000000000004</v>
      </c>
      <c r="N776">
        <v>4.91</v>
      </c>
      <c r="O776">
        <v>5.8555999999999999</v>
      </c>
      <c r="P776">
        <v>4283</v>
      </c>
      <c r="Q776">
        <v>968.71</v>
      </c>
      <c r="R776">
        <v>3.7069999999999999</v>
      </c>
      <c r="S776">
        <v>19.714099999999998</v>
      </c>
    </row>
    <row r="777" spans="1:19" x14ac:dyDescent="0.25">
      <c r="A777" s="4">
        <v>45765</v>
      </c>
      <c r="B777">
        <v>4.3600000000000003</v>
      </c>
      <c r="C777">
        <v>4.38</v>
      </c>
      <c r="D777">
        <v>4.34</v>
      </c>
      <c r="E777">
        <v>4.3499999999999996</v>
      </c>
      <c r="F777">
        <v>4.22</v>
      </c>
      <c r="G777">
        <v>3.99</v>
      </c>
      <c r="H777">
        <v>3.81</v>
      </c>
      <c r="I777">
        <v>3.82</v>
      </c>
      <c r="J777">
        <v>3.95</v>
      </c>
      <c r="K777">
        <v>4.13</v>
      </c>
      <c r="L777">
        <v>4.34</v>
      </c>
      <c r="M777">
        <v>4.82</v>
      </c>
      <c r="N777">
        <v>4.8</v>
      </c>
      <c r="O777">
        <v>5.8555999999999999</v>
      </c>
      <c r="P777">
        <v>4302</v>
      </c>
      <c r="Q777">
        <v>969.23</v>
      </c>
      <c r="R777">
        <v>3.7269999999999999</v>
      </c>
      <c r="S777">
        <v>19.962199999999999</v>
      </c>
    </row>
    <row r="778" spans="1:19" x14ac:dyDescent="0.25">
      <c r="A778" s="4">
        <v>45764</v>
      </c>
      <c r="B778">
        <v>4.3499999999999996</v>
      </c>
      <c r="C778">
        <v>4.3499999999999996</v>
      </c>
      <c r="D778">
        <v>4.33</v>
      </c>
      <c r="E778">
        <v>4.34</v>
      </c>
      <c r="F778">
        <v>4.2</v>
      </c>
      <c r="G778">
        <v>3.96</v>
      </c>
      <c r="H778">
        <v>3.77</v>
      </c>
      <c r="I778">
        <v>3.77</v>
      </c>
      <c r="J778">
        <v>3.91</v>
      </c>
      <c r="K778">
        <v>4.08</v>
      </c>
      <c r="L778">
        <v>4.29</v>
      </c>
      <c r="M778">
        <v>4.7699999999999996</v>
      </c>
      <c r="N778">
        <v>4.74</v>
      </c>
      <c r="O778">
        <v>5.8555999999999999</v>
      </c>
      <c r="P778">
        <v>4302</v>
      </c>
      <c r="Q778">
        <v>969.23</v>
      </c>
      <c r="R778">
        <v>3.7269999999999999</v>
      </c>
      <c r="S778">
        <v>19.962199999999999</v>
      </c>
    </row>
    <row r="779" spans="1:19" x14ac:dyDescent="0.25">
      <c r="A779" s="4">
        <v>45763</v>
      </c>
      <c r="B779">
        <v>4.3499999999999996</v>
      </c>
      <c r="C779">
        <v>4.3600000000000003</v>
      </c>
      <c r="D779">
        <v>4.33</v>
      </c>
      <c r="E779">
        <v>4.32</v>
      </c>
      <c r="F779">
        <v>4.21</v>
      </c>
      <c r="G779">
        <v>3.99</v>
      </c>
      <c r="H779">
        <v>3.84</v>
      </c>
      <c r="I779">
        <v>3.85</v>
      </c>
      <c r="J779">
        <v>3.98</v>
      </c>
      <c r="K779">
        <v>4.1500000000000004</v>
      </c>
      <c r="L779">
        <v>4.3499999999999996</v>
      </c>
      <c r="M779">
        <v>4.82</v>
      </c>
      <c r="N779">
        <v>4.79</v>
      </c>
      <c r="O779">
        <v>5.8804999999999996</v>
      </c>
      <c r="P779">
        <v>4302</v>
      </c>
      <c r="Q779">
        <v>967.15</v>
      </c>
      <c r="R779">
        <v>3.7269999999999999</v>
      </c>
      <c r="S779">
        <v>19.962199999999999</v>
      </c>
    </row>
    <row r="780" spans="1:19" x14ac:dyDescent="0.25">
      <c r="A780" s="4">
        <v>45762</v>
      </c>
      <c r="B780">
        <v>4.34</v>
      </c>
      <c r="C780">
        <v>4.37</v>
      </c>
      <c r="D780">
        <v>4.33</v>
      </c>
      <c r="E780">
        <v>4.34</v>
      </c>
      <c r="F780">
        <v>4.21</v>
      </c>
      <c r="G780">
        <v>3.99</v>
      </c>
      <c r="H780">
        <v>3.84</v>
      </c>
      <c r="I780">
        <v>3.87</v>
      </c>
      <c r="J780">
        <v>4.0199999999999996</v>
      </c>
      <c r="K780">
        <v>4.2</v>
      </c>
      <c r="L780">
        <v>4.38</v>
      </c>
      <c r="M780">
        <v>4.84</v>
      </c>
      <c r="N780">
        <v>4.8</v>
      </c>
      <c r="O780">
        <v>5.8704000000000001</v>
      </c>
      <c r="P780">
        <v>4358</v>
      </c>
      <c r="Q780">
        <v>966.07</v>
      </c>
      <c r="R780">
        <v>3.7410000000000001</v>
      </c>
      <c r="S780">
        <v>20.1235</v>
      </c>
    </row>
    <row r="781" spans="1:19" x14ac:dyDescent="0.25">
      <c r="A781" s="4">
        <v>45761</v>
      </c>
      <c r="B781">
        <v>4.37</v>
      </c>
      <c r="C781">
        <v>4.38</v>
      </c>
      <c r="D781">
        <v>4.34</v>
      </c>
      <c r="E781">
        <v>4.3499999999999996</v>
      </c>
      <c r="F781">
        <v>4.21</v>
      </c>
      <c r="G781">
        <v>4.04</v>
      </c>
      <c r="H781">
        <v>3.96</v>
      </c>
      <c r="I781">
        <v>3.98</v>
      </c>
      <c r="J781">
        <v>4.1500000000000004</v>
      </c>
      <c r="K781">
        <v>4.32</v>
      </c>
      <c r="L781">
        <v>4.4800000000000004</v>
      </c>
      <c r="M781">
        <v>4.91</v>
      </c>
      <c r="N781">
        <v>4.8499999999999996</v>
      </c>
      <c r="O781">
        <v>5.8422000000000001</v>
      </c>
      <c r="P781">
        <v>4300</v>
      </c>
      <c r="Q781">
        <v>978.09</v>
      </c>
      <c r="R781">
        <v>3.738</v>
      </c>
      <c r="S781">
        <v>20.102900000000002</v>
      </c>
    </row>
    <row r="782" spans="1:19" x14ac:dyDescent="0.25">
      <c r="A782" s="4">
        <v>45758</v>
      </c>
      <c r="B782">
        <v>4.3600000000000003</v>
      </c>
      <c r="C782">
        <v>4.3899999999999997</v>
      </c>
      <c r="D782">
        <v>4.34</v>
      </c>
      <c r="E782">
        <v>4.33</v>
      </c>
      <c r="F782">
        <v>4.17</v>
      </c>
      <c r="G782">
        <v>3.97</v>
      </c>
      <c r="H782">
        <v>3.84</v>
      </c>
      <c r="I782">
        <v>3.85</v>
      </c>
      <c r="J782">
        <v>4.04</v>
      </c>
      <c r="K782">
        <v>4.21</v>
      </c>
      <c r="L782">
        <v>4.4000000000000004</v>
      </c>
      <c r="M782">
        <v>4.9000000000000004</v>
      </c>
      <c r="N782">
        <v>4.8600000000000003</v>
      </c>
      <c r="O782">
        <v>5.8734000000000002</v>
      </c>
      <c r="P782">
        <v>4275</v>
      </c>
      <c r="Q782">
        <v>988.97</v>
      </c>
      <c r="R782">
        <v>3.73</v>
      </c>
      <c r="S782">
        <v>20.293500000000002</v>
      </c>
    </row>
    <row r="783" spans="1:19" x14ac:dyDescent="0.25">
      <c r="A783" s="4">
        <v>45757</v>
      </c>
      <c r="B783">
        <v>4.3600000000000003</v>
      </c>
      <c r="C783">
        <v>4.37</v>
      </c>
      <c r="D783">
        <v>4.3499999999999996</v>
      </c>
      <c r="E783">
        <v>4.3600000000000003</v>
      </c>
      <c r="F783">
        <v>4.2300000000000004</v>
      </c>
      <c r="G783">
        <v>4.03</v>
      </c>
      <c r="H783">
        <v>3.91</v>
      </c>
      <c r="I783">
        <v>3.91</v>
      </c>
      <c r="J783">
        <v>4.0599999999999996</v>
      </c>
      <c r="K783">
        <v>4.2</v>
      </c>
      <c r="L783">
        <v>4.34</v>
      </c>
      <c r="M783">
        <v>4.78</v>
      </c>
      <c r="N783">
        <v>4.72</v>
      </c>
      <c r="O783">
        <v>5.9112</v>
      </c>
      <c r="P783">
        <v>4337</v>
      </c>
      <c r="Q783">
        <v>1000.01</v>
      </c>
      <c r="R783">
        <v>3.73</v>
      </c>
      <c r="S783">
        <v>20.439599999999999</v>
      </c>
    </row>
    <row r="784" spans="1:19" x14ac:dyDescent="0.25">
      <c r="A784" s="4">
        <v>45756</v>
      </c>
      <c r="B784">
        <v>4.3600000000000003</v>
      </c>
      <c r="C784">
        <v>4.37</v>
      </c>
      <c r="D784">
        <v>4.3099999999999996</v>
      </c>
      <c r="E784">
        <v>4.3</v>
      </c>
      <c r="F784">
        <v>4.1399999999999997</v>
      </c>
      <c r="G784">
        <v>3.83</v>
      </c>
      <c r="H784">
        <v>3.71</v>
      </c>
      <c r="I784">
        <v>3.71</v>
      </c>
      <c r="J784">
        <v>3.88</v>
      </c>
      <c r="K784">
        <v>4.05</v>
      </c>
      <c r="L784">
        <v>4.26</v>
      </c>
      <c r="M784">
        <v>4.76</v>
      </c>
      <c r="N784">
        <v>4.71</v>
      </c>
      <c r="O784">
        <v>6.0602</v>
      </c>
      <c r="P784">
        <v>4320</v>
      </c>
      <c r="Q784">
        <v>993.89</v>
      </c>
      <c r="R784">
        <v>3.6960000000000002</v>
      </c>
      <c r="S784">
        <v>20.2818</v>
      </c>
    </row>
    <row r="785" spans="1:19" x14ac:dyDescent="0.25">
      <c r="A785" s="4">
        <v>45755</v>
      </c>
      <c r="B785">
        <v>4.3600000000000003</v>
      </c>
      <c r="C785">
        <v>4.3600000000000003</v>
      </c>
      <c r="D785">
        <v>4.29</v>
      </c>
      <c r="E785">
        <v>4.28</v>
      </c>
      <c r="F785">
        <v>4.1399999999999997</v>
      </c>
      <c r="G785">
        <v>3.86</v>
      </c>
      <c r="H785">
        <v>3.73</v>
      </c>
      <c r="I785">
        <v>3.72</v>
      </c>
      <c r="J785">
        <v>3.82</v>
      </c>
      <c r="K785">
        <v>3.97</v>
      </c>
      <c r="L785">
        <v>4.1500000000000004</v>
      </c>
      <c r="M785">
        <v>4.6100000000000003</v>
      </c>
      <c r="N785">
        <v>4.58</v>
      </c>
      <c r="O785">
        <v>5.9364999999999997</v>
      </c>
      <c r="P785">
        <v>4427</v>
      </c>
      <c r="Q785">
        <v>990.68</v>
      </c>
      <c r="R785">
        <v>3.7450000000000001</v>
      </c>
      <c r="S785">
        <v>20.808299999999999</v>
      </c>
    </row>
    <row r="786" spans="1:19" x14ac:dyDescent="0.25">
      <c r="A786" s="4">
        <v>45754</v>
      </c>
      <c r="B786">
        <v>4.3600000000000003</v>
      </c>
      <c r="C786">
        <v>4.3600000000000003</v>
      </c>
      <c r="D786">
        <v>4.28</v>
      </c>
      <c r="E786">
        <v>4.25</v>
      </c>
      <c r="F786">
        <v>4.1399999999999997</v>
      </c>
      <c r="G786">
        <v>3.86</v>
      </c>
      <c r="H786">
        <v>3.68</v>
      </c>
      <c r="I786">
        <v>3.66</v>
      </c>
      <c r="J786">
        <v>3.72</v>
      </c>
      <c r="K786">
        <v>3.84</v>
      </c>
      <c r="L786">
        <v>4.01</v>
      </c>
      <c r="M786">
        <v>4.4400000000000004</v>
      </c>
      <c r="N786">
        <v>4.41</v>
      </c>
      <c r="O786">
        <v>5.8874000000000004</v>
      </c>
      <c r="P786">
        <v>4386</v>
      </c>
      <c r="Q786">
        <v>975.82</v>
      </c>
      <c r="R786">
        <v>3.718</v>
      </c>
      <c r="S786">
        <v>20.6889</v>
      </c>
    </row>
    <row r="787" spans="1:19" x14ac:dyDescent="0.25">
      <c r="A787" s="4">
        <v>45751</v>
      </c>
      <c r="B787">
        <v>4.3600000000000003</v>
      </c>
      <c r="C787">
        <v>4.38</v>
      </c>
      <c r="D787">
        <v>4.3099999999999996</v>
      </c>
      <c r="E787">
        <v>4.29</v>
      </c>
      <c r="F787">
        <v>4.2</v>
      </c>
      <c r="G787">
        <v>3.92</v>
      </c>
      <c r="H787">
        <v>3.71</v>
      </c>
      <c r="I787">
        <v>3.68</v>
      </c>
      <c r="J787">
        <v>3.75</v>
      </c>
      <c r="K787">
        <v>3.88</v>
      </c>
      <c r="L787">
        <v>4.0599999999999996</v>
      </c>
      <c r="M787">
        <v>4.51</v>
      </c>
      <c r="N787">
        <v>4.49</v>
      </c>
      <c r="O787">
        <v>5.7774000000000001</v>
      </c>
      <c r="P787">
        <v>4272.1000000000004</v>
      </c>
      <c r="Q787">
        <v>946.59</v>
      </c>
      <c r="R787">
        <v>3.68</v>
      </c>
      <c r="S787">
        <v>20.465</v>
      </c>
    </row>
    <row r="788" spans="1:19" x14ac:dyDescent="0.25">
      <c r="A788" s="4">
        <v>45750</v>
      </c>
      <c r="B788">
        <v>4.38</v>
      </c>
      <c r="C788">
        <v>4.34</v>
      </c>
      <c r="D788">
        <v>4.32</v>
      </c>
      <c r="E788">
        <v>4.32</v>
      </c>
      <c r="F788">
        <v>4.24</v>
      </c>
      <c r="G788">
        <v>4.04</v>
      </c>
      <c r="H788">
        <v>3.91</v>
      </c>
      <c r="I788">
        <v>3.89</v>
      </c>
      <c r="J788">
        <v>3.95</v>
      </c>
      <c r="K788">
        <v>4.07</v>
      </c>
      <c r="L788">
        <v>4.2</v>
      </c>
      <c r="M788">
        <v>4.58</v>
      </c>
      <c r="N788">
        <v>4.54</v>
      </c>
      <c r="O788">
        <v>5.6064499999999997</v>
      </c>
      <c r="P788">
        <v>4157.5</v>
      </c>
      <c r="Q788">
        <v>949.83</v>
      </c>
      <c r="R788">
        <v>3.6669999999999998</v>
      </c>
      <c r="S788">
        <v>19.9434</v>
      </c>
    </row>
    <row r="789" spans="1:19" x14ac:dyDescent="0.25">
      <c r="A789" s="4">
        <v>45749</v>
      </c>
      <c r="B789">
        <v>4.38</v>
      </c>
      <c r="C789">
        <v>4.3499999999999996</v>
      </c>
      <c r="D789">
        <v>4.32</v>
      </c>
      <c r="E789">
        <v>4.3</v>
      </c>
      <c r="F789">
        <v>4.2300000000000004</v>
      </c>
      <c r="G789">
        <v>4.01</v>
      </c>
      <c r="H789">
        <v>3.87</v>
      </c>
      <c r="I789">
        <v>3.85</v>
      </c>
      <c r="J789">
        <v>3.91</v>
      </c>
      <c r="K789">
        <v>4.03</v>
      </c>
      <c r="L789">
        <v>4.17</v>
      </c>
      <c r="M789">
        <v>4.5599999999999996</v>
      </c>
      <c r="N789">
        <v>4.5199999999999996</v>
      </c>
      <c r="O789">
        <v>5.6920500000000001</v>
      </c>
      <c r="P789">
        <v>4154</v>
      </c>
      <c r="Q789">
        <v>946.28</v>
      </c>
      <c r="R789">
        <v>3.67</v>
      </c>
      <c r="S789">
        <v>20.4556</v>
      </c>
    </row>
    <row r="790" spans="1:19" x14ac:dyDescent="0.25">
      <c r="A790" s="4">
        <v>45748</v>
      </c>
      <c r="B790">
        <v>4.38</v>
      </c>
      <c r="C790">
        <v>4.3499999999999996</v>
      </c>
      <c r="D790">
        <v>4.32</v>
      </c>
      <c r="E790">
        <v>4.3099999999999996</v>
      </c>
      <c r="F790">
        <v>4.2300000000000004</v>
      </c>
      <c r="G790">
        <v>4.03</v>
      </c>
      <c r="H790">
        <v>3.89</v>
      </c>
      <c r="I790">
        <v>3.89</v>
      </c>
      <c r="J790">
        <v>3.96</v>
      </c>
      <c r="K790">
        <v>4.09</v>
      </c>
      <c r="L790">
        <v>4.2300000000000004</v>
      </c>
      <c r="M790">
        <v>4.62</v>
      </c>
      <c r="N790">
        <v>4.59</v>
      </c>
      <c r="O790">
        <v>5.7047999999999996</v>
      </c>
      <c r="P790">
        <v>4147.45</v>
      </c>
      <c r="Q790">
        <v>953.07</v>
      </c>
      <c r="R790">
        <v>3.6739999999999999</v>
      </c>
      <c r="S790">
        <v>20.333100000000002</v>
      </c>
    </row>
    <row r="791" spans="1:19" x14ac:dyDescent="0.25">
      <c r="A791" s="4">
        <v>45747</v>
      </c>
      <c r="B791">
        <v>4.38</v>
      </c>
      <c r="C791">
        <v>4.3499999999999996</v>
      </c>
      <c r="D791">
        <v>4.33</v>
      </c>
      <c r="E791">
        <v>4.3</v>
      </c>
      <c r="F791">
        <v>4.26</v>
      </c>
      <c r="G791">
        <v>4.04</v>
      </c>
      <c r="H791">
        <v>3.89</v>
      </c>
      <c r="I791">
        <v>3.91</v>
      </c>
      <c r="J791">
        <v>3.98</v>
      </c>
      <c r="K791">
        <v>4.1100000000000003</v>
      </c>
      <c r="L791">
        <v>4.2699999999999996</v>
      </c>
      <c r="M791">
        <v>4.6500000000000004</v>
      </c>
      <c r="N791">
        <v>4.6399999999999997</v>
      </c>
      <c r="O791">
        <v>5.7419000000000002</v>
      </c>
      <c r="P791">
        <v>4181.3</v>
      </c>
      <c r="Q791">
        <v>946.1</v>
      </c>
      <c r="R791">
        <v>3.6760000000000002</v>
      </c>
      <c r="S791">
        <v>20.4604</v>
      </c>
    </row>
    <row r="792" spans="1:19" x14ac:dyDescent="0.25">
      <c r="A792" s="4">
        <v>45744</v>
      </c>
      <c r="B792">
        <v>4.37</v>
      </c>
      <c r="C792">
        <v>4.3600000000000003</v>
      </c>
      <c r="D792">
        <v>4.33</v>
      </c>
      <c r="E792">
        <v>4.3099999999999996</v>
      </c>
      <c r="F792">
        <v>4.2699999999999996</v>
      </c>
      <c r="G792">
        <v>4.0999999999999996</v>
      </c>
      <c r="H792">
        <v>3.97</v>
      </c>
      <c r="I792">
        <v>4</v>
      </c>
      <c r="J792">
        <v>4.09</v>
      </c>
      <c r="K792">
        <v>4.2300000000000004</v>
      </c>
      <c r="L792">
        <v>4.38</v>
      </c>
      <c r="M792">
        <v>4.75</v>
      </c>
      <c r="N792">
        <v>4.7300000000000004</v>
      </c>
      <c r="O792">
        <v>5.7656999999999998</v>
      </c>
      <c r="P792">
        <v>4200</v>
      </c>
      <c r="Q792">
        <v>931.75</v>
      </c>
      <c r="R792">
        <v>3.657</v>
      </c>
      <c r="S792">
        <v>20.416899999999998</v>
      </c>
    </row>
    <row r="793" spans="1:19" x14ac:dyDescent="0.25">
      <c r="A793" s="4">
        <v>45743</v>
      </c>
      <c r="B793">
        <v>4.3600000000000003</v>
      </c>
      <c r="C793">
        <v>4.33</v>
      </c>
      <c r="D793">
        <v>4.33</v>
      </c>
      <c r="E793">
        <v>4.3099999999999996</v>
      </c>
      <c r="F793">
        <v>4.26</v>
      </c>
      <c r="G793">
        <v>4.0999999999999996</v>
      </c>
      <c r="H793">
        <v>3.98</v>
      </c>
      <c r="I793">
        <v>4.01</v>
      </c>
      <c r="J793">
        <v>4.08</v>
      </c>
      <c r="K793">
        <v>4.22</v>
      </c>
      <c r="L793">
        <v>4.3499999999999996</v>
      </c>
      <c r="M793">
        <v>4.71</v>
      </c>
      <c r="N793">
        <v>4.6900000000000004</v>
      </c>
      <c r="O793">
        <v>5.7470999999999997</v>
      </c>
      <c r="P793">
        <v>4172</v>
      </c>
      <c r="Q793">
        <v>920.98</v>
      </c>
      <c r="R793">
        <v>3.6389999999999998</v>
      </c>
      <c r="S793">
        <v>20.304400000000001</v>
      </c>
    </row>
    <row r="794" spans="1:19" x14ac:dyDescent="0.25">
      <c r="A794" s="4">
        <v>45742</v>
      </c>
      <c r="B794">
        <v>4.3600000000000003</v>
      </c>
      <c r="C794">
        <v>4.33</v>
      </c>
      <c r="D794">
        <v>4.33</v>
      </c>
      <c r="E794">
        <v>4.3</v>
      </c>
      <c r="F794">
        <v>4.26</v>
      </c>
      <c r="G794">
        <v>4.09</v>
      </c>
      <c r="H794">
        <v>3.96</v>
      </c>
      <c r="I794">
        <v>3.98</v>
      </c>
      <c r="J794">
        <v>4.07</v>
      </c>
      <c r="K794">
        <v>4.1900000000000004</v>
      </c>
      <c r="L794">
        <v>4.3099999999999996</v>
      </c>
      <c r="M794">
        <v>4.67</v>
      </c>
      <c r="N794">
        <v>4.6500000000000004</v>
      </c>
      <c r="O794">
        <v>5.7294999999999998</v>
      </c>
      <c r="P794">
        <v>4130</v>
      </c>
      <c r="Q794">
        <v>919.92</v>
      </c>
      <c r="R794">
        <v>3.637</v>
      </c>
      <c r="S794">
        <v>20.137</v>
      </c>
    </row>
    <row r="795" spans="1:19" x14ac:dyDescent="0.25">
      <c r="A795" s="4">
        <v>45741</v>
      </c>
      <c r="B795">
        <v>4.3499999999999996</v>
      </c>
      <c r="C795">
        <v>4.34</v>
      </c>
      <c r="D795">
        <v>4.33</v>
      </c>
      <c r="E795">
        <v>4.3</v>
      </c>
      <c r="F795">
        <v>4.2699999999999996</v>
      </c>
      <c r="G795">
        <v>4.1100000000000003</v>
      </c>
      <c r="H795">
        <v>4.04</v>
      </c>
      <c r="I795">
        <v>4.01</v>
      </c>
      <c r="J795">
        <v>4.09</v>
      </c>
      <c r="K795">
        <v>4.22</v>
      </c>
      <c r="L795">
        <v>4.34</v>
      </c>
      <c r="M795">
        <v>4.68</v>
      </c>
      <c r="N795">
        <v>4.66</v>
      </c>
      <c r="O795">
        <v>5.6989000000000001</v>
      </c>
      <c r="P795">
        <v>4105</v>
      </c>
      <c r="Q795">
        <v>926.41</v>
      </c>
      <c r="R795">
        <v>3.6320000000000001</v>
      </c>
      <c r="S795">
        <v>20.07</v>
      </c>
    </row>
    <row r="796" spans="1:19" x14ac:dyDescent="0.25">
      <c r="A796" s="4">
        <v>45740</v>
      </c>
      <c r="B796">
        <v>4.3600000000000003</v>
      </c>
      <c r="C796">
        <v>4.33</v>
      </c>
      <c r="D796">
        <v>4.33</v>
      </c>
      <c r="E796">
        <v>4.29</v>
      </c>
      <c r="F796">
        <v>4.26</v>
      </c>
      <c r="G796">
        <v>4.04</v>
      </c>
      <c r="H796">
        <v>3.94</v>
      </c>
      <c r="I796">
        <v>3.92</v>
      </c>
      <c r="J796">
        <v>4</v>
      </c>
      <c r="K796">
        <v>4.12</v>
      </c>
      <c r="L796">
        <v>4.25</v>
      </c>
      <c r="M796">
        <v>4.5999999999999996</v>
      </c>
      <c r="N796">
        <v>4.59</v>
      </c>
      <c r="O796">
        <v>5.74</v>
      </c>
      <c r="P796">
        <v>4144</v>
      </c>
      <c r="Q796">
        <v>932.14</v>
      </c>
      <c r="R796">
        <v>3.6480000000000001</v>
      </c>
      <c r="S796">
        <v>20.058700000000002</v>
      </c>
    </row>
    <row r="797" spans="1:19" x14ac:dyDescent="0.25">
      <c r="A797" s="4">
        <v>45737</v>
      </c>
      <c r="B797">
        <v>4.3600000000000003</v>
      </c>
      <c r="C797">
        <v>4.34</v>
      </c>
      <c r="D797">
        <v>4.33</v>
      </c>
      <c r="E797">
        <v>4.29</v>
      </c>
      <c r="F797">
        <v>4.2699999999999996</v>
      </c>
      <c r="G797">
        <v>4.0599999999999996</v>
      </c>
      <c r="H797">
        <v>3.95</v>
      </c>
      <c r="I797">
        <v>3.93</v>
      </c>
      <c r="J797">
        <v>4.01</v>
      </c>
      <c r="K797">
        <v>4.12</v>
      </c>
      <c r="L797">
        <v>4.24</v>
      </c>
      <c r="M797">
        <v>4.57</v>
      </c>
      <c r="N797">
        <v>4.55</v>
      </c>
      <c r="O797">
        <v>5.7237999999999998</v>
      </c>
      <c r="P797">
        <v>4144</v>
      </c>
      <c r="Q797">
        <v>926.15</v>
      </c>
      <c r="R797">
        <v>3.633</v>
      </c>
      <c r="S797">
        <v>20.240500000000001</v>
      </c>
    </row>
    <row r="798" spans="1:19" x14ac:dyDescent="0.25">
      <c r="A798" s="4">
        <v>45736</v>
      </c>
      <c r="B798">
        <v>4.37</v>
      </c>
      <c r="C798">
        <v>4.32</v>
      </c>
      <c r="D798">
        <v>4.33</v>
      </c>
      <c r="E798">
        <v>4.3</v>
      </c>
      <c r="F798">
        <v>4.29</v>
      </c>
      <c r="G798">
        <v>4.0999999999999996</v>
      </c>
      <c r="H798">
        <v>3.99</v>
      </c>
      <c r="I798">
        <v>3.95</v>
      </c>
      <c r="J798">
        <v>4.03</v>
      </c>
      <c r="K798">
        <v>4.1399999999999997</v>
      </c>
      <c r="L798">
        <v>4.25</v>
      </c>
      <c r="M798">
        <v>4.58</v>
      </c>
      <c r="N798">
        <v>4.5599999999999996</v>
      </c>
      <c r="O798">
        <v>5.6624999999999996</v>
      </c>
      <c r="P798">
        <v>4170</v>
      </c>
      <c r="Q798">
        <v>917.76</v>
      </c>
      <c r="R798">
        <v>3.6240000000000001</v>
      </c>
      <c r="S798">
        <v>20.148099999999999</v>
      </c>
    </row>
    <row r="799" spans="1:19" x14ac:dyDescent="0.25">
      <c r="A799" s="4">
        <v>45735</v>
      </c>
      <c r="B799">
        <v>4.37</v>
      </c>
      <c r="C799">
        <v>4.33</v>
      </c>
      <c r="D799">
        <v>4.34</v>
      </c>
      <c r="E799">
        <v>4.29</v>
      </c>
      <c r="F799">
        <v>4.29</v>
      </c>
      <c r="G799">
        <v>4.13</v>
      </c>
      <c r="H799">
        <v>4.04</v>
      </c>
      <c r="I799">
        <v>4.01</v>
      </c>
      <c r="J799">
        <v>4.07</v>
      </c>
      <c r="K799">
        <v>4.18</v>
      </c>
      <c r="L799">
        <v>4.29</v>
      </c>
      <c r="M799">
        <v>4.6100000000000003</v>
      </c>
      <c r="N799">
        <v>4.58</v>
      </c>
      <c r="O799">
        <v>5.6654</v>
      </c>
      <c r="P799">
        <v>4163.33</v>
      </c>
      <c r="Q799">
        <v>917.97</v>
      </c>
      <c r="R799">
        <v>3.6190000000000002</v>
      </c>
      <c r="S799">
        <v>20.053999999999998</v>
      </c>
    </row>
    <row r="800" spans="1:19" x14ac:dyDescent="0.25">
      <c r="A800" s="4">
        <v>45734</v>
      </c>
      <c r="B800">
        <v>4.37</v>
      </c>
      <c r="C800">
        <v>4.33</v>
      </c>
      <c r="D800">
        <v>4.34</v>
      </c>
      <c r="E800">
        <v>4.3</v>
      </c>
      <c r="F800">
        <v>4.29</v>
      </c>
      <c r="G800">
        <v>4.1100000000000003</v>
      </c>
      <c r="H800">
        <v>4.0599999999999996</v>
      </c>
      <c r="I800">
        <v>4.03</v>
      </c>
      <c r="J800">
        <v>4.1100000000000003</v>
      </c>
      <c r="K800">
        <v>4.21</v>
      </c>
      <c r="L800">
        <v>4.3099999999999996</v>
      </c>
      <c r="M800">
        <v>4.6399999999999997</v>
      </c>
      <c r="N800">
        <v>4.5999999999999996</v>
      </c>
      <c r="O800">
        <v>5.6848999999999998</v>
      </c>
      <c r="P800">
        <v>4118</v>
      </c>
      <c r="Q800">
        <v>923.32</v>
      </c>
      <c r="R800">
        <v>3.6240000000000001</v>
      </c>
      <c r="S800">
        <v>19.934799999999999</v>
      </c>
    </row>
    <row r="801" spans="1:19" x14ac:dyDescent="0.25">
      <c r="A801" s="4">
        <v>45733</v>
      </c>
      <c r="B801">
        <v>4.37</v>
      </c>
      <c r="C801">
        <v>4.33</v>
      </c>
      <c r="D801">
        <v>4.33</v>
      </c>
      <c r="E801">
        <v>4.3</v>
      </c>
      <c r="F801">
        <v>4.29</v>
      </c>
      <c r="G801">
        <v>4.09</v>
      </c>
      <c r="H801">
        <v>4.0199999999999996</v>
      </c>
      <c r="I801">
        <v>4</v>
      </c>
      <c r="J801">
        <v>4.09</v>
      </c>
      <c r="K801">
        <v>4.2</v>
      </c>
      <c r="L801">
        <v>4.3099999999999996</v>
      </c>
      <c r="M801">
        <v>4.6500000000000004</v>
      </c>
      <c r="N801">
        <v>4.62</v>
      </c>
      <c r="O801">
        <v>5.7079000000000004</v>
      </c>
      <c r="P801">
        <v>4073.9</v>
      </c>
      <c r="Q801">
        <v>932.36</v>
      </c>
      <c r="R801">
        <v>3.641</v>
      </c>
      <c r="S801">
        <v>19.9238</v>
      </c>
    </row>
    <row r="802" spans="1:19" x14ac:dyDescent="0.25">
      <c r="A802" s="4">
        <v>45730</v>
      </c>
      <c r="B802">
        <v>4.37</v>
      </c>
      <c r="C802">
        <v>4.34</v>
      </c>
      <c r="D802">
        <v>4.34</v>
      </c>
      <c r="E802">
        <v>4.28</v>
      </c>
      <c r="F802">
        <v>4.2699999999999996</v>
      </c>
      <c r="G802">
        <v>4.03</v>
      </c>
      <c r="H802">
        <v>3.94</v>
      </c>
      <c r="I802">
        <v>3.93</v>
      </c>
      <c r="J802">
        <v>4.0199999999999996</v>
      </c>
      <c r="K802">
        <v>4.1500000000000004</v>
      </c>
      <c r="L802">
        <v>4.2699999999999996</v>
      </c>
      <c r="M802">
        <v>4.63</v>
      </c>
      <c r="N802">
        <v>4.59</v>
      </c>
      <c r="O802">
        <v>5.7416</v>
      </c>
      <c r="P802">
        <v>4100.55</v>
      </c>
      <c r="Q802">
        <v>940.2</v>
      </c>
      <c r="R802">
        <v>3.6560000000000001</v>
      </c>
      <c r="S802">
        <v>19.9238</v>
      </c>
    </row>
    <row r="803" spans="1:19" x14ac:dyDescent="0.25">
      <c r="A803" s="4">
        <v>45729</v>
      </c>
      <c r="B803">
        <v>4.3600000000000003</v>
      </c>
      <c r="C803">
        <v>4.34</v>
      </c>
      <c r="D803">
        <v>4.3499999999999996</v>
      </c>
      <c r="E803">
        <v>4.3</v>
      </c>
      <c r="F803">
        <v>4.2699999999999996</v>
      </c>
      <c r="G803">
        <v>4.07</v>
      </c>
      <c r="H803">
        <v>4.01</v>
      </c>
      <c r="I803">
        <v>3.98</v>
      </c>
      <c r="J803">
        <v>4.09</v>
      </c>
      <c r="K803">
        <v>4.2</v>
      </c>
      <c r="L803">
        <v>4.32</v>
      </c>
      <c r="M803">
        <v>4.67</v>
      </c>
      <c r="N803">
        <v>4.63</v>
      </c>
      <c r="O803">
        <v>5.8128000000000002</v>
      </c>
      <c r="P803">
        <v>4125</v>
      </c>
      <c r="Q803">
        <v>932.28</v>
      </c>
      <c r="R803">
        <v>3.6680000000000001</v>
      </c>
      <c r="S803">
        <v>20.095099999999999</v>
      </c>
    </row>
    <row r="804" spans="1:19" x14ac:dyDescent="0.25">
      <c r="A804" s="4">
        <v>45728</v>
      </c>
      <c r="B804">
        <v>4.37</v>
      </c>
      <c r="C804">
        <v>4.33</v>
      </c>
      <c r="D804">
        <v>4.34</v>
      </c>
      <c r="E804">
        <v>4.28</v>
      </c>
      <c r="F804">
        <v>4.26</v>
      </c>
      <c r="G804">
        <v>4.03</v>
      </c>
      <c r="H804">
        <v>3.94</v>
      </c>
      <c r="I804">
        <v>3.92</v>
      </c>
      <c r="J804">
        <v>4.03</v>
      </c>
      <c r="K804">
        <v>4.16</v>
      </c>
      <c r="L804">
        <v>4.28</v>
      </c>
      <c r="M804">
        <v>4.63</v>
      </c>
      <c r="N804">
        <v>4.59</v>
      </c>
      <c r="O804">
        <v>5.8265000000000002</v>
      </c>
      <c r="P804">
        <v>4105</v>
      </c>
      <c r="Q804">
        <v>937.45</v>
      </c>
      <c r="R804">
        <v>3.661</v>
      </c>
      <c r="S804">
        <v>20.1797</v>
      </c>
    </row>
    <row r="805" spans="1:19" x14ac:dyDescent="0.25">
      <c r="A805" s="4">
        <v>45727</v>
      </c>
      <c r="B805">
        <v>4.37</v>
      </c>
      <c r="C805">
        <v>4.34</v>
      </c>
      <c r="D805">
        <v>4.33</v>
      </c>
      <c r="E805">
        <v>4.28</v>
      </c>
      <c r="F805">
        <v>4.25</v>
      </c>
      <c r="G805">
        <v>3.98</v>
      </c>
      <c r="H805">
        <v>3.89</v>
      </c>
      <c r="I805">
        <v>3.91</v>
      </c>
      <c r="J805">
        <v>3.98</v>
      </c>
      <c r="K805">
        <v>4.0999999999999996</v>
      </c>
      <c r="L805">
        <v>4.22</v>
      </c>
      <c r="M805">
        <v>4.58</v>
      </c>
      <c r="N805">
        <v>4.54</v>
      </c>
      <c r="O805">
        <v>5.8343499999999997</v>
      </c>
      <c r="P805">
        <v>4130</v>
      </c>
      <c r="Q805">
        <v>931.13</v>
      </c>
      <c r="R805">
        <v>3.6619999999999999</v>
      </c>
      <c r="S805">
        <v>20.258199999999999</v>
      </c>
    </row>
    <row r="806" spans="1:19" x14ac:dyDescent="0.25">
      <c r="A806" s="4">
        <v>45726</v>
      </c>
      <c r="B806">
        <v>4.38</v>
      </c>
      <c r="C806">
        <v>4.33</v>
      </c>
      <c r="D806">
        <v>4.34</v>
      </c>
      <c r="E806">
        <v>4.29</v>
      </c>
      <c r="F806">
        <v>4.29</v>
      </c>
      <c r="G806">
        <v>4.05</v>
      </c>
      <c r="H806">
        <v>3.99</v>
      </c>
      <c r="I806">
        <v>4.01</v>
      </c>
      <c r="J806">
        <v>4.09</v>
      </c>
      <c r="K806">
        <v>4.21</v>
      </c>
      <c r="L806">
        <v>4.32</v>
      </c>
      <c r="M806">
        <v>4.66</v>
      </c>
      <c r="N806">
        <v>4.62</v>
      </c>
      <c r="O806">
        <v>5.7927</v>
      </c>
      <c r="P806">
        <v>4176.07</v>
      </c>
      <c r="Q806">
        <v>928.25</v>
      </c>
      <c r="R806">
        <v>3.669</v>
      </c>
      <c r="S806">
        <v>20.362300000000001</v>
      </c>
    </row>
    <row r="807" spans="1:19" x14ac:dyDescent="0.25">
      <c r="A807" s="4">
        <v>45723</v>
      </c>
      <c r="B807">
        <v>4.38</v>
      </c>
      <c r="C807">
        <v>4.34</v>
      </c>
      <c r="D807">
        <v>4.34</v>
      </c>
      <c r="E807">
        <v>4.28</v>
      </c>
      <c r="F807">
        <v>4.2699999999999996</v>
      </c>
      <c r="G807">
        <v>4.0199999999999996</v>
      </c>
      <c r="H807">
        <v>3.96</v>
      </c>
      <c r="I807">
        <v>3.98</v>
      </c>
      <c r="J807">
        <v>4.0599999999999996</v>
      </c>
      <c r="K807">
        <v>4.18</v>
      </c>
      <c r="L807">
        <v>4.29</v>
      </c>
      <c r="M807">
        <v>4.63</v>
      </c>
      <c r="N807">
        <v>4.58</v>
      </c>
      <c r="O807">
        <v>5.7685000000000004</v>
      </c>
      <c r="P807">
        <v>4130</v>
      </c>
      <c r="Q807">
        <v>926.52</v>
      </c>
      <c r="R807">
        <v>3.653</v>
      </c>
      <c r="S807">
        <v>20.267199999999999</v>
      </c>
    </row>
    <row r="808" spans="1:19" x14ac:dyDescent="0.25">
      <c r="A808" s="4">
        <v>45722</v>
      </c>
      <c r="B808">
        <v>4.38</v>
      </c>
      <c r="C808">
        <v>4.3600000000000003</v>
      </c>
      <c r="D808">
        <v>4.3499999999999996</v>
      </c>
      <c r="E808">
        <v>4.3</v>
      </c>
      <c r="F808">
        <v>4.3</v>
      </c>
      <c r="G808">
        <v>4.0599999999999996</v>
      </c>
      <c r="H808">
        <v>3.99</v>
      </c>
      <c r="I808">
        <v>4.01</v>
      </c>
      <c r="J808">
        <v>4.08</v>
      </c>
      <c r="K808">
        <v>4.18</v>
      </c>
      <c r="L808">
        <v>4.28</v>
      </c>
      <c r="M808">
        <v>4.6100000000000003</v>
      </c>
      <c r="N808">
        <v>4.57</v>
      </c>
      <c r="O808">
        <v>5.7485999999999997</v>
      </c>
      <c r="P808">
        <v>4101</v>
      </c>
      <c r="Q808">
        <v>936.7</v>
      </c>
      <c r="R808">
        <v>3.653</v>
      </c>
      <c r="S808">
        <v>20.265699999999999</v>
      </c>
    </row>
    <row r="809" spans="1:19" x14ac:dyDescent="0.25">
      <c r="A809" s="4">
        <v>45721</v>
      </c>
      <c r="B809">
        <v>4.3899999999999997</v>
      </c>
      <c r="C809">
        <v>4.37</v>
      </c>
      <c r="D809">
        <v>4.34</v>
      </c>
      <c r="E809">
        <v>4.3099999999999996</v>
      </c>
      <c r="F809">
        <v>4.28</v>
      </c>
      <c r="G809">
        <v>4.04</v>
      </c>
      <c r="H809">
        <v>3.96</v>
      </c>
      <c r="I809">
        <v>3.94</v>
      </c>
      <c r="J809">
        <v>4.01</v>
      </c>
      <c r="K809">
        <v>4.1100000000000003</v>
      </c>
      <c r="L809">
        <v>4.22</v>
      </c>
      <c r="M809">
        <v>4.5599999999999996</v>
      </c>
      <c r="N809">
        <v>4.53</v>
      </c>
      <c r="O809">
        <v>5.7911000000000001</v>
      </c>
      <c r="P809">
        <v>4111</v>
      </c>
      <c r="Q809">
        <v>948.87</v>
      </c>
      <c r="R809">
        <v>3.65</v>
      </c>
      <c r="S809">
        <v>20.3568</v>
      </c>
    </row>
    <row r="810" spans="1:19" x14ac:dyDescent="0.25">
      <c r="A810" s="4">
        <v>45720</v>
      </c>
      <c r="B810">
        <v>4.38</v>
      </c>
      <c r="C810">
        <v>4.37</v>
      </c>
      <c r="D810">
        <v>4.3499999999999996</v>
      </c>
      <c r="E810">
        <v>4.3099999999999996</v>
      </c>
      <c r="F810">
        <v>4.3099999999999996</v>
      </c>
      <c r="G810">
        <v>4.0599999999999996</v>
      </c>
      <c r="H810">
        <v>3.96</v>
      </c>
      <c r="I810">
        <v>3.93</v>
      </c>
      <c r="J810">
        <v>3.97</v>
      </c>
      <c r="K810">
        <v>4.0599999999999996</v>
      </c>
      <c r="L810">
        <v>4.16</v>
      </c>
      <c r="M810">
        <v>4.49</v>
      </c>
      <c r="N810">
        <v>4.45</v>
      </c>
      <c r="O810">
        <v>5.8484999999999996</v>
      </c>
      <c r="P810">
        <v>4161.5</v>
      </c>
      <c r="Q810">
        <v>953.11</v>
      </c>
      <c r="R810">
        <v>3.669</v>
      </c>
      <c r="S810">
        <v>20.743099999999998</v>
      </c>
    </row>
    <row r="811" spans="1:19" x14ac:dyDescent="0.25">
      <c r="A811" s="4">
        <v>45719</v>
      </c>
      <c r="B811">
        <v>4.38</v>
      </c>
      <c r="C811">
        <v>4.38</v>
      </c>
      <c r="D811">
        <v>4.32</v>
      </c>
      <c r="E811">
        <v>4.32</v>
      </c>
      <c r="F811">
        <v>4.25</v>
      </c>
      <c r="G811">
        <v>4.08</v>
      </c>
      <c r="H811">
        <v>3.99</v>
      </c>
      <c r="I811">
        <v>3.99</v>
      </c>
      <c r="J811">
        <v>4.03</v>
      </c>
      <c r="K811">
        <v>4.1399999999999997</v>
      </c>
      <c r="L811">
        <v>4.24</v>
      </c>
      <c r="M811">
        <v>4.55</v>
      </c>
      <c r="N811">
        <v>4.51</v>
      </c>
      <c r="O811">
        <v>5.8484999999999996</v>
      </c>
      <c r="P811">
        <v>4109</v>
      </c>
      <c r="Q811">
        <v>954.22</v>
      </c>
      <c r="R811">
        <v>3.69</v>
      </c>
      <c r="S811">
        <v>20.717600000000001</v>
      </c>
    </row>
    <row r="812" spans="1:19" x14ac:dyDescent="0.25">
      <c r="A812" s="4">
        <v>45716</v>
      </c>
      <c r="B812">
        <v>4.38</v>
      </c>
      <c r="C812">
        <v>4.38</v>
      </c>
      <c r="D812">
        <v>4.32</v>
      </c>
      <c r="E812">
        <v>4.32</v>
      </c>
      <c r="F812">
        <v>4.28</v>
      </c>
      <c r="G812">
        <v>4.13</v>
      </c>
      <c r="H812">
        <v>4.07</v>
      </c>
      <c r="I812">
        <v>4.05</v>
      </c>
      <c r="J812">
        <v>4.09</v>
      </c>
      <c r="K812">
        <v>4.1900000000000004</v>
      </c>
      <c r="L812">
        <v>4.29</v>
      </c>
      <c r="M812">
        <v>4.59</v>
      </c>
      <c r="N812">
        <v>4.5599999999999996</v>
      </c>
      <c r="O812">
        <v>5.8484999999999996</v>
      </c>
      <c r="P812">
        <v>4153.01</v>
      </c>
      <c r="Q812">
        <v>951.21</v>
      </c>
      <c r="R812">
        <v>3.69</v>
      </c>
      <c r="S812">
        <v>20.578199999999999</v>
      </c>
    </row>
    <row r="813" spans="1:19" x14ac:dyDescent="0.25">
      <c r="A813" s="4">
        <v>45715</v>
      </c>
      <c r="B813">
        <v>4.3499999999999996</v>
      </c>
      <c r="C813">
        <v>4.37</v>
      </c>
      <c r="D813">
        <v>4.3099999999999996</v>
      </c>
      <c r="E813">
        <v>4.32</v>
      </c>
      <c r="F813">
        <v>4.28</v>
      </c>
      <c r="G813">
        <v>4.12</v>
      </c>
      <c r="H813">
        <v>4.05</v>
      </c>
      <c r="I813">
        <v>4.04</v>
      </c>
      <c r="J813">
        <v>4.0599999999999996</v>
      </c>
      <c r="K813">
        <v>4.16</v>
      </c>
      <c r="L813">
        <v>4.25</v>
      </c>
      <c r="M813">
        <v>4.55</v>
      </c>
      <c r="N813">
        <v>4.51</v>
      </c>
      <c r="O813">
        <v>5.8224999999999998</v>
      </c>
      <c r="P813">
        <v>4132</v>
      </c>
      <c r="Q813">
        <v>941.76</v>
      </c>
      <c r="R813">
        <v>3.6739999999999999</v>
      </c>
      <c r="S813">
        <v>20.468699999999998</v>
      </c>
    </row>
    <row r="814" spans="1:19" x14ac:dyDescent="0.25">
      <c r="A814" s="4">
        <v>45714</v>
      </c>
      <c r="B814">
        <v>4.34</v>
      </c>
      <c r="C814">
        <v>4.37</v>
      </c>
      <c r="D814">
        <v>4.3</v>
      </c>
      <c r="E814">
        <v>4.33</v>
      </c>
      <c r="F814">
        <v>4.28</v>
      </c>
      <c r="G814">
        <v>4.12</v>
      </c>
      <c r="H814">
        <v>4.07</v>
      </c>
      <c r="I814">
        <v>4.08</v>
      </c>
      <c r="J814">
        <v>4.12</v>
      </c>
      <c r="K814">
        <v>4.21</v>
      </c>
      <c r="L814">
        <v>4.3</v>
      </c>
      <c r="M814">
        <v>4.59</v>
      </c>
      <c r="N814">
        <v>4.55</v>
      </c>
      <c r="O814">
        <v>5.7754000000000003</v>
      </c>
      <c r="P814">
        <v>4104.3999999999996</v>
      </c>
      <c r="Q814">
        <v>940.99</v>
      </c>
      <c r="R814">
        <v>3.661</v>
      </c>
      <c r="S814">
        <v>20.4268</v>
      </c>
    </row>
    <row r="815" spans="1:19" x14ac:dyDescent="0.25">
      <c r="A815" s="4">
        <v>45713</v>
      </c>
      <c r="B815">
        <v>4.3600000000000003</v>
      </c>
      <c r="C815">
        <v>4.37</v>
      </c>
      <c r="D815">
        <v>4.3099999999999996</v>
      </c>
      <c r="E815">
        <v>4.34</v>
      </c>
      <c r="F815">
        <v>4.3</v>
      </c>
      <c r="G815">
        <v>4.1500000000000004</v>
      </c>
      <c r="H815">
        <v>4.13</v>
      </c>
      <c r="I815">
        <v>4.17</v>
      </c>
      <c r="J815">
        <v>4.2300000000000004</v>
      </c>
      <c r="K815">
        <v>4.32</v>
      </c>
      <c r="L815">
        <v>4.4000000000000004</v>
      </c>
      <c r="M815">
        <v>4.6900000000000004</v>
      </c>
      <c r="N815">
        <v>4.66</v>
      </c>
      <c r="O815">
        <v>5.7775999999999996</v>
      </c>
      <c r="P815">
        <v>4129</v>
      </c>
      <c r="Q815">
        <v>946.96</v>
      </c>
      <c r="R815">
        <v>3.6779999999999999</v>
      </c>
      <c r="S815">
        <v>20.456800000000001</v>
      </c>
    </row>
    <row r="816" spans="1:19" x14ac:dyDescent="0.25">
      <c r="A816" s="4">
        <v>45712</v>
      </c>
      <c r="B816">
        <v>4.3600000000000003</v>
      </c>
      <c r="C816">
        <v>4.38</v>
      </c>
      <c r="D816">
        <v>4.32</v>
      </c>
      <c r="E816">
        <v>4.34</v>
      </c>
      <c r="F816">
        <v>4.3</v>
      </c>
      <c r="G816">
        <v>4.1500000000000004</v>
      </c>
      <c r="H816">
        <v>4.1900000000000004</v>
      </c>
      <c r="I816">
        <v>4.1900000000000004</v>
      </c>
      <c r="J816">
        <v>4.26</v>
      </c>
      <c r="K816">
        <v>4.3499999999999996</v>
      </c>
      <c r="L816">
        <v>4.42</v>
      </c>
      <c r="M816">
        <v>4.6900000000000004</v>
      </c>
      <c r="N816">
        <v>4.67</v>
      </c>
      <c r="O816">
        <v>5.7255000000000003</v>
      </c>
      <c r="P816">
        <v>4117.5</v>
      </c>
      <c r="Q816">
        <v>942.52</v>
      </c>
      <c r="R816">
        <v>3.6829999999999998</v>
      </c>
      <c r="S816">
        <v>20.427199999999999</v>
      </c>
    </row>
    <row r="817" spans="1:19" x14ac:dyDescent="0.25">
      <c r="A817" s="4">
        <v>45709</v>
      </c>
      <c r="B817">
        <v>4.37</v>
      </c>
      <c r="C817">
        <v>4.38</v>
      </c>
      <c r="D817">
        <v>4.33</v>
      </c>
      <c r="E817">
        <v>4.3499999999999996</v>
      </c>
      <c r="F817">
        <v>4.33</v>
      </c>
      <c r="G817">
        <v>4.2</v>
      </c>
      <c r="H817">
        <v>4.28</v>
      </c>
      <c r="I817">
        <v>4.2699999999999996</v>
      </c>
      <c r="J817">
        <v>4.34</v>
      </c>
      <c r="K817">
        <v>4.43</v>
      </c>
      <c r="L817">
        <v>4.5</v>
      </c>
      <c r="M817">
        <v>4.7699999999999996</v>
      </c>
      <c r="N817">
        <v>4.74</v>
      </c>
      <c r="O817">
        <v>5.7023999999999999</v>
      </c>
      <c r="P817">
        <v>4083</v>
      </c>
      <c r="Q817">
        <v>944.65</v>
      </c>
      <c r="R817">
        <v>3.6850000000000001</v>
      </c>
      <c r="S817">
        <v>20.4131</v>
      </c>
    </row>
    <row r="818" spans="1:19" x14ac:dyDescent="0.25">
      <c r="A818" s="4">
        <v>45708</v>
      </c>
      <c r="B818">
        <v>4.38</v>
      </c>
      <c r="C818">
        <v>4.38</v>
      </c>
      <c r="D818">
        <v>4.34</v>
      </c>
      <c r="E818">
        <v>4.3499999999999996</v>
      </c>
      <c r="F818">
        <v>4.34</v>
      </c>
      <c r="G818">
        <v>4.22</v>
      </c>
      <c r="H818">
        <v>4.28</v>
      </c>
      <c r="I818">
        <v>4.3</v>
      </c>
      <c r="J818">
        <v>4.37</v>
      </c>
      <c r="K818">
        <v>4.46</v>
      </c>
      <c r="L818">
        <v>4.53</v>
      </c>
      <c r="M818">
        <v>4.79</v>
      </c>
      <c r="N818">
        <v>4.76</v>
      </c>
      <c r="O818">
        <v>5.7016</v>
      </c>
      <c r="P818">
        <v>4076.94</v>
      </c>
      <c r="Q818">
        <v>951.78</v>
      </c>
      <c r="R818">
        <v>3.6720000000000002</v>
      </c>
      <c r="S818">
        <v>20.312899999999999</v>
      </c>
    </row>
    <row r="819" spans="1:19" x14ac:dyDescent="0.25">
      <c r="A819" s="4">
        <v>45707</v>
      </c>
      <c r="B819">
        <v>4.38</v>
      </c>
      <c r="C819">
        <v>4.38</v>
      </c>
      <c r="D819">
        <v>4.34</v>
      </c>
      <c r="E819">
        <v>4.37</v>
      </c>
      <c r="F819">
        <v>4.34</v>
      </c>
      <c r="G819">
        <v>4.24</v>
      </c>
      <c r="H819">
        <v>4.29</v>
      </c>
      <c r="I819">
        <v>4.33</v>
      </c>
      <c r="J819">
        <v>4.4000000000000004</v>
      </c>
      <c r="K819">
        <v>4.4800000000000004</v>
      </c>
      <c r="L819">
        <v>4.55</v>
      </c>
      <c r="M819">
        <v>4.83</v>
      </c>
      <c r="N819">
        <v>4.7699999999999996</v>
      </c>
      <c r="O819">
        <v>5.7084000000000001</v>
      </c>
      <c r="P819">
        <v>4100</v>
      </c>
      <c r="Q819">
        <v>950.43</v>
      </c>
      <c r="R819">
        <v>3.6909999999999998</v>
      </c>
      <c r="S819">
        <v>20.4465</v>
      </c>
    </row>
    <row r="820" spans="1:19" x14ac:dyDescent="0.25">
      <c r="A820" s="4">
        <v>45706</v>
      </c>
      <c r="B820">
        <v>4.37</v>
      </c>
      <c r="C820">
        <v>4.38</v>
      </c>
      <c r="D820">
        <v>4.34</v>
      </c>
      <c r="E820">
        <v>4.3499999999999996</v>
      </c>
      <c r="F820">
        <v>4.32</v>
      </c>
      <c r="G820">
        <v>4.2300000000000004</v>
      </c>
      <c r="H820">
        <v>4.26</v>
      </c>
      <c r="I820">
        <v>4.26</v>
      </c>
      <c r="J820">
        <v>4.33</v>
      </c>
      <c r="K820">
        <v>4.41</v>
      </c>
      <c r="L820">
        <v>4.47</v>
      </c>
      <c r="M820">
        <v>4.75</v>
      </c>
      <c r="N820">
        <v>4.6900000000000004</v>
      </c>
      <c r="O820">
        <v>5.6976000000000004</v>
      </c>
      <c r="P820">
        <v>4090</v>
      </c>
      <c r="Q820">
        <v>947.13</v>
      </c>
      <c r="R820">
        <v>3.6829999999999998</v>
      </c>
      <c r="S820">
        <v>20.273199999999999</v>
      </c>
    </row>
    <row r="821" spans="1:19" x14ac:dyDescent="0.25">
      <c r="A821" s="4">
        <v>45702</v>
      </c>
      <c r="B821">
        <v>4.37</v>
      </c>
      <c r="C821">
        <v>4.3899999999999997</v>
      </c>
      <c r="D821">
        <v>4.34</v>
      </c>
      <c r="E821">
        <v>4.3499999999999996</v>
      </c>
      <c r="F821">
        <v>4.33</v>
      </c>
      <c r="G821">
        <v>4.2699999999999996</v>
      </c>
      <c r="H821">
        <v>4.3099999999999996</v>
      </c>
      <c r="I821">
        <v>4.3099999999999996</v>
      </c>
      <c r="J821">
        <v>4.3899999999999997</v>
      </c>
      <c r="K821">
        <v>4.46</v>
      </c>
      <c r="L821">
        <v>4.5199999999999996</v>
      </c>
      <c r="M821">
        <v>4.79</v>
      </c>
      <c r="N821">
        <v>4.72</v>
      </c>
      <c r="O821">
        <v>5.7279999999999998</v>
      </c>
      <c r="P821">
        <v>4121.25</v>
      </c>
      <c r="Q821">
        <v>949.52</v>
      </c>
      <c r="R821">
        <v>3.6989999999999998</v>
      </c>
      <c r="S821">
        <v>20.303999999999998</v>
      </c>
    </row>
    <row r="822" spans="1:19" x14ac:dyDescent="0.25">
      <c r="A822" s="4">
        <v>45701</v>
      </c>
      <c r="B822">
        <v>4.38</v>
      </c>
      <c r="C822">
        <v>4.3899999999999997</v>
      </c>
      <c r="D822">
        <v>4.3499999999999996</v>
      </c>
      <c r="E822">
        <v>4.3600000000000003</v>
      </c>
      <c r="F822">
        <v>4.33</v>
      </c>
      <c r="G822">
        <v>4.3</v>
      </c>
      <c r="H822">
        <v>4.3600000000000003</v>
      </c>
      <c r="I822">
        <v>4.37</v>
      </c>
      <c r="J822">
        <v>4.4800000000000004</v>
      </c>
      <c r="K822">
        <v>4.5599999999999996</v>
      </c>
      <c r="L822">
        <v>4.62</v>
      </c>
      <c r="M822">
        <v>4.9000000000000004</v>
      </c>
      <c r="N822">
        <v>4.83</v>
      </c>
      <c r="O822">
        <v>5.7785000000000002</v>
      </c>
      <c r="P822">
        <v>4136</v>
      </c>
      <c r="Q822">
        <v>956.63</v>
      </c>
      <c r="R822">
        <v>3.7149999999999999</v>
      </c>
      <c r="S822">
        <v>20.478000000000002</v>
      </c>
    </row>
    <row r="823" spans="1:19" x14ac:dyDescent="0.25">
      <c r="A823" s="4">
        <v>45700</v>
      </c>
      <c r="B823">
        <v>4.38</v>
      </c>
      <c r="C823">
        <v>4.4000000000000004</v>
      </c>
      <c r="D823">
        <v>4.3499999999999996</v>
      </c>
      <c r="E823">
        <v>4.37</v>
      </c>
      <c r="F823">
        <v>4.3099999999999996</v>
      </c>
      <c r="G823">
        <v>4.25</v>
      </c>
      <c r="H823">
        <v>4.29</v>
      </c>
      <c r="I823">
        <v>4.28</v>
      </c>
      <c r="J823">
        <v>4.37</v>
      </c>
      <c r="K823">
        <v>4.45</v>
      </c>
      <c r="L823">
        <v>4.54</v>
      </c>
      <c r="M823">
        <v>4.8</v>
      </c>
      <c r="N823">
        <v>4.75</v>
      </c>
      <c r="O823">
        <v>5.7708000000000004</v>
      </c>
      <c r="P823">
        <v>4164.82</v>
      </c>
      <c r="Q823">
        <v>961.89</v>
      </c>
      <c r="R823">
        <v>3.7149999999999999</v>
      </c>
      <c r="S823">
        <v>20.5093</v>
      </c>
    </row>
    <row r="824" spans="1:19" x14ac:dyDescent="0.25">
      <c r="A824" s="4">
        <v>45699</v>
      </c>
      <c r="B824">
        <v>4.38</v>
      </c>
      <c r="C824">
        <v>4.4000000000000004</v>
      </c>
      <c r="D824">
        <v>4.3499999999999996</v>
      </c>
      <c r="E824">
        <v>4.37</v>
      </c>
      <c r="F824">
        <v>4.3099999999999996</v>
      </c>
      <c r="G824">
        <v>4.24</v>
      </c>
      <c r="H824">
        <v>4.28</v>
      </c>
      <c r="I824">
        <v>4.3</v>
      </c>
      <c r="J824">
        <v>4.34</v>
      </c>
      <c r="K824">
        <v>4.42</v>
      </c>
      <c r="L824">
        <v>4.51</v>
      </c>
      <c r="M824">
        <v>4.76</v>
      </c>
      <c r="N824">
        <v>4.71</v>
      </c>
      <c r="O824">
        <v>5.7785000000000002</v>
      </c>
      <c r="P824">
        <v>4139.3</v>
      </c>
      <c r="Q824">
        <v>960.81</v>
      </c>
      <c r="R824">
        <v>3.7109999999999999</v>
      </c>
      <c r="S824">
        <v>20.539200000000001</v>
      </c>
    </row>
    <row r="825" spans="1:19" x14ac:dyDescent="0.25">
      <c r="A825" s="4">
        <v>45698</v>
      </c>
      <c r="B825">
        <v>4.37</v>
      </c>
      <c r="C825">
        <v>4.38</v>
      </c>
      <c r="D825">
        <v>4.3499999999999996</v>
      </c>
      <c r="E825">
        <v>4.37</v>
      </c>
      <c r="F825">
        <v>4.3</v>
      </c>
      <c r="G825">
        <v>4.25</v>
      </c>
      <c r="H825">
        <v>4.29</v>
      </c>
      <c r="I825">
        <v>4.3099999999999996</v>
      </c>
      <c r="J825">
        <v>4.34</v>
      </c>
      <c r="K825">
        <v>4.42</v>
      </c>
      <c r="L825">
        <v>4.49</v>
      </c>
      <c r="M825">
        <v>4.75</v>
      </c>
      <c r="N825">
        <v>4.6900000000000004</v>
      </c>
      <c r="O825">
        <v>5.7805</v>
      </c>
      <c r="P825">
        <v>4140.3500000000004</v>
      </c>
      <c r="Q825">
        <v>960.6</v>
      </c>
      <c r="R825">
        <v>3.71</v>
      </c>
      <c r="S825">
        <v>20.597899999999999</v>
      </c>
    </row>
    <row r="826" spans="1:19" x14ac:dyDescent="0.25">
      <c r="A826" s="4">
        <v>45695</v>
      </c>
      <c r="B826">
        <v>4.37</v>
      </c>
      <c r="C826">
        <v>4.38</v>
      </c>
      <c r="D826">
        <v>4.34</v>
      </c>
      <c r="E826">
        <v>4.3600000000000003</v>
      </c>
      <c r="F826">
        <v>4.28</v>
      </c>
      <c r="G826">
        <v>4.1900000000000004</v>
      </c>
      <c r="H826">
        <v>4.21</v>
      </c>
      <c r="I826">
        <v>4.2300000000000004</v>
      </c>
      <c r="J826">
        <v>4.28</v>
      </c>
      <c r="K826">
        <v>4.3600000000000003</v>
      </c>
      <c r="L826">
        <v>4.45</v>
      </c>
      <c r="M826">
        <v>4.7</v>
      </c>
      <c r="N826">
        <v>4.6500000000000004</v>
      </c>
      <c r="O826">
        <v>5.7553999999999998</v>
      </c>
      <c r="P826">
        <v>4125.5</v>
      </c>
      <c r="Q826">
        <v>967.59</v>
      </c>
      <c r="R826">
        <v>3.7170000000000001</v>
      </c>
      <c r="S826">
        <v>20.545000000000002</v>
      </c>
    </row>
    <row r="827" spans="1:19" x14ac:dyDescent="0.25">
      <c r="A827" s="4">
        <v>45694</v>
      </c>
      <c r="B827">
        <v>4.3499999999999996</v>
      </c>
      <c r="C827">
        <v>4.37</v>
      </c>
      <c r="D827">
        <v>4.33</v>
      </c>
      <c r="E827">
        <v>4.3499999999999996</v>
      </c>
      <c r="F827">
        <v>4.2699999999999996</v>
      </c>
      <c r="G827">
        <v>4.17</v>
      </c>
      <c r="H827">
        <v>4.17</v>
      </c>
      <c r="I827">
        <v>4.1900000000000004</v>
      </c>
      <c r="J827">
        <v>4.24</v>
      </c>
      <c r="K827">
        <v>4.33</v>
      </c>
      <c r="L827">
        <v>4.43</v>
      </c>
      <c r="M827">
        <v>4.6900000000000004</v>
      </c>
      <c r="N827">
        <v>4.6399999999999997</v>
      </c>
      <c r="O827">
        <v>5.7853000000000003</v>
      </c>
      <c r="P827">
        <v>4136.6000000000004</v>
      </c>
      <c r="Q827">
        <v>969.47</v>
      </c>
      <c r="R827">
        <v>3.7160000000000002</v>
      </c>
      <c r="S827">
        <v>20.461200000000002</v>
      </c>
    </row>
    <row r="828" spans="1:19" x14ac:dyDescent="0.25">
      <c r="A828" s="4">
        <v>45693</v>
      </c>
      <c r="B828">
        <v>4.3600000000000003</v>
      </c>
      <c r="C828">
        <v>4.38</v>
      </c>
      <c r="D828">
        <v>4.33</v>
      </c>
      <c r="E828">
        <v>4.3499999999999996</v>
      </c>
      <c r="F828">
        <v>4.2699999999999996</v>
      </c>
      <c r="G828">
        <v>4.18</v>
      </c>
      <c r="H828">
        <v>4.21</v>
      </c>
      <c r="I828">
        <v>4.25</v>
      </c>
      <c r="J828">
        <v>4.3099999999999996</v>
      </c>
      <c r="K828">
        <v>4.42</v>
      </c>
      <c r="L828">
        <v>4.5199999999999996</v>
      </c>
      <c r="M828">
        <v>4.8099999999999996</v>
      </c>
      <c r="N828">
        <v>4.75</v>
      </c>
      <c r="O828">
        <v>5.7994000000000003</v>
      </c>
      <c r="P828">
        <v>4175</v>
      </c>
      <c r="Q828">
        <v>977.58</v>
      </c>
      <c r="R828">
        <v>3.7160000000000002</v>
      </c>
      <c r="S828">
        <v>20.556000000000001</v>
      </c>
    </row>
    <row r="829" spans="1:19" x14ac:dyDescent="0.25">
      <c r="A829" s="4">
        <v>45692</v>
      </c>
      <c r="B829">
        <v>4.37</v>
      </c>
      <c r="C829">
        <v>4.38</v>
      </c>
      <c r="D829">
        <v>4.34</v>
      </c>
      <c r="E829">
        <v>4.3499999999999996</v>
      </c>
      <c r="F829">
        <v>4.28</v>
      </c>
      <c r="G829">
        <v>4.2</v>
      </c>
      <c r="H829">
        <v>4.26</v>
      </c>
      <c r="I829">
        <v>4.28</v>
      </c>
      <c r="J829">
        <v>4.3499999999999996</v>
      </c>
      <c r="K829">
        <v>4.45</v>
      </c>
      <c r="L829">
        <v>4.54</v>
      </c>
      <c r="M829">
        <v>4.82</v>
      </c>
      <c r="N829">
        <v>4.7699999999999996</v>
      </c>
      <c r="O829">
        <v>5.7923999999999998</v>
      </c>
      <c r="P829">
        <v>4160</v>
      </c>
      <c r="Q829">
        <v>987.12</v>
      </c>
      <c r="R829">
        <v>3.7109999999999999</v>
      </c>
      <c r="S829">
        <v>20.556000000000001</v>
      </c>
    </row>
    <row r="830" spans="1:19" x14ac:dyDescent="0.25">
      <c r="A830" s="4">
        <v>45691</v>
      </c>
      <c r="B830">
        <v>4.37</v>
      </c>
      <c r="C830">
        <v>4.37</v>
      </c>
      <c r="D830">
        <v>4.3099999999999996</v>
      </c>
      <c r="E830">
        <v>4.33</v>
      </c>
      <c r="F830">
        <v>4.28</v>
      </c>
      <c r="G830">
        <v>4.17</v>
      </c>
      <c r="H830">
        <v>4.22</v>
      </c>
      <c r="I830">
        <v>4.2699999999999996</v>
      </c>
      <c r="J830">
        <v>4.3600000000000003</v>
      </c>
      <c r="K830">
        <v>4.47</v>
      </c>
      <c r="L830">
        <v>4.58</v>
      </c>
      <c r="M830">
        <v>4.88</v>
      </c>
      <c r="N830">
        <v>4.83</v>
      </c>
      <c r="O830">
        <v>5.8684000000000003</v>
      </c>
      <c r="P830">
        <v>4164</v>
      </c>
      <c r="Q830">
        <v>984.22</v>
      </c>
      <c r="R830">
        <v>3.7050000000000001</v>
      </c>
      <c r="S830">
        <v>20.687100000000001</v>
      </c>
    </row>
    <row r="831" spans="1:19" x14ac:dyDescent="0.25">
      <c r="A831" s="4">
        <v>45688</v>
      </c>
      <c r="B831">
        <v>4.37</v>
      </c>
      <c r="C831">
        <v>4.38</v>
      </c>
      <c r="D831">
        <v>4.3</v>
      </c>
      <c r="E831">
        <v>4.33</v>
      </c>
      <c r="F831">
        <v>4.2699999999999996</v>
      </c>
      <c r="G831">
        <v>4.16</v>
      </c>
      <c r="H831">
        <v>4.18</v>
      </c>
      <c r="I831">
        <v>4.24</v>
      </c>
      <c r="J831">
        <v>4.3099999999999996</v>
      </c>
      <c r="K831">
        <v>4.41</v>
      </c>
      <c r="L831">
        <v>4.5199999999999996</v>
      </c>
      <c r="M831">
        <v>4.8099999999999996</v>
      </c>
      <c r="N831">
        <v>4.76</v>
      </c>
      <c r="O831">
        <v>5.8297999999999996</v>
      </c>
      <c r="P831">
        <v>4210.8999999999996</v>
      </c>
      <c r="Q831">
        <v>988.1</v>
      </c>
      <c r="R831">
        <v>3.7269999999999999</v>
      </c>
      <c r="S831">
        <v>20.687100000000001</v>
      </c>
    </row>
    <row r="832" spans="1:19" x14ac:dyDescent="0.25">
      <c r="A832" s="4">
        <v>45687</v>
      </c>
      <c r="B832">
        <v>4.43</v>
      </c>
      <c r="C832">
        <v>4.34</v>
      </c>
      <c r="D832">
        <v>4.3099999999999996</v>
      </c>
      <c r="E832">
        <v>4.34</v>
      </c>
      <c r="F832">
        <v>4.2699999999999996</v>
      </c>
      <c r="G832">
        <v>4.17</v>
      </c>
      <c r="H832">
        <v>4.21</v>
      </c>
      <c r="I832">
        <v>4.2699999999999996</v>
      </c>
      <c r="J832">
        <v>4.3499999999999996</v>
      </c>
      <c r="K832">
        <v>4.4400000000000004</v>
      </c>
      <c r="L832">
        <v>4.55</v>
      </c>
      <c r="M832">
        <v>4.8499999999999996</v>
      </c>
      <c r="N832">
        <v>4.79</v>
      </c>
      <c r="O832">
        <v>5.9002999999999997</v>
      </c>
      <c r="P832">
        <v>4155</v>
      </c>
      <c r="Q832">
        <v>990.94</v>
      </c>
      <c r="R832">
        <v>3.72</v>
      </c>
      <c r="S832">
        <v>20.427299999999999</v>
      </c>
    </row>
    <row r="833" spans="1:19" x14ac:dyDescent="0.25">
      <c r="A833" s="4">
        <v>45686</v>
      </c>
      <c r="B833">
        <v>4.4400000000000004</v>
      </c>
      <c r="C833">
        <v>4.3499999999999996</v>
      </c>
      <c r="D833">
        <v>4.3099999999999996</v>
      </c>
      <c r="E833">
        <v>4.3</v>
      </c>
      <c r="F833">
        <v>4.26</v>
      </c>
      <c r="G833">
        <v>4.1399999999999997</v>
      </c>
      <c r="H833">
        <v>4.1900000000000004</v>
      </c>
      <c r="I833">
        <v>4.25</v>
      </c>
      <c r="J833">
        <v>4.33</v>
      </c>
      <c r="K833">
        <v>4.43</v>
      </c>
      <c r="L833">
        <v>4.55</v>
      </c>
      <c r="M833">
        <v>4.84</v>
      </c>
      <c r="N833">
        <v>4.78</v>
      </c>
      <c r="O833">
        <v>5.8593000000000002</v>
      </c>
      <c r="P833">
        <v>4167</v>
      </c>
      <c r="Q833">
        <v>992.07</v>
      </c>
      <c r="R833">
        <v>3.714</v>
      </c>
      <c r="S833">
        <v>20.536999999999999</v>
      </c>
    </row>
    <row r="834" spans="1:19" x14ac:dyDescent="0.25">
      <c r="A834" s="4">
        <v>45685</v>
      </c>
      <c r="B834">
        <v>4.4400000000000004</v>
      </c>
      <c r="C834">
        <v>4.3600000000000003</v>
      </c>
      <c r="D834">
        <v>4.32</v>
      </c>
      <c r="E834">
        <v>4.3</v>
      </c>
      <c r="F834">
        <v>4.25</v>
      </c>
      <c r="G834">
        <v>4.13</v>
      </c>
      <c r="H834">
        <v>4.17</v>
      </c>
      <c r="I834">
        <v>4.24</v>
      </c>
      <c r="J834">
        <v>4.32</v>
      </c>
      <c r="K834">
        <v>4.43</v>
      </c>
      <c r="L834">
        <v>4.53</v>
      </c>
      <c r="M834">
        <v>4.82</v>
      </c>
      <c r="N834">
        <v>4.76</v>
      </c>
      <c r="O834">
        <v>5.8926999999999996</v>
      </c>
      <c r="P834">
        <v>4219</v>
      </c>
      <c r="Q834">
        <v>985.64</v>
      </c>
      <c r="R834">
        <v>3.734</v>
      </c>
      <c r="S834">
        <v>20.540199999999999</v>
      </c>
    </row>
    <row r="835" spans="1:19" x14ac:dyDescent="0.25">
      <c r="A835" s="4">
        <v>45684</v>
      </c>
      <c r="B835">
        <v>4.45</v>
      </c>
      <c r="C835">
        <v>4.3600000000000003</v>
      </c>
      <c r="D835">
        <v>4.3499999999999996</v>
      </c>
      <c r="E835">
        <v>4.32</v>
      </c>
      <c r="F835">
        <v>4.25</v>
      </c>
      <c r="G835">
        <v>4.17</v>
      </c>
      <c r="H835">
        <v>4.2699999999999996</v>
      </c>
      <c r="I835">
        <v>4.33</v>
      </c>
      <c r="J835">
        <v>4.43</v>
      </c>
      <c r="K835">
        <v>4.53</v>
      </c>
      <c r="L835">
        <v>4.63</v>
      </c>
      <c r="M835">
        <v>4.91</v>
      </c>
      <c r="N835">
        <v>4.8499999999999996</v>
      </c>
      <c r="O835">
        <v>5.9268999999999998</v>
      </c>
      <c r="P835">
        <v>4196</v>
      </c>
      <c r="Q835">
        <v>982.95</v>
      </c>
      <c r="R835">
        <v>3.7429999999999999</v>
      </c>
      <c r="S835">
        <v>20.727799999999998</v>
      </c>
    </row>
    <row r="836" spans="1:19" x14ac:dyDescent="0.25">
      <c r="A836" s="4">
        <v>45681</v>
      </c>
      <c r="B836">
        <v>4.45</v>
      </c>
      <c r="C836">
        <v>4.3600000000000003</v>
      </c>
      <c r="D836">
        <v>4.3600000000000003</v>
      </c>
      <c r="E836">
        <v>4.32</v>
      </c>
      <c r="F836">
        <v>4.2699999999999996</v>
      </c>
      <c r="G836">
        <v>4.18</v>
      </c>
      <c r="H836">
        <v>4.29</v>
      </c>
      <c r="I836">
        <v>4.3499999999999996</v>
      </c>
      <c r="J836">
        <v>4.45</v>
      </c>
      <c r="K836">
        <v>4.55</v>
      </c>
      <c r="L836">
        <v>4.6500000000000004</v>
      </c>
      <c r="M836">
        <v>4.92</v>
      </c>
      <c r="N836">
        <v>4.87</v>
      </c>
      <c r="O836">
        <v>5.8921999999999999</v>
      </c>
      <c r="P836">
        <v>4176</v>
      </c>
      <c r="Q836">
        <v>989.83</v>
      </c>
      <c r="R836">
        <v>3.7189999999999999</v>
      </c>
      <c r="S836">
        <v>20.285599999999999</v>
      </c>
    </row>
    <row r="837" spans="1:19" x14ac:dyDescent="0.25">
      <c r="A837" s="4">
        <v>45680</v>
      </c>
      <c r="B837">
        <v>4.42</v>
      </c>
      <c r="C837">
        <v>4.3499999999999996</v>
      </c>
      <c r="D837">
        <v>4.3600000000000003</v>
      </c>
      <c r="E837">
        <v>4.32</v>
      </c>
      <c r="F837">
        <v>4.28</v>
      </c>
      <c r="G837">
        <v>4.2</v>
      </c>
      <c r="H837">
        <v>4.29</v>
      </c>
      <c r="I837">
        <v>4.34</v>
      </c>
      <c r="J837">
        <v>4.43</v>
      </c>
      <c r="K837">
        <v>4.51</v>
      </c>
      <c r="L837">
        <v>4.5999999999999996</v>
      </c>
      <c r="M837">
        <v>4.8899999999999997</v>
      </c>
      <c r="N837">
        <v>4.82</v>
      </c>
      <c r="O837">
        <v>5.9396000000000004</v>
      </c>
      <c r="P837">
        <v>4231.3</v>
      </c>
      <c r="Q837">
        <v>995.22</v>
      </c>
      <c r="R837">
        <v>3.7160000000000002</v>
      </c>
      <c r="S837">
        <v>20.322800000000001</v>
      </c>
    </row>
    <row r="838" spans="1:19" x14ac:dyDescent="0.25">
      <c r="A838" s="4">
        <v>45679</v>
      </c>
      <c r="B838">
        <v>4.42</v>
      </c>
      <c r="C838">
        <v>4.3499999999999996</v>
      </c>
      <c r="D838">
        <v>4.3600000000000003</v>
      </c>
      <c r="E838">
        <v>4.33</v>
      </c>
      <c r="F838">
        <v>4.28</v>
      </c>
      <c r="G838">
        <v>4.21</v>
      </c>
      <c r="H838">
        <v>4.29</v>
      </c>
      <c r="I838">
        <v>4.33</v>
      </c>
      <c r="J838">
        <v>4.4000000000000004</v>
      </c>
      <c r="K838">
        <v>4.49</v>
      </c>
      <c r="L838">
        <v>4.57</v>
      </c>
      <c r="M838">
        <v>4.87</v>
      </c>
      <c r="N838">
        <v>4.8</v>
      </c>
      <c r="O838">
        <v>5.9671000000000003</v>
      </c>
      <c r="P838">
        <v>4266.8999999999996</v>
      </c>
      <c r="Q838">
        <v>1002.14</v>
      </c>
      <c r="R838">
        <v>3.7189999999999999</v>
      </c>
      <c r="S838">
        <v>20.476199999999999</v>
      </c>
    </row>
    <row r="839" spans="1:19" x14ac:dyDescent="0.25">
      <c r="A839" s="4">
        <v>45678</v>
      </c>
      <c r="B839">
        <v>4.43</v>
      </c>
      <c r="C839">
        <v>4.3499999999999996</v>
      </c>
      <c r="D839">
        <v>4.34</v>
      </c>
      <c r="E839">
        <v>4.32</v>
      </c>
      <c r="F839">
        <v>4.28</v>
      </c>
      <c r="G839">
        <v>4.21</v>
      </c>
      <c r="H839">
        <v>4.2699999999999996</v>
      </c>
      <c r="I839">
        <v>4.33</v>
      </c>
      <c r="J839">
        <v>4.42</v>
      </c>
      <c r="K839">
        <v>4.5199999999999996</v>
      </c>
      <c r="L839">
        <v>4.6100000000000003</v>
      </c>
      <c r="M839">
        <v>4.91</v>
      </c>
      <c r="N839">
        <v>4.84</v>
      </c>
      <c r="O839">
        <v>6.0437000000000003</v>
      </c>
      <c r="P839">
        <v>4306</v>
      </c>
      <c r="Q839">
        <v>1001.93</v>
      </c>
      <c r="R839">
        <v>3.7290000000000001</v>
      </c>
      <c r="S839">
        <v>20.645700000000001</v>
      </c>
    </row>
    <row r="840" spans="1:19" x14ac:dyDescent="0.25">
      <c r="A840" s="4">
        <v>45674</v>
      </c>
      <c r="B840">
        <v>4.43</v>
      </c>
      <c r="C840">
        <v>4.3600000000000003</v>
      </c>
      <c r="D840">
        <v>4.34</v>
      </c>
      <c r="E840">
        <v>4.32</v>
      </c>
      <c r="F840">
        <v>4.26</v>
      </c>
      <c r="G840">
        <v>4.18</v>
      </c>
      <c r="H840">
        <v>4.2300000000000004</v>
      </c>
      <c r="I840">
        <v>4.29</v>
      </c>
      <c r="J840">
        <v>4.3899999999999997</v>
      </c>
      <c r="K840">
        <v>4.5</v>
      </c>
      <c r="L840">
        <v>4.6100000000000003</v>
      </c>
      <c r="M840">
        <v>4.91</v>
      </c>
      <c r="N840">
        <v>4.84</v>
      </c>
      <c r="O840">
        <v>6.0606</v>
      </c>
      <c r="P840">
        <v>4335.6499999999996</v>
      </c>
      <c r="Q840">
        <v>1010.68</v>
      </c>
      <c r="R840">
        <v>3.7410000000000001</v>
      </c>
      <c r="S840">
        <v>20.775300000000001</v>
      </c>
    </row>
    <row r="841" spans="1:19" x14ac:dyDescent="0.25">
      <c r="A841" s="4">
        <v>45673</v>
      </c>
      <c r="B841">
        <v>4.4000000000000004</v>
      </c>
      <c r="C841">
        <v>4.34</v>
      </c>
      <c r="D841">
        <v>4.3499999999999996</v>
      </c>
      <c r="E841">
        <v>4.32</v>
      </c>
      <c r="F841">
        <v>4.26</v>
      </c>
      <c r="G841">
        <v>4.1900000000000004</v>
      </c>
      <c r="H841">
        <v>4.2699999999999996</v>
      </c>
      <c r="I841">
        <v>4.34</v>
      </c>
      <c r="J841">
        <v>4.45</v>
      </c>
      <c r="K841">
        <v>4.55</v>
      </c>
      <c r="L841">
        <v>4.66</v>
      </c>
      <c r="M841">
        <v>4.95</v>
      </c>
      <c r="N841">
        <v>4.88</v>
      </c>
      <c r="O841">
        <v>6.0319000000000003</v>
      </c>
      <c r="P841">
        <v>4346</v>
      </c>
      <c r="Q841">
        <v>1001.93</v>
      </c>
      <c r="R841">
        <v>3.7570000000000001</v>
      </c>
      <c r="S841">
        <v>20.8187</v>
      </c>
    </row>
    <row r="842" spans="1:19" x14ac:dyDescent="0.25">
      <c r="A842" s="4">
        <v>45672</v>
      </c>
      <c r="B842">
        <v>4.42</v>
      </c>
      <c r="C842">
        <v>4.3499999999999996</v>
      </c>
      <c r="D842">
        <v>4.3600000000000003</v>
      </c>
      <c r="E842">
        <v>4.33</v>
      </c>
      <c r="F842">
        <v>4.29</v>
      </c>
      <c r="G842">
        <v>4.22</v>
      </c>
      <c r="H842">
        <v>4.37</v>
      </c>
      <c r="I842">
        <v>4.46</v>
      </c>
      <c r="J842">
        <v>4.59</v>
      </c>
      <c r="K842">
        <v>4.7</v>
      </c>
      <c r="L842">
        <v>4.78</v>
      </c>
      <c r="M842">
        <v>5.0599999999999996</v>
      </c>
      <c r="N842">
        <v>4.9800000000000004</v>
      </c>
      <c r="O842">
        <v>6.0373999999999999</v>
      </c>
      <c r="P842">
        <v>4309.47</v>
      </c>
      <c r="Q842">
        <v>1004.67</v>
      </c>
      <c r="R842">
        <v>3.7629999999999999</v>
      </c>
      <c r="S842">
        <v>20.491499999999998</v>
      </c>
    </row>
    <row r="843" spans="1:19" x14ac:dyDescent="0.25">
      <c r="A843" s="4">
        <v>45671</v>
      </c>
      <c r="B843">
        <v>4.42</v>
      </c>
      <c r="C843">
        <v>4.3600000000000003</v>
      </c>
      <c r="D843">
        <v>4.37</v>
      </c>
      <c r="E843">
        <v>4.34</v>
      </c>
      <c r="F843">
        <v>4.3</v>
      </c>
      <c r="G843">
        <v>4.24</v>
      </c>
      <c r="H843">
        <v>4.4000000000000004</v>
      </c>
      <c r="I843">
        <v>4.49</v>
      </c>
      <c r="J843">
        <v>4.6100000000000003</v>
      </c>
      <c r="K843">
        <v>4.71</v>
      </c>
      <c r="L843">
        <v>4.79</v>
      </c>
      <c r="M843">
        <v>5.05</v>
      </c>
      <c r="N843">
        <v>4.97</v>
      </c>
      <c r="O843">
        <v>6.0667999999999997</v>
      </c>
      <c r="P843">
        <v>4292</v>
      </c>
      <c r="Q843">
        <v>1012.76</v>
      </c>
      <c r="R843">
        <v>3.7719999999999998</v>
      </c>
      <c r="S843">
        <v>20.531099999999999</v>
      </c>
    </row>
    <row r="844" spans="1:19" x14ac:dyDescent="0.25">
      <c r="A844" s="4">
        <v>45670</v>
      </c>
      <c r="B844">
        <v>4.42</v>
      </c>
      <c r="C844">
        <v>4.3499999999999996</v>
      </c>
      <c r="D844">
        <v>4.3600000000000003</v>
      </c>
      <c r="E844">
        <v>4.33</v>
      </c>
      <c r="F844">
        <v>4.2699999999999996</v>
      </c>
      <c r="G844">
        <v>4.25</v>
      </c>
      <c r="H844">
        <v>4.4000000000000004</v>
      </c>
      <c r="I844">
        <v>4.46</v>
      </c>
      <c r="J844">
        <v>4.59</v>
      </c>
      <c r="K844">
        <v>4.7</v>
      </c>
      <c r="L844">
        <v>4.7699999999999996</v>
      </c>
      <c r="M844">
        <v>5.04</v>
      </c>
      <c r="N844">
        <v>4.96</v>
      </c>
      <c r="O844">
        <v>6.1075999999999997</v>
      </c>
      <c r="P844">
        <v>4306</v>
      </c>
      <c r="Q844">
        <v>1009.2</v>
      </c>
      <c r="R844">
        <v>3.78</v>
      </c>
      <c r="S844">
        <v>20.723500000000001</v>
      </c>
    </row>
    <row r="845" spans="1:19" x14ac:dyDescent="0.25">
      <c r="A845" s="4">
        <v>45667</v>
      </c>
      <c r="B845">
        <v>4.4400000000000004</v>
      </c>
      <c r="C845">
        <v>4.3600000000000003</v>
      </c>
      <c r="D845">
        <v>4.3499999999999996</v>
      </c>
      <c r="E845">
        <v>4.3099999999999996</v>
      </c>
      <c r="F845">
        <v>4.24</v>
      </c>
      <c r="G845">
        <v>4.16</v>
      </c>
      <c r="H845">
        <v>4.2699999999999996</v>
      </c>
      <c r="I845">
        <v>4.3099999999999996</v>
      </c>
      <c r="J845">
        <v>4.46</v>
      </c>
      <c r="K845">
        <v>4.57</v>
      </c>
      <c r="L845">
        <v>4.68</v>
      </c>
      <c r="M845">
        <v>4.9800000000000004</v>
      </c>
      <c r="N845">
        <v>4.92</v>
      </c>
      <c r="O845">
        <v>6.0961999999999996</v>
      </c>
      <c r="P845">
        <v>4343.43</v>
      </c>
      <c r="Q845">
        <v>1003.92</v>
      </c>
      <c r="R845">
        <v>3.7709999999999999</v>
      </c>
      <c r="S845">
        <v>20.705200000000001</v>
      </c>
    </row>
    <row r="846" spans="1:19" x14ac:dyDescent="0.25">
      <c r="A846" s="4">
        <v>45665</v>
      </c>
      <c r="B846">
        <v>4.41</v>
      </c>
      <c r="C846">
        <v>4.34</v>
      </c>
      <c r="D846">
        <v>4.3499999999999996</v>
      </c>
      <c r="E846">
        <v>4.3099999999999996</v>
      </c>
      <c r="F846">
        <v>4.25</v>
      </c>
      <c r="G846">
        <v>4.1900000000000004</v>
      </c>
      <c r="H846">
        <v>4.28</v>
      </c>
      <c r="I846">
        <v>4.3099999999999996</v>
      </c>
      <c r="J846">
        <v>4.45</v>
      </c>
      <c r="K846">
        <v>4.5599999999999996</v>
      </c>
      <c r="L846">
        <v>4.67</v>
      </c>
      <c r="M846">
        <v>4.97</v>
      </c>
      <c r="N846">
        <v>4.91</v>
      </c>
      <c r="O846">
        <v>6.1318000000000001</v>
      </c>
      <c r="P846">
        <v>4325.5</v>
      </c>
      <c r="Q846">
        <v>1005.85</v>
      </c>
      <c r="R846">
        <v>3.774</v>
      </c>
      <c r="S846">
        <v>20.416399999999999</v>
      </c>
    </row>
    <row r="847" spans="1:19" x14ac:dyDescent="0.25">
      <c r="A847" s="4">
        <v>45664</v>
      </c>
      <c r="B847">
        <v>4.42</v>
      </c>
      <c r="C847">
        <v>4.3499999999999996</v>
      </c>
      <c r="D847">
        <v>4.3499999999999996</v>
      </c>
      <c r="E847">
        <v>4.3099999999999996</v>
      </c>
      <c r="F847">
        <v>4.24</v>
      </c>
      <c r="G847">
        <v>4.1900000000000004</v>
      </c>
      <c r="H847">
        <v>4.3</v>
      </c>
      <c r="I847">
        <v>4.33</v>
      </c>
      <c r="J847">
        <v>4.46</v>
      </c>
      <c r="K847">
        <v>4.57</v>
      </c>
      <c r="L847">
        <v>4.67</v>
      </c>
      <c r="M847">
        <v>4.97</v>
      </c>
      <c r="N847">
        <v>4.91</v>
      </c>
      <c r="O847">
        <v>6.0738000000000003</v>
      </c>
      <c r="P847">
        <v>4338</v>
      </c>
      <c r="Q847">
        <v>1010.98</v>
      </c>
      <c r="R847">
        <v>3.7759999999999998</v>
      </c>
      <c r="S847">
        <v>20.295200000000001</v>
      </c>
    </row>
    <row r="848" spans="1:19" x14ac:dyDescent="0.25">
      <c r="A848" s="4">
        <v>45663</v>
      </c>
      <c r="B848">
        <v>4.43</v>
      </c>
      <c r="C848">
        <v>4.3600000000000003</v>
      </c>
      <c r="D848">
        <v>4.3499999999999996</v>
      </c>
      <c r="E848">
        <v>4.3099999999999996</v>
      </c>
      <c r="F848">
        <v>4.24</v>
      </c>
      <c r="G848">
        <v>4.17</v>
      </c>
      <c r="H848">
        <v>4.28</v>
      </c>
      <c r="I848">
        <v>4.3</v>
      </c>
      <c r="J848">
        <v>4.42</v>
      </c>
      <c r="K848">
        <v>4.5199999999999996</v>
      </c>
      <c r="L848">
        <v>4.62</v>
      </c>
      <c r="M848">
        <v>4.91</v>
      </c>
      <c r="N848">
        <v>4.8499999999999996</v>
      </c>
      <c r="O848">
        <v>6.1116000000000001</v>
      </c>
      <c r="P848">
        <v>4344</v>
      </c>
      <c r="Q848">
        <v>1011.82</v>
      </c>
      <c r="R848">
        <v>3.76</v>
      </c>
      <c r="S848">
        <v>20.3096</v>
      </c>
    </row>
    <row r="849" spans="1:19" x14ac:dyDescent="0.25">
      <c r="A849" s="4">
        <v>45660</v>
      </c>
      <c r="B849">
        <v>4.4400000000000004</v>
      </c>
      <c r="C849">
        <v>4.3499999999999996</v>
      </c>
      <c r="D849">
        <v>4.34</v>
      </c>
      <c r="E849">
        <v>4.3099999999999996</v>
      </c>
      <c r="F849">
        <v>4.25</v>
      </c>
      <c r="G849">
        <v>4.18</v>
      </c>
      <c r="H849">
        <v>4.28</v>
      </c>
      <c r="I849">
        <v>4.32</v>
      </c>
      <c r="J849">
        <v>4.41</v>
      </c>
      <c r="K849">
        <v>4.51</v>
      </c>
      <c r="L849">
        <v>4.5999999999999996</v>
      </c>
      <c r="M849">
        <v>4.88</v>
      </c>
      <c r="N849">
        <v>4.82</v>
      </c>
      <c r="O849">
        <v>6.1559999999999997</v>
      </c>
      <c r="P849">
        <v>4344</v>
      </c>
      <c r="Q849">
        <v>999.84</v>
      </c>
      <c r="R849">
        <v>3.7669999999999999</v>
      </c>
      <c r="S849">
        <v>20.6724</v>
      </c>
    </row>
    <row r="850" spans="1:19" x14ac:dyDescent="0.25">
      <c r="A850" s="4">
        <v>45659</v>
      </c>
      <c r="B850">
        <v>4.45</v>
      </c>
      <c r="C850">
        <v>4.3600000000000003</v>
      </c>
      <c r="D850">
        <v>4.3600000000000003</v>
      </c>
      <c r="E850">
        <v>4.3099999999999996</v>
      </c>
      <c r="F850">
        <v>4.25</v>
      </c>
      <c r="G850">
        <v>4.17</v>
      </c>
      <c r="H850">
        <v>4.25</v>
      </c>
      <c r="I850">
        <v>4.29</v>
      </c>
      <c r="J850">
        <v>4.38</v>
      </c>
      <c r="K850">
        <v>4.47</v>
      </c>
      <c r="L850">
        <v>4.57</v>
      </c>
      <c r="M850">
        <v>4.8600000000000003</v>
      </c>
      <c r="N850">
        <v>4.79</v>
      </c>
      <c r="O850">
        <v>6.2083000000000004</v>
      </c>
      <c r="P850">
        <v>4378</v>
      </c>
      <c r="Q850">
        <v>996.46</v>
      </c>
      <c r="R850">
        <v>3.7530000000000001</v>
      </c>
      <c r="S850">
        <v>20.618500000000001</v>
      </c>
    </row>
    <row r="851" spans="1:19" x14ac:dyDescent="0.25">
      <c r="A851" s="4">
        <v>45657</v>
      </c>
      <c r="B851">
        <v>4.4000000000000004</v>
      </c>
      <c r="C851">
        <v>4.3899999999999997</v>
      </c>
      <c r="D851">
        <v>4.37</v>
      </c>
      <c r="E851">
        <v>4.32</v>
      </c>
      <c r="F851">
        <v>4.24</v>
      </c>
      <c r="G851">
        <v>4.16</v>
      </c>
      <c r="H851">
        <v>4.25</v>
      </c>
      <c r="I851">
        <v>4.2699999999999996</v>
      </c>
      <c r="J851">
        <v>4.38</v>
      </c>
      <c r="K851">
        <v>4.4800000000000004</v>
      </c>
      <c r="L851">
        <v>4.58</v>
      </c>
      <c r="M851">
        <v>4.8600000000000003</v>
      </c>
      <c r="N851">
        <v>4.78</v>
      </c>
      <c r="O851">
        <v>6.1920000000000002</v>
      </c>
      <c r="P851">
        <v>4405</v>
      </c>
      <c r="Q851">
        <v>992.12</v>
      </c>
      <c r="R851">
        <v>3.7570000000000001</v>
      </c>
      <c r="S851">
        <v>20.882899999999999</v>
      </c>
    </row>
    <row r="852" spans="1:19" x14ac:dyDescent="0.25">
      <c r="A852" s="4">
        <v>45656</v>
      </c>
      <c r="B852">
        <v>4.43</v>
      </c>
      <c r="C852">
        <v>4.42</v>
      </c>
      <c r="D852">
        <v>4.37</v>
      </c>
      <c r="E852">
        <v>4.33</v>
      </c>
      <c r="F852">
        <v>4.25</v>
      </c>
      <c r="G852">
        <v>4.17</v>
      </c>
      <c r="H852">
        <v>4.24</v>
      </c>
      <c r="I852">
        <v>4.29</v>
      </c>
      <c r="J852">
        <v>4.37</v>
      </c>
      <c r="K852">
        <v>4.46</v>
      </c>
      <c r="L852">
        <v>4.55</v>
      </c>
      <c r="M852">
        <v>4.84</v>
      </c>
      <c r="N852">
        <v>4.7699999999999996</v>
      </c>
      <c r="O852">
        <v>6.1920000000000002</v>
      </c>
      <c r="P852">
        <v>4405</v>
      </c>
      <c r="Q852">
        <v>992.12</v>
      </c>
      <c r="R852">
        <v>3.7570000000000001</v>
      </c>
      <c r="S852">
        <v>20.657900000000001</v>
      </c>
    </row>
    <row r="853" spans="1:19" x14ac:dyDescent="0.25">
      <c r="A853" s="4">
        <v>45653</v>
      </c>
      <c r="B853">
        <v>4.4400000000000004</v>
      </c>
      <c r="C853">
        <v>4.43</v>
      </c>
      <c r="D853">
        <v>4.3099999999999996</v>
      </c>
      <c r="E853">
        <v>4.3499999999999996</v>
      </c>
      <c r="F853">
        <v>4.29</v>
      </c>
      <c r="G853">
        <v>4.2</v>
      </c>
      <c r="H853">
        <v>4.3099999999999996</v>
      </c>
      <c r="I853">
        <v>4.3600000000000003</v>
      </c>
      <c r="J853">
        <v>4.45</v>
      </c>
      <c r="K853">
        <v>4.53</v>
      </c>
      <c r="L853">
        <v>4.62</v>
      </c>
      <c r="M853">
        <v>4.8899999999999997</v>
      </c>
      <c r="N853">
        <v>4.82</v>
      </c>
      <c r="O853">
        <v>6.1988000000000003</v>
      </c>
      <c r="P853">
        <v>4410</v>
      </c>
      <c r="Q853">
        <v>990.95</v>
      </c>
      <c r="R853">
        <v>3.7469999999999999</v>
      </c>
      <c r="S853">
        <v>20.319199999999999</v>
      </c>
    </row>
    <row r="854" spans="1:19" x14ac:dyDescent="0.25">
      <c r="A854" s="4">
        <v>45652</v>
      </c>
      <c r="B854">
        <v>4.45</v>
      </c>
      <c r="C854">
        <v>4.45</v>
      </c>
      <c r="D854">
        <v>4.3499999999999996</v>
      </c>
      <c r="E854">
        <v>4.37</v>
      </c>
      <c r="F854">
        <v>4.3099999999999996</v>
      </c>
      <c r="G854">
        <v>4.2300000000000004</v>
      </c>
      <c r="H854">
        <v>4.3</v>
      </c>
      <c r="I854">
        <v>4.3499999999999996</v>
      </c>
      <c r="J854">
        <v>4.42</v>
      </c>
      <c r="K854">
        <v>4.49</v>
      </c>
      <c r="L854">
        <v>4.58</v>
      </c>
      <c r="M854">
        <v>4.83</v>
      </c>
      <c r="N854">
        <v>4.76</v>
      </c>
      <c r="O854">
        <v>6.1653000000000002</v>
      </c>
      <c r="P854">
        <v>4393.93</v>
      </c>
      <c r="Q854">
        <v>989.07</v>
      </c>
      <c r="R854">
        <v>3.74</v>
      </c>
      <c r="S854">
        <v>20.208300000000001</v>
      </c>
    </row>
    <row r="855" spans="1:19" x14ac:dyDescent="0.25">
      <c r="A855" s="4">
        <v>45650</v>
      </c>
      <c r="B855">
        <v>4.4400000000000004</v>
      </c>
      <c r="C855">
        <v>4.4400000000000004</v>
      </c>
      <c r="D855">
        <v>4.4000000000000004</v>
      </c>
      <c r="E855">
        <v>4.38</v>
      </c>
      <c r="F855">
        <v>4.3</v>
      </c>
      <c r="G855">
        <v>4.24</v>
      </c>
      <c r="H855">
        <v>4.29</v>
      </c>
      <c r="I855">
        <v>4.3600000000000003</v>
      </c>
      <c r="J855">
        <v>4.43</v>
      </c>
      <c r="K855">
        <v>4.5199999999999996</v>
      </c>
      <c r="L855">
        <v>4.59</v>
      </c>
      <c r="M855">
        <v>4.84</v>
      </c>
      <c r="N855">
        <v>4.76</v>
      </c>
      <c r="O855">
        <v>6.1534000000000004</v>
      </c>
      <c r="P855">
        <v>4375</v>
      </c>
      <c r="Q855">
        <v>992.78</v>
      </c>
      <c r="R855">
        <v>3.73</v>
      </c>
      <c r="S855">
        <v>20.196200000000001</v>
      </c>
    </row>
    <row r="856" spans="1:19" x14ac:dyDescent="0.25">
      <c r="A856" s="4">
        <v>45649</v>
      </c>
      <c r="B856">
        <v>4.4400000000000004</v>
      </c>
      <c r="C856">
        <v>4.4400000000000004</v>
      </c>
      <c r="D856">
        <v>4.3600000000000003</v>
      </c>
      <c r="E856">
        <v>4.37</v>
      </c>
      <c r="F856">
        <v>4.3</v>
      </c>
      <c r="G856">
        <v>4.26</v>
      </c>
      <c r="H856">
        <v>4.3</v>
      </c>
      <c r="I856">
        <v>4.3600000000000003</v>
      </c>
      <c r="J856">
        <v>4.4400000000000004</v>
      </c>
      <c r="K856">
        <v>4.5199999999999996</v>
      </c>
      <c r="L856">
        <v>4.59</v>
      </c>
      <c r="M856">
        <v>4.8499999999999996</v>
      </c>
      <c r="N856">
        <v>4.78</v>
      </c>
      <c r="O856">
        <v>6.1608999999999998</v>
      </c>
      <c r="P856">
        <v>4419.5</v>
      </c>
      <c r="Q856">
        <v>991.18</v>
      </c>
      <c r="R856">
        <v>3.7229999999999999</v>
      </c>
      <c r="S856">
        <v>20.224</v>
      </c>
    </row>
    <row r="857" spans="1:19" x14ac:dyDescent="0.25">
      <c r="A857" s="4">
        <v>45646</v>
      </c>
      <c r="B857">
        <v>4.43</v>
      </c>
      <c r="C857">
        <v>4.42</v>
      </c>
      <c r="D857">
        <v>4.34</v>
      </c>
      <c r="E857">
        <v>4.3499999999999996</v>
      </c>
      <c r="F857">
        <v>4.29</v>
      </c>
      <c r="G857">
        <v>4.2699999999999996</v>
      </c>
      <c r="H857">
        <v>4.3</v>
      </c>
      <c r="I857">
        <v>4.32</v>
      </c>
      <c r="J857">
        <v>4.37</v>
      </c>
      <c r="K857">
        <v>4.45</v>
      </c>
      <c r="L857">
        <v>4.5199999999999996</v>
      </c>
      <c r="M857">
        <v>4.79</v>
      </c>
      <c r="N857">
        <v>4.72</v>
      </c>
      <c r="O857">
        <v>6.0777000000000001</v>
      </c>
      <c r="P857">
        <v>4385</v>
      </c>
      <c r="Q857">
        <v>996.35</v>
      </c>
      <c r="R857">
        <v>3.7290000000000001</v>
      </c>
      <c r="S857">
        <v>20.034199999999998</v>
      </c>
    </row>
    <row r="858" spans="1:19" x14ac:dyDescent="0.25">
      <c r="A858" s="4">
        <v>45645</v>
      </c>
      <c r="B858">
        <v>4.42</v>
      </c>
      <c r="C858">
        <v>4.42</v>
      </c>
      <c r="D858">
        <v>4.3499999999999996</v>
      </c>
      <c r="E858">
        <v>4.3499999999999996</v>
      </c>
      <c r="F858">
        <v>4.29</v>
      </c>
      <c r="G858">
        <v>4.28</v>
      </c>
      <c r="H858">
        <v>4.32</v>
      </c>
      <c r="I858">
        <v>4.3499999999999996</v>
      </c>
      <c r="J858">
        <v>4.43</v>
      </c>
      <c r="K858">
        <v>4.51</v>
      </c>
      <c r="L858">
        <v>4.57</v>
      </c>
      <c r="M858">
        <v>4.82</v>
      </c>
      <c r="N858">
        <v>4.74</v>
      </c>
      <c r="O858">
        <v>6.1837999999999997</v>
      </c>
      <c r="P858">
        <v>4378.5</v>
      </c>
      <c r="Q858">
        <v>988.44</v>
      </c>
      <c r="R858">
        <v>3.718</v>
      </c>
      <c r="S858">
        <v>20.298400000000001</v>
      </c>
    </row>
    <row r="859" spans="1:19" x14ac:dyDescent="0.25">
      <c r="A859" s="4">
        <v>45644</v>
      </c>
      <c r="B859">
        <v>4.4400000000000004</v>
      </c>
      <c r="C859">
        <v>4.43</v>
      </c>
      <c r="D859">
        <v>4.3600000000000003</v>
      </c>
      <c r="E859">
        <v>4.3600000000000003</v>
      </c>
      <c r="F859">
        <v>4.3</v>
      </c>
      <c r="G859">
        <v>4.3</v>
      </c>
      <c r="H859">
        <v>4.3499999999999996</v>
      </c>
      <c r="I859">
        <v>4.3499999999999996</v>
      </c>
      <c r="J859">
        <v>4.4000000000000004</v>
      </c>
      <c r="K859">
        <v>4.45</v>
      </c>
      <c r="L859">
        <v>4.5</v>
      </c>
      <c r="M859">
        <v>4.74</v>
      </c>
      <c r="N859">
        <v>4.6500000000000004</v>
      </c>
      <c r="O859">
        <v>6.1620999999999997</v>
      </c>
      <c r="P859">
        <v>4376.8500000000004</v>
      </c>
      <c r="Q859">
        <v>990.87</v>
      </c>
      <c r="R859">
        <v>3.7330000000000001</v>
      </c>
      <c r="S859">
        <v>20.372</v>
      </c>
    </row>
    <row r="860" spans="1:19" x14ac:dyDescent="0.25">
      <c r="A860" s="4">
        <v>45643</v>
      </c>
      <c r="B860">
        <v>4.46</v>
      </c>
      <c r="C860">
        <v>4.4400000000000004</v>
      </c>
      <c r="D860">
        <v>4.38</v>
      </c>
      <c r="E860">
        <v>4.3600000000000003</v>
      </c>
      <c r="F860">
        <v>4.3</v>
      </c>
      <c r="G860">
        <v>4.25</v>
      </c>
      <c r="H860">
        <v>4.25</v>
      </c>
      <c r="I860">
        <v>4.22</v>
      </c>
      <c r="J860">
        <v>4.26</v>
      </c>
      <c r="K860">
        <v>4.33</v>
      </c>
      <c r="L860">
        <v>4.4000000000000004</v>
      </c>
      <c r="M860">
        <v>4.68</v>
      </c>
      <c r="N860">
        <v>4.59</v>
      </c>
      <c r="O860">
        <v>6.1681999999999997</v>
      </c>
      <c r="P860">
        <v>4346</v>
      </c>
      <c r="Q860">
        <v>989.93</v>
      </c>
      <c r="R860">
        <v>3.738</v>
      </c>
      <c r="S860">
        <v>20.221399999999999</v>
      </c>
    </row>
    <row r="861" spans="1:19" x14ac:dyDescent="0.25">
      <c r="A861" s="4">
        <v>45642</v>
      </c>
      <c r="B861">
        <v>4.43</v>
      </c>
      <c r="C861">
        <v>4.4400000000000004</v>
      </c>
      <c r="D861">
        <v>4.37</v>
      </c>
      <c r="E861">
        <v>4.3600000000000003</v>
      </c>
      <c r="F861">
        <v>4.3</v>
      </c>
      <c r="G861">
        <v>4.24</v>
      </c>
      <c r="H861">
        <v>4.25</v>
      </c>
      <c r="I861">
        <v>4.22</v>
      </c>
      <c r="J861">
        <v>4.25</v>
      </c>
      <c r="K861">
        <v>4.32</v>
      </c>
      <c r="L861">
        <v>4.3899999999999997</v>
      </c>
      <c r="M861">
        <v>4.68</v>
      </c>
      <c r="N861">
        <v>4.5999999999999996</v>
      </c>
      <c r="O861">
        <v>6.0506500000000001</v>
      </c>
      <c r="P861">
        <v>4325.5</v>
      </c>
      <c r="Q861">
        <v>983.25</v>
      </c>
      <c r="R861">
        <v>3.7360000000000002</v>
      </c>
      <c r="S861">
        <v>20.125499999999999</v>
      </c>
    </row>
    <row r="862" spans="1:19" x14ac:dyDescent="0.25">
      <c r="A862" s="4">
        <v>45639</v>
      </c>
      <c r="B862">
        <v>4.43</v>
      </c>
      <c r="C862">
        <v>4.43</v>
      </c>
      <c r="D862">
        <v>4.34</v>
      </c>
      <c r="E862">
        <v>4.3600000000000003</v>
      </c>
      <c r="F862">
        <v>4.32</v>
      </c>
      <c r="G862">
        <v>4.24</v>
      </c>
      <c r="H862">
        <v>4.25</v>
      </c>
      <c r="I862">
        <v>4.21</v>
      </c>
      <c r="J862">
        <v>4.25</v>
      </c>
      <c r="K862">
        <v>4.33</v>
      </c>
      <c r="L862">
        <v>4.4000000000000004</v>
      </c>
      <c r="M862">
        <v>4.6900000000000004</v>
      </c>
      <c r="N862">
        <v>4.6100000000000003</v>
      </c>
      <c r="O862">
        <v>6.0396999999999998</v>
      </c>
      <c r="P862">
        <v>4317.3999999999996</v>
      </c>
      <c r="Q862">
        <v>975.67</v>
      </c>
      <c r="R862">
        <v>3.7280000000000002</v>
      </c>
      <c r="S862">
        <v>20.1281</v>
      </c>
    </row>
    <row r="863" spans="1:19" x14ac:dyDescent="0.25">
      <c r="A863" s="4">
        <v>45638</v>
      </c>
      <c r="B863">
        <v>4.43</v>
      </c>
      <c r="C863">
        <v>4.4400000000000004</v>
      </c>
      <c r="D863">
        <v>4.3499999999999996</v>
      </c>
      <c r="E863">
        <v>4.3600000000000003</v>
      </c>
      <c r="F863">
        <v>4.3099999999999996</v>
      </c>
      <c r="G863">
        <v>4.22</v>
      </c>
      <c r="H863">
        <v>4.18</v>
      </c>
      <c r="I863">
        <v>4.1399999999999997</v>
      </c>
      <c r="J863">
        <v>4.18</v>
      </c>
      <c r="K863">
        <v>4.25</v>
      </c>
      <c r="L863">
        <v>4.32</v>
      </c>
      <c r="M863">
        <v>4.62</v>
      </c>
      <c r="N863">
        <v>4.55</v>
      </c>
      <c r="O863">
        <v>5.9405000000000001</v>
      </c>
      <c r="P863">
        <v>4347.9399999999996</v>
      </c>
      <c r="Q863">
        <v>975.81</v>
      </c>
      <c r="R863">
        <v>3.7370000000000001</v>
      </c>
      <c r="S863">
        <v>20.110800000000001</v>
      </c>
    </row>
    <row r="864" spans="1:19" x14ac:dyDescent="0.25">
      <c r="A864" s="4">
        <v>45637</v>
      </c>
      <c r="B864">
        <v>4.49</v>
      </c>
      <c r="C864">
        <v>4.45</v>
      </c>
      <c r="D864">
        <v>4.38</v>
      </c>
      <c r="E864">
        <v>4.38</v>
      </c>
      <c r="F864">
        <v>4.32</v>
      </c>
      <c r="G864">
        <v>4.21</v>
      </c>
      <c r="H864">
        <v>4.1500000000000004</v>
      </c>
      <c r="I864">
        <v>4.09</v>
      </c>
      <c r="J864">
        <v>4.13</v>
      </c>
      <c r="K864">
        <v>4.2</v>
      </c>
      <c r="L864">
        <v>4.26</v>
      </c>
      <c r="M864">
        <v>4.55</v>
      </c>
      <c r="N864">
        <v>4.4800000000000004</v>
      </c>
      <c r="O864">
        <v>6.0316999999999998</v>
      </c>
      <c r="P864">
        <v>4344.99</v>
      </c>
      <c r="Q864">
        <v>972.43</v>
      </c>
      <c r="R864">
        <v>3.726</v>
      </c>
      <c r="S864">
        <v>20.110800000000001</v>
      </c>
    </row>
    <row r="865" spans="1:19" x14ac:dyDescent="0.25">
      <c r="A865" s="4">
        <v>45636</v>
      </c>
      <c r="B865">
        <v>4.53</v>
      </c>
      <c r="C865">
        <v>4.4800000000000004</v>
      </c>
      <c r="D865">
        <v>4.41</v>
      </c>
      <c r="E865">
        <v>4.42</v>
      </c>
      <c r="F865">
        <v>4.3499999999999996</v>
      </c>
      <c r="G865">
        <v>4.22</v>
      </c>
      <c r="H865">
        <v>4.1500000000000004</v>
      </c>
      <c r="I865">
        <v>4.08</v>
      </c>
      <c r="J865">
        <v>4.09</v>
      </c>
      <c r="K865">
        <v>4.1500000000000004</v>
      </c>
      <c r="L865">
        <v>4.22</v>
      </c>
      <c r="M865">
        <v>4.49</v>
      </c>
      <c r="N865">
        <v>4.41</v>
      </c>
      <c r="O865">
        <v>6.0526</v>
      </c>
      <c r="P865">
        <v>4371.6000000000004</v>
      </c>
      <c r="Q865">
        <v>969.92</v>
      </c>
      <c r="R865">
        <v>3.71</v>
      </c>
      <c r="S865">
        <v>20.170999999999999</v>
      </c>
    </row>
    <row r="866" spans="1:19" x14ac:dyDescent="0.25">
      <c r="A866" s="4">
        <v>45635</v>
      </c>
      <c r="B866">
        <v>4.5599999999999996</v>
      </c>
      <c r="C866">
        <v>4.5</v>
      </c>
      <c r="D866">
        <v>4.42</v>
      </c>
      <c r="E866">
        <v>4.43</v>
      </c>
      <c r="F866">
        <v>4.34</v>
      </c>
      <c r="G866">
        <v>4.2</v>
      </c>
      <c r="H866">
        <v>4.13</v>
      </c>
      <c r="I866">
        <v>4.09</v>
      </c>
      <c r="J866">
        <v>4.07</v>
      </c>
      <c r="K866">
        <v>4.13</v>
      </c>
      <c r="L866">
        <v>4.2</v>
      </c>
      <c r="M866">
        <v>4.47</v>
      </c>
      <c r="N866">
        <v>4.3899999999999997</v>
      </c>
      <c r="O866">
        <v>6.0567000000000002</v>
      </c>
      <c r="P866">
        <v>4369</v>
      </c>
      <c r="Q866">
        <v>971.62</v>
      </c>
      <c r="R866">
        <v>3.7160000000000002</v>
      </c>
      <c r="S866">
        <v>20.200399999999998</v>
      </c>
    </row>
    <row r="867" spans="1:19" x14ac:dyDescent="0.25">
      <c r="A867" s="4">
        <v>45632</v>
      </c>
      <c r="B867">
        <v>4.57</v>
      </c>
      <c r="C867">
        <v>4.5</v>
      </c>
      <c r="D867">
        <v>4.42</v>
      </c>
      <c r="E867">
        <v>4.42</v>
      </c>
      <c r="F867">
        <v>4.34</v>
      </c>
      <c r="G867">
        <v>4.1900000000000004</v>
      </c>
      <c r="H867">
        <v>4.0999999999999996</v>
      </c>
      <c r="I867">
        <v>4.05</v>
      </c>
      <c r="J867">
        <v>4.03</v>
      </c>
      <c r="K867">
        <v>4.09</v>
      </c>
      <c r="L867">
        <v>4.1500000000000004</v>
      </c>
      <c r="M867">
        <v>4.42</v>
      </c>
      <c r="N867">
        <v>4.34</v>
      </c>
      <c r="O867">
        <v>6.0289999999999999</v>
      </c>
      <c r="P867">
        <v>4407.4399999999996</v>
      </c>
      <c r="Q867">
        <v>971.65</v>
      </c>
      <c r="R867">
        <v>3.7160000000000002</v>
      </c>
      <c r="S867">
        <v>20.179300000000001</v>
      </c>
    </row>
    <row r="868" spans="1:19" x14ac:dyDescent="0.25">
      <c r="A868" s="4">
        <v>45631</v>
      </c>
      <c r="B868">
        <v>4.59</v>
      </c>
      <c r="C868">
        <v>4.53</v>
      </c>
      <c r="D868">
        <v>4.46</v>
      </c>
      <c r="E868">
        <v>4.46</v>
      </c>
      <c r="F868">
        <v>4.38</v>
      </c>
      <c r="G868">
        <v>4.2300000000000004</v>
      </c>
      <c r="H868">
        <v>4.1500000000000004</v>
      </c>
      <c r="I868">
        <v>4.0999999999999996</v>
      </c>
      <c r="J868">
        <v>4.07</v>
      </c>
      <c r="K868">
        <v>4.12</v>
      </c>
      <c r="L868">
        <v>4.17</v>
      </c>
      <c r="M868">
        <v>4.43</v>
      </c>
      <c r="N868">
        <v>4.33</v>
      </c>
      <c r="O868">
        <v>5.9846000000000004</v>
      </c>
      <c r="P868">
        <v>4415.5</v>
      </c>
      <c r="Q868">
        <v>974.37</v>
      </c>
      <c r="R868">
        <v>3.7240000000000002</v>
      </c>
      <c r="S868">
        <v>20.2043</v>
      </c>
    </row>
    <row r="869" spans="1:19" x14ac:dyDescent="0.25">
      <c r="A869" s="4">
        <v>45630</v>
      </c>
      <c r="B869">
        <v>4.6500000000000004</v>
      </c>
      <c r="C869">
        <v>4.54</v>
      </c>
      <c r="D869">
        <v>4.47</v>
      </c>
      <c r="E869">
        <v>4.46</v>
      </c>
      <c r="F869">
        <v>4.38</v>
      </c>
      <c r="G869">
        <v>4.2300000000000004</v>
      </c>
      <c r="H869">
        <v>4.13</v>
      </c>
      <c r="I869">
        <v>4.09</v>
      </c>
      <c r="J869">
        <v>4.07</v>
      </c>
      <c r="K869">
        <v>4.13</v>
      </c>
      <c r="L869">
        <v>4.1900000000000004</v>
      </c>
      <c r="M869">
        <v>4.45</v>
      </c>
      <c r="N869">
        <v>4.3499999999999996</v>
      </c>
      <c r="O869">
        <v>6.0578000000000003</v>
      </c>
      <c r="P869">
        <v>4415</v>
      </c>
      <c r="Q869">
        <v>972.75</v>
      </c>
      <c r="R869">
        <v>3.738</v>
      </c>
      <c r="S869">
        <v>20.3001</v>
      </c>
    </row>
    <row r="870" spans="1:19" x14ac:dyDescent="0.25">
      <c r="A870" s="4">
        <v>45629</v>
      </c>
      <c r="B870">
        <v>4.66</v>
      </c>
      <c r="C870">
        <v>4.5599999999999996</v>
      </c>
      <c r="D870">
        <v>4.49</v>
      </c>
      <c r="E870">
        <v>4.4800000000000004</v>
      </c>
      <c r="F870">
        <v>4.4000000000000004</v>
      </c>
      <c r="G870">
        <v>4.2699999999999996</v>
      </c>
      <c r="H870">
        <v>4.17</v>
      </c>
      <c r="I870">
        <v>4.13</v>
      </c>
      <c r="J870">
        <v>4.1100000000000003</v>
      </c>
      <c r="K870">
        <v>4.17</v>
      </c>
      <c r="L870">
        <v>4.2300000000000004</v>
      </c>
      <c r="M870">
        <v>4.5</v>
      </c>
      <c r="N870">
        <v>4.4000000000000004</v>
      </c>
      <c r="O870">
        <v>6.0704000000000002</v>
      </c>
      <c r="P870">
        <v>4440.5</v>
      </c>
      <c r="Q870">
        <v>979.1</v>
      </c>
      <c r="R870">
        <v>3.7360000000000002</v>
      </c>
      <c r="S870">
        <v>20.341799999999999</v>
      </c>
    </row>
    <row r="871" spans="1:19" x14ac:dyDescent="0.25">
      <c r="A871" s="4">
        <v>45628</v>
      </c>
      <c r="B871">
        <v>4.75</v>
      </c>
      <c r="C871">
        <v>4.63</v>
      </c>
      <c r="D871">
        <v>4.51</v>
      </c>
      <c r="E871">
        <v>4.51</v>
      </c>
      <c r="F871">
        <v>4.43</v>
      </c>
      <c r="G871">
        <v>4.3</v>
      </c>
      <c r="H871">
        <v>4.17</v>
      </c>
      <c r="I871">
        <v>4.1100000000000003</v>
      </c>
      <c r="J871">
        <v>4.08</v>
      </c>
      <c r="K871">
        <v>4.13</v>
      </c>
      <c r="L871">
        <v>4.1900000000000004</v>
      </c>
      <c r="M871">
        <v>4.46</v>
      </c>
      <c r="N871">
        <v>4.3600000000000003</v>
      </c>
      <c r="O871">
        <v>6.0631000000000004</v>
      </c>
      <c r="P871">
        <v>4460.8999999999996</v>
      </c>
      <c r="Q871">
        <v>977.66</v>
      </c>
      <c r="R871">
        <v>3.7549999999999999</v>
      </c>
      <c r="S871">
        <v>20.392600000000002</v>
      </c>
    </row>
    <row r="872" spans="1:19" x14ac:dyDescent="0.25">
      <c r="A872" s="4">
        <v>45625</v>
      </c>
      <c r="B872">
        <v>4.76</v>
      </c>
      <c r="C872">
        <v>4.6900000000000004</v>
      </c>
      <c r="D872">
        <v>4.58</v>
      </c>
      <c r="E872">
        <v>4.5199999999999996</v>
      </c>
      <c r="F872">
        <v>4.42</v>
      </c>
      <c r="G872">
        <v>4.3</v>
      </c>
      <c r="H872">
        <v>4.13</v>
      </c>
      <c r="I872">
        <v>4.0999999999999996</v>
      </c>
      <c r="J872">
        <v>4.05</v>
      </c>
      <c r="K872">
        <v>4.0999999999999996</v>
      </c>
      <c r="L872">
        <v>4.18</v>
      </c>
      <c r="M872">
        <v>4.45</v>
      </c>
      <c r="N872">
        <v>4.3600000000000003</v>
      </c>
      <c r="O872">
        <v>6.0532000000000004</v>
      </c>
      <c r="P872">
        <v>4434.9799999999996</v>
      </c>
      <c r="Q872">
        <v>977.32</v>
      </c>
      <c r="R872">
        <v>3.7589999999999999</v>
      </c>
      <c r="S872">
        <v>20.3611</v>
      </c>
    </row>
    <row r="873" spans="1:19" x14ac:dyDescent="0.25">
      <c r="A873" s="4">
        <v>45623</v>
      </c>
      <c r="B873">
        <v>4.76</v>
      </c>
      <c r="C873">
        <v>4.7</v>
      </c>
      <c r="D873">
        <v>4.5999999999999996</v>
      </c>
      <c r="E873">
        <v>4.54</v>
      </c>
      <c r="F873">
        <v>4.43</v>
      </c>
      <c r="G873">
        <v>4.34</v>
      </c>
      <c r="H873">
        <v>4.1900000000000004</v>
      </c>
      <c r="I873">
        <v>4.17</v>
      </c>
      <c r="J873">
        <v>4.1100000000000003</v>
      </c>
      <c r="K873">
        <v>4.17</v>
      </c>
      <c r="L873">
        <v>4.25</v>
      </c>
      <c r="M873">
        <v>4.5199999999999996</v>
      </c>
      <c r="N873">
        <v>4.4400000000000004</v>
      </c>
      <c r="O873">
        <v>5.8288000000000002</v>
      </c>
      <c r="P873">
        <v>4383</v>
      </c>
      <c r="Q873">
        <v>975.06</v>
      </c>
      <c r="R873">
        <v>3.7519999999999998</v>
      </c>
      <c r="S873">
        <v>20.614699999999999</v>
      </c>
    </row>
    <row r="874" spans="1:19" x14ac:dyDescent="0.25">
      <c r="A874" s="4">
        <v>45622</v>
      </c>
      <c r="B874">
        <v>4.74</v>
      </c>
      <c r="C874">
        <v>4.67</v>
      </c>
      <c r="D874">
        <v>4.6100000000000003</v>
      </c>
      <c r="E874">
        <v>4.5199999999999996</v>
      </c>
      <c r="F874">
        <v>4.45</v>
      </c>
      <c r="G874">
        <v>4.37</v>
      </c>
      <c r="H874">
        <v>4.21</v>
      </c>
      <c r="I874">
        <v>4.21</v>
      </c>
      <c r="J874">
        <v>4.17</v>
      </c>
      <c r="K874">
        <v>4.24</v>
      </c>
      <c r="L874">
        <v>4.3</v>
      </c>
      <c r="M874">
        <v>4.5599999999999996</v>
      </c>
      <c r="N874">
        <v>4.4800000000000004</v>
      </c>
      <c r="O874">
        <v>5.7987000000000002</v>
      </c>
      <c r="P874">
        <v>4401.1000000000004</v>
      </c>
      <c r="Q874">
        <v>976.89</v>
      </c>
      <c r="R874">
        <v>3.7629999999999999</v>
      </c>
      <c r="S874">
        <v>20.689399999999999</v>
      </c>
    </row>
    <row r="875" spans="1:19" x14ac:dyDescent="0.25">
      <c r="A875" s="4">
        <v>45621</v>
      </c>
      <c r="B875">
        <v>4.74</v>
      </c>
      <c r="C875">
        <v>4.67</v>
      </c>
      <c r="D875">
        <v>4.62</v>
      </c>
      <c r="E875">
        <v>4.5199999999999996</v>
      </c>
      <c r="F875">
        <v>4.46</v>
      </c>
      <c r="G875">
        <v>4.37</v>
      </c>
      <c r="H875">
        <v>4.21</v>
      </c>
      <c r="I875">
        <v>4.21</v>
      </c>
      <c r="J875">
        <v>4.17</v>
      </c>
      <c r="K875">
        <v>4.21</v>
      </c>
      <c r="L875">
        <v>4.2699999999999996</v>
      </c>
      <c r="M875">
        <v>4.53</v>
      </c>
      <c r="N875">
        <v>4.45</v>
      </c>
      <c r="O875">
        <v>5.7999000000000001</v>
      </c>
      <c r="P875">
        <v>4384.1000000000004</v>
      </c>
      <c r="Q875">
        <v>982.08</v>
      </c>
      <c r="R875">
        <v>3.7730000000000001</v>
      </c>
      <c r="S875">
        <v>20.283300000000001</v>
      </c>
    </row>
    <row r="876" spans="1:19" x14ac:dyDescent="0.25">
      <c r="A876" s="4">
        <v>45618</v>
      </c>
      <c r="B876">
        <v>4.72</v>
      </c>
      <c r="C876">
        <v>4.67</v>
      </c>
      <c r="D876">
        <v>4.63</v>
      </c>
      <c r="E876">
        <v>4.53</v>
      </c>
      <c r="F876">
        <v>4.46</v>
      </c>
      <c r="G876">
        <v>4.42</v>
      </c>
      <c r="H876">
        <v>4.37</v>
      </c>
      <c r="I876">
        <v>4.32</v>
      </c>
      <c r="J876">
        <v>4.3</v>
      </c>
      <c r="K876">
        <v>4.3499999999999996</v>
      </c>
      <c r="L876">
        <v>4.41</v>
      </c>
      <c r="M876">
        <v>4.67</v>
      </c>
      <c r="N876">
        <v>4.5999999999999996</v>
      </c>
      <c r="O876">
        <v>5.8121</v>
      </c>
      <c r="P876">
        <v>4415.97</v>
      </c>
      <c r="Q876">
        <v>971.29</v>
      </c>
      <c r="R876">
        <v>3.7869999999999999</v>
      </c>
      <c r="S876">
        <v>20.491900000000001</v>
      </c>
    </row>
    <row r="877" spans="1:19" x14ac:dyDescent="0.25">
      <c r="A877" s="4">
        <v>45617</v>
      </c>
      <c r="B877">
        <v>4.72</v>
      </c>
      <c r="C877">
        <v>4.67</v>
      </c>
      <c r="D877">
        <v>4.63</v>
      </c>
      <c r="E877">
        <v>4.5199999999999996</v>
      </c>
      <c r="F877">
        <v>4.45</v>
      </c>
      <c r="G877">
        <v>4.3899999999999997</v>
      </c>
      <c r="H877">
        <v>4.34</v>
      </c>
      <c r="I877">
        <v>4.3</v>
      </c>
      <c r="J877">
        <v>4.3</v>
      </c>
      <c r="K877">
        <v>4.3600000000000003</v>
      </c>
      <c r="L877">
        <v>4.43</v>
      </c>
      <c r="M877">
        <v>4.68</v>
      </c>
      <c r="N877">
        <v>4.6100000000000003</v>
      </c>
      <c r="O877">
        <v>5.8170000000000002</v>
      </c>
      <c r="P877">
        <v>4394.8</v>
      </c>
      <c r="Q877">
        <v>972.68</v>
      </c>
      <c r="R877">
        <v>3.79</v>
      </c>
      <c r="S877">
        <v>20.440100000000001</v>
      </c>
    </row>
    <row r="878" spans="1:19" x14ac:dyDescent="0.25">
      <c r="A878" s="4">
        <v>45616</v>
      </c>
      <c r="B878">
        <v>4.68</v>
      </c>
      <c r="C878">
        <v>4.63</v>
      </c>
      <c r="D878">
        <v>4.62</v>
      </c>
      <c r="E878">
        <v>4.5199999999999996</v>
      </c>
      <c r="F878">
        <v>4.4400000000000004</v>
      </c>
      <c r="G878">
        <v>4.37</v>
      </c>
      <c r="H878">
        <v>4.3099999999999996</v>
      </c>
      <c r="I878">
        <v>4.26</v>
      </c>
      <c r="J878">
        <v>4.28</v>
      </c>
      <c r="K878">
        <v>4.34</v>
      </c>
      <c r="L878">
        <v>4.41</v>
      </c>
      <c r="M878">
        <v>4.66</v>
      </c>
      <c r="N878">
        <v>4.59</v>
      </c>
      <c r="O878">
        <v>5.774</v>
      </c>
      <c r="P878">
        <v>4400</v>
      </c>
      <c r="Q878">
        <v>973.21</v>
      </c>
      <c r="R878">
        <v>3.798</v>
      </c>
      <c r="S878">
        <v>20.322299999999998</v>
      </c>
    </row>
    <row r="879" spans="1:19" x14ac:dyDescent="0.25">
      <c r="A879" s="4">
        <v>45615</v>
      </c>
      <c r="B879">
        <v>4.67</v>
      </c>
      <c r="C879">
        <v>4.63</v>
      </c>
      <c r="D879">
        <v>4.62</v>
      </c>
      <c r="E879">
        <v>4.51</v>
      </c>
      <c r="F879">
        <v>4.4400000000000004</v>
      </c>
      <c r="G879">
        <v>4.34</v>
      </c>
      <c r="H879">
        <v>4.2699999999999996</v>
      </c>
      <c r="I879">
        <v>4.24</v>
      </c>
      <c r="J879">
        <v>4.25</v>
      </c>
      <c r="K879">
        <v>4.32</v>
      </c>
      <c r="L879">
        <v>4.3899999999999997</v>
      </c>
      <c r="M879">
        <v>4.66</v>
      </c>
      <c r="N879">
        <v>4.57</v>
      </c>
      <c r="O879">
        <v>5.774</v>
      </c>
      <c r="P879">
        <v>4390.2</v>
      </c>
      <c r="Q879">
        <v>976.86</v>
      </c>
      <c r="R879">
        <v>3.794</v>
      </c>
      <c r="S879">
        <v>20.113600000000002</v>
      </c>
    </row>
    <row r="880" spans="1:19" x14ac:dyDescent="0.25">
      <c r="A880" s="4">
        <v>45614</v>
      </c>
      <c r="B880">
        <v>4.7</v>
      </c>
      <c r="C880">
        <v>4.6500000000000004</v>
      </c>
      <c r="D880">
        <v>4.63</v>
      </c>
      <c r="E880">
        <v>4.5199999999999996</v>
      </c>
      <c r="F880">
        <v>4.4400000000000004</v>
      </c>
      <c r="G880">
        <v>4.33</v>
      </c>
      <c r="H880">
        <v>4.29</v>
      </c>
      <c r="I880">
        <v>4.25</v>
      </c>
      <c r="J880">
        <v>4.28</v>
      </c>
      <c r="K880">
        <v>4.3499999999999996</v>
      </c>
      <c r="L880">
        <v>4.42</v>
      </c>
      <c r="M880">
        <v>4.7</v>
      </c>
      <c r="N880">
        <v>4.6100000000000003</v>
      </c>
      <c r="O880">
        <v>5.76</v>
      </c>
      <c r="P880">
        <v>4403.8500000000004</v>
      </c>
      <c r="Q880">
        <v>974.51</v>
      </c>
      <c r="R880">
        <v>3.794</v>
      </c>
      <c r="S880">
        <v>20.3811</v>
      </c>
    </row>
    <row r="881" spans="1:19" x14ac:dyDescent="0.25">
      <c r="A881" s="4">
        <v>45611</v>
      </c>
      <c r="B881">
        <v>4.7</v>
      </c>
      <c r="C881">
        <v>4.67</v>
      </c>
      <c r="D881">
        <v>4.5999999999999996</v>
      </c>
      <c r="E881">
        <v>4.5199999999999996</v>
      </c>
      <c r="F881">
        <v>4.4400000000000004</v>
      </c>
      <c r="G881">
        <v>4.34</v>
      </c>
      <c r="H881">
        <v>4.3099999999999996</v>
      </c>
      <c r="I881">
        <v>4.2699999999999996</v>
      </c>
      <c r="J881">
        <v>4.3</v>
      </c>
      <c r="K881">
        <v>4.3600000000000003</v>
      </c>
      <c r="L881">
        <v>4.43</v>
      </c>
      <c r="M881">
        <v>4.7</v>
      </c>
      <c r="N881">
        <v>4.5999999999999996</v>
      </c>
      <c r="O881">
        <v>5.7881999999999998</v>
      </c>
      <c r="P881">
        <v>4430</v>
      </c>
      <c r="Q881">
        <v>975.44</v>
      </c>
      <c r="R881">
        <v>3.8</v>
      </c>
      <c r="S881">
        <v>20.3811</v>
      </c>
    </row>
    <row r="882" spans="1:19" x14ac:dyDescent="0.25">
      <c r="A882" s="4">
        <v>45610</v>
      </c>
      <c r="B882">
        <v>4.7</v>
      </c>
      <c r="C882">
        <v>4.68</v>
      </c>
      <c r="D882">
        <v>4.6100000000000003</v>
      </c>
      <c r="E882">
        <v>4.53</v>
      </c>
      <c r="F882">
        <v>4.43</v>
      </c>
      <c r="G882">
        <v>4.3600000000000003</v>
      </c>
      <c r="H882">
        <v>4.34</v>
      </c>
      <c r="I882">
        <v>4.3</v>
      </c>
      <c r="J882">
        <v>4.32</v>
      </c>
      <c r="K882">
        <v>4.38</v>
      </c>
      <c r="L882">
        <v>4.43</v>
      </c>
      <c r="M882">
        <v>4.6900000000000004</v>
      </c>
      <c r="N882">
        <v>4.58</v>
      </c>
      <c r="O882">
        <v>5.7881999999999998</v>
      </c>
      <c r="P882">
        <v>4485.5</v>
      </c>
      <c r="Q882">
        <v>981.61</v>
      </c>
      <c r="R882">
        <v>3.7970000000000002</v>
      </c>
      <c r="S882">
        <v>20.426100000000002</v>
      </c>
    </row>
    <row r="883" spans="1:19" x14ac:dyDescent="0.25">
      <c r="A883" s="4">
        <v>45609</v>
      </c>
      <c r="B883">
        <v>4.6900000000000004</v>
      </c>
      <c r="C883">
        <v>4.67</v>
      </c>
      <c r="D883">
        <v>4.5999999999999996</v>
      </c>
      <c r="E883">
        <v>4.5</v>
      </c>
      <c r="F883">
        <v>4.4000000000000004</v>
      </c>
      <c r="G883">
        <v>4.3099999999999996</v>
      </c>
      <c r="H883">
        <v>4.2699999999999996</v>
      </c>
      <c r="I883">
        <v>4.25</v>
      </c>
      <c r="J883">
        <v>4.3</v>
      </c>
      <c r="K883">
        <v>4.38</v>
      </c>
      <c r="L883">
        <v>4.4400000000000004</v>
      </c>
      <c r="M883">
        <v>4.7300000000000004</v>
      </c>
      <c r="N883">
        <v>4.63</v>
      </c>
      <c r="O883">
        <v>5.7709999999999999</v>
      </c>
      <c r="P883">
        <v>4478</v>
      </c>
      <c r="Q883">
        <v>983.76</v>
      </c>
      <c r="R883">
        <v>3.81</v>
      </c>
      <c r="S883">
        <v>20.514900000000001</v>
      </c>
    </row>
    <row r="884" spans="1:19" x14ac:dyDescent="0.25">
      <c r="A884" s="4">
        <v>45608</v>
      </c>
      <c r="B884">
        <v>4.7</v>
      </c>
      <c r="C884">
        <v>4.7</v>
      </c>
      <c r="D884">
        <v>4.63</v>
      </c>
      <c r="E884">
        <v>4.54</v>
      </c>
      <c r="F884">
        <v>4.45</v>
      </c>
      <c r="G884">
        <v>4.38</v>
      </c>
      <c r="H884">
        <v>4.34</v>
      </c>
      <c r="I884">
        <v>4.29</v>
      </c>
      <c r="J884">
        <v>4.32</v>
      </c>
      <c r="K884">
        <v>4.38</v>
      </c>
      <c r="L884">
        <v>4.43</v>
      </c>
      <c r="M884">
        <v>4.7</v>
      </c>
      <c r="N884">
        <v>4.58</v>
      </c>
      <c r="O884">
        <v>5.7690999999999999</v>
      </c>
      <c r="P884">
        <v>4454</v>
      </c>
      <c r="Q884">
        <v>980.47</v>
      </c>
      <c r="R884">
        <v>3.7949999999999999</v>
      </c>
      <c r="S884">
        <v>20.670200000000001</v>
      </c>
    </row>
    <row r="885" spans="1:19" x14ac:dyDescent="0.25">
      <c r="A885" s="4">
        <v>45604</v>
      </c>
      <c r="B885">
        <v>4.7</v>
      </c>
      <c r="C885">
        <v>4.6900000000000004</v>
      </c>
      <c r="D885">
        <v>4.63</v>
      </c>
      <c r="E885">
        <v>4.53</v>
      </c>
      <c r="F885">
        <v>4.42</v>
      </c>
      <c r="G885">
        <v>4.32</v>
      </c>
      <c r="H885">
        <v>4.26</v>
      </c>
      <c r="I885">
        <v>4.18</v>
      </c>
      <c r="J885">
        <v>4.2</v>
      </c>
      <c r="K885">
        <v>4.25</v>
      </c>
      <c r="L885">
        <v>4.3</v>
      </c>
      <c r="M885">
        <v>4.58</v>
      </c>
      <c r="N885">
        <v>4.47</v>
      </c>
      <c r="O885">
        <v>5.7645</v>
      </c>
      <c r="P885">
        <v>4359.45</v>
      </c>
      <c r="Q885">
        <v>950.99</v>
      </c>
      <c r="R885">
        <v>3.7639999999999998</v>
      </c>
      <c r="S885">
        <v>20.194800000000001</v>
      </c>
    </row>
    <row r="886" spans="1:19" x14ac:dyDescent="0.25">
      <c r="A886" s="4">
        <v>45603</v>
      </c>
      <c r="B886">
        <v>4.6900000000000004</v>
      </c>
      <c r="C886">
        <v>4.6900000000000004</v>
      </c>
      <c r="D886">
        <v>4.63</v>
      </c>
      <c r="E886">
        <v>4.5199999999999996</v>
      </c>
      <c r="F886">
        <v>4.4000000000000004</v>
      </c>
      <c r="G886">
        <v>4.28</v>
      </c>
      <c r="H886">
        <v>4.21</v>
      </c>
      <c r="I886">
        <v>4.13</v>
      </c>
      <c r="J886">
        <v>4.17</v>
      </c>
      <c r="K886">
        <v>4.25</v>
      </c>
      <c r="L886">
        <v>4.3099999999999996</v>
      </c>
      <c r="M886">
        <v>4.62</v>
      </c>
      <c r="N886">
        <v>4.5199999999999996</v>
      </c>
      <c r="O886">
        <v>5.6620999999999997</v>
      </c>
      <c r="P886">
        <v>4305</v>
      </c>
      <c r="Q886">
        <v>968.6</v>
      </c>
      <c r="R886">
        <v>3.75</v>
      </c>
      <c r="S886">
        <v>19.867000000000001</v>
      </c>
    </row>
    <row r="887" spans="1:19" x14ac:dyDescent="0.25">
      <c r="A887" s="4">
        <v>45602</v>
      </c>
      <c r="B887">
        <v>4.68</v>
      </c>
      <c r="C887">
        <v>4.71</v>
      </c>
      <c r="D887">
        <v>4.6399999999999997</v>
      </c>
      <c r="E887">
        <v>4.54</v>
      </c>
      <c r="F887">
        <v>4.41</v>
      </c>
      <c r="G887">
        <v>4.3099999999999996</v>
      </c>
      <c r="H887">
        <v>4.2699999999999996</v>
      </c>
      <c r="I887">
        <v>4.2</v>
      </c>
      <c r="J887">
        <v>4.2699999999999996</v>
      </c>
      <c r="K887">
        <v>4.37</v>
      </c>
      <c r="L887">
        <v>4.42</v>
      </c>
      <c r="M887">
        <v>4.71</v>
      </c>
      <c r="N887">
        <v>4.5999999999999996</v>
      </c>
      <c r="O887">
        <v>5.7645</v>
      </c>
      <c r="P887">
        <v>4413.8999999999996</v>
      </c>
      <c r="Q887">
        <v>954.9</v>
      </c>
      <c r="R887">
        <v>3.7759999999999998</v>
      </c>
      <c r="S887">
        <v>20.166</v>
      </c>
    </row>
    <row r="888" spans="1:19" x14ac:dyDescent="0.25">
      <c r="A888" s="4">
        <v>45601</v>
      </c>
      <c r="B888">
        <v>4.72</v>
      </c>
      <c r="C888">
        <v>4.72</v>
      </c>
      <c r="D888">
        <v>4.6399999999999997</v>
      </c>
      <c r="E888">
        <v>4.49</v>
      </c>
      <c r="F888">
        <v>4.3899999999999997</v>
      </c>
      <c r="G888">
        <v>4.2699999999999996</v>
      </c>
      <c r="H888">
        <v>4.1900000000000004</v>
      </c>
      <c r="I888">
        <v>4.1100000000000003</v>
      </c>
      <c r="J888">
        <v>4.16</v>
      </c>
      <c r="K888">
        <v>4.22</v>
      </c>
      <c r="L888">
        <v>4.26</v>
      </c>
      <c r="M888">
        <v>4.55</v>
      </c>
      <c r="N888">
        <v>4.4400000000000004</v>
      </c>
      <c r="O888">
        <v>5.7843</v>
      </c>
      <c r="P888">
        <v>4405.3500000000004</v>
      </c>
      <c r="Q888">
        <v>956.54</v>
      </c>
      <c r="R888">
        <v>3.7719999999999998</v>
      </c>
      <c r="S888">
        <v>20.078800000000001</v>
      </c>
    </row>
    <row r="889" spans="1:19" x14ac:dyDescent="0.25">
      <c r="A889" s="4">
        <v>45600</v>
      </c>
      <c r="B889">
        <v>4.75</v>
      </c>
      <c r="C889">
        <v>4.74</v>
      </c>
      <c r="D889">
        <v>4.6500000000000004</v>
      </c>
      <c r="E889">
        <v>4.51</v>
      </c>
      <c r="F889">
        <v>4.3899999999999997</v>
      </c>
      <c r="G889">
        <v>4.25</v>
      </c>
      <c r="H889">
        <v>4.17</v>
      </c>
      <c r="I889">
        <v>4.0999999999999996</v>
      </c>
      <c r="J889">
        <v>4.17</v>
      </c>
      <c r="K889">
        <v>4.24</v>
      </c>
      <c r="L889">
        <v>4.3099999999999996</v>
      </c>
      <c r="M889">
        <v>4.5999999999999996</v>
      </c>
      <c r="N889">
        <v>4.5</v>
      </c>
      <c r="O889">
        <v>5.7895000000000003</v>
      </c>
      <c r="P889">
        <v>4433.3</v>
      </c>
      <c r="Q889">
        <v>961.29</v>
      </c>
      <c r="R889">
        <v>3.7719999999999998</v>
      </c>
      <c r="S889">
        <v>20.151199999999999</v>
      </c>
    </row>
    <row r="890" spans="1:19" x14ac:dyDescent="0.25">
      <c r="A890" s="4">
        <v>45597</v>
      </c>
      <c r="B890">
        <v>4.75</v>
      </c>
      <c r="C890">
        <v>4.74</v>
      </c>
      <c r="D890">
        <v>4.6100000000000003</v>
      </c>
      <c r="E890">
        <v>4.53</v>
      </c>
      <c r="F890">
        <v>4.42</v>
      </c>
      <c r="G890">
        <v>4.28</v>
      </c>
      <c r="H890">
        <v>4.21</v>
      </c>
      <c r="I890">
        <v>4.18</v>
      </c>
      <c r="J890">
        <v>4.22</v>
      </c>
      <c r="K890">
        <v>4.3</v>
      </c>
      <c r="L890">
        <v>4.37</v>
      </c>
      <c r="M890">
        <v>4.68</v>
      </c>
      <c r="N890">
        <v>4.57</v>
      </c>
      <c r="O890">
        <v>5.8070000000000004</v>
      </c>
      <c r="P890">
        <v>4433.3</v>
      </c>
      <c r="Q890">
        <v>950.89</v>
      </c>
      <c r="R890">
        <v>3.7730000000000001</v>
      </c>
      <c r="S890">
        <v>20.276800000000001</v>
      </c>
    </row>
    <row r="891" spans="1:19" x14ac:dyDescent="0.25">
      <c r="A891" s="4">
        <v>45596</v>
      </c>
      <c r="B891">
        <v>4.76</v>
      </c>
      <c r="C891">
        <v>4.76</v>
      </c>
      <c r="D891">
        <v>4.6399999999999997</v>
      </c>
      <c r="E891">
        <v>4.5599999999999996</v>
      </c>
      <c r="F891">
        <v>4.43</v>
      </c>
      <c r="G891">
        <v>4.2699999999999996</v>
      </c>
      <c r="H891">
        <v>4.16</v>
      </c>
      <c r="I891">
        <v>4.12</v>
      </c>
      <c r="J891">
        <v>4.1500000000000004</v>
      </c>
      <c r="K891">
        <v>4.21</v>
      </c>
      <c r="L891">
        <v>4.28</v>
      </c>
      <c r="M891">
        <v>4.58</v>
      </c>
      <c r="N891">
        <v>4.47</v>
      </c>
      <c r="O891">
        <v>5.7775999999999996</v>
      </c>
      <c r="P891">
        <v>4423.5</v>
      </c>
      <c r="Q891">
        <v>950.89</v>
      </c>
      <c r="R891">
        <v>3.7730000000000001</v>
      </c>
      <c r="S891">
        <v>20.010899999999999</v>
      </c>
    </row>
    <row r="892" spans="1:19" x14ac:dyDescent="0.25">
      <c r="A892" s="4">
        <v>45595</v>
      </c>
      <c r="B892">
        <v>4.87</v>
      </c>
      <c r="C892">
        <v>4.7699999999999996</v>
      </c>
      <c r="D892">
        <v>4.67</v>
      </c>
      <c r="E892">
        <v>4.57</v>
      </c>
      <c r="F892">
        <v>4.4400000000000004</v>
      </c>
      <c r="G892">
        <v>4.28</v>
      </c>
      <c r="H892">
        <v>4.1500000000000004</v>
      </c>
      <c r="I892">
        <v>4.1399999999999997</v>
      </c>
      <c r="J892">
        <v>4.1399999999999997</v>
      </c>
      <c r="K892">
        <v>4.2</v>
      </c>
      <c r="L892">
        <v>4.29</v>
      </c>
      <c r="M892">
        <v>4.5999999999999996</v>
      </c>
      <c r="N892">
        <v>4.49</v>
      </c>
      <c r="O892">
        <v>5.7797999999999998</v>
      </c>
      <c r="P892">
        <v>4418.45</v>
      </c>
      <c r="Q892">
        <v>950.89</v>
      </c>
      <c r="R892">
        <v>3.7650000000000001</v>
      </c>
      <c r="S892">
        <v>20.169499999999999</v>
      </c>
    </row>
    <row r="893" spans="1:19" x14ac:dyDescent="0.25">
      <c r="A893" s="4">
        <v>45594</v>
      </c>
      <c r="B893">
        <v>4.88</v>
      </c>
      <c r="C893">
        <v>4.7699999999999996</v>
      </c>
      <c r="D893">
        <v>4.7</v>
      </c>
      <c r="E893">
        <v>4.6399999999999997</v>
      </c>
      <c r="F893">
        <v>4.45</v>
      </c>
      <c r="G893">
        <v>4.29</v>
      </c>
      <c r="H893">
        <v>4.1100000000000003</v>
      </c>
      <c r="I893">
        <v>4.08</v>
      </c>
      <c r="J893">
        <v>4.1100000000000003</v>
      </c>
      <c r="K893">
        <v>4.18</v>
      </c>
      <c r="L893">
        <v>4.28</v>
      </c>
      <c r="M893">
        <v>4.6100000000000003</v>
      </c>
      <c r="N893">
        <v>4.5199999999999996</v>
      </c>
      <c r="O893">
        <v>5.7137000000000002</v>
      </c>
      <c r="P893">
        <v>4394.5</v>
      </c>
      <c r="Q893">
        <v>945.88</v>
      </c>
      <c r="R893">
        <v>3.77</v>
      </c>
      <c r="S893">
        <v>20.084499999999998</v>
      </c>
    </row>
    <row r="894" spans="1:19" x14ac:dyDescent="0.25">
      <c r="A894" s="4">
        <v>45593</v>
      </c>
      <c r="B894">
        <v>4.88</v>
      </c>
      <c r="C894">
        <v>4.7699999999999996</v>
      </c>
      <c r="D894">
        <v>4.7</v>
      </c>
      <c r="E894">
        <v>4.6500000000000004</v>
      </c>
      <c r="F894">
        <v>4.46</v>
      </c>
      <c r="G894">
        <v>4.28</v>
      </c>
      <c r="H894">
        <v>4.12</v>
      </c>
      <c r="I894">
        <v>4.09</v>
      </c>
      <c r="J894">
        <v>4.1100000000000003</v>
      </c>
      <c r="K894">
        <v>4.1900000000000004</v>
      </c>
      <c r="L894">
        <v>4.28</v>
      </c>
      <c r="M894">
        <v>4.6100000000000003</v>
      </c>
      <c r="N894">
        <v>4.53</v>
      </c>
      <c r="O894">
        <v>5.6985000000000001</v>
      </c>
      <c r="P894">
        <v>4337</v>
      </c>
      <c r="Q894">
        <v>949.34</v>
      </c>
      <c r="R894">
        <v>3.7629999999999999</v>
      </c>
      <c r="S894">
        <v>20.031700000000001</v>
      </c>
    </row>
    <row r="895" spans="1:19" x14ac:dyDescent="0.25">
      <c r="A895" s="4">
        <v>45590</v>
      </c>
      <c r="B895">
        <v>4.8899999999999997</v>
      </c>
      <c r="C895">
        <v>4.79</v>
      </c>
      <c r="D895">
        <v>4.7300000000000004</v>
      </c>
      <c r="E895">
        <v>4.68</v>
      </c>
      <c r="F895">
        <v>4.51</v>
      </c>
      <c r="G895">
        <v>4.29</v>
      </c>
      <c r="H895">
        <v>4.1100000000000003</v>
      </c>
      <c r="I895">
        <v>4.05</v>
      </c>
      <c r="J895">
        <v>4.07</v>
      </c>
      <c r="K895">
        <v>4.1500000000000004</v>
      </c>
      <c r="L895">
        <v>4.25</v>
      </c>
      <c r="M895">
        <v>4.58</v>
      </c>
      <c r="N895">
        <v>4.51</v>
      </c>
      <c r="O895">
        <v>5.6966000000000001</v>
      </c>
      <c r="P895">
        <v>4332</v>
      </c>
      <c r="Q895">
        <v>945.29</v>
      </c>
      <c r="R895">
        <v>3.7679999999999998</v>
      </c>
      <c r="S895">
        <v>19.968399999999999</v>
      </c>
    </row>
    <row r="896" spans="1:19" x14ac:dyDescent="0.25">
      <c r="A896" s="4">
        <v>45589</v>
      </c>
      <c r="B896">
        <v>4.87</v>
      </c>
      <c r="C896">
        <v>4.78</v>
      </c>
      <c r="D896">
        <v>4.7</v>
      </c>
      <c r="E896">
        <v>4.6500000000000004</v>
      </c>
      <c r="F896">
        <v>4.4800000000000004</v>
      </c>
      <c r="G896">
        <v>4.25</v>
      </c>
      <c r="H896">
        <v>4.07</v>
      </c>
      <c r="I896">
        <v>4.0199999999999996</v>
      </c>
      <c r="J896">
        <v>4.03</v>
      </c>
      <c r="K896">
        <v>4.12</v>
      </c>
      <c r="L896">
        <v>4.21</v>
      </c>
      <c r="M896">
        <v>4.54</v>
      </c>
      <c r="N896">
        <v>4.47</v>
      </c>
      <c r="O896">
        <v>5.7084000000000001</v>
      </c>
      <c r="P896">
        <v>4300.5</v>
      </c>
      <c r="Q896">
        <v>948.2</v>
      </c>
      <c r="R896">
        <v>3.7509999999999999</v>
      </c>
      <c r="S896">
        <v>19.850999999999999</v>
      </c>
    </row>
    <row r="897" spans="1:19" x14ac:dyDescent="0.25">
      <c r="A897" s="4">
        <v>45588</v>
      </c>
      <c r="B897">
        <v>4.88</v>
      </c>
      <c r="C897">
        <v>4.8</v>
      </c>
      <c r="D897">
        <v>4.7300000000000004</v>
      </c>
      <c r="E897">
        <v>4.66</v>
      </c>
      <c r="F897">
        <v>4.4800000000000004</v>
      </c>
      <c r="G897">
        <v>4.2699999999999996</v>
      </c>
      <c r="H897">
        <v>4.07</v>
      </c>
      <c r="I897">
        <v>4.03</v>
      </c>
      <c r="J897">
        <v>4.05</v>
      </c>
      <c r="K897">
        <v>4.1399999999999997</v>
      </c>
      <c r="L897">
        <v>4.24</v>
      </c>
      <c r="M897">
        <v>4.58</v>
      </c>
      <c r="N897">
        <v>4.51</v>
      </c>
      <c r="O897">
        <v>5.7145999999999999</v>
      </c>
      <c r="P897">
        <v>4324.3999999999996</v>
      </c>
      <c r="Q897">
        <v>949</v>
      </c>
      <c r="R897">
        <v>3.7530000000000001</v>
      </c>
      <c r="S897">
        <v>19.823399999999999</v>
      </c>
    </row>
    <row r="898" spans="1:19" x14ac:dyDescent="0.25">
      <c r="A898" s="4">
        <v>45587</v>
      </c>
      <c r="B898">
        <v>4.8899999999999997</v>
      </c>
      <c r="C898">
        <v>4.8099999999999996</v>
      </c>
      <c r="D898">
        <v>4.72</v>
      </c>
      <c r="E898">
        <v>4.66</v>
      </c>
      <c r="F898">
        <v>4.47</v>
      </c>
      <c r="G898">
        <v>4.24</v>
      </c>
      <c r="H898">
        <v>4.03</v>
      </c>
      <c r="I898">
        <v>3.98</v>
      </c>
      <c r="J898">
        <v>4</v>
      </c>
      <c r="K898">
        <v>4.0999999999999996</v>
      </c>
      <c r="L898">
        <v>4.2</v>
      </c>
      <c r="M898">
        <v>4.55</v>
      </c>
      <c r="N898">
        <v>4.49</v>
      </c>
      <c r="O898">
        <v>5.6955</v>
      </c>
      <c r="P898">
        <v>4267.99</v>
      </c>
      <c r="Q898">
        <v>954.39</v>
      </c>
      <c r="R898">
        <v>3.75</v>
      </c>
      <c r="S898">
        <v>19.947800000000001</v>
      </c>
    </row>
    <row r="899" spans="1:19" x14ac:dyDescent="0.25">
      <c r="A899" s="4">
        <v>45586</v>
      </c>
      <c r="B899">
        <v>4.92</v>
      </c>
      <c r="C899">
        <v>4.82</v>
      </c>
      <c r="D899">
        <v>4.7300000000000004</v>
      </c>
      <c r="E899">
        <v>4.66</v>
      </c>
      <c r="F899">
        <v>4.47</v>
      </c>
      <c r="G899">
        <v>4.24</v>
      </c>
      <c r="H899">
        <v>4.0199999999999996</v>
      </c>
      <c r="I899">
        <v>3.95</v>
      </c>
      <c r="J899">
        <v>3.98</v>
      </c>
      <c r="K899">
        <v>4.07</v>
      </c>
      <c r="L899">
        <v>4.1900000000000004</v>
      </c>
      <c r="M899">
        <v>4.54</v>
      </c>
      <c r="N899">
        <v>4.49</v>
      </c>
      <c r="O899">
        <v>5.7065000000000001</v>
      </c>
      <c r="P899">
        <v>4275.5</v>
      </c>
      <c r="Q899">
        <v>946.99</v>
      </c>
      <c r="R899">
        <v>3.7650000000000001</v>
      </c>
      <c r="S899">
        <v>19.9758</v>
      </c>
    </row>
    <row r="900" spans="1:19" x14ac:dyDescent="0.25">
      <c r="A900" s="4">
        <v>45583</v>
      </c>
      <c r="B900">
        <v>4.92</v>
      </c>
      <c r="C900">
        <v>4.82</v>
      </c>
      <c r="D900">
        <v>4.7300000000000004</v>
      </c>
      <c r="E900">
        <v>4.6500000000000004</v>
      </c>
      <c r="F900">
        <v>4.45</v>
      </c>
      <c r="G900">
        <v>4.1900000000000004</v>
      </c>
      <c r="H900">
        <v>3.95</v>
      </c>
      <c r="I900">
        <v>3.86</v>
      </c>
      <c r="J900">
        <v>3.88</v>
      </c>
      <c r="K900">
        <v>3.97</v>
      </c>
      <c r="L900">
        <v>4.08</v>
      </c>
      <c r="M900">
        <v>4.4400000000000004</v>
      </c>
      <c r="N900">
        <v>4.38</v>
      </c>
      <c r="O900">
        <v>5.6669</v>
      </c>
      <c r="P900">
        <v>4272.3999999999996</v>
      </c>
      <c r="Q900">
        <v>945.01</v>
      </c>
      <c r="R900">
        <v>3.754</v>
      </c>
      <c r="S900">
        <v>19.885999999999999</v>
      </c>
    </row>
    <row r="901" spans="1:19" x14ac:dyDescent="0.25">
      <c r="A901" s="4">
        <v>45582</v>
      </c>
      <c r="B901">
        <v>4.93</v>
      </c>
      <c r="C901">
        <v>4.83</v>
      </c>
      <c r="D901">
        <v>4.74</v>
      </c>
      <c r="E901">
        <v>4.6500000000000004</v>
      </c>
      <c r="F901">
        <v>4.45</v>
      </c>
      <c r="G901">
        <v>4.21</v>
      </c>
      <c r="H901">
        <v>3.96</v>
      </c>
      <c r="I901">
        <v>3.89</v>
      </c>
      <c r="J901">
        <v>3.9</v>
      </c>
      <c r="K901">
        <v>3.99</v>
      </c>
      <c r="L901">
        <v>4.09</v>
      </c>
      <c r="M901">
        <v>4.4400000000000004</v>
      </c>
      <c r="N901">
        <v>4.3899999999999997</v>
      </c>
      <c r="O901">
        <v>5.6755000000000004</v>
      </c>
      <c r="P901">
        <v>4250</v>
      </c>
      <c r="Q901">
        <v>941.3</v>
      </c>
      <c r="R901">
        <v>3.7559999999999998</v>
      </c>
      <c r="S901">
        <v>19.880700000000001</v>
      </c>
    </row>
    <row r="902" spans="1:19" x14ac:dyDescent="0.25">
      <c r="A902" s="4">
        <v>45581</v>
      </c>
      <c r="B902">
        <v>4.91</v>
      </c>
      <c r="C902">
        <v>4.8</v>
      </c>
      <c r="D902">
        <v>4.72</v>
      </c>
      <c r="E902">
        <v>4.63</v>
      </c>
      <c r="F902">
        <v>4.42</v>
      </c>
      <c r="G902">
        <v>4.17</v>
      </c>
      <c r="H902">
        <v>3.93</v>
      </c>
      <c r="I902">
        <v>3.84</v>
      </c>
      <c r="J902">
        <v>3.84</v>
      </c>
      <c r="K902">
        <v>3.92</v>
      </c>
      <c r="L902">
        <v>4.0199999999999996</v>
      </c>
      <c r="M902">
        <v>4.3600000000000003</v>
      </c>
      <c r="N902">
        <v>4.3</v>
      </c>
      <c r="O902">
        <v>5.6745999999999999</v>
      </c>
      <c r="P902">
        <v>4265</v>
      </c>
      <c r="Q902">
        <v>937.29</v>
      </c>
      <c r="R902">
        <v>3.766</v>
      </c>
      <c r="S902">
        <v>19.9406</v>
      </c>
    </row>
    <row r="903" spans="1:19" x14ac:dyDescent="0.25">
      <c r="A903" s="4">
        <v>45580</v>
      </c>
      <c r="B903">
        <v>4.93</v>
      </c>
      <c r="C903">
        <v>4.82</v>
      </c>
      <c r="D903">
        <v>4.7300000000000004</v>
      </c>
      <c r="E903">
        <v>4.6500000000000004</v>
      </c>
      <c r="F903">
        <v>4.42</v>
      </c>
      <c r="G903">
        <v>4.18</v>
      </c>
      <c r="H903">
        <v>3.95</v>
      </c>
      <c r="I903">
        <v>3.86</v>
      </c>
      <c r="J903">
        <v>3.86</v>
      </c>
      <c r="K903">
        <v>3.93</v>
      </c>
      <c r="L903">
        <v>4.03</v>
      </c>
      <c r="M903">
        <v>4.37</v>
      </c>
      <c r="N903">
        <v>4.32</v>
      </c>
      <c r="O903">
        <v>5.6375000000000002</v>
      </c>
      <c r="P903">
        <v>4246.55</v>
      </c>
      <c r="Q903">
        <v>928.37</v>
      </c>
      <c r="R903">
        <v>3.7639999999999998</v>
      </c>
      <c r="S903">
        <v>19.6982</v>
      </c>
    </row>
    <row r="904" spans="1:19" x14ac:dyDescent="0.25">
      <c r="A904" s="4">
        <v>45576</v>
      </c>
      <c r="B904">
        <v>4.97</v>
      </c>
      <c r="C904">
        <v>4.82</v>
      </c>
      <c r="D904">
        <v>4.7300000000000004</v>
      </c>
      <c r="E904">
        <v>4.6500000000000004</v>
      </c>
      <c r="F904">
        <v>4.4400000000000004</v>
      </c>
      <c r="G904">
        <v>4.18</v>
      </c>
      <c r="H904">
        <v>3.95</v>
      </c>
      <c r="I904">
        <v>3.85</v>
      </c>
      <c r="J904">
        <v>3.88</v>
      </c>
      <c r="K904">
        <v>3.97</v>
      </c>
      <c r="L904">
        <v>4.08</v>
      </c>
      <c r="M904">
        <v>4.4400000000000004</v>
      </c>
      <c r="N904">
        <v>4.3899999999999997</v>
      </c>
      <c r="O904">
        <v>5.6260000000000003</v>
      </c>
      <c r="P904">
        <v>4211.43</v>
      </c>
      <c r="Q904">
        <v>931.26</v>
      </c>
      <c r="R904">
        <v>3.7530000000000001</v>
      </c>
      <c r="S904">
        <v>19.286999999999999</v>
      </c>
    </row>
    <row r="905" spans="1:19" x14ac:dyDescent="0.25">
      <c r="A905" s="4">
        <v>45575</v>
      </c>
      <c r="B905">
        <v>4.9800000000000004</v>
      </c>
      <c r="C905">
        <v>4.84</v>
      </c>
      <c r="D905">
        <v>4.75</v>
      </c>
      <c r="E905">
        <v>4.6500000000000004</v>
      </c>
      <c r="F905">
        <v>4.45</v>
      </c>
      <c r="G905">
        <v>4.22</v>
      </c>
      <c r="H905">
        <v>3.98</v>
      </c>
      <c r="I905">
        <v>3.88</v>
      </c>
      <c r="J905">
        <v>3.91</v>
      </c>
      <c r="K905">
        <v>3.99</v>
      </c>
      <c r="L905">
        <v>4.09</v>
      </c>
      <c r="M905">
        <v>4.4400000000000004</v>
      </c>
      <c r="N905">
        <v>4.38</v>
      </c>
      <c r="O905">
        <v>5.5815999999999999</v>
      </c>
      <c r="P905">
        <v>4202</v>
      </c>
      <c r="Q905">
        <v>934.84</v>
      </c>
      <c r="R905">
        <v>3.7690000000000001</v>
      </c>
      <c r="S905">
        <v>19.4939</v>
      </c>
    </row>
    <row r="906" spans="1:19" x14ac:dyDescent="0.25">
      <c r="A906" s="4">
        <v>45574</v>
      </c>
      <c r="B906">
        <v>4.93</v>
      </c>
      <c r="C906">
        <v>4.84</v>
      </c>
      <c r="D906">
        <v>4.75</v>
      </c>
      <c r="E906">
        <v>4.6500000000000004</v>
      </c>
      <c r="F906">
        <v>4.46</v>
      </c>
      <c r="G906">
        <v>4.24</v>
      </c>
      <c r="H906">
        <v>3.99</v>
      </c>
      <c r="I906">
        <v>3.89</v>
      </c>
      <c r="J906">
        <v>3.91</v>
      </c>
      <c r="K906">
        <v>3.97</v>
      </c>
      <c r="L906">
        <v>4.0599999999999996</v>
      </c>
      <c r="M906">
        <v>4.41</v>
      </c>
      <c r="N906">
        <v>4.34</v>
      </c>
      <c r="O906">
        <v>5.5734000000000004</v>
      </c>
      <c r="P906">
        <v>4235</v>
      </c>
      <c r="Q906">
        <v>933.62</v>
      </c>
      <c r="R906">
        <v>3.7639999999999998</v>
      </c>
      <c r="S906">
        <v>19.490200000000002</v>
      </c>
    </row>
    <row r="907" spans="1:19" x14ac:dyDescent="0.25">
      <c r="A907" s="4">
        <v>45573</v>
      </c>
      <c r="B907">
        <v>4.96</v>
      </c>
      <c r="C907">
        <v>4.8499999999999996</v>
      </c>
      <c r="D907">
        <v>4.75</v>
      </c>
      <c r="E907">
        <v>4.6500000000000004</v>
      </c>
      <c r="F907">
        <v>4.4400000000000004</v>
      </c>
      <c r="G907">
        <v>4.21</v>
      </c>
      <c r="H907">
        <v>3.98</v>
      </c>
      <c r="I907">
        <v>3.86</v>
      </c>
      <c r="J907">
        <v>3.86</v>
      </c>
      <c r="K907">
        <v>3.94</v>
      </c>
      <c r="L907">
        <v>4.04</v>
      </c>
      <c r="M907">
        <v>4.38</v>
      </c>
      <c r="N907">
        <v>4.32</v>
      </c>
      <c r="O907">
        <v>5.5194000000000001</v>
      </c>
      <c r="P907">
        <v>4226.51</v>
      </c>
      <c r="Q907">
        <v>925.86</v>
      </c>
      <c r="R907">
        <v>3.742</v>
      </c>
      <c r="S907">
        <v>19.343499999999999</v>
      </c>
    </row>
    <row r="908" spans="1:19" x14ac:dyDescent="0.25">
      <c r="A908" s="4">
        <v>45572</v>
      </c>
      <c r="B908">
        <v>5</v>
      </c>
      <c r="C908">
        <v>4.87</v>
      </c>
      <c r="D908">
        <v>4.7699999999999996</v>
      </c>
      <c r="E908">
        <v>4.67</v>
      </c>
      <c r="F908">
        <v>4.45</v>
      </c>
      <c r="G908">
        <v>4.24</v>
      </c>
      <c r="H908">
        <v>3.99</v>
      </c>
      <c r="I908">
        <v>3.89</v>
      </c>
      <c r="J908">
        <v>3.86</v>
      </c>
      <c r="K908">
        <v>3.92</v>
      </c>
      <c r="L908">
        <v>4.03</v>
      </c>
      <c r="M908">
        <v>4.37</v>
      </c>
      <c r="N908">
        <v>4.3</v>
      </c>
      <c r="O908">
        <v>5.4622999999999999</v>
      </c>
      <c r="P908">
        <v>4216</v>
      </c>
      <c r="Q908">
        <v>923.74</v>
      </c>
      <c r="R908">
        <v>3.742</v>
      </c>
      <c r="S908">
        <v>19.3049</v>
      </c>
    </row>
    <row r="909" spans="1:19" x14ac:dyDescent="0.25">
      <c r="A909" s="4">
        <v>45569</v>
      </c>
      <c r="B909">
        <v>5.01</v>
      </c>
      <c r="C909">
        <v>4.88</v>
      </c>
      <c r="D909">
        <v>4.7300000000000004</v>
      </c>
      <c r="E909">
        <v>4.68</v>
      </c>
      <c r="F909">
        <v>4.45</v>
      </c>
      <c r="G909">
        <v>4.2</v>
      </c>
      <c r="H909">
        <v>3.93</v>
      </c>
      <c r="I909">
        <v>3.84</v>
      </c>
      <c r="J909">
        <v>3.81</v>
      </c>
      <c r="K909">
        <v>3.88</v>
      </c>
      <c r="L909">
        <v>3.98</v>
      </c>
      <c r="M909">
        <v>4.33</v>
      </c>
      <c r="N909">
        <v>4.26</v>
      </c>
      <c r="O909">
        <v>5.4683000000000002</v>
      </c>
      <c r="P909">
        <v>4169.3999999999996</v>
      </c>
      <c r="Q909">
        <v>919.49</v>
      </c>
      <c r="R909">
        <v>3.7309999999999999</v>
      </c>
      <c r="S909">
        <v>19.258700000000001</v>
      </c>
    </row>
    <row r="910" spans="1:19" x14ac:dyDescent="0.25">
      <c r="A910" s="4">
        <v>45568</v>
      </c>
      <c r="B910">
        <v>4.99</v>
      </c>
      <c r="C910">
        <v>4.8499999999999996</v>
      </c>
      <c r="D910">
        <v>4.68</v>
      </c>
      <c r="E910">
        <v>4.6100000000000003</v>
      </c>
      <c r="F910">
        <v>4.37</v>
      </c>
      <c r="G910">
        <v>4.0199999999999996</v>
      </c>
      <c r="H910">
        <v>3.7</v>
      </c>
      <c r="I910">
        <v>3.62</v>
      </c>
      <c r="J910">
        <v>3.62</v>
      </c>
      <c r="K910">
        <v>3.71</v>
      </c>
      <c r="L910">
        <v>3.85</v>
      </c>
      <c r="M910">
        <v>4.24</v>
      </c>
      <c r="N910">
        <v>4.18</v>
      </c>
      <c r="O910">
        <v>5.4847000000000001</v>
      </c>
      <c r="P910">
        <v>4188</v>
      </c>
      <c r="Q910">
        <v>908.23</v>
      </c>
      <c r="R910">
        <v>3.7269999999999999</v>
      </c>
      <c r="S910">
        <v>19.366199999999999</v>
      </c>
    </row>
    <row r="911" spans="1:19" x14ac:dyDescent="0.25">
      <c r="A911" s="4">
        <v>45567</v>
      </c>
      <c r="B911">
        <v>4.92</v>
      </c>
      <c r="C911">
        <v>4.83</v>
      </c>
      <c r="D911">
        <v>4.6900000000000004</v>
      </c>
      <c r="E911">
        <v>4.6100000000000003</v>
      </c>
      <c r="F911">
        <v>4.3600000000000003</v>
      </c>
      <c r="G911">
        <v>3.97</v>
      </c>
      <c r="H911">
        <v>3.63</v>
      </c>
      <c r="I911">
        <v>3.54</v>
      </c>
      <c r="J911">
        <v>3.55</v>
      </c>
      <c r="K911">
        <v>3.65</v>
      </c>
      <c r="L911">
        <v>3.79</v>
      </c>
      <c r="M911">
        <v>4.1900000000000004</v>
      </c>
      <c r="N911">
        <v>4.1399999999999997</v>
      </c>
      <c r="O911">
        <v>5.4302000000000001</v>
      </c>
      <c r="P911">
        <v>4184.75</v>
      </c>
      <c r="Q911">
        <v>901.13</v>
      </c>
      <c r="R911">
        <v>3.7120000000000002</v>
      </c>
      <c r="S911">
        <v>19.4162</v>
      </c>
    </row>
    <row r="912" spans="1:19" x14ac:dyDescent="0.25">
      <c r="A912" s="4">
        <v>45566</v>
      </c>
      <c r="B912">
        <v>4.96</v>
      </c>
      <c r="C912">
        <v>4.87</v>
      </c>
      <c r="D912">
        <v>4.71</v>
      </c>
      <c r="E912">
        <v>4.63</v>
      </c>
      <c r="F912">
        <v>4.3600000000000003</v>
      </c>
      <c r="G912">
        <v>3.96</v>
      </c>
      <c r="H912">
        <v>3.61</v>
      </c>
      <c r="I912">
        <v>3.52</v>
      </c>
      <c r="J912">
        <v>3.51</v>
      </c>
      <c r="K912">
        <v>3.6</v>
      </c>
      <c r="L912">
        <v>3.74</v>
      </c>
      <c r="M912">
        <v>4.1399999999999997</v>
      </c>
      <c r="N912">
        <v>4.08</v>
      </c>
      <c r="O912">
        <v>5.4518000000000004</v>
      </c>
      <c r="P912">
        <v>4222.8500000000004</v>
      </c>
      <c r="Q912">
        <v>897.68</v>
      </c>
      <c r="R912">
        <v>3.718</v>
      </c>
      <c r="S912">
        <v>19.7027</v>
      </c>
    </row>
    <row r="913" spans="1:19" x14ac:dyDescent="0.25">
      <c r="A913" s="4">
        <v>45565</v>
      </c>
      <c r="B913">
        <v>4.93</v>
      </c>
      <c r="C913">
        <v>4.87</v>
      </c>
      <c r="D913">
        <v>4.7300000000000004</v>
      </c>
      <c r="E913">
        <v>4.6500000000000004</v>
      </c>
      <c r="F913">
        <v>4.38</v>
      </c>
      <c r="G913">
        <v>3.98</v>
      </c>
      <c r="H913">
        <v>3.66</v>
      </c>
      <c r="I913">
        <v>3.58</v>
      </c>
      <c r="J913">
        <v>3.58</v>
      </c>
      <c r="K913">
        <v>3.67</v>
      </c>
      <c r="L913">
        <v>3.81</v>
      </c>
      <c r="M913">
        <v>4.1900000000000004</v>
      </c>
      <c r="N913">
        <v>4.1399999999999997</v>
      </c>
      <c r="O913">
        <v>5.6558999999999999</v>
      </c>
      <c r="P913">
        <v>4179.99</v>
      </c>
      <c r="Q913">
        <v>917.38</v>
      </c>
      <c r="R913">
        <v>3.7490000000000001</v>
      </c>
      <c r="S913">
        <v>19.7027</v>
      </c>
    </row>
    <row r="914" spans="1:19" x14ac:dyDescent="0.25">
      <c r="A914" s="4">
        <v>45562</v>
      </c>
      <c r="B914">
        <v>4.9000000000000004</v>
      </c>
      <c r="C914">
        <v>4.87</v>
      </c>
      <c r="D914">
        <v>4.68</v>
      </c>
      <c r="E914">
        <v>4.6399999999999997</v>
      </c>
      <c r="F914">
        <v>4.3499999999999996</v>
      </c>
      <c r="G914">
        <v>3.9</v>
      </c>
      <c r="H914">
        <v>3.55</v>
      </c>
      <c r="I914">
        <v>3.49</v>
      </c>
      <c r="J914">
        <v>3.5</v>
      </c>
      <c r="K914">
        <v>3.6</v>
      </c>
      <c r="L914">
        <v>3.75</v>
      </c>
      <c r="M914">
        <v>4.1500000000000004</v>
      </c>
      <c r="N914">
        <v>4.0999999999999996</v>
      </c>
      <c r="O914">
        <v>5.6558999999999999</v>
      </c>
      <c r="P914">
        <v>4179.99</v>
      </c>
      <c r="Q914">
        <v>917.38</v>
      </c>
      <c r="R914">
        <v>3.7490000000000001</v>
      </c>
      <c r="S914">
        <v>19.7027</v>
      </c>
    </row>
    <row r="915" spans="1:19" x14ac:dyDescent="0.25">
      <c r="A915" s="4">
        <v>45561</v>
      </c>
      <c r="B915">
        <v>4.9000000000000004</v>
      </c>
      <c r="C915">
        <v>4.87</v>
      </c>
      <c r="D915">
        <v>4.68</v>
      </c>
      <c r="E915">
        <v>4.6500000000000004</v>
      </c>
      <c r="F915">
        <v>4.38</v>
      </c>
      <c r="G915">
        <v>3.96</v>
      </c>
      <c r="H915">
        <v>3.6</v>
      </c>
      <c r="I915">
        <v>3.54</v>
      </c>
      <c r="J915">
        <v>3.55</v>
      </c>
      <c r="K915">
        <v>3.65</v>
      </c>
      <c r="L915">
        <v>3.79</v>
      </c>
      <c r="M915">
        <v>4.17</v>
      </c>
      <c r="N915">
        <v>4.12</v>
      </c>
      <c r="O915">
        <v>5.6558999999999999</v>
      </c>
      <c r="P915">
        <v>4179.99</v>
      </c>
      <c r="Q915">
        <v>917.38</v>
      </c>
      <c r="R915">
        <v>3.7490000000000001</v>
      </c>
      <c r="S915">
        <v>19.7027</v>
      </c>
    </row>
    <row r="916" spans="1:19" x14ac:dyDescent="0.25">
      <c r="A916" s="4">
        <v>45560</v>
      </c>
      <c r="B916">
        <v>4.79</v>
      </c>
      <c r="C916">
        <v>4.78</v>
      </c>
      <c r="D916">
        <v>4.6900000000000004</v>
      </c>
      <c r="E916">
        <v>4.6399999999999997</v>
      </c>
      <c r="F916">
        <v>4.3600000000000003</v>
      </c>
      <c r="G916">
        <v>3.89</v>
      </c>
      <c r="H916">
        <v>3.53</v>
      </c>
      <c r="I916">
        <v>3.49</v>
      </c>
      <c r="J916">
        <v>3.52</v>
      </c>
      <c r="K916">
        <v>3.65</v>
      </c>
      <c r="L916">
        <v>3.79</v>
      </c>
      <c r="M916">
        <v>4.18</v>
      </c>
      <c r="N916">
        <v>4.1399999999999997</v>
      </c>
      <c r="O916">
        <v>5.6558999999999999</v>
      </c>
      <c r="P916">
        <v>4179.99</v>
      </c>
      <c r="Q916">
        <v>917.38</v>
      </c>
      <c r="R916">
        <v>3.7490000000000001</v>
      </c>
      <c r="S916">
        <v>19.7027</v>
      </c>
    </row>
    <row r="917" spans="1:19" x14ac:dyDescent="0.25">
      <c r="A917" s="4">
        <v>45559</v>
      </c>
      <c r="B917">
        <v>4.78</v>
      </c>
      <c r="C917">
        <v>4.78</v>
      </c>
      <c r="D917">
        <v>4.6900000000000004</v>
      </c>
      <c r="E917">
        <v>4.63</v>
      </c>
      <c r="F917">
        <v>4.3600000000000003</v>
      </c>
      <c r="G917">
        <v>3.88</v>
      </c>
      <c r="H917">
        <v>3.49</v>
      </c>
      <c r="I917">
        <v>3.44</v>
      </c>
      <c r="J917">
        <v>3.47</v>
      </c>
      <c r="K917">
        <v>3.6</v>
      </c>
      <c r="L917">
        <v>3.74</v>
      </c>
      <c r="M917">
        <v>4.13</v>
      </c>
      <c r="N917">
        <v>4.09</v>
      </c>
      <c r="O917">
        <v>5.6558999999999999</v>
      </c>
      <c r="P917">
        <v>4179.99</v>
      </c>
      <c r="Q917">
        <v>917.38</v>
      </c>
      <c r="R917">
        <v>3.7490000000000001</v>
      </c>
      <c r="S917">
        <v>19.7027</v>
      </c>
    </row>
    <row r="918" spans="1:19" x14ac:dyDescent="0.25">
      <c r="A918" s="4">
        <v>45558</v>
      </c>
      <c r="B918">
        <v>4.8499999999999996</v>
      </c>
      <c r="C918">
        <v>4.84</v>
      </c>
      <c r="D918">
        <v>4.72</v>
      </c>
      <c r="E918">
        <v>4.6500000000000004</v>
      </c>
      <c r="F918">
        <v>4.4000000000000004</v>
      </c>
      <c r="G918">
        <v>3.91</v>
      </c>
      <c r="H918">
        <v>3.57</v>
      </c>
      <c r="I918">
        <v>3.47</v>
      </c>
      <c r="J918">
        <v>3.51</v>
      </c>
      <c r="K918">
        <v>3.62</v>
      </c>
      <c r="L918">
        <v>3.75</v>
      </c>
      <c r="M918">
        <v>4.12</v>
      </c>
      <c r="N918">
        <v>4.09</v>
      </c>
      <c r="O918">
        <v>5.6558999999999999</v>
      </c>
      <c r="P918">
        <v>4179.99</v>
      </c>
      <c r="Q918">
        <v>917.38</v>
      </c>
      <c r="R918">
        <v>3.7490000000000001</v>
      </c>
      <c r="S918">
        <v>19.7027</v>
      </c>
    </row>
    <row r="919" spans="1:19" x14ac:dyDescent="0.25">
      <c r="A919" s="4">
        <v>45555</v>
      </c>
      <c r="B919">
        <v>4.87</v>
      </c>
      <c r="C919">
        <v>4.88</v>
      </c>
      <c r="D919">
        <v>4.75</v>
      </c>
      <c r="E919">
        <v>4.7</v>
      </c>
      <c r="F919">
        <v>4.43</v>
      </c>
      <c r="G919">
        <v>3.92</v>
      </c>
      <c r="H919">
        <v>3.55</v>
      </c>
      <c r="I919">
        <v>3.46</v>
      </c>
      <c r="J919">
        <v>3.48</v>
      </c>
      <c r="K919">
        <v>3.59</v>
      </c>
      <c r="L919">
        <v>3.73</v>
      </c>
      <c r="M919">
        <v>4.0999999999999996</v>
      </c>
      <c r="N919">
        <v>4.07</v>
      </c>
      <c r="O919">
        <v>5.6558999999999999</v>
      </c>
      <c r="P919">
        <v>4179.99</v>
      </c>
      <c r="Q919">
        <v>917.38</v>
      </c>
      <c r="R919">
        <v>3.7490000000000001</v>
      </c>
      <c r="S919">
        <v>19.7027</v>
      </c>
    </row>
    <row r="920" spans="1:19" x14ac:dyDescent="0.25">
      <c r="A920" s="4">
        <v>45554</v>
      </c>
      <c r="B920">
        <v>4.8899999999999997</v>
      </c>
      <c r="C920">
        <v>4.91</v>
      </c>
      <c r="D920">
        <v>4.8</v>
      </c>
      <c r="E920">
        <v>4.7300000000000004</v>
      </c>
      <c r="F920">
        <v>4.46</v>
      </c>
      <c r="G920">
        <v>3.93</v>
      </c>
      <c r="H920">
        <v>3.59</v>
      </c>
      <c r="I920">
        <v>3.47</v>
      </c>
      <c r="J920">
        <v>3.49</v>
      </c>
      <c r="K920">
        <v>3.6</v>
      </c>
      <c r="L920">
        <v>3.73</v>
      </c>
      <c r="M920">
        <v>4.1100000000000003</v>
      </c>
      <c r="N920">
        <v>4.0599999999999996</v>
      </c>
      <c r="O920">
        <v>5.6558999999999999</v>
      </c>
      <c r="P920">
        <v>4179.99</v>
      </c>
      <c r="Q920">
        <v>917.38</v>
      </c>
      <c r="R920">
        <v>3.7490000000000001</v>
      </c>
      <c r="S920">
        <v>19.7027</v>
      </c>
    </row>
    <row r="921" spans="1:19" x14ac:dyDescent="0.25">
      <c r="A921" s="4">
        <v>45553</v>
      </c>
      <c r="B921">
        <v>4.91</v>
      </c>
      <c r="C921">
        <v>4.91</v>
      </c>
      <c r="D921">
        <v>4.84</v>
      </c>
      <c r="E921">
        <v>4.76</v>
      </c>
      <c r="F921">
        <v>4.5</v>
      </c>
      <c r="G921">
        <v>3.95</v>
      </c>
      <c r="H921">
        <v>3.61</v>
      </c>
      <c r="I921">
        <v>3.49</v>
      </c>
      <c r="J921">
        <v>3.47</v>
      </c>
      <c r="K921">
        <v>3.58</v>
      </c>
      <c r="L921">
        <v>3.7</v>
      </c>
      <c r="M921">
        <v>4.08</v>
      </c>
      <c r="N921">
        <v>4.03</v>
      </c>
      <c r="O921">
        <v>5.6558999999999999</v>
      </c>
      <c r="P921">
        <v>4179.99</v>
      </c>
      <c r="Q921">
        <v>917.38</v>
      </c>
      <c r="R921">
        <v>3.7490000000000001</v>
      </c>
      <c r="S921">
        <v>19.7027</v>
      </c>
    </row>
    <row r="922" spans="1:19" x14ac:dyDescent="0.25">
      <c r="A922" s="4">
        <v>45552</v>
      </c>
      <c r="B922">
        <v>5.05</v>
      </c>
      <c r="C922">
        <v>5.05</v>
      </c>
      <c r="D922">
        <v>4.95</v>
      </c>
      <c r="E922">
        <v>4.87</v>
      </c>
      <c r="F922">
        <v>4.55</v>
      </c>
      <c r="G922">
        <v>3.99</v>
      </c>
      <c r="H922">
        <v>3.59</v>
      </c>
      <c r="I922">
        <v>3.45</v>
      </c>
      <c r="J922">
        <v>3.44</v>
      </c>
      <c r="K922">
        <v>3.53</v>
      </c>
      <c r="L922">
        <v>3.65</v>
      </c>
      <c r="M922">
        <v>4.0199999999999996</v>
      </c>
      <c r="N922">
        <v>3.96</v>
      </c>
      <c r="O922">
        <v>5.6558999999999999</v>
      </c>
      <c r="P922">
        <v>4179.99</v>
      </c>
      <c r="Q922">
        <v>917.38</v>
      </c>
      <c r="R922">
        <v>3.7490000000000001</v>
      </c>
      <c r="S922">
        <v>19.7027</v>
      </c>
    </row>
    <row r="923" spans="1:19" x14ac:dyDescent="0.25">
      <c r="A923" s="4">
        <v>45551</v>
      </c>
      <c r="B923">
        <v>5.1100000000000003</v>
      </c>
      <c r="C923">
        <v>5.0999999999999996</v>
      </c>
      <c r="D923">
        <v>4.96</v>
      </c>
      <c r="E923">
        <v>4.88</v>
      </c>
      <c r="F923">
        <v>4.55</v>
      </c>
      <c r="G923">
        <v>3.96</v>
      </c>
      <c r="H923">
        <v>3.56</v>
      </c>
      <c r="I923">
        <v>3.42</v>
      </c>
      <c r="J923">
        <v>3.41</v>
      </c>
      <c r="K923">
        <v>3.51</v>
      </c>
      <c r="L923">
        <v>3.63</v>
      </c>
      <c r="M923">
        <v>4.01</v>
      </c>
      <c r="N923">
        <v>3.94</v>
      </c>
      <c r="O923">
        <v>5.6558999999999999</v>
      </c>
      <c r="P923">
        <v>4179.99</v>
      </c>
      <c r="Q923">
        <v>917.38</v>
      </c>
      <c r="R923">
        <v>3.7490000000000001</v>
      </c>
      <c r="S923">
        <v>19.7027</v>
      </c>
    </row>
    <row r="924" spans="1:19" x14ac:dyDescent="0.25">
      <c r="A924" s="4">
        <v>45548</v>
      </c>
      <c r="B924">
        <v>5.15</v>
      </c>
      <c r="C924">
        <v>5.17</v>
      </c>
      <c r="D924">
        <v>4.97</v>
      </c>
      <c r="E924">
        <v>4.92</v>
      </c>
      <c r="F924">
        <v>4.5999999999999996</v>
      </c>
      <c r="G924">
        <v>4</v>
      </c>
      <c r="H924">
        <v>3.57</v>
      </c>
      <c r="I924">
        <v>3.42</v>
      </c>
      <c r="J924">
        <v>3.43</v>
      </c>
      <c r="K924">
        <v>3.53</v>
      </c>
      <c r="L924">
        <v>3.66</v>
      </c>
      <c r="M924">
        <v>4.05</v>
      </c>
      <c r="N924">
        <v>3.98</v>
      </c>
      <c r="O924">
        <v>5.6558999999999999</v>
      </c>
      <c r="P924">
        <v>4179.99</v>
      </c>
      <c r="Q924">
        <v>917.38</v>
      </c>
      <c r="R924">
        <v>3.7490000000000001</v>
      </c>
      <c r="S924">
        <v>19.7027</v>
      </c>
    </row>
    <row r="925" spans="1:19" x14ac:dyDescent="0.25">
      <c r="A925" s="4">
        <v>45547</v>
      </c>
      <c r="B925">
        <v>5.18</v>
      </c>
      <c r="C925">
        <v>5.22</v>
      </c>
      <c r="D925">
        <v>5.0599999999999996</v>
      </c>
      <c r="E925">
        <v>4.97</v>
      </c>
      <c r="F925">
        <v>4.68</v>
      </c>
      <c r="G925">
        <v>4.09</v>
      </c>
      <c r="H925">
        <v>3.64</v>
      </c>
      <c r="I925">
        <v>3.47</v>
      </c>
      <c r="J925">
        <v>3.47</v>
      </c>
      <c r="K925">
        <v>3.57</v>
      </c>
      <c r="L925">
        <v>3.68</v>
      </c>
      <c r="M925">
        <v>4.07</v>
      </c>
      <c r="N925">
        <v>4</v>
      </c>
      <c r="O925">
        <v>5.6558999999999999</v>
      </c>
      <c r="P925">
        <v>4179.99</v>
      </c>
      <c r="Q925">
        <v>917.38</v>
      </c>
      <c r="R925">
        <v>3.7490000000000001</v>
      </c>
      <c r="S925">
        <v>19.7027</v>
      </c>
    </row>
    <row r="926" spans="1:19" x14ac:dyDescent="0.25">
      <c r="A926" s="4">
        <v>45546</v>
      </c>
      <c r="B926">
        <v>5.21</v>
      </c>
      <c r="C926">
        <v>5.19</v>
      </c>
      <c r="D926">
        <v>5.0999999999999996</v>
      </c>
      <c r="E926">
        <v>4.99</v>
      </c>
      <c r="F926">
        <v>4.72</v>
      </c>
      <c r="G926">
        <v>4.12</v>
      </c>
      <c r="H926">
        <v>3.62</v>
      </c>
      <c r="I926">
        <v>3.45</v>
      </c>
      <c r="J926">
        <v>3.45</v>
      </c>
      <c r="K926">
        <v>3.54</v>
      </c>
      <c r="L926">
        <v>3.65</v>
      </c>
      <c r="M926">
        <v>4.03</v>
      </c>
      <c r="N926">
        <v>3.96</v>
      </c>
      <c r="O926">
        <v>5.6558999999999999</v>
      </c>
      <c r="P926">
        <v>4179.99</v>
      </c>
      <c r="Q926">
        <v>917.38</v>
      </c>
      <c r="R926">
        <v>3.7490000000000001</v>
      </c>
      <c r="S926">
        <v>19.7027</v>
      </c>
    </row>
    <row r="927" spans="1:19" x14ac:dyDescent="0.25">
      <c r="A927" s="4">
        <v>45545</v>
      </c>
      <c r="B927">
        <v>5.18</v>
      </c>
      <c r="C927">
        <v>5.18</v>
      </c>
      <c r="D927">
        <v>5.0599999999999996</v>
      </c>
      <c r="E927">
        <v>4.92</v>
      </c>
      <c r="F927">
        <v>4.6500000000000004</v>
      </c>
      <c r="G927">
        <v>4.07</v>
      </c>
      <c r="H927">
        <v>3.59</v>
      </c>
      <c r="I927">
        <v>3.42</v>
      </c>
      <c r="J927">
        <v>3.43</v>
      </c>
      <c r="K927">
        <v>3.53</v>
      </c>
      <c r="L927">
        <v>3.65</v>
      </c>
      <c r="M927">
        <v>4.04</v>
      </c>
      <c r="N927">
        <v>3.97</v>
      </c>
      <c r="O927">
        <v>5.6558999999999999</v>
      </c>
      <c r="P927">
        <v>4179.99</v>
      </c>
      <c r="Q927">
        <v>917.38</v>
      </c>
      <c r="R927">
        <v>3.7490000000000001</v>
      </c>
      <c r="S927">
        <v>19.7027</v>
      </c>
    </row>
    <row r="928" spans="1:19" x14ac:dyDescent="0.25">
      <c r="A928" s="4">
        <v>45544</v>
      </c>
      <c r="B928">
        <v>5.25</v>
      </c>
      <c r="C928">
        <v>5.25</v>
      </c>
      <c r="D928">
        <v>5.1100000000000003</v>
      </c>
      <c r="E928">
        <v>4.99</v>
      </c>
      <c r="F928">
        <v>4.68</v>
      </c>
      <c r="G928">
        <v>4.12</v>
      </c>
      <c r="H928">
        <v>3.68</v>
      </c>
      <c r="I928">
        <v>3.54</v>
      </c>
      <c r="J928">
        <v>3.49</v>
      </c>
      <c r="K928">
        <v>3.58</v>
      </c>
      <c r="L928">
        <v>3.7</v>
      </c>
      <c r="M928">
        <v>4.08</v>
      </c>
      <c r="N928">
        <v>4</v>
      </c>
      <c r="O928">
        <v>5.6558999999999999</v>
      </c>
      <c r="P928">
        <v>4179.99</v>
      </c>
      <c r="Q928">
        <v>917.38</v>
      </c>
      <c r="R928">
        <v>3.7490000000000001</v>
      </c>
      <c r="S928">
        <v>19.7027</v>
      </c>
    </row>
    <row r="929" spans="1:19" x14ac:dyDescent="0.25">
      <c r="A929" s="4">
        <v>45541</v>
      </c>
      <c r="B929">
        <v>5.28</v>
      </c>
      <c r="C929">
        <v>5.28</v>
      </c>
      <c r="D929">
        <v>5.13</v>
      </c>
      <c r="E929">
        <v>5.0199999999999996</v>
      </c>
      <c r="F929">
        <v>4.6900000000000004</v>
      </c>
      <c r="G929">
        <v>4.0999999999999996</v>
      </c>
      <c r="H929">
        <v>3.66</v>
      </c>
      <c r="I929">
        <v>3.54</v>
      </c>
      <c r="J929">
        <v>3.5</v>
      </c>
      <c r="K929">
        <v>3.6</v>
      </c>
      <c r="L929">
        <v>3.72</v>
      </c>
      <c r="M929">
        <v>4.0999999999999996</v>
      </c>
      <c r="N929">
        <v>4.03</v>
      </c>
      <c r="O929">
        <v>5.6558999999999999</v>
      </c>
      <c r="P929">
        <v>4179.99</v>
      </c>
      <c r="Q929">
        <v>917.38</v>
      </c>
      <c r="R929">
        <v>3.7490000000000001</v>
      </c>
      <c r="S929">
        <v>19.7027</v>
      </c>
    </row>
    <row r="930" spans="1:19" x14ac:dyDescent="0.25">
      <c r="A930" s="4">
        <v>45540</v>
      </c>
      <c r="B930">
        <v>5.3</v>
      </c>
      <c r="C930">
        <v>5.29</v>
      </c>
      <c r="D930">
        <v>5.15</v>
      </c>
      <c r="E930">
        <v>5.04</v>
      </c>
      <c r="F930">
        <v>4.7300000000000004</v>
      </c>
      <c r="G930">
        <v>4.21</v>
      </c>
      <c r="H930">
        <v>3.75</v>
      </c>
      <c r="I930">
        <v>3.61</v>
      </c>
      <c r="J930">
        <v>3.54</v>
      </c>
      <c r="K930">
        <v>3.63</v>
      </c>
      <c r="L930">
        <v>3.73</v>
      </c>
      <c r="M930">
        <v>4.1100000000000003</v>
      </c>
      <c r="N930">
        <v>4.0199999999999996</v>
      </c>
      <c r="O930">
        <v>5.6558999999999999</v>
      </c>
      <c r="P930">
        <v>4179.99</v>
      </c>
      <c r="Q930">
        <v>917.38</v>
      </c>
      <c r="R930">
        <v>3.7490000000000001</v>
      </c>
      <c r="S930">
        <v>19.7027</v>
      </c>
    </row>
    <row r="931" spans="1:19" x14ac:dyDescent="0.25">
      <c r="A931" s="4">
        <v>45539</v>
      </c>
      <c r="B931">
        <v>5.33</v>
      </c>
      <c r="C931">
        <v>5.28</v>
      </c>
      <c r="D931">
        <v>5.18</v>
      </c>
      <c r="E931">
        <v>5.05</v>
      </c>
      <c r="F931">
        <v>4.74</v>
      </c>
      <c r="G931">
        <v>4.2300000000000004</v>
      </c>
      <c r="H931">
        <v>3.76</v>
      </c>
      <c r="I931">
        <v>3.63</v>
      </c>
      <c r="J931">
        <v>3.56</v>
      </c>
      <c r="K931">
        <v>3.65</v>
      </c>
      <c r="L931">
        <v>3.77</v>
      </c>
      <c r="M931">
        <v>4.1399999999999997</v>
      </c>
      <c r="N931">
        <v>4.0599999999999996</v>
      </c>
      <c r="O931">
        <v>5.6558999999999999</v>
      </c>
      <c r="P931">
        <v>4179.99</v>
      </c>
      <c r="Q931">
        <v>917.38</v>
      </c>
      <c r="R931">
        <v>3.7490000000000001</v>
      </c>
      <c r="S931">
        <v>19.7027</v>
      </c>
    </row>
    <row r="932" spans="1:19" x14ac:dyDescent="0.25">
      <c r="A932" s="4">
        <v>45538</v>
      </c>
      <c r="B932">
        <v>5.38</v>
      </c>
      <c r="C932">
        <v>5.31</v>
      </c>
      <c r="D932">
        <v>5.19</v>
      </c>
      <c r="E932">
        <v>5.0999999999999996</v>
      </c>
      <c r="F932">
        <v>4.8</v>
      </c>
      <c r="G932">
        <v>4.3499999999999996</v>
      </c>
      <c r="H932">
        <v>3.88</v>
      </c>
      <c r="I932">
        <v>3.73</v>
      </c>
      <c r="J932">
        <v>3.65</v>
      </c>
      <c r="K932">
        <v>3.73</v>
      </c>
      <c r="L932">
        <v>3.84</v>
      </c>
      <c r="M932">
        <v>4.21</v>
      </c>
      <c r="N932">
        <v>4.13</v>
      </c>
      <c r="O932">
        <v>5.6558999999999999</v>
      </c>
      <c r="P932">
        <v>4179.99</v>
      </c>
      <c r="Q932">
        <v>917.38</v>
      </c>
      <c r="R932">
        <v>3.7490000000000001</v>
      </c>
      <c r="S932">
        <v>19.7027</v>
      </c>
    </row>
    <row r="933" spans="1:19" x14ac:dyDescent="0.25">
      <c r="A933" s="4">
        <v>45534</v>
      </c>
      <c r="B933">
        <v>5.41</v>
      </c>
      <c r="C933">
        <v>5.32</v>
      </c>
      <c r="D933">
        <v>5.21</v>
      </c>
      <c r="E933">
        <v>5.12</v>
      </c>
      <c r="F933">
        <v>4.8899999999999997</v>
      </c>
      <c r="G933">
        <v>4.38</v>
      </c>
      <c r="H933">
        <v>3.91</v>
      </c>
      <c r="I933">
        <v>3.79</v>
      </c>
      <c r="J933">
        <v>3.71</v>
      </c>
      <c r="K933">
        <v>3.8</v>
      </c>
      <c r="L933">
        <v>3.91</v>
      </c>
      <c r="M933">
        <v>4.28</v>
      </c>
      <c r="N933">
        <v>4.2</v>
      </c>
      <c r="O933">
        <v>5.6558999999999999</v>
      </c>
      <c r="P933">
        <v>4179.99</v>
      </c>
      <c r="Q933">
        <v>917.38</v>
      </c>
      <c r="R933">
        <v>3.7490000000000001</v>
      </c>
      <c r="S933">
        <v>19.7027</v>
      </c>
    </row>
    <row r="934" spans="1:19" x14ac:dyDescent="0.25">
      <c r="A934" s="4">
        <v>45533</v>
      </c>
      <c r="B934">
        <v>5.4</v>
      </c>
      <c r="C934">
        <v>5.33</v>
      </c>
      <c r="D934">
        <v>5.22</v>
      </c>
      <c r="E934">
        <v>5.12</v>
      </c>
      <c r="F934">
        <v>4.8899999999999997</v>
      </c>
      <c r="G934">
        <v>4.38</v>
      </c>
      <c r="H934">
        <v>3.87</v>
      </c>
      <c r="I934">
        <v>3.76</v>
      </c>
      <c r="J934">
        <v>3.66</v>
      </c>
      <c r="K934">
        <v>3.76</v>
      </c>
      <c r="L934">
        <v>3.87</v>
      </c>
      <c r="M934">
        <v>4.24</v>
      </c>
      <c r="N934">
        <v>4.1500000000000004</v>
      </c>
      <c r="O934">
        <v>5.6355000000000004</v>
      </c>
      <c r="P934">
        <v>4119.8</v>
      </c>
      <c r="Q934">
        <v>912.08</v>
      </c>
      <c r="R934">
        <v>3.7490000000000001</v>
      </c>
      <c r="S934">
        <v>19.8338</v>
      </c>
    </row>
    <row r="935" spans="1:19" x14ac:dyDescent="0.25">
      <c r="A935" s="4">
        <v>45532</v>
      </c>
      <c r="B935">
        <v>5.47</v>
      </c>
      <c r="C935">
        <v>5.33</v>
      </c>
      <c r="D935">
        <v>5.21</v>
      </c>
      <c r="E935">
        <v>5.12</v>
      </c>
      <c r="F935">
        <v>4.87</v>
      </c>
      <c r="G935">
        <v>4.3600000000000003</v>
      </c>
      <c r="H935">
        <v>3.83</v>
      </c>
      <c r="I935">
        <v>3.72</v>
      </c>
      <c r="J935">
        <v>3.63</v>
      </c>
      <c r="K935">
        <v>3.74</v>
      </c>
      <c r="L935">
        <v>3.84</v>
      </c>
      <c r="M935">
        <v>4.22</v>
      </c>
      <c r="N935">
        <v>4.13</v>
      </c>
      <c r="O935">
        <v>5.5312000000000001</v>
      </c>
      <c r="P935">
        <v>4098</v>
      </c>
      <c r="Q935">
        <v>907.32</v>
      </c>
      <c r="R935">
        <v>3.7370000000000001</v>
      </c>
      <c r="S935">
        <v>19.6417</v>
      </c>
    </row>
    <row r="936" spans="1:19" x14ac:dyDescent="0.25">
      <c r="A936" s="4">
        <v>45531</v>
      </c>
      <c r="B936">
        <v>5.49</v>
      </c>
      <c r="C936">
        <v>5.33</v>
      </c>
      <c r="D936">
        <v>5.23</v>
      </c>
      <c r="E936">
        <v>5.12</v>
      </c>
      <c r="F936">
        <v>4.8899999999999997</v>
      </c>
      <c r="G936">
        <v>4.34</v>
      </c>
      <c r="H936">
        <v>3.83</v>
      </c>
      <c r="I936">
        <v>3.72</v>
      </c>
      <c r="J936">
        <v>3.66</v>
      </c>
      <c r="K936">
        <v>3.73</v>
      </c>
      <c r="L936">
        <v>3.83</v>
      </c>
      <c r="M936">
        <v>4.21</v>
      </c>
      <c r="N936">
        <v>4.13</v>
      </c>
      <c r="O936">
        <v>5.4965999999999999</v>
      </c>
      <c r="P936">
        <v>4037.7</v>
      </c>
      <c r="Q936">
        <v>907.35</v>
      </c>
      <c r="R936">
        <v>3.7349999999999999</v>
      </c>
      <c r="S936">
        <v>19.713100000000001</v>
      </c>
    </row>
    <row r="937" spans="1:19" x14ac:dyDescent="0.25">
      <c r="A937" s="4">
        <v>45530</v>
      </c>
      <c r="B937">
        <v>5.49</v>
      </c>
      <c r="C937">
        <v>5.34</v>
      </c>
      <c r="D937">
        <v>5.24</v>
      </c>
      <c r="E937">
        <v>5.13</v>
      </c>
      <c r="F937">
        <v>4.91</v>
      </c>
      <c r="G937">
        <v>4.38</v>
      </c>
      <c r="H937">
        <v>3.91</v>
      </c>
      <c r="I937">
        <v>3.74</v>
      </c>
      <c r="J937">
        <v>3.66</v>
      </c>
      <c r="K937">
        <v>3.72</v>
      </c>
      <c r="L937">
        <v>3.82</v>
      </c>
      <c r="M937">
        <v>4.1900000000000004</v>
      </c>
      <c r="N937">
        <v>4.1100000000000003</v>
      </c>
      <c r="O937">
        <v>5.4917999999999996</v>
      </c>
      <c r="P937">
        <v>4027.5</v>
      </c>
      <c r="Q937">
        <v>911.01</v>
      </c>
      <c r="R937">
        <v>3.7429999999999999</v>
      </c>
      <c r="S937">
        <v>19.361699999999999</v>
      </c>
    </row>
    <row r="938" spans="1:19" x14ac:dyDescent="0.25">
      <c r="A938" s="4">
        <v>45527</v>
      </c>
      <c r="B938">
        <v>5.51</v>
      </c>
      <c r="C938">
        <v>5.35</v>
      </c>
      <c r="D938">
        <v>5.25</v>
      </c>
      <c r="E938">
        <v>5.13</v>
      </c>
      <c r="F938">
        <v>4.92</v>
      </c>
      <c r="G938">
        <v>4.3600000000000003</v>
      </c>
      <c r="H938">
        <v>3.9</v>
      </c>
      <c r="I938">
        <v>3.73</v>
      </c>
      <c r="J938">
        <v>3.65</v>
      </c>
      <c r="K938">
        <v>3.71</v>
      </c>
      <c r="L938">
        <v>3.81</v>
      </c>
      <c r="M938">
        <v>4.18</v>
      </c>
      <c r="N938">
        <v>4.0999999999999996</v>
      </c>
      <c r="O938">
        <v>5.5259999999999998</v>
      </c>
      <c r="P938">
        <v>4027.9</v>
      </c>
      <c r="Q938">
        <v>919.94</v>
      </c>
      <c r="R938">
        <v>3.7450000000000001</v>
      </c>
      <c r="S938">
        <v>19.0718</v>
      </c>
    </row>
    <row r="939" spans="1:19" x14ac:dyDescent="0.25">
      <c r="A939" s="4">
        <v>45526</v>
      </c>
      <c r="B939">
        <v>5.51</v>
      </c>
      <c r="C939">
        <v>5.35</v>
      </c>
      <c r="D939">
        <v>5.28</v>
      </c>
      <c r="E939">
        <v>5.15</v>
      </c>
      <c r="F939">
        <v>4.96</v>
      </c>
      <c r="G939">
        <v>4.43</v>
      </c>
      <c r="H939">
        <v>3.99</v>
      </c>
      <c r="I939">
        <v>3.82</v>
      </c>
      <c r="J939">
        <v>3.72</v>
      </c>
      <c r="K939">
        <v>3.77</v>
      </c>
      <c r="L939">
        <v>3.86</v>
      </c>
      <c r="M939">
        <v>4.21</v>
      </c>
      <c r="N939">
        <v>4.13</v>
      </c>
      <c r="O939">
        <v>5.5521000000000003</v>
      </c>
      <c r="P939">
        <v>4067.3</v>
      </c>
      <c r="Q939">
        <v>918.97</v>
      </c>
      <c r="R939">
        <v>3.7519999999999998</v>
      </c>
      <c r="S939">
        <v>19.479099999999999</v>
      </c>
    </row>
    <row r="940" spans="1:19" x14ac:dyDescent="0.25">
      <c r="A940" s="4">
        <v>45525</v>
      </c>
      <c r="B940">
        <v>5.45</v>
      </c>
      <c r="C940">
        <v>5.33</v>
      </c>
      <c r="D940">
        <v>5.26</v>
      </c>
      <c r="E940">
        <v>5.13</v>
      </c>
      <c r="F940">
        <v>4.92</v>
      </c>
      <c r="G940">
        <v>4.3600000000000003</v>
      </c>
      <c r="H940">
        <v>3.92</v>
      </c>
      <c r="I940">
        <v>3.74</v>
      </c>
      <c r="J940">
        <v>3.64</v>
      </c>
      <c r="K940">
        <v>3.69</v>
      </c>
      <c r="L940">
        <v>3.79</v>
      </c>
      <c r="M940">
        <v>4.1500000000000004</v>
      </c>
      <c r="N940">
        <v>4.0599999999999996</v>
      </c>
      <c r="O940">
        <v>5.4703999999999997</v>
      </c>
      <c r="P940">
        <v>4034.34</v>
      </c>
      <c r="Q940">
        <v>922.58</v>
      </c>
      <c r="R940">
        <v>3.7480000000000002</v>
      </c>
      <c r="S940">
        <v>19.343299999999999</v>
      </c>
    </row>
    <row r="941" spans="1:19" x14ac:dyDescent="0.25">
      <c r="A941" s="4">
        <v>45524</v>
      </c>
      <c r="B941">
        <v>5.48</v>
      </c>
      <c r="C941">
        <v>5.36</v>
      </c>
      <c r="D941">
        <v>5.29</v>
      </c>
      <c r="E941">
        <v>5.17</v>
      </c>
      <c r="F941">
        <v>4.97</v>
      </c>
      <c r="G941">
        <v>4.43</v>
      </c>
      <c r="H941">
        <v>3.99</v>
      </c>
      <c r="I941">
        <v>3.8</v>
      </c>
      <c r="J941">
        <v>3.7</v>
      </c>
      <c r="K941">
        <v>3.73</v>
      </c>
      <c r="L941">
        <v>3.82</v>
      </c>
      <c r="M941">
        <v>4.1900000000000004</v>
      </c>
      <c r="N941">
        <v>4.07</v>
      </c>
      <c r="O941">
        <v>5.4543999999999997</v>
      </c>
      <c r="P941">
        <v>4012</v>
      </c>
      <c r="Q941">
        <v>929.36</v>
      </c>
      <c r="R941">
        <v>3.746</v>
      </c>
      <c r="S941">
        <v>18.995899999999999</v>
      </c>
    </row>
    <row r="942" spans="1:19" x14ac:dyDescent="0.25">
      <c r="A942" s="4">
        <v>45523</v>
      </c>
      <c r="B942">
        <v>5.51</v>
      </c>
      <c r="C942">
        <v>5.39</v>
      </c>
      <c r="D942">
        <v>5.31</v>
      </c>
      <c r="E942">
        <v>5.19</v>
      </c>
      <c r="F942">
        <v>5</v>
      </c>
      <c r="G942">
        <v>4.4800000000000004</v>
      </c>
      <c r="H942">
        <v>4.0599999999999996</v>
      </c>
      <c r="I942">
        <v>3.86</v>
      </c>
      <c r="J942">
        <v>3.75</v>
      </c>
      <c r="K942">
        <v>3.78</v>
      </c>
      <c r="L942">
        <v>3.86</v>
      </c>
      <c r="M942">
        <v>4.2300000000000004</v>
      </c>
      <c r="N942">
        <v>4.1100000000000003</v>
      </c>
      <c r="O942">
        <v>5.4234</v>
      </c>
      <c r="P942">
        <v>4031</v>
      </c>
      <c r="Q942">
        <v>933.84</v>
      </c>
      <c r="R942">
        <v>3.738</v>
      </c>
      <c r="S942">
        <v>18.698499999999999</v>
      </c>
    </row>
    <row r="943" spans="1:19" x14ac:dyDescent="0.25">
      <c r="A943" s="4">
        <v>45520</v>
      </c>
      <c r="B943">
        <v>5.53</v>
      </c>
      <c r="C943">
        <v>5.4</v>
      </c>
      <c r="D943">
        <v>5.33</v>
      </c>
      <c r="E943">
        <v>5.21</v>
      </c>
      <c r="F943">
        <v>5.0199999999999996</v>
      </c>
      <c r="G943">
        <v>4.49</v>
      </c>
      <c r="H943">
        <v>4.0599999999999996</v>
      </c>
      <c r="I943">
        <v>3.87</v>
      </c>
      <c r="J943">
        <v>3.77</v>
      </c>
      <c r="K943">
        <v>3.81</v>
      </c>
      <c r="L943">
        <v>3.89</v>
      </c>
      <c r="M943">
        <v>4.26</v>
      </c>
      <c r="N943">
        <v>4.1500000000000004</v>
      </c>
      <c r="O943">
        <v>5.4629000000000003</v>
      </c>
      <c r="P943">
        <v>4031</v>
      </c>
      <c r="Q943">
        <v>931.39</v>
      </c>
      <c r="R943">
        <v>3.7330000000000001</v>
      </c>
      <c r="S943">
        <v>18.6294</v>
      </c>
    </row>
    <row r="944" spans="1:19" x14ac:dyDescent="0.25">
      <c r="A944" s="4">
        <v>45519</v>
      </c>
      <c r="B944">
        <v>5.53</v>
      </c>
      <c r="C944">
        <v>5.4</v>
      </c>
      <c r="D944">
        <v>5.34</v>
      </c>
      <c r="E944">
        <v>5.22</v>
      </c>
      <c r="F944">
        <v>5.04</v>
      </c>
      <c r="G944">
        <v>4.5199999999999996</v>
      </c>
      <c r="H944">
        <v>4.08</v>
      </c>
      <c r="I944">
        <v>3.9</v>
      </c>
      <c r="J944">
        <v>3.79</v>
      </c>
      <c r="K944">
        <v>3.83</v>
      </c>
      <c r="L944">
        <v>3.92</v>
      </c>
      <c r="M944">
        <v>4.28</v>
      </c>
      <c r="N944">
        <v>4.18</v>
      </c>
      <c r="O944">
        <v>5.4648000000000003</v>
      </c>
      <c r="P944">
        <v>4011</v>
      </c>
      <c r="Q944">
        <v>932.28</v>
      </c>
      <c r="R944">
        <v>3.74</v>
      </c>
      <c r="S944">
        <v>18.647400000000001</v>
      </c>
    </row>
    <row r="945" spans="1:19" x14ac:dyDescent="0.25">
      <c r="A945" s="4">
        <v>45518</v>
      </c>
      <c r="B945">
        <v>5.49</v>
      </c>
      <c r="C945">
        <v>5.39</v>
      </c>
      <c r="D945">
        <v>5.32</v>
      </c>
      <c r="E945">
        <v>5.21</v>
      </c>
      <c r="F945">
        <v>5</v>
      </c>
      <c r="G945">
        <v>4.42</v>
      </c>
      <c r="H945">
        <v>3.94</v>
      </c>
      <c r="I945">
        <v>3.76</v>
      </c>
      <c r="J945">
        <v>3.67</v>
      </c>
      <c r="K945">
        <v>3.72</v>
      </c>
      <c r="L945">
        <v>3.83</v>
      </c>
      <c r="M945">
        <v>4.22</v>
      </c>
      <c r="N945">
        <v>4.12</v>
      </c>
      <c r="O945">
        <v>5.4499000000000004</v>
      </c>
      <c r="P945">
        <v>4020</v>
      </c>
      <c r="Q945">
        <v>932.28</v>
      </c>
      <c r="R945">
        <v>3.7360000000000002</v>
      </c>
      <c r="S945">
        <v>18.830300000000001</v>
      </c>
    </row>
    <row r="946" spans="1:19" x14ac:dyDescent="0.25">
      <c r="A946" s="4">
        <v>45517</v>
      </c>
      <c r="B946">
        <v>5.48</v>
      </c>
      <c r="C946">
        <v>5.39</v>
      </c>
      <c r="D946">
        <v>5.32</v>
      </c>
      <c r="E946">
        <v>5.18</v>
      </c>
      <c r="F946">
        <v>4.97</v>
      </c>
      <c r="G946">
        <v>4.4000000000000004</v>
      </c>
      <c r="H946">
        <v>3.93</v>
      </c>
      <c r="I946">
        <v>3.75</v>
      </c>
      <c r="J946">
        <v>3.68</v>
      </c>
      <c r="K946">
        <v>3.74</v>
      </c>
      <c r="L946">
        <v>3.85</v>
      </c>
      <c r="M946">
        <v>4.25</v>
      </c>
      <c r="N946">
        <v>4.16</v>
      </c>
      <c r="O946">
        <v>5.4871999999999996</v>
      </c>
      <c r="P946">
        <v>4034.9</v>
      </c>
      <c r="Q946">
        <v>931.96</v>
      </c>
      <c r="R946">
        <v>3.742</v>
      </c>
      <c r="S946">
        <v>19.0017</v>
      </c>
    </row>
    <row r="947" spans="1:19" x14ac:dyDescent="0.25">
      <c r="A947" s="4">
        <v>45516</v>
      </c>
      <c r="B947">
        <v>5.53</v>
      </c>
      <c r="C947">
        <v>5.4</v>
      </c>
      <c r="D947">
        <v>5.33</v>
      </c>
      <c r="E947">
        <v>5.2</v>
      </c>
      <c r="F947">
        <v>5.0199999999999996</v>
      </c>
      <c r="G947">
        <v>4.47</v>
      </c>
      <c r="H947">
        <v>4.01</v>
      </c>
      <c r="I947">
        <v>3.82</v>
      </c>
      <c r="J947">
        <v>3.75</v>
      </c>
      <c r="K947">
        <v>3.8</v>
      </c>
      <c r="L947">
        <v>3.9</v>
      </c>
      <c r="M947">
        <v>4.3</v>
      </c>
      <c r="N947">
        <v>4.1900000000000004</v>
      </c>
      <c r="O947">
        <v>5.4908000000000001</v>
      </c>
      <c r="P947">
        <v>4051.1</v>
      </c>
      <c r="Q947">
        <v>932.62</v>
      </c>
      <c r="R947">
        <v>3.742</v>
      </c>
      <c r="S947">
        <v>19.084399999999999</v>
      </c>
    </row>
    <row r="948" spans="1:19" x14ac:dyDescent="0.25">
      <c r="A948" s="4">
        <v>45513</v>
      </c>
      <c r="B948">
        <v>5.54</v>
      </c>
      <c r="C948">
        <v>5.4</v>
      </c>
      <c r="D948">
        <v>5.33</v>
      </c>
      <c r="E948">
        <v>5.22</v>
      </c>
      <c r="F948">
        <v>5.0199999999999996</v>
      </c>
      <c r="G948">
        <v>4.5</v>
      </c>
      <c r="H948">
        <v>4.05</v>
      </c>
      <c r="I948">
        <v>3.86</v>
      </c>
      <c r="J948">
        <v>3.8</v>
      </c>
      <c r="K948">
        <v>3.85</v>
      </c>
      <c r="L948">
        <v>3.94</v>
      </c>
      <c r="M948">
        <v>4.33</v>
      </c>
      <c r="N948">
        <v>4.2300000000000004</v>
      </c>
      <c r="O948">
        <v>5.5111999999999997</v>
      </c>
      <c r="P948">
        <v>4072.69</v>
      </c>
      <c r="Q948">
        <v>937.18</v>
      </c>
      <c r="R948">
        <v>3.7349999999999999</v>
      </c>
      <c r="S948">
        <v>18.828900000000001</v>
      </c>
    </row>
    <row r="949" spans="1:19" x14ac:dyDescent="0.25">
      <c r="A949" s="4">
        <v>45512</v>
      </c>
      <c r="B949">
        <v>5.55</v>
      </c>
      <c r="C949">
        <v>5.42</v>
      </c>
      <c r="D949">
        <v>5.34</v>
      </c>
      <c r="E949">
        <v>5.21</v>
      </c>
      <c r="F949">
        <v>5.01</v>
      </c>
      <c r="G949">
        <v>4.4800000000000004</v>
      </c>
      <c r="H949">
        <v>4.04</v>
      </c>
      <c r="I949">
        <v>3.86</v>
      </c>
      <c r="J949">
        <v>3.83</v>
      </c>
      <c r="K949">
        <v>3.89</v>
      </c>
      <c r="L949">
        <v>3.99</v>
      </c>
      <c r="M949">
        <v>4.38</v>
      </c>
      <c r="N949">
        <v>4.28</v>
      </c>
      <c r="O949">
        <v>5.6169000000000002</v>
      </c>
      <c r="P949">
        <v>4060</v>
      </c>
      <c r="Q949">
        <v>943.96</v>
      </c>
      <c r="R949">
        <v>3.7240000000000002</v>
      </c>
      <c r="S949">
        <v>18.9681</v>
      </c>
    </row>
    <row r="950" spans="1:19" x14ac:dyDescent="0.25">
      <c r="A950" s="4">
        <v>45511</v>
      </c>
      <c r="B950">
        <v>5.5</v>
      </c>
      <c r="C950">
        <v>5.43</v>
      </c>
      <c r="D950">
        <v>5.34</v>
      </c>
      <c r="E950">
        <v>5.21</v>
      </c>
      <c r="F950">
        <v>4.99</v>
      </c>
      <c r="G950">
        <v>4.45</v>
      </c>
      <c r="H950">
        <v>4</v>
      </c>
      <c r="I950">
        <v>3.81</v>
      </c>
      <c r="J950">
        <v>3.79</v>
      </c>
      <c r="K950">
        <v>3.85</v>
      </c>
      <c r="L950">
        <v>3.96</v>
      </c>
      <c r="M950">
        <v>4.3499999999999996</v>
      </c>
      <c r="N950">
        <v>4.26</v>
      </c>
      <c r="O950">
        <v>5.609</v>
      </c>
      <c r="P950">
        <v>4139.8</v>
      </c>
      <c r="Q950">
        <v>947.18</v>
      </c>
      <c r="R950">
        <v>3.7360000000000002</v>
      </c>
      <c r="S950">
        <v>19.2864</v>
      </c>
    </row>
    <row r="951" spans="1:19" x14ac:dyDescent="0.25">
      <c r="A951" s="4">
        <v>45510</v>
      </c>
      <c r="B951">
        <v>5.5</v>
      </c>
      <c r="C951">
        <v>5.43</v>
      </c>
      <c r="D951">
        <v>5.34</v>
      </c>
      <c r="E951">
        <v>5.18</v>
      </c>
      <c r="F951">
        <v>5</v>
      </c>
      <c r="G951">
        <v>4.46</v>
      </c>
      <c r="H951">
        <v>3.99</v>
      </c>
      <c r="I951">
        <v>3.76</v>
      </c>
      <c r="J951">
        <v>3.73</v>
      </c>
      <c r="K951">
        <v>3.79</v>
      </c>
      <c r="L951">
        <v>3.9</v>
      </c>
      <c r="M951">
        <v>4.28</v>
      </c>
      <c r="N951">
        <v>4.18</v>
      </c>
      <c r="O951">
        <v>5.6524999999999999</v>
      </c>
      <c r="P951">
        <v>4139.8</v>
      </c>
      <c r="Q951">
        <v>957.57</v>
      </c>
      <c r="R951">
        <v>3.7210000000000001</v>
      </c>
      <c r="S951">
        <v>19.525700000000001</v>
      </c>
    </row>
    <row r="952" spans="1:19" x14ac:dyDescent="0.25">
      <c r="A952" s="4">
        <v>45509</v>
      </c>
      <c r="B952">
        <v>5.52</v>
      </c>
      <c r="C952">
        <v>5.43</v>
      </c>
      <c r="D952">
        <v>5.35</v>
      </c>
      <c r="E952">
        <v>5.14</v>
      </c>
      <c r="F952">
        <v>4.91</v>
      </c>
      <c r="G952">
        <v>4.34</v>
      </c>
      <c r="H952">
        <v>3.89</v>
      </c>
      <c r="I952">
        <v>3.71</v>
      </c>
      <c r="J952">
        <v>3.62</v>
      </c>
      <c r="K952">
        <v>3.66</v>
      </c>
      <c r="L952">
        <v>3.78</v>
      </c>
      <c r="M952">
        <v>4.16</v>
      </c>
      <c r="N952">
        <v>4.0599999999999996</v>
      </c>
      <c r="O952">
        <v>5.7643000000000004</v>
      </c>
      <c r="P952">
        <v>4158.8999999999996</v>
      </c>
      <c r="Q952">
        <v>951.11</v>
      </c>
      <c r="R952">
        <v>3.7210000000000001</v>
      </c>
      <c r="S952">
        <v>19.397200000000002</v>
      </c>
    </row>
    <row r="953" spans="1:19" x14ac:dyDescent="0.25">
      <c r="A953" s="4">
        <v>45506</v>
      </c>
      <c r="B953">
        <v>5.54</v>
      </c>
      <c r="C953">
        <v>5.43</v>
      </c>
      <c r="D953">
        <v>5.29</v>
      </c>
      <c r="E953">
        <v>5.14</v>
      </c>
      <c r="F953">
        <v>4.88</v>
      </c>
      <c r="G953">
        <v>4.33</v>
      </c>
      <c r="H953">
        <v>3.88</v>
      </c>
      <c r="I953">
        <v>3.7</v>
      </c>
      <c r="J953">
        <v>3.62</v>
      </c>
      <c r="K953">
        <v>3.68</v>
      </c>
      <c r="L953">
        <v>3.8</v>
      </c>
      <c r="M953">
        <v>4.1900000000000004</v>
      </c>
      <c r="N953">
        <v>4.1100000000000003</v>
      </c>
      <c r="O953">
        <v>5.7363</v>
      </c>
      <c r="P953">
        <v>4138.1000000000004</v>
      </c>
      <c r="Q953">
        <v>938.94</v>
      </c>
      <c r="R953">
        <v>3.7360000000000002</v>
      </c>
      <c r="S953">
        <v>19.162400000000002</v>
      </c>
    </row>
    <row r="954" spans="1:19" x14ac:dyDescent="0.25">
      <c r="A954" s="4">
        <v>45505</v>
      </c>
      <c r="B954">
        <v>5.55</v>
      </c>
      <c r="C954">
        <v>5.46</v>
      </c>
      <c r="D954">
        <v>5.37</v>
      </c>
      <c r="E954">
        <v>5.28</v>
      </c>
      <c r="F954">
        <v>5.08</v>
      </c>
      <c r="G954">
        <v>4.62</v>
      </c>
      <c r="H954">
        <v>4.16</v>
      </c>
      <c r="I954">
        <v>3.96</v>
      </c>
      <c r="J954">
        <v>3.84</v>
      </c>
      <c r="K954">
        <v>3.89</v>
      </c>
      <c r="L954">
        <v>3.99</v>
      </c>
      <c r="M954">
        <v>4.3499999999999996</v>
      </c>
      <c r="N954">
        <v>4.2699999999999996</v>
      </c>
      <c r="O954">
        <v>5.6677999999999997</v>
      </c>
      <c r="P954">
        <v>4087</v>
      </c>
      <c r="Q954">
        <v>943.78</v>
      </c>
      <c r="R954">
        <v>3.7410000000000001</v>
      </c>
      <c r="S954">
        <v>18.772099999999998</v>
      </c>
    </row>
    <row r="955" spans="1:19" x14ac:dyDescent="0.25">
      <c r="A955" s="4">
        <v>45504</v>
      </c>
      <c r="B955">
        <v>5.49</v>
      </c>
      <c r="C955">
        <v>5.51</v>
      </c>
      <c r="D955">
        <v>5.41</v>
      </c>
      <c r="E955">
        <v>5.32</v>
      </c>
      <c r="F955">
        <v>5.14</v>
      </c>
      <c r="G955">
        <v>4.7300000000000004</v>
      </c>
      <c r="H955">
        <v>4.29</v>
      </c>
      <c r="I955">
        <v>4.0999999999999996</v>
      </c>
      <c r="J955">
        <v>3.97</v>
      </c>
      <c r="K955">
        <v>4</v>
      </c>
      <c r="L955">
        <v>4.09</v>
      </c>
      <c r="M955">
        <v>4.4400000000000004</v>
      </c>
      <c r="N955">
        <v>4.3499999999999996</v>
      </c>
      <c r="O955">
        <v>5.6618000000000004</v>
      </c>
      <c r="P955">
        <v>4066.43</v>
      </c>
      <c r="Q955">
        <v>956.58</v>
      </c>
      <c r="R955">
        <v>3.7269999999999999</v>
      </c>
      <c r="S955">
        <v>18.632000000000001</v>
      </c>
    </row>
    <row r="956" spans="1:19" x14ac:dyDescent="0.25">
      <c r="A956" s="4">
        <v>45503</v>
      </c>
      <c r="B956">
        <v>5.5</v>
      </c>
      <c r="C956">
        <v>5.5</v>
      </c>
      <c r="D956">
        <v>5.4</v>
      </c>
      <c r="E956">
        <v>5.35</v>
      </c>
      <c r="F956">
        <v>5.16</v>
      </c>
      <c r="G956">
        <v>4.78</v>
      </c>
      <c r="H956">
        <v>4.3499999999999996</v>
      </c>
      <c r="I956">
        <v>4.16</v>
      </c>
      <c r="J956">
        <v>4.03</v>
      </c>
      <c r="K956">
        <v>4.0599999999999996</v>
      </c>
      <c r="L956">
        <v>4.1500000000000004</v>
      </c>
      <c r="M956">
        <v>4.5</v>
      </c>
      <c r="N956">
        <v>4.4000000000000004</v>
      </c>
      <c r="O956">
        <v>5.6528999999999998</v>
      </c>
      <c r="P956">
        <v>4082.09</v>
      </c>
      <c r="Q956">
        <v>956.63</v>
      </c>
      <c r="R956">
        <v>3.7269999999999999</v>
      </c>
      <c r="S956">
        <v>18.755500000000001</v>
      </c>
    </row>
    <row r="957" spans="1:19" x14ac:dyDescent="0.25">
      <c r="A957" s="4">
        <v>45502</v>
      </c>
      <c r="B957">
        <v>5.5</v>
      </c>
      <c r="C957">
        <v>5.51</v>
      </c>
      <c r="D957">
        <v>5.41</v>
      </c>
      <c r="E957">
        <v>5.36</v>
      </c>
      <c r="F957">
        <v>5.18</v>
      </c>
      <c r="G957">
        <v>4.79</v>
      </c>
      <c r="H957">
        <v>4.3600000000000003</v>
      </c>
      <c r="I957">
        <v>4.1900000000000004</v>
      </c>
      <c r="J957">
        <v>4.05</v>
      </c>
      <c r="K957">
        <v>4.08</v>
      </c>
      <c r="L957">
        <v>4.17</v>
      </c>
      <c r="M957">
        <v>4.51</v>
      </c>
      <c r="N957">
        <v>4.42</v>
      </c>
      <c r="O957">
        <v>5.6475999999999997</v>
      </c>
      <c r="P957">
        <v>4068.95</v>
      </c>
      <c r="Q957">
        <v>950.29</v>
      </c>
      <c r="R957">
        <v>3.74</v>
      </c>
      <c r="S957">
        <v>18.6204</v>
      </c>
    </row>
    <row r="958" spans="1:19" x14ac:dyDescent="0.25">
      <c r="A958" s="4">
        <v>45499</v>
      </c>
      <c r="B958">
        <v>5.49</v>
      </c>
      <c r="C958">
        <v>5.51</v>
      </c>
      <c r="D958">
        <v>5.38</v>
      </c>
      <c r="E958">
        <v>5.36</v>
      </c>
      <c r="F958">
        <v>5.18</v>
      </c>
      <c r="G958">
        <v>4.79</v>
      </c>
      <c r="H958">
        <v>4.3600000000000003</v>
      </c>
      <c r="I958">
        <v>4.2</v>
      </c>
      <c r="J958">
        <v>4.0599999999999996</v>
      </c>
      <c r="K958">
        <v>4.0999999999999996</v>
      </c>
      <c r="L958">
        <v>4.2</v>
      </c>
      <c r="M958">
        <v>4.53</v>
      </c>
      <c r="N958">
        <v>4.45</v>
      </c>
      <c r="O958">
        <v>5.6462000000000003</v>
      </c>
      <c r="P958">
        <v>4024.9</v>
      </c>
      <c r="Q958">
        <v>947.39</v>
      </c>
      <c r="R958">
        <v>3.74</v>
      </c>
      <c r="S958">
        <v>18.442699999999999</v>
      </c>
    </row>
    <row r="959" spans="1:19" x14ac:dyDescent="0.25">
      <c r="A959" s="4">
        <v>45498</v>
      </c>
      <c r="B959">
        <v>5.49</v>
      </c>
      <c r="C959">
        <v>5.52</v>
      </c>
      <c r="D959">
        <v>5.39</v>
      </c>
      <c r="E959">
        <v>5.37</v>
      </c>
      <c r="F959">
        <v>5.19</v>
      </c>
      <c r="G959">
        <v>4.83</v>
      </c>
      <c r="H959">
        <v>4.41</v>
      </c>
      <c r="I959">
        <v>4.26</v>
      </c>
      <c r="J959">
        <v>4.13</v>
      </c>
      <c r="K959">
        <v>4.18</v>
      </c>
      <c r="L959">
        <v>4.2699999999999996</v>
      </c>
      <c r="M959">
        <v>4.59</v>
      </c>
      <c r="N959">
        <v>4.5</v>
      </c>
      <c r="O959">
        <v>5.6398999999999999</v>
      </c>
      <c r="P959">
        <v>4030.5</v>
      </c>
      <c r="Q959">
        <v>948.79</v>
      </c>
      <c r="R959">
        <v>3.74</v>
      </c>
      <c r="S959">
        <v>18.452400000000001</v>
      </c>
    </row>
    <row r="960" spans="1:19" x14ac:dyDescent="0.25">
      <c r="A960" s="4">
        <v>45497</v>
      </c>
      <c r="B960">
        <v>5.5</v>
      </c>
      <c r="C960">
        <v>5.5</v>
      </c>
      <c r="D960">
        <v>5.4</v>
      </c>
      <c r="E960">
        <v>5.37</v>
      </c>
      <c r="F960">
        <v>5.19</v>
      </c>
      <c r="G960">
        <v>4.82</v>
      </c>
      <c r="H960">
        <v>4.37</v>
      </c>
      <c r="I960">
        <v>4.24</v>
      </c>
      <c r="J960">
        <v>4.12</v>
      </c>
      <c r="K960">
        <v>4.2</v>
      </c>
      <c r="L960">
        <v>4.28</v>
      </c>
      <c r="M960">
        <v>4.62</v>
      </c>
      <c r="N960">
        <v>4.54</v>
      </c>
      <c r="O960">
        <v>5.6342999999999996</v>
      </c>
      <c r="P960">
        <v>4040</v>
      </c>
      <c r="Q960">
        <v>946.69</v>
      </c>
      <c r="R960">
        <v>3.7749999999999999</v>
      </c>
      <c r="S960">
        <v>18.3705</v>
      </c>
    </row>
    <row r="961" spans="1:19" x14ac:dyDescent="0.25">
      <c r="A961" s="4">
        <v>45496</v>
      </c>
      <c r="B961">
        <v>5.49</v>
      </c>
      <c r="C961">
        <v>5.51</v>
      </c>
      <c r="D961">
        <v>5.41</v>
      </c>
      <c r="E961">
        <v>5.38</v>
      </c>
      <c r="F961">
        <v>5.22</v>
      </c>
      <c r="G961">
        <v>4.8499999999999996</v>
      </c>
      <c r="H961">
        <v>4.4000000000000004</v>
      </c>
      <c r="I961">
        <v>4.26</v>
      </c>
      <c r="J961">
        <v>4.1500000000000004</v>
      </c>
      <c r="K961">
        <v>4.18</v>
      </c>
      <c r="L961">
        <v>4.25</v>
      </c>
      <c r="M961">
        <v>4.5599999999999996</v>
      </c>
      <c r="N961">
        <v>4.4800000000000004</v>
      </c>
      <c r="O961">
        <v>5.5804</v>
      </c>
      <c r="P961">
        <v>4015</v>
      </c>
      <c r="Q961">
        <v>949.1</v>
      </c>
      <c r="R961">
        <v>3.7549999999999999</v>
      </c>
      <c r="S961">
        <v>18.169</v>
      </c>
    </row>
    <row r="962" spans="1:19" x14ac:dyDescent="0.25">
      <c r="A962" s="4">
        <v>45495</v>
      </c>
      <c r="B962">
        <v>5.49</v>
      </c>
      <c r="C962">
        <v>5.51</v>
      </c>
      <c r="D962">
        <v>5.43</v>
      </c>
      <c r="E962">
        <v>5.39</v>
      </c>
      <c r="F962">
        <v>5.24</v>
      </c>
      <c r="G962">
        <v>4.88</v>
      </c>
      <c r="H962">
        <v>4.5</v>
      </c>
      <c r="I962">
        <v>4.29</v>
      </c>
      <c r="J962">
        <v>4.17</v>
      </c>
      <c r="K962">
        <v>4.2</v>
      </c>
      <c r="L962">
        <v>4.26</v>
      </c>
      <c r="M962">
        <v>4.57</v>
      </c>
      <c r="N962">
        <v>4.4800000000000004</v>
      </c>
      <c r="O962">
        <v>5.5594999999999999</v>
      </c>
      <c r="P962">
        <v>3995.5</v>
      </c>
      <c r="Q962">
        <v>943.77</v>
      </c>
      <c r="R962">
        <v>3.7549999999999999</v>
      </c>
      <c r="S962">
        <v>17.940799999999999</v>
      </c>
    </row>
    <row r="963" spans="1:19" x14ac:dyDescent="0.25">
      <c r="A963" s="4">
        <v>45492</v>
      </c>
      <c r="B963">
        <v>5.48</v>
      </c>
      <c r="C963">
        <v>5.52</v>
      </c>
      <c r="D963">
        <v>5.43</v>
      </c>
      <c r="E963">
        <v>5.39</v>
      </c>
      <c r="F963">
        <v>5.24</v>
      </c>
      <c r="G963">
        <v>4.87</v>
      </c>
      <c r="H963">
        <v>4.49</v>
      </c>
      <c r="I963">
        <v>4.28</v>
      </c>
      <c r="J963">
        <v>4.16</v>
      </c>
      <c r="K963">
        <v>4.18</v>
      </c>
      <c r="L963">
        <v>4.25</v>
      </c>
      <c r="M963">
        <v>4.55</v>
      </c>
      <c r="N963">
        <v>4.45</v>
      </c>
      <c r="O963">
        <v>5.5540000000000003</v>
      </c>
      <c r="P963">
        <v>4037.9</v>
      </c>
      <c r="Q963">
        <v>940.15</v>
      </c>
      <c r="R963">
        <v>3.7519999999999998</v>
      </c>
      <c r="S963">
        <v>18.0825</v>
      </c>
    </row>
    <row r="964" spans="1:19" x14ac:dyDescent="0.25">
      <c r="A964" s="4">
        <v>45491</v>
      </c>
      <c r="B964">
        <v>5.48</v>
      </c>
      <c r="C964">
        <v>5.52</v>
      </c>
      <c r="D964">
        <v>5.43</v>
      </c>
      <c r="E964">
        <v>5.4</v>
      </c>
      <c r="F964">
        <v>5.23</v>
      </c>
      <c r="G964">
        <v>4.8600000000000003</v>
      </c>
      <c r="H964">
        <v>4.46</v>
      </c>
      <c r="I964">
        <v>4.24</v>
      </c>
      <c r="J964">
        <v>4.1100000000000003</v>
      </c>
      <c r="K964">
        <v>4.1399999999999997</v>
      </c>
      <c r="L964">
        <v>4.2</v>
      </c>
      <c r="M964">
        <v>4.51</v>
      </c>
      <c r="N964">
        <v>4.41</v>
      </c>
      <c r="O964">
        <v>5.5423</v>
      </c>
      <c r="P964">
        <v>4045</v>
      </c>
      <c r="Q964">
        <v>921.91</v>
      </c>
      <c r="R964">
        <v>3.74</v>
      </c>
      <c r="S964">
        <v>17.9788</v>
      </c>
    </row>
    <row r="965" spans="1:19" x14ac:dyDescent="0.25">
      <c r="A965" s="4">
        <v>45490</v>
      </c>
      <c r="B965">
        <v>5.47</v>
      </c>
      <c r="C965">
        <v>5.5</v>
      </c>
      <c r="D965">
        <v>5.43</v>
      </c>
      <c r="E965">
        <v>5.4</v>
      </c>
      <c r="F965">
        <v>5.23</v>
      </c>
      <c r="G965">
        <v>4.8499999999999996</v>
      </c>
      <c r="H965">
        <v>4.42</v>
      </c>
      <c r="I965">
        <v>4.1900000000000004</v>
      </c>
      <c r="J965">
        <v>4.07</v>
      </c>
      <c r="K965">
        <v>4.09</v>
      </c>
      <c r="L965">
        <v>4.16</v>
      </c>
      <c r="M965">
        <v>4.46</v>
      </c>
      <c r="N965">
        <v>4.37</v>
      </c>
      <c r="O965">
        <v>5.4667000000000003</v>
      </c>
      <c r="P965">
        <v>3995.7</v>
      </c>
      <c r="Q965">
        <v>910.79</v>
      </c>
      <c r="R965">
        <v>3.722</v>
      </c>
      <c r="S965">
        <v>17.719200000000001</v>
      </c>
    </row>
    <row r="966" spans="1:19" x14ac:dyDescent="0.25">
      <c r="A966" s="4">
        <v>45489</v>
      </c>
      <c r="B966">
        <v>5.48</v>
      </c>
      <c r="C966">
        <v>5.5</v>
      </c>
      <c r="D966">
        <v>5.43</v>
      </c>
      <c r="E966">
        <v>5.4</v>
      </c>
      <c r="F966">
        <v>5.23</v>
      </c>
      <c r="G966">
        <v>4.8499999999999996</v>
      </c>
      <c r="H966">
        <v>4.43</v>
      </c>
      <c r="I966">
        <v>4.21</v>
      </c>
      <c r="J966">
        <v>4.09</v>
      </c>
      <c r="K966">
        <v>4.1100000000000003</v>
      </c>
      <c r="L966">
        <v>4.17</v>
      </c>
      <c r="M966">
        <v>4.4800000000000004</v>
      </c>
      <c r="N966">
        <v>4.38</v>
      </c>
      <c r="O966">
        <v>5.4271000000000003</v>
      </c>
      <c r="P966">
        <v>3984.45</v>
      </c>
      <c r="Q966">
        <v>910.14</v>
      </c>
      <c r="R966">
        <v>3.7109999999999999</v>
      </c>
      <c r="S966">
        <v>17.643899999999999</v>
      </c>
    </row>
    <row r="967" spans="1:19" x14ac:dyDescent="0.25">
      <c r="A967" s="4">
        <v>45488</v>
      </c>
      <c r="B967">
        <v>5.48</v>
      </c>
      <c r="C967">
        <v>5.51</v>
      </c>
      <c r="D967">
        <v>5.43</v>
      </c>
      <c r="E967">
        <v>5.4</v>
      </c>
      <c r="F967">
        <v>5.23</v>
      </c>
      <c r="G967">
        <v>4.8499999999999996</v>
      </c>
      <c r="H967">
        <v>4.4400000000000004</v>
      </c>
      <c r="I967">
        <v>4.2300000000000004</v>
      </c>
      <c r="J967">
        <v>4.13</v>
      </c>
      <c r="K967">
        <v>4.16</v>
      </c>
      <c r="L967">
        <v>4.2300000000000004</v>
      </c>
      <c r="M967">
        <v>4.5599999999999996</v>
      </c>
      <c r="N967">
        <v>4.46</v>
      </c>
      <c r="O967">
        <v>5.4560000000000004</v>
      </c>
      <c r="P967">
        <v>3948.65</v>
      </c>
      <c r="Q967">
        <v>910.14</v>
      </c>
      <c r="R967">
        <v>3.718</v>
      </c>
      <c r="S967">
        <v>17.764900000000001</v>
      </c>
    </row>
    <row r="968" spans="1:19" x14ac:dyDescent="0.25">
      <c r="A968" s="4">
        <v>45485</v>
      </c>
      <c r="B968">
        <v>5.47</v>
      </c>
      <c r="C968">
        <v>5.52</v>
      </c>
      <c r="D968">
        <v>5.43</v>
      </c>
      <c r="E968">
        <v>5.41</v>
      </c>
      <c r="F968">
        <v>5.23</v>
      </c>
      <c r="G968">
        <v>4.87</v>
      </c>
      <c r="H968">
        <v>4.45</v>
      </c>
      <c r="I968">
        <v>4.22</v>
      </c>
      <c r="J968">
        <v>4.0999999999999996</v>
      </c>
      <c r="K968">
        <v>4.13</v>
      </c>
      <c r="L968">
        <v>4.18</v>
      </c>
      <c r="M968">
        <v>4.5</v>
      </c>
      <c r="N968">
        <v>4.3899999999999997</v>
      </c>
      <c r="O968">
        <v>5.4526000000000003</v>
      </c>
      <c r="P968">
        <v>3922.95</v>
      </c>
      <c r="Q968">
        <v>908.92</v>
      </c>
      <c r="R968">
        <v>3.7229999999999999</v>
      </c>
      <c r="S968">
        <v>17.622299999999999</v>
      </c>
    </row>
    <row r="969" spans="1:19" x14ac:dyDescent="0.25">
      <c r="A969" s="4">
        <v>45484</v>
      </c>
      <c r="B969">
        <v>5.48</v>
      </c>
      <c r="C969">
        <v>5.53</v>
      </c>
      <c r="D969">
        <v>5.44</v>
      </c>
      <c r="E969">
        <v>5.41</v>
      </c>
      <c r="F969">
        <v>5.25</v>
      </c>
      <c r="G969">
        <v>4.91</v>
      </c>
      <c r="H969">
        <v>4.5</v>
      </c>
      <c r="I969">
        <v>4.26</v>
      </c>
      <c r="J969">
        <v>4.13</v>
      </c>
      <c r="K969">
        <v>4.1500000000000004</v>
      </c>
      <c r="L969">
        <v>4.2</v>
      </c>
      <c r="M969">
        <v>4.51</v>
      </c>
      <c r="N969">
        <v>4.41</v>
      </c>
      <c r="O969">
        <v>5.4097</v>
      </c>
      <c r="P969">
        <v>3981.5</v>
      </c>
      <c r="Q969">
        <v>918.86</v>
      </c>
      <c r="R969">
        <v>3.7559999999999998</v>
      </c>
      <c r="S969">
        <v>17.787099999999999</v>
      </c>
    </row>
    <row r="970" spans="1:19" x14ac:dyDescent="0.25">
      <c r="A970" s="4">
        <v>45483</v>
      </c>
      <c r="B970">
        <v>5.46</v>
      </c>
      <c r="C970">
        <v>5.5</v>
      </c>
      <c r="D970">
        <v>5.46</v>
      </c>
      <c r="E970">
        <v>5.46</v>
      </c>
      <c r="F970">
        <v>5.33</v>
      </c>
      <c r="G970">
        <v>5.01</v>
      </c>
      <c r="H970">
        <v>4.62</v>
      </c>
      <c r="I970">
        <v>4.38</v>
      </c>
      <c r="J970">
        <v>4.24</v>
      </c>
      <c r="K970">
        <v>4.24</v>
      </c>
      <c r="L970">
        <v>4.28</v>
      </c>
      <c r="M970">
        <v>4.58</v>
      </c>
      <c r="N970">
        <v>4.47</v>
      </c>
      <c r="O970">
        <v>5.3963999999999999</v>
      </c>
      <c r="P970">
        <v>3968</v>
      </c>
      <c r="Q970">
        <v>932.31</v>
      </c>
      <c r="R970">
        <v>3.7810000000000001</v>
      </c>
      <c r="S970">
        <v>17.8078</v>
      </c>
    </row>
    <row r="971" spans="1:19" x14ac:dyDescent="0.25">
      <c r="A971" s="4">
        <v>45482</v>
      </c>
      <c r="B971">
        <v>5.45</v>
      </c>
      <c r="C971">
        <v>5.51</v>
      </c>
      <c r="D971">
        <v>5.46</v>
      </c>
      <c r="E971">
        <v>5.46</v>
      </c>
      <c r="F971">
        <v>5.34</v>
      </c>
      <c r="G971">
        <v>5.0199999999999996</v>
      </c>
      <c r="H971">
        <v>4.62</v>
      </c>
      <c r="I971">
        <v>4.37</v>
      </c>
      <c r="J971">
        <v>4.24</v>
      </c>
      <c r="K971">
        <v>4.25</v>
      </c>
      <c r="L971">
        <v>4.3</v>
      </c>
      <c r="M971">
        <v>4.59</v>
      </c>
      <c r="N971">
        <v>4.49</v>
      </c>
      <c r="O971">
        <v>5.4383999999999997</v>
      </c>
      <c r="P971">
        <v>4014.44</v>
      </c>
      <c r="Q971">
        <v>939.17</v>
      </c>
      <c r="R971">
        <v>3.7829999999999999</v>
      </c>
      <c r="S971">
        <v>17.914300000000001</v>
      </c>
    </row>
    <row r="972" spans="1:19" x14ac:dyDescent="0.25">
      <c r="A972" s="4">
        <v>45481</v>
      </c>
      <c r="B972">
        <v>5.48</v>
      </c>
      <c r="C972">
        <v>5.53</v>
      </c>
      <c r="D972">
        <v>5.46</v>
      </c>
      <c r="E972">
        <v>5.46</v>
      </c>
      <c r="F972">
        <v>5.33</v>
      </c>
      <c r="G972">
        <v>4.99</v>
      </c>
      <c r="H972">
        <v>4.62</v>
      </c>
      <c r="I972">
        <v>4.4000000000000004</v>
      </c>
      <c r="J972">
        <v>4.2300000000000004</v>
      </c>
      <c r="K972">
        <v>4.2300000000000004</v>
      </c>
      <c r="L972">
        <v>4.28</v>
      </c>
      <c r="M972">
        <v>4.57</v>
      </c>
      <c r="N972">
        <v>4.46</v>
      </c>
      <c r="O972">
        <v>5.4717000000000002</v>
      </c>
      <c r="P972">
        <v>4050</v>
      </c>
      <c r="Q972">
        <v>933.51</v>
      </c>
      <c r="R972">
        <v>3.7869999999999999</v>
      </c>
      <c r="S972">
        <v>17.9894</v>
      </c>
    </row>
    <row r="973" spans="1:19" x14ac:dyDescent="0.25">
      <c r="A973" s="4">
        <v>45478</v>
      </c>
      <c r="B973">
        <v>5.48</v>
      </c>
      <c r="C973">
        <v>5.53</v>
      </c>
      <c r="D973">
        <v>5.46</v>
      </c>
      <c r="E973">
        <v>5.46</v>
      </c>
      <c r="F973">
        <v>5.34</v>
      </c>
      <c r="G973">
        <v>4.9800000000000004</v>
      </c>
      <c r="H973">
        <v>4.5999999999999996</v>
      </c>
      <c r="I973">
        <v>4.3899999999999997</v>
      </c>
      <c r="J973">
        <v>4.22</v>
      </c>
      <c r="K973">
        <v>4.2300000000000004</v>
      </c>
      <c r="L973">
        <v>4.28</v>
      </c>
      <c r="M973">
        <v>4.57</v>
      </c>
      <c r="N973">
        <v>4.47</v>
      </c>
      <c r="O973">
        <v>5.4966999999999997</v>
      </c>
      <c r="P973">
        <v>4083.02</v>
      </c>
      <c r="Q973">
        <v>936.55</v>
      </c>
      <c r="R973">
        <v>3.79</v>
      </c>
      <c r="S973">
        <v>18.0838</v>
      </c>
    </row>
    <row r="974" spans="1:19" x14ac:dyDescent="0.25">
      <c r="A974" s="4">
        <v>45476</v>
      </c>
      <c r="B974">
        <v>5.49</v>
      </c>
      <c r="C974">
        <v>5.54</v>
      </c>
      <c r="D974">
        <v>5.47</v>
      </c>
      <c r="E974">
        <v>5.47</v>
      </c>
      <c r="F974">
        <v>5.36</v>
      </c>
      <c r="G974">
        <v>5.04</v>
      </c>
      <c r="H974">
        <v>4.71</v>
      </c>
      <c r="I974">
        <v>4.4800000000000004</v>
      </c>
      <c r="J974">
        <v>4.33</v>
      </c>
      <c r="K974">
        <v>4.33</v>
      </c>
      <c r="L974">
        <v>4.3600000000000003</v>
      </c>
      <c r="M974">
        <v>4.6399999999999997</v>
      </c>
      <c r="N974">
        <v>4.53</v>
      </c>
      <c r="O974">
        <v>5.5860000000000003</v>
      </c>
      <c r="P974">
        <v>4104.5</v>
      </c>
      <c r="Q974">
        <v>946.99</v>
      </c>
      <c r="R974">
        <v>3.8</v>
      </c>
      <c r="S974">
        <v>18.186399999999999</v>
      </c>
    </row>
    <row r="975" spans="1:19" x14ac:dyDescent="0.25">
      <c r="A975" s="4">
        <v>45475</v>
      </c>
      <c r="B975">
        <v>5.48</v>
      </c>
      <c r="C975">
        <v>5.47</v>
      </c>
      <c r="D975">
        <v>5.47</v>
      </c>
      <c r="E975">
        <v>5.44</v>
      </c>
      <c r="F975">
        <v>5.36</v>
      </c>
      <c r="G975">
        <v>5.07</v>
      </c>
      <c r="H975">
        <v>4.74</v>
      </c>
      <c r="I975">
        <v>4.54</v>
      </c>
      <c r="J975">
        <v>4.3899999999999997</v>
      </c>
      <c r="K975">
        <v>4.4000000000000004</v>
      </c>
      <c r="L975">
        <v>4.43</v>
      </c>
      <c r="M975">
        <v>4.71</v>
      </c>
      <c r="N975">
        <v>4.5999999999999996</v>
      </c>
      <c r="O975">
        <v>5.6673999999999998</v>
      </c>
      <c r="P975">
        <v>4130</v>
      </c>
      <c r="Q975">
        <v>943.89</v>
      </c>
      <c r="R975">
        <v>3.8130000000000002</v>
      </c>
      <c r="S975">
        <v>18.2697</v>
      </c>
    </row>
    <row r="976" spans="1:19" x14ac:dyDescent="0.25">
      <c r="A976" s="4">
        <v>45474</v>
      </c>
      <c r="B976">
        <v>5.48</v>
      </c>
      <c r="C976">
        <v>5.48</v>
      </c>
      <c r="D976">
        <v>5.47</v>
      </c>
      <c r="E976">
        <v>5.45</v>
      </c>
      <c r="F976">
        <v>5.37</v>
      </c>
      <c r="G976">
        <v>5.0999999999999996</v>
      </c>
      <c r="H976">
        <v>4.7699999999999996</v>
      </c>
      <c r="I976">
        <v>4.58</v>
      </c>
      <c r="J976">
        <v>4.4400000000000004</v>
      </c>
      <c r="K976">
        <v>4.45</v>
      </c>
      <c r="L976">
        <v>4.4800000000000004</v>
      </c>
      <c r="M976">
        <v>4.76</v>
      </c>
      <c r="N976">
        <v>4.6399999999999997</v>
      </c>
      <c r="O976">
        <v>5.5890000000000004</v>
      </c>
      <c r="P976">
        <v>4136.5</v>
      </c>
      <c r="Q976">
        <v>944.34</v>
      </c>
      <c r="R976">
        <v>3.8359999999999999</v>
      </c>
      <c r="S976">
        <v>18.364000000000001</v>
      </c>
    </row>
    <row r="977" spans="1:19" x14ac:dyDescent="0.25">
      <c r="A977" s="4">
        <v>45471</v>
      </c>
      <c r="B977">
        <v>5.47</v>
      </c>
      <c r="C977">
        <v>5.47</v>
      </c>
      <c r="D977">
        <v>5.48</v>
      </c>
      <c r="E977">
        <v>5.45</v>
      </c>
      <c r="F977">
        <v>5.33</v>
      </c>
      <c r="G977">
        <v>5.09</v>
      </c>
      <c r="H977">
        <v>4.71</v>
      </c>
      <c r="I977">
        <v>4.5199999999999996</v>
      </c>
      <c r="J977">
        <v>4.33</v>
      </c>
      <c r="K977">
        <v>4.33</v>
      </c>
      <c r="L977">
        <v>4.3600000000000003</v>
      </c>
      <c r="M977">
        <v>4.6100000000000003</v>
      </c>
      <c r="N977">
        <v>4.51</v>
      </c>
      <c r="O977">
        <v>5.5586000000000002</v>
      </c>
      <c r="P977">
        <v>4136.5</v>
      </c>
      <c r="Q977">
        <v>951.02</v>
      </c>
      <c r="R977">
        <v>3.84</v>
      </c>
      <c r="S977">
        <v>18.286200000000001</v>
      </c>
    </row>
    <row r="978" spans="1:19" x14ac:dyDescent="0.25">
      <c r="A978" s="4">
        <v>45470</v>
      </c>
      <c r="B978">
        <v>5.48</v>
      </c>
      <c r="C978">
        <v>5.46</v>
      </c>
      <c r="D978">
        <v>5.49</v>
      </c>
      <c r="E978">
        <v>5.45</v>
      </c>
      <c r="F978">
        <v>5.35</v>
      </c>
      <c r="G978">
        <v>5.0999999999999996</v>
      </c>
      <c r="H978">
        <v>4.7</v>
      </c>
      <c r="I978">
        <v>4.49</v>
      </c>
      <c r="J978">
        <v>4.29</v>
      </c>
      <c r="K978">
        <v>4.2699999999999996</v>
      </c>
      <c r="L978">
        <v>4.29</v>
      </c>
      <c r="M978">
        <v>4.53</v>
      </c>
      <c r="N978">
        <v>4.43</v>
      </c>
      <c r="O978">
        <v>5.5225999999999997</v>
      </c>
      <c r="P978">
        <v>4167</v>
      </c>
      <c r="Q978">
        <v>947.78</v>
      </c>
      <c r="R978">
        <v>3.83</v>
      </c>
      <c r="S978">
        <v>18.408799999999999</v>
      </c>
    </row>
    <row r="979" spans="1:19" x14ac:dyDescent="0.25">
      <c r="A979" s="4">
        <v>45469</v>
      </c>
      <c r="B979">
        <v>5.44</v>
      </c>
      <c r="C979">
        <v>5.46</v>
      </c>
      <c r="D979">
        <v>5.5</v>
      </c>
      <c r="E979">
        <v>5.46</v>
      </c>
      <c r="F979">
        <v>5.36</v>
      </c>
      <c r="G979">
        <v>5.13</v>
      </c>
      <c r="H979">
        <v>4.71</v>
      </c>
      <c r="I979">
        <v>4.53</v>
      </c>
      <c r="J979">
        <v>4.32</v>
      </c>
      <c r="K979">
        <v>4.32</v>
      </c>
      <c r="L979">
        <v>4.32</v>
      </c>
      <c r="M979">
        <v>4.55</v>
      </c>
      <c r="N979">
        <v>4.45</v>
      </c>
      <c r="O979">
        <v>5.5094000000000003</v>
      </c>
      <c r="P979">
        <v>4137</v>
      </c>
      <c r="Q979">
        <v>942.31</v>
      </c>
      <c r="R979">
        <v>3.8250000000000002</v>
      </c>
      <c r="S979">
        <v>18.364799999999999</v>
      </c>
    </row>
    <row r="980" spans="1:19" x14ac:dyDescent="0.25">
      <c r="A980" s="4">
        <v>45468</v>
      </c>
      <c r="B980">
        <v>5.43</v>
      </c>
      <c r="C980">
        <v>5.46</v>
      </c>
      <c r="D980">
        <v>5.49</v>
      </c>
      <c r="E980">
        <v>5.44</v>
      </c>
      <c r="F980">
        <v>5.37</v>
      </c>
      <c r="G980">
        <v>5.0999999999999996</v>
      </c>
      <c r="H980">
        <v>4.6500000000000004</v>
      </c>
      <c r="I980">
        <v>4.45</v>
      </c>
      <c r="J980">
        <v>4.25</v>
      </c>
      <c r="K980">
        <v>4.2300000000000004</v>
      </c>
      <c r="L980">
        <v>4.2300000000000004</v>
      </c>
      <c r="M980">
        <v>4.46</v>
      </c>
      <c r="N980">
        <v>4.3600000000000003</v>
      </c>
      <c r="O980">
        <v>5.4286500000000002</v>
      </c>
      <c r="P980">
        <v>4101.5</v>
      </c>
      <c r="Q980">
        <v>941.72</v>
      </c>
      <c r="R980">
        <v>3.8119999999999998</v>
      </c>
      <c r="S980">
        <v>18.129100000000001</v>
      </c>
    </row>
    <row r="981" spans="1:19" x14ac:dyDescent="0.25">
      <c r="A981" s="4">
        <v>45467</v>
      </c>
      <c r="B981">
        <v>5.42</v>
      </c>
      <c r="C981">
        <v>5.46</v>
      </c>
      <c r="D981">
        <v>5.5</v>
      </c>
      <c r="E981">
        <v>5.45</v>
      </c>
      <c r="F981">
        <v>5.37</v>
      </c>
      <c r="G981">
        <v>5.0999999999999996</v>
      </c>
      <c r="H981">
        <v>4.71</v>
      </c>
      <c r="I981">
        <v>4.46</v>
      </c>
      <c r="J981">
        <v>4.2699999999999996</v>
      </c>
      <c r="K981">
        <v>4.25</v>
      </c>
      <c r="L981">
        <v>4.25</v>
      </c>
      <c r="M981">
        <v>4.4800000000000004</v>
      </c>
      <c r="N981">
        <v>4.38</v>
      </c>
      <c r="O981">
        <v>5.3997000000000002</v>
      </c>
      <c r="P981">
        <v>4090</v>
      </c>
      <c r="Q981">
        <v>937.34</v>
      </c>
      <c r="R981">
        <v>3.8069999999999999</v>
      </c>
      <c r="S981">
        <v>17.970500000000001</v>
      </c>
    </row>
    <row r="982" spans="1:19" x14ac:dyDescent="0.25">
      <c r="A982" s="4">
        <v>45464</v>
      </c>
      <c r="B982">
        <v>5.42</v>
      </c>
      <c r="C982">
        <v>5.46</v>
      </c>
      <c r="D982">
        <v>5.49</v>
      </c>
      <c r="E982">
        <v>5.45</v>
      </c>
      <c r="F982">
        <v>5.36</v>
      </c>
      <c r="G982">
        <v>5.0999999999999996</v>
      </c>
      <c r="H982">
        <v>4.7</v>
      </c>
      <c r="I982">
        <v>4.45</v>
      </c>
      <c r="J982">
        <v>4.26</v>
      </c>
      <c r="K982">
        <v>4.25</v>
      </c>
      <c r="L982">
        <v>4.25</v>
      </c>
      <c r="M982">
        <v>4.49</v>
      </c>
      <c r="N982">
        <v>4.3899999999999997</v>
      </c>
      <c r="O982">
        <v>5.4413</v>
      </c>
      <c r="P982">
        <v>4149.99</v>
      </c>
      <c r="Q982">
        <v>927.92</v>
      </c>
      <c r="R982">
        <v>3.7989999999999999</v>
      </c>
      <c r="S982">
        <v>18.117100000000001</v>
      </c>
    </row>
    <row r="983" spans="1:19" x14ac:dyDescent="0.25">
      <c r="A983" s="4">
        <v>45463</v>
      </c>
      <c r="B983">
        <v>5.42</v>
      </c>
      <c r="C983">
        <v>5.46</v>
      </c>
      <c r="D983">
        <v>5.5</v>
      </c>
      <c r="E983">
        <v>5.46</v>
      </c>
      <c r="F983">
        <v>5.37</v>
      </c>
      <c r="G983">
        <v>5.0999999999999996</v>
      </c>
      <c r="H983">
        <v>4.7</v>
      </c>
      <c r="I983">
        <v>4.45</v>
      </c>
      <c r="J983">
        <v>4.26</v>
      </c>
      <c r="K983">
        <v>4.25</v>
      </c>
      <c r="L983">
        <v>4.25</v>
      </c>
      <c r="M983">
        <v>4.49</v>
      </c>
      <c r="N983">
        <v>4.3899999999999997</v>
      </c>
      <c r="O983">
        <v>5.4250999999999996</v>
      </c>
      <c r="P983">
        <v>4173</v>
      </c>
      <c r="Q983">
        <v>934.91</v>
      </c>
      <c r="R983">
        <v>3.8029999999999999</v>
      </c>
      <c r="S983">
        <v>18.3706</v>
      </c>
    </row>
    <row r="984" spans="1:19" x14ac:dyDescent="0.25">
      <c r="A984" s="4">
        <v>45461</v>
      </c>
      <c r="B984">
        <v>5.4</v>
      </c>
      <c r="C984">
        <v>5.46</v>
      </c>
      <c r="D984">
        <v>5.5</v>
      </c>
      <c r="E984">
        <v>5.45</v>
      </c>
      <c r="F984">
        <v>5.37</v>
      </c>
      <c r="G984">
        <v>5.09</v>
      </c>
      <c r="H984">
        <v>4.6900000000000004</v>
      </c>
      <c r="I984">
        <v>4.43</v>
      </c>
      <c r="J984">
        <v>4.24</v>
      </c>
      <c r="K984">
        <v>4.22</v>
      </c>
      <c r="L984">
        <v>4.22</v>
      </c>
      <c r="M984">
        <v>4.47</v>
      </c>
      <c r="N984">
        <v>4.3600000000000003</v>
      </c>
      <c r="O984">
        <v>5.4070999999999998</v>
      </c>
      <c r="P984">
        <v>4149</v>
      </c>
      <c r="Q984">
        <v>938.68</v>
      </c>
      <c r="R984">
        <v>3.8090000000000002</v>
      </c>
      <c r="S984">
        <v>18.410699999999999</v>
      </c>
    </row>
    <row r="985" spans="1:19" x14ac:dyDescent="0.25">
      <c r="A985" s="4">
        <v>45460</v>
      </c>
      <c r="B985">
        <v>5.45</v>
      </c>
      <c r="C985">
        <v>5.47</v>
      </c>
      <c r="D985">
        <v>5.52</v>
      </c>
      <c r="E985">
        <v>5.46</v>
      </c>
      <c r="F985">
        <v>5.39</v>
      </c>
      <c r="G985">
        <v>5.1100000000000003</v>
      </c>
      <c r="H985">
        <v>4.75</v>
      </c>
      <c r="I985">
        <v>4.5</v>
      </c>
      <c r="J985">
        <v>4.3</v>
      </c>
      <c r="K985">
        <v>4.28</v>
      </c>
      <c r="L985">
        <v>4.28</v>
      </c>
      <c r="M985">
        <v>4.5199999999999996</v>
      </c>
      <c r="N985">
        <v>4.4000000000000004</v>
      </c>
      <c r="O985">
        <v>5.4127000000000001</v>
      </c>
      <c r="P985">
        <v>4130</v>
      </c>
      <c r="Q985">
        <v>928.47</v>
      </c>
      <c r="R985">
        <v>3.7930000000000001</v>
      </c>
      <c r="S985">
        <v>18.544699999999999</v>
      </c>
    </row>
    <row r="986" spans="1:19" x14ac:dyDescent="0.25">
      <c r="A986" s="4">
        <v>45457</v>
      </c>
      <c r="B986">
        <v>5.47</v>
      </c>
      <c r="C986">
        <v>5.47</v>
      </c>
      <c r="D986">
        <v>5.51</v>
      </c>
      <c r="E986">
        <v>5.45</v>
      </c>
      <c r="F986">
        <v>5.36</v>
      </c>
      <c r="G986">
        <v>5.07</v>
      </c>
      <c r="H986">
        <v>4.67</v>
      </c>
      <c r="I986">
        <v>4.41</v>
      </c>
      <c r="J986">
        <v>4.22</v>
      </c>
      <c r="K986">
        <v>4.2</v>
      </c>
      <c r="L986">
        <v>4.2</v>
      </c>
      <c r="M986">
        <v>4.46</v>
      </c>
      <c r="N986">
        <v>4.34</v>
      </c>
      <c r="O986">
        <v>5.3627000000000002</v>
      </c>
      <c r="P986">
        <v>4130.5</v>
      </c>
      <c r="Q986">
        <v>919.49</v>
      </c>
      <c r="R986">
        <v>3.78</v>
      </c>
      <c r="S986">
        <v>18.463200000000001</v>
      </c>
    </row>
    <row r="987" spans="1:19" x14ac:dyDescent="0.25">
      <c r="A987" s="4">
        <v>45456</v>
      </c>
      <c r="B987">
        <v>5.47</v>
      </c>
      <c r="C987">
        <v>5.47</v>
      </c>
      <c r="D987">
        <v>5.51</v>
      </c>
      <c r="E987">
        <v>5.45</v>
      </c>
      <c r="F987">
        <v>5.36</v>
      </c>
      <c r="G987">
        <v>5.07</v>
      </c>
      <c r="H987">
        <v>4.68</v>
      </c>
      <c r="I987">
        <v>4.42</v>
      </c>
      <c r="J987">
        <v>4.24</v>
      </c>
      <c r="K987">
        <v>4.2300000000000004</v>
      </c>
      <c r="L987">
        <v>4.24</v>
      </c>
      <c r="M987">
        <v>4.5</v>
      </c>
      <c r="N987">
        <v>4.4000000000000004</v>
      </c>
      <c r="O987">
        <v>5.3971</v>
      </c>
      <c r="P987">
        <v>4148</v>
      </c>
      <c r="Q987">
        <v>914.86</v>
      </c>
      <c r="R987">
        <v>3.7719999999999998</v>
      </c>
      <c r="S987">
        <v>18.473199999999999</v>
      </c>
    </row>
    <row r="988" spans="1:19" x14ac:dyDescent="0.25">
      <c r="A988" s="4">
        <v>45455</v>
      </c>
      <c r="B988">
        <v>5.47</v>
      </c>
      <c r="C988">
        <v>5.47</v>
      </c>
      <c r="D988">
        <v>5.51</v>
      </c>
      <c r="E988">
        <v>5.47</v>
      </c>
      <c r="F988">
        <v>5.38</v>
      </c>
      <c r="G988">
        <v>5.13</v>
      </c>
      <c r="H988">
        <v>4.75</v>
      </c>
      <c r="I988">
        <v>4.4800000000000004</v>
      </c>
      <c r="J988">
        <v>4.32</v>
      </c>
      <c r="K988">
        <v>4.3099999999999996</v>
      </c>
      <c r="L988">
        <v>4.3099999999999996</v>
      </c>
      <c r="M988">
        <v>4.5599999999999996</v>
      </c>
      <c r="N988">
        <v>4.47</v>
      </c>
      <c r="O988">
        <v>5.3887999999999998</v>
      </c>
      <c r="P988">
        <v>4021.38</v>
      </c>
      <c r="Q988">
        <v>924.18</v>
      </c>
      <c r="R988">
        <v>3.7730000000000001</v>
      </c>
      <c r="S988">
        <v>18.759699999999999</v>
      </c>
    </row>
    <row r="989" spans="1:19" x14ac:dyDescent="0.25">
      <c r="A989" s="4">
        <v>45454</v>
      </c>
      <c r="B989">
        <v>5.46</v>
      </c>
      <c r="C989">
        <v>5.47</v>
      </c>
      <c r="D989">
        <v>5.52</v>
      </c>
      <c r="E989">
        <v>5.46</v>
      </c>
      <c r="F989">
        <v>5.39</v>
      </c>
      <c r="G989">
        <v>5.17</v>
      </c>
      <c r="H989">
        <v>4.8099999999999996</v>
      </c>
      <c r="I989">
        <v>4.57</v>
      </c>
      <c r="J989">
        <v>4.41</v>
      </c>
      <c r="K989">
        <v>4.4000000000000004</v>
      </c>
      <c r="L989">
        <v>4.3899999999999997</v>
      </c>
      <c r="M989">
        <v>4.62</v>
      </c>
      <c r="N989">
        <v>4.53</v>
      </c>
      <c r="O989">
        <v>5.35215</v>
      </c>
      <c r="P989">
        <v>3994.77</v>
      </c>
      <c r="Q989">
        <v>923.24</v>
      </c>
      <c r="R989">
        <v>3.77</v>
      </c>
      <c r="S989">
        <v>18.4879</v>
      </c>
    </row>
    <row r="990" spans="1:19" x14ac:dyDescent="0.25">
      <c r="A990" s="4">
        <v>45453</v>
      </c>
      <c r="B990">
        <v>5.47</v>
      </c>
      <c r="C990">
        <v>5.48</v>
      </c>
      <c r="D990">
        <v>5.52</v>
      </c>
      <c r="E990">
        <v>5.46</v>
      </c>
      <c r="F990">
        <v>5.4</v>
      </c>
      <c r="G990">
        <v>5.16</v>
      </c>
      <c r="H990">
        <v>4.87</v>
      </c>
      <c r="I990">
        <v>4.62</v>
      </c>
      <c r="J990">
        <v>4.4800000000000004</v>
      </c>
      <c r="K990">
        <v>4.47</v>
      </c>
      <c r="L990">
        <v>4.47</v>
      </c>
      <c r="M990">
        <v>4.68</v>
      </c>
      <c r="N990">
        <v>4.59</v>
      </c>
      <c r="O990">
        <v>5.3662999999999998</v>
      </c>
      <c r="P990">
        <v>3932.3</v>
      </c>
      <c r="Q990">
        <v>916.84</v>
      </c>
      <c r="R990">
        <v>3.7789999999999999</v>
      </c>
      <c r="S990">
        <v>18.292999999999999</v>
      </c>
    </row>
    <row r="991" spans="1:19" x14ac:dyDescent="0.25">
      <c r="A991" s="4">
        <v>45450</v>
      </c>
      <c r="B991">
        <v>5.47</v>
      </c>
      <c r="C991">
        <v>5.47</v>
      </c>
      <c r="D991">
        <v>5.52</v>
      </c>
      <c r="E991">
        <v>5.47</v>
      </c>
      <c r="F991">
        <v>5.4</v>
      </c>
      <c r="G991">
        <v>5.17</v>
      </c>
      <c r="H991">
        <v>4.87</v>
      </c>
      <c r="I991">
        <v>4.6500000000000004</v>
      </c>
      <c r="J991">
        <v>4.46</v>
      </c>
      <c r="K991">
        <v>4.45</v>
      </c>
      <c r="L991">
        <v>4.43</v>
      </c>
      <c r="M991">
        <v>4.6399999999999997</v>
      </c>
      <c r="N991">
        <v>4.55</v>
      </c>
      <c r="O991">
        <v>5.2798999999999996</v>
      </c>
      <c r="P991">
        <v>3932.3</v>
      </c>
      <c r="Q991">
        <v>910.45</v>
      </c>
      <c r="R991">
        <v>3.7549999999999999</v>
      </c>
      <c r="S991">
        <v>18.3628</v>
      </c>
    </row>
    <row r="992" spans="1:19" x14ac:dyDescent="0.25">
      <c r="A992" s="4">
        <v>45449</v>
      </c>
      <c r="B992">
        <v>5.48</v>
      </c>
      <c r="C992">
        <v>5.47</v>
      </c>
      <c r="D992">
        <v>5.51</v>
      </c>
      <c r="E992">
        <v>5.45</v>
      </c>
      <c r="F992">
        <v>5.36</v>
      </c>
      <c r="G992">
        <v>5.08</v>
      </c>
      <c r="H992">
        <v>4.72</v>
      </c>
      <c r="I992">
        <v>4.49</v>
      </c>
      <c r="J992">
        <v>4.29</v>
      </c>
      <c r="K992">
        <v>4.28</v>
      </c>
      <c r="L992">
        <v>4.28</v>
      </c>
      <c r="M992">
        <v>4.51</v>
      </c>
      <c r="N992">
        <v>4.43</v>
      </c>
      <c r="O992">
        <v>5.2678000000000003</v>
      </c>
      <c r="P992">
        <v>3934.99</v>
      </c>
      <c r="Q992">
        <v>906.25</v>
      </c>
      <c r="R992">
        <v>3.7549999999999999</v>
      </c>
      <c r="S992">
        <v>17.888100000000001</v>
      </c>
    </row>
    <row r="993" spans="1:19" x14ac:dyDescent="0.25">
      <c r="A993" s="4">
        <v>45448</v>
      </c>
      <c r="B993">
        <v>5.48</v>
      </c>
      <c r="C993">
        <v>5.48</v>
      </c>
      <c r="D993">
        <v>5.51</v>
      </c>
      <c r="E993">
        <v>5.46</v>
      </c>
      <c r="F993">
        <v>5.37</v>
      </c>
      <c r="G993">
        <v>5.08</v>
      </c>
      <c r="H993">
        <v>4.72</v>
      </c>
      <c r="I993">
        <v>4.5</v>
      </c>
      <c r="J993">
        <v>4.3099999999999996</v>
      </c>
      <c r="K993">
        <v>4.29</v>
      </c>
      <c r="L993">
        <v>4.29</v>
      </c>
      <c r="M993">
        <v>4.5199999999999996</v>
      </c>
      <c r="N993">
        <v>4.4400000000000004</v>
      </c>
      <c r="O993">
        <v>5.2838000000000003</v>
      </c>
      <c r="P993">
        <v>3938.38</v>
      </c>
      <c r="Q993">
        <v>905.37</v>
      </c>
      <c r="R993">
        <v>3.7480000000000002</v>
      </c>
      <c r="S993">
        <v>17.532900000000001</v>
      </c>
    </row>
    <row r="994" spans="1:19" x14ac:dyDescent="0.25">
      <c r="A994" s="4">
        <v>45447</v>
      </c>
      <c r="B994">
        <v>5.48</v>
      </c>
      <c r="C994">
        <v>5.48</v>
      </c>
      <c r="D994">
        <v>5.52</v>
      </c>
      <c r="E994">
        <v>5.45</v>
      </c>
      <c r="F994">
        <v>5.38</v>
      </c>
      <c r="G994">
        <v>5.1100000000000003</v>
      </c>
      <c r="H994">
        <v>4.7699999999999996</v>
      </c>
      <c r="I994">
        <v>4.55</v>
      </c>
      <c r="J994">
        <v>4.3499999999999996</v>
      </c>
      <c r="K994">
        <v>4.33</v>
      </c>
      <c r="L994">
        <v>4.33</v>
      </c>
      <c r="M994">
        <v>4.5599999999999996</v>
      </c>
      <c r="N994">
        <v>4.4800000000000004</v>
      </c>
      <c r="O994">
        <v>5.2683999999999997</v>
      </c>
      <c r="P994">
        <v>3936.7</v>
      </c>
      <c r="Q994">
        <v>907.94</v>
      </c>
      <c r="R994">
        <v>3.7440000000000002</v>
      </c>
      <c r="S994">
        <v>17.8828</v>
      </c>
    </row>
    <row r="995" spans="1:19" x14ac:dyDescent="0.25">
      <c r="A995" s="4">
        <v>45446</v>
      </c>
      <c r="B995">
        <v>5.49</v>
      </c>
      <c r="C995">
        <v>5.49</v>
      </c>
      <c r="D995">
        <v>5.52</v>
      </c>
      <c r="E995">
        <v>5.46</v>
      </c>
      <c r="F995">
        <v>5.39</v>
      </c>
      <c r="G995">
        <v>5.14</v>
      </c>
      <c r="H995">
        <v>4.82</v>
      </c>
      <c r="I995">
        <v>4.62</v>
      </c>
      <c r="J995">
        <v>4.42</v>
      </c>
      <c r="K995">
        <v>4.41</v>
      </c>
      <c r="L995">
        <v>4.41</v>
      </c>
      <c r="M995">
        <v>4.63</v>
      </c>
      <c r="N995">
        <v>4.55</v>
      </c>
      <c r="O995">
        <v>5.2370000000000001</v>
      </c>
      <c r="P995">
        <v>3865.4</v>
      </c>
      <c r="Q995">
        <v>916.77</v>
      </c>
      <c r="R995">
        <v>3.7269999999999999</v>
      </c>
      <c r="S995">
        <v>17.714099999999998</v>
      </c>
    </row>
    <row r="996" spans="1:19" x14ac:dyDescent="0.25">
      <c r="A996" s="4">
        <v>45443</v>
      </c>
      <c r="B996">
        <v>5.48</v>
      </c>
      <c r="C996">
        <v>5.48</v>
      </c>
      <c r="D996">
        <v>5.46</v>
      </c>
      <c r="E996">
        <v>5.46</v>
      </c>
      <c r="F996">
        <v>5.42</v>
      </c>
      <c r="G996">
        <v>5.18</v>
      </c>
      <c r="H996">
        <v>4.8899999999999997</v>
      </c>
      <c r="I996">
        <v>4.6900000000000004</v>
      </c>
      <c r="J996">
        <v>4.5199999999999996</v>
      </c>
      <c r="K996">
        <v>4.5199999999999996</v>
      </c>
      <c r="L996">
        <v>4.51</v>
      </c>
      <c r="M996">
        <v>4.7300000000000004</v>
      </c>
      <c r="N996">
        <v>4.6500000000000004</v>
      </c>
      <c r="O996">
        <v>5.2412999999999998</v>
      </c>
      <c r="P996">
        <v>3865.4</v>
      </c>
      <c r="Q996">
        <v>917.98</v>
      </c>
      <c r="R996">
        <v>3.7229999999999999</v>
      </c>
      <c r="S996">
        <v>16.9682</v>
      </c>
    </row>
    <row r="997" spans="1:19" x14ac:dyDescent="0.25">
      <c r="A997" s="4">
        <v>45442</v>
      </c>
      <c r="B997">
        <v>5.48</v>
      </c>
      <c r="C997">
        <v>5.48</v>
      </c>
      <c r="D997">
        <v>5.46</v>
      </c>
      <c r="E997">
        <v>5.48</v>
      </c>
      <c r="F997">
        <v>5.42</v>
      </c>
      <c r="G997">
        <v>5.19</v>
      </c>
      <c r="H997">
        <v>4.92</v>
      </c>
      <c r="I997">
        <v>4.74</v>
      </c>
      <c r="J997">
        <v>4.57</v>
      </c>
      <c r="K997">
        <v>4.57</v>
      </c>
      <c r="L997">
        <v>4.55</v>
      </c>
      <c r="M997">
        <v>4.76</v>
      </c>
      <c r="N997">
        <v>4.6900000000000004</v>
      </c>
      <c r="O997">
        <v>5.1969000000000003</v>
      </c>
      <c r="P997">
        <v>3865.88</v>
      </c>
      <c r="Q997">
        <v>907.67</v>
      </c>
      <c r="R997">
        <v>3.7469999999999999</v>
      </c>
      <c r="S997">
        <v>17.001200000000001</v>
      </c>
    </row>
    <row r="998" spans="1:19" x14ac:dyDescent="0.25">
      <c r="A998" s="4">
        <v>45441</v>
      </c>
      <c r="B998">
        <v>5.5</v>
      </c>
      <c r="C998">
        <v>5.48</v>
      </c>
      <c r="D998">
        <v>5.46</v>
      </c>
      <c r="E998">
        <v>5.47</v>
      </c>
      <c r="F998">
        <v>5.43</v>
      </c>
      <c r="G998">
        <v>5.22</v>
      </c>
      <c r="H998">
        <v>4.96</v>
      </c>
      <c r="I998">
        <v>4.79</v>
      </c>
      <c r="J998">
        <v>4.63</v>
      </c>
      <c r="K998">
        <v>4.63</v>
      </c>
      <c r="L998">
        <v>4.6100000000000003</v>
      </c>
      <c r="M998">
        <v>4.82</v>
      </c>
      <c r="N998">
        <v>4.74</v>
      </c>
      <c r="O998">
        <v>5.1969000000000003</v>
      </c>
      <c r="P998">
        <v>3877</v>
      </c>
      <c r="Q998">
        <v>898.13</v>
      </c>
      <c r="R998">
        <v>3.7570000000000001</v>
      </c>
      <c r="S998">
        <v>16.9557</v>
      </c>
    </row>
    <row r="999" spans="1:19" x14ac:dyDescent="0.25">
      <c r="A999" s="4">
        <v>45440</v>
      </c>
      <c r="B999">
        <v>5.5</v>
      </c>
      <c r="C999">
        <v>5.48</v>
      </c>
      <c r="D999">
        <v>5.46</v>
      </c>
      <c r="E999">
        <v>5.51</v>
      </c>
      <c r="F999">
        <v>5.43</v>
      </c>
      <c r="G999">
        <v>5.21</v>
      </c>
      <c r="H999">
        <v>4.9400000000000004</v>
      </c>
      <c r="I999">
        <v>4.75</v>
      </c>
      <c r="J999">
        <v>4.5599999999999996</v>
      </c>
      <c r="K999">
        <v>4.5599999999999996</v>
      </c>
      <c r="L999">
        <v>4.54</v>
      </c>
      <c r="M999">
        <v>4.74</v>
      </c>
      <c r="N999">
        <v>4.66</v>
      </c>
      <c r="O999">
        <v>5.1535000000000002</v>
      </c>
      <c r="P999">
        <v>3842.3</v>
      </c>
      <c r="Q999">
        <v>900.28</v>
      </c>
      <c r="R999">
        <v>3.7480000000000002</v>
      </c>
      <c r="S999">
        <v>16.8049</v>
      </c>
    </row>
    <row r="1000" spans="1:19" x14ac:dyDescent="0.25">
      <c r="A1000" s="4">
        <v>45436</v>
      </c>
      <c r="B1000">
        <v>5.56</v>
      </c>
      <c r="C1000">
        <v>5.53</v>
      </c>
      <c r="D1000">
        <v>5.46</v>
      </c>
      <c r="E1000">
        <v>5.51</v>
      </c>
      <c r="F1000">
        <v>5.44</v>
      </c>
      <c r="G1000">
        <v>5.21</v>
      </c>
      <c r="H1000">
        <v>4.93</v>
      </c>
      <c r="I1000">
        <v>4.71</v>
      </c>
      <c r="J1000">
        <v>4.53</v>
      </c>
      <c r="K1000">
        <v>4.49</v>
      </c>
      <c r="L1000">
        <v>4.46</v>
      </c>
      <c r="M1000">
        <v>4.6500000000000004</v>
      </c>
      <c r="N1000">
        <v>4.57</v>
      </c>
      <c r="O1000">
        <v>5.1505000000000001</v>
      </c>
      <c r="P1000">
        <v>3875</v>
      </c>
      <c r="Q1000">
        <v>908.95</v>
      </c>
      <c r="R1000">
        <v>3.7410000000000001</v>
      </c>
      <c r="S1000">
        <v>16.694199999999999</v>
      </c>
    </row>
    <row r="1001" spans="1:19" x14ac:dyDescent="0.25">
      <c r="A1001" s="4">
        <v>45435</v>
      </c>
      <c r="B1001">
        <v>5.51</v>
      </c>
      <c r="C1001">
        <v>5.48</v>
      </c>
      <c r="D1001">
        <v>5.46</v>
      </c>
      <c r="E1001">
        <v>5.51</v>
      </c>
      <c r="F1001">
        <v>5.44</v>
      </c>
      <c r="G1001">
        <v>5.2</v>
      </c>
      <c r="H1001">
        <v>4.91</v>
      </c>
      <c r="I1001">
        <v>4.71</v>
      </c>
      <c r="J1001">
        <v>4.5199999999999996</v>
      </c>
      <c r="K1001">
        <v>4.5</v>
      </c>
      <c r="L1001">
        <v>4.47</v>
      </c>
      <c r="M1001">
        <v>4.67</v>
      </c>
      <c r="N1001">
        <v>4.58</v>
      </c>
      <c r="O1001">
        <v>5.1440000000000001</v>
      </c>
      <c r="P1001">
        <v>3868</v>
      </c>
      <c r="Q1001">
        <v>904.67</v>
      </c>
      <c r="R1001">
        <v>3.7349999999999999</v>
      </c>
      <c r="S1001">
        <v>16.733000000000001</v>
      </c>
    </row>
    <row r="1002" spans="1:19" x14ac:dyDescent="0.25">
      <c r="A1002" s="4">
        <v>45434</v>
      </c>
      <c r="B1002">
        <v>5.49</v>
      </c>
      <c r="C1002">
        <v>5.48</v>
      </c>
      <c r="D1002">
        <v>5.45</v>
      </c>
      <c r="E1002">
        <v>5.5</v>
      </c>
      <c r="F1002">
        <v>5.43</v>
      </c>
      <c r="G1002">
        <v>5.16</v>
      </c>
      <c r="H1002">
        <v>4.8600000000000003</v>
      </c>
      <c r="I1002">
        <v>4.6399999999999997</v>
      </c>
      <c r="J1002">
        <v>4.47</v>
      </c>
      <c r="K1002">
        <v>4.4400000000000004</v>
      </c>
      <c r="L1002">
        <v>4.43</v>
      </c>
      <c r="M1002">
        <v>4.63</v>
      </c>
      <c r="N1002">
        <v>4.55</v>
      </c>
      <c r="O1002">
        <v>5.1498999999999997</v>
      </c>
      <c r="P1002">
        <v>3826.5</v>
      </c>
      <c r="Q1002">
        <v>886.79</v>
      </c>
      <c r="R1002">
        <v>3.7349999999999999</v>
      </c>
      <c r="S1002">
        <v>16.673999999999999</v>
      </c>
    </row>
    <row r="1003" spans="1:19" x14ac:dyDescent="0.25">
      <c r="A1003" s="4">
        <v>45433</v>
      </c>
      <c r="B1003">
        <v>5.5</v>
      </c>
      <c r="C1003">
        <v>5.47</v>
      </c>
      <c r="D1003">
        <v>5.45</v>
      </c>
      <c r="E1003">
        <v>5.51</v>
      </c>
      <c r="F1003">
        <v>5.42</v>
      </c>
      <c r="G1003">
        <v>5.14</v>
      </c>
      <c r="H1003">
        <v>4.82</v>
      </c>
      <c r="I1003">
        <v>4.6100000000000003</v>
      </c>
      <c r="J1003">
        <v>4.43</v>
      </c>
      <c r="K1003">
        <v>4.42</v>
      </c>
      <c r="L1003">
        <v>4.41</v>
      </c>
      <c r="M1003">
        <v>4.6500000000000004</v>
      </c>
      <c r="N1003">
        <v>4.55</v>
      </c>
      <c r="O1003">
        <v>5.1033999999999997</v>
      </c>
      <c r="P1003">
        <v>3815</v>
      </c>
      <c r="Q1003">
        <v>897.11</v>
      </c>
      <c r="R1003">
        <v>3.7309999999999999</v>
      </c>
      <c r="S1003">
        <v>16.636600000000001</v>
      </c>
    </row>
    <row r="1004" spans="1:19" x14ac:dyDescent="0.25">
      <c r="A1004" s="4">
        <v>45432</v>
      </c>
      <c r="B1004">
        <v>5.5</v>
      </c>
      <c r="C1004">
        <v>5.47</v>
      </c>
      <c r="D1004">
        <v>5.45</v>
      </c>
      <c r="E1004">
        <v>5.51</v>
      </c>
      <c r="F1004">
        <v>5.43</v>
      </c>
      <c r="G1004">
        <v>5.15</v>
      </c>
      <c r="H1004">
        <v>4.82</v>
      </c>
      <c r="I1004">
        <v>4.62</v>
      </c>
      <c r="J1004">
        <v>4.46</v>
      </c>
      <c r="K1004">
        <v>4.4400000000000004</v>
      </c>
      <c r="L1004">
        <v>4.4400000000000004</v>
      </c>
      <c r="M1004">
        <v>4.68</v>
      </c>
      <c r="N1004">
        <v>4.58</v>
      </c>
      <c r="O1004">
        <v>5.1082000000000001</v>
      </c>
      <c r="P1004">
        <v>3832</v>
      </c>
      <c r="Q1004">
        <v>897.11</v>
      </c>
      <c r="R1004">
        <v>3.7330000000000001</v>
      </c>
      <c r="S1004">
        <v>16.5517</v>
      </c>
    </row>
    <row r="1005" spans="1:19" x14ac:dyDescent="0.25">
      <c r="A1005" s="4">
        <v>45429</v>
      </c>
      <c r="B1005">
        <v>5.5</v>
      </c>
      <c r="C1005">
        <v>5.47</v>
      </c>
      <c r="D1005">
        <v>5.46</v>
      </c>
      <c r="E1005">
        <v>5.5</v>
      </c>
      <c r="F1005">
        <v>5.41</v>
      </c>
      <c r="G1005">
        <v>5.14</v>
      </c>
      <c r="H1005">
        <v>4.83</v>
      </c>
      <c r="I1005">
        <v>4.5999999999999996</v>
      </c>
      <c r="J1005">
        <v>4.4400000000000004</v>
      </c>
      <c r="K1005">
        <v>4.43</v>
      </c>
      <c r="L1005">
        <v>4.42</v>
      </c>
      <c r="M1005">
        <v>4.66</v>
      </c>
      <c r="N1005">
        <v>4.5599999999999996</v>
      </c>
      <c r="O1005">
        <v>5.1154000000000002</v>
      </c>
      <c r="P1005">
        <v>3827</v>
      </c>
      <c r="Q1005">
        <v>901.53</v>
      </c>
      <c r="R1005">
        <v>3.738</v>
      </c>
      <c r="S1005">
        <v>16.604399999999998</v>
      </c>
    </row>
    <row r="1006" spans="1:19" x14ac:dyDescent="0.25">
      <c r="A1006" s="4">
        <v>45428</v>
      </c>
      <c r="B1006">
        <v>5.51</v>
      </c>
      <c r="C1006">
        <v>5.47</v>
      </c>
      <c r="D1006">
        <v>5.45</v>
      </c>
      <c r="E1006">
        <v>5.53</v>
      </c>
      <c r="F1006">
        <v>5.41</v>
      </c>
      <c r="G1006">
        <v>5.13</v>
      </c>
      <c r="H1006">
        <v>4.78</v>
      </c>
      <c r="I1006">
        <v>4.58</v>
      </c>
      <c r="J1006">
        <v>4.4000000000000004</v>
      </c>
      <c r="K1006">
        <v>4.3899999999999997</v>
      </c>
      <c r="L1006">
        <v>4.38</v>
      </c>
      <c r="M1006">
        <v>4.62</v>
      </c>
      <c r="N1006">
        <v>4.5199999999999996</v>
      </c>
      <c r="O1006">
        <v>5.1266999999999996</v>
      </c>
      <c r="P1006">
        <v>3829.5</v>
      </c>
      <c r="Q1006">
        <v>909.06</v>
      </c>
      <c r="R1006">
        <v>3.7309999999999999</v>
      </c>
      <c r="S1006">
        <v>16.681799999999999</v>
      </c>
    </row>
    <row r="1007" spans="1:19" x14ac:dyDescent="0.25">
      <c r="A1007" s="4">
        <v>45427</v>
      </c>
      <c r="B1007">
        <v>5.49</v>
      </c>
      <c r="C1007">
        <v>5.46</v>
      </c>
      <c r="D1007">
        <v>5.45</v>
      </c>
      <c r="E1007">
        <v>5.5</v>
      </c>
      <c r="F1007">
        <v>5.4</v>
      </c>
      <c r="G1007">
        <v>5.0999999999999996</v>
      </c>
      <c r="H1007">
        <v>4.7300000000000004</v>
      </c>
      <c r="I1007">
        <v>4.51</v>
      </c>
      <c r="J1007">
        <v>4.3499999999999996</v>
      </c>
      <c r="K1007">
        <v>4.3499999999999996</v>
      </c>
      <c r="L1007">
        <v>4.3600000000000003</v>
      </c>
      <c r="M1007">
        <v>4.6100000000000003</v>
      </c>
      <c r="N1007">
        <v>4.5199999999999996</v>
      </c>
      <c r="O1007">
        <v>5.1420000000000003</v>
      </c>
      <c r="P1007">
        <v>3824.9</v>
      </c>
      <c r="Q1007">
        <v>916.87</v>
      </c>
      <c r="R1007">
        <v>3.7170000000000001</v>
      </c>
      <c r="S1007">
        <v>16.686399999999999</v>
      </c>
    </row>
    <row r="1008" spans="1:19" x14ac:dyDescent="0.25">
      <c r="A1008" s="4">
        <v>45426</v>
      </c>
      <c r="B1008">
        <v>5.5</v>
      </c>
      <c r="C1008">
        <v>5.47</v>
      </c>
      <c r="D1008">
        <v>5.44</v>
      </c>
      <c r="E1008">
        <v>5.51</v>
      </c>
      <c r="F1008">
        <v>5.43</v>
      </c>
      <c r="G1008">
        <v>5.16</v>
      </c>
      <c r="H1008">
        <v>4.8099999999999996</v>
      </c>
      <c r="I1008">
        <v>4.62</v>
      </c>
      <c r="J1008">
        <v>4.46</v>
      </c>
      <c r="K1008">
        <v>4.45</v>
      </c>
      <c r="L1008">
        <v>4.45</v>
      </c>
      <c r="M1008">
        <v>4.6900000000000004</v>
      </c>
      <c r="N1008">
        <v>4.59</v>
      </c>
      <c r="O1008">
        <v>5.1353</v>
      </c>
      <c r="P1008">
        <v>3846.25</v>
      </c>
      <c r="Q1008">
        <v>922.1</v>
      </c>
      <c r="R1008">
        <v>3.7170000000000001</v>
      </c>
      <c r="S1008">
        <v>16.843599999999999</v>
      </c>
    </row>
    <row r="1009" spans="1:19" x14ac:dyDescent="0.25">
      <c r="A1009" s="4">
        <v>45425</v>
      </c>
      <c r="B1009">
        <v>5.5</v>
      </c>
      <c r="C1009">
        <v>5.47</v>
      </c>
      <c r="D1009">
        <v>5.45</v>
      </c>
      <c r="E1009">
        <v>5.51</v>
      </c>
      <c r="F1009">
        <v>5.43</v>
      </c>
      <c r="G1009">
        <v>5.16</v>
      </c>
      <c r="H1009">
        <v>4.8499999999999996</v>
      </c>
      <c r="I1009">
        <v>4.66</v>
      </c>
      <c r="J1009">
        <v>4.5</v>
      </c>
      <c r="K1009">
        <v>4.49</v>
      </c>
      <c r="L1009">
        <v>4.4800000000000004</v>
      </c>
      <c r="M1009">
        <v>4.72</v>
      </c>
      <c r="N1009">
        <v>4.63</v>
      </c>
      <c r="O1009">
        <v>5.1409000000000002</v>
      </c>
      <c r="P1009">
        <v>3890</v>
      </c>
      <c r="Q1009">
        <v>922</v>
      </c>
      <c r="R1009">
        <v>3.7240000000000002</v>
      </c>
      <c r="S1009">
        <v>16.8123</v>
      </c>
    </row>
    <row r="1010" spans="1:19" x14ac:dyDescent="0.25">
      <c r="A1010" s="4">
        <v>45422</v>
      </c>
      <c r="B1010">
        <v>5.51</v>
      </c>
      <c r="C1010">
        <v>5.47</v>
      </c>
      <c r="D1010">
        <v>5.47</v>
      </c>
      <c r="E1010">
        <v>5.51</v>
      </c>
      <c r="F1010">
        <v>5.43</v>
      </c>
      <c r="G1010">
        <v>5.17</v>
      </c>
      <c r="H1010">
        <v>4.87</v>
      </c>
      <c r="I1010">
        <v>4.6500000000000004</v>
      </c>
      <c r="J1010">
        <v>4.5199999999999996</v>
      </c>
      <c r="K1010">
        <v>4.51</v>
      </c>
      <c r="L1010">
        <v>4.5</v>
      </c>
      <c r="M1010">
        <v>4.74</v>
      </c>
      <c r="N1010">
        <v>4.6399999999999997</v>
      </c>
      <c r="O1010">
        <v>5.1460999999999997</v>
      </c>
      <c r="P1010">
        <v>3890</v>
      </c>
      <c r="Q1010">
        <v>930.99</v>
      </c>
      <c r="R1010">
        <v>3.7149999999999999</v>
      </c>
      <c r="S1010">
        <v>16.784500000000001</v>
      </c>
    </row>
    <row r="1011" spans="1:19" x14ac:dyDescent="0.25">
      <c r="A1011" s="4">
        <v>45421</v>
      </c>
      <c r="B1011">
        <v>5.51</v>
      </c>
      <c r="C1011">
        <v>5.48</v>
      </c>
      <c r="D1011">
        <v>5.46</v>
      </c>
      <c r="E1011">
        <v>5.5</v>
      </c>
      <c r="F1011">
        <v>5.41</v>
      </c>
      <c r="G1011">
        <v>5.12</v>
      </c>
      <c r="H1011">
        <v>4.8</v>
      </c>
      <c r="I1011">
        <v>4.5999999999999996</v>
      </c>
      <c r="J1011">
        <v>4.47</v>
      </c>
      <c r="K1011">
        <v>4.46</v>
      </c>
      <c r="L1011">
        <v>4.45</v>
      </c>
      <c r="M1011">
        <v>4.7</v>
      </c>
      <c r="N1011">
        <v>4.5999999999999996</v>
      </c>
      <c r="O1011">
        <v>5.1574</v>
      </c>
      <c r="P1011">
        <v>3900</v>
      </c>
      <c r="Q1011">
        <v>936.76</v>
      </c>
      <c r="R1011">
        <v>3.69</v>
      </c>
      <c r="S1011">
        <v>16.7926</v>
      </c>
    </row>
    <row r="1012" spans="1:19" x14ac:dyDescent="0.25">
      <c r="A1012" s="4">
        <v>45420</v>
      </c>
      <c r="B1012">
        <v>5.51</v>
      </c>
      <c r="C1012">
        <v>5.47</v>
      </c>
      <c r="D1012">
        <v>5.45</v>
      </c>
      <c r="E1012">
        <v>5.5</v>
      </c>
      <c r="F1012">
        <v>5.41</v>
      </c>
      <c r="G1012">
        <v>5.13</v>
      </c>
      <c r="H1012">
        <v>4.84</v>
      </c>
      <c r="I1012">
        <v>4.63</v>
      </c>
      <c r="J1012">
        <v>4.5</v>
      </c>
      <c r="K1012">
        <v>4.49</v>
      </c>
      <c r="L1012">
        <v>4.4800000000000004</v>
      </c>
      <c r="M1012">
        <v>4.7300000000000004</v>
      </c>
      <c r="N1012">
        <v>4.6399999999999997</v>
      </c>
      <c r="O1012">
        <v>5.0884</v>
      </c>
      <c r="P1012">
        <v>3905</v>
      </c>
      <c r="Q1012">
        <v>934.29</v>
      </c>
      <c r="R1012">
        <v>3.722</v>
      </c>
      <c r="S1012">
        <v>16.8963</v>
      </c>
    </row>
    <row r="1013" spans="1:19" x14ac:dyDescent="0.25">
      <c r="A1013" s="4">
        <v>45419</v>
      </c>
      <c r="B1013">
        <v>5.51</v>
      </c>
      <c r="C1013">
        <v>5.48</v>
      </c>
      <c r="D1013">
        <v>5.45</v>
      </c>
      <c r="E1013">
        <v>5.51</v>
      </c>
      <c r="F1013">
        <v>5.41</v>
      </c>
      <c r="G1013">
        <v>5.13</v>
      </c>
      <c r="H1013">
        <v>4.82</v>
      </c>
      <c r="I1013">
        <v>4.5999999999999996</v>
      </c>
      <c r="J1013">
        <v>4.4800000000000004</v>
      </c>
      <c r="K1013">
        <v>4.47</v>
      </c>
      <c r="L1013">
        <v>4.47</v>
      </c>
      <c r="M1013">
        <v>4.7</v>
      </c>
      <c r="N1013">
        <v>4.6100000000000003</v>
      </c>
      <c r="O1013">
        <v>5.0606999999999998</v>
      </c>
      <c r="P1013">
        <v>3888</v>
      </c>
      <c r="Q1013">
        <v>930.17</v>
      </c>
      <c r="R1013">
        <v>3.7210000000000001</v>
      </c>
      <c r="S1013">
        <v>16.903500000000001</v>
      </c>
    </row>
    <row r="1014" spans="1:19" x14ac:dyDescent="0.25">
      <c r="A1014" s="4">
        <v>45418</v>
      </c>
      <c r="B1014">
        <v>5.51</v>
      </c>
      <c r="C1014">
        <v>5.48</v>
      </c>
      <c r="D1014">
        <v>5.45</v>
      </c>
      <c r="E1014">
        <v>5.5</v>
      </c>
      <c r="F1014">
        <v>5.42</v>
      </c>
      <c r="G1014">
        <v>5.12</v>
      </c>
      <c r="H1014">
        <v>4.82</v>
      </c>
      <c r="I1014">
        <v>4.6399999999999997</v>
      </c>
      <c r="J1014">
        <v>4.4800000000000004</v>
      </c>
      <c r="K1014">
        <v>4.4800000000000004</v>
      </c>
      <c r="L1014">
        <v>4.49</v>
      </c>
      <c r="M1014">
        <v>4.7300000000000004</v>
      </c>
      <c r="N1014">
        <v>4.6399999999999997</v>
      </c>
      <c r="O1014">
        <v>5.0724</v>
      </c>
      <c r="P1014">
        <v>3897</v>
      </c>
      <c r="Q1014">
        <v>938.29</v>
      </c>
      <c r="R1014">
        <v>3.7250000000000001</v>
      </c>
      <c r="S1014">
        <v>16.8813</v>
      </c>
    </row>
    <row r="1015" spans="1:19" x14ac:dyDescent="0.25">
      <c r="A1015" s="4">
        <v>45415</v>
      </c>
      <c r="B1015">
        <v>5.51</v>
      </c>
      <c r="C1015">
        <v>5.48</v>
      </c>
      <c r="D1015">
        <v>5.45</v>
      </c>
      <c r="E1015">
        <v>5.5</v>
      </c>
      <c r="F1015">
        <v>5.41</v>
      </c>
      <c r="G1015">
        <v>5.12</v>
      </c>
      <c r="H1015">
        <v>4.8099999999999996</v>
      </c>
      <c r="I1015">
        <v>4.63</v>
      </c>
      <c r="J1015">
        <v>4.4800000000000004</v>
      </c>
      <c r="K1015">
        <v>4.49</v>
      </c>
      <c r="L1015">
        <v>4.5</v>
      </c>
      <c r="M1015">
        <v>4.75</v>
      </c>
      <c r="N1015">
        <v>4.66</v>
      </c>
      <c r="O1015">
        <v>5.0664999999999996</v>
      </c>
      <c r="P1015">
        <v>3913.1</v>
      </c>
      <c r="Q1015">
        <v>954.36</v>
      </c>
      <c r="R1015">
        <v>3.72</v>
      </c>
      <c r="S1015">
        <v>16.962299999999999</v>
      </c>
    </row>
    <row r="1016" spans="1:19" x14ac:dyDescent="0.25">
      <c r="A1016" s="4">
        <v>45414</v>
      </c>
      <c r="B1016">
        <v>5.51</v>
      </c>
      <c r="C1016">
        <v>5.47</v>
      </c>
      <c r="D1016">
        <v>5.46</v>
      </c>
      <c r="E1016">
        <v>5.5</v>
      </c>
      <c r="F1016">
        <v>5.42</v>
      </c>
      <c r="G1016">
        <v>5.16</v>
      </c>
      <c r="H1016">
        <v>4.87</v>
      </c>
      <c r="I1016">
        <v>4.71</v>
      </c>
      <c r="J1016">
        <v>4.57</v>
      </c>
      <c r="K1016">
        <v>4.57</v>
      </c>
      <c r="L1016">
        <v>4.58</v>
      </c>
      <c r="M1016">
        <v>4.82</v>
      </c>
      <c r="N1016">
        <v>4.72</v>
      </c>
      <c r="O1016">
        <v>5.1181000000000001</v>
      </c>
      <c r="P1016">
        <v>3903.1</v>
      </c>
      <c r="Q1016">
        <v>954.25</v>
      </c>
      <c r="R1016">
        <v>3.7229999999999999</v>
      </c>
      <c r="S1016">
        <v>16.994199999999999</v>
      </c>
    </row>
    <row r="1017" spans="1:19" x14ac:dyDescent="0.25">
      <c r="A1017" s="4">
        <v>45413</v>
      </c>
      <c r="B1017">
        <v>5.47</v>
      </c>
      <c r="C1017">
        <v>5.5</v>
      </c>
      <c r="D1017">
        <v>5.46</v>
      </c>
      <c r="E1017">
        <v>5.51</v>
      </c>
      <c r="F1017">
        <v>5.43</v>
      </c>
      <c r="G1017">
        <v>5.21</v>
      </c>
      <c r="H1017">
        <v>4.96</v>
      </c>
      <c r="I1017">
        <v>4.79</v>
      </c>
      <c r="J1017">
        <v>4.6399999999999997</v>
      </c>
      <c r="K1017">
        <v>4.6399999999999997</v>
      </c>
      <c r="L1017">
        <v>4.63</v>
      </c>
      <c r="M1017">
        <v>4.8499999999999996</v>
      </c>
      <c r="N1017">
        <v>4.74</v>
      </c>
      <c r="O1017">
        <v>5.1715</v>
      </c>
      <c r="P1017">
        <v>3924.48</v>
      </c>
      <c r="Q1017">
        <v>943.62</v>
      </c>
      <c r="R1017">
        <v>3.7650000000000001</v>
      </c>
      <c r="S1017">
        <v>17.126799999999999</v>
      </c>
    </row>
    <row r="1018" spans="1:19" x14ac:dyDescent="0.25">
      <c r="A1018" s="4">
        <v>45412</v>
      </c>
      <c r="B1018">
        <v>5.48</v>
      </c>
      <c r="C1018">
        <v>5.51</v>
      </c>
      <c r="D1018">
        <v>5.46</v>
      </c>
      <c r="E1018">
        <v>5.45</v>
      </c>
      <c r="F1018">
        <v>5.44</v>
      </c>
      <c r="G1018">
        <v>5.25</v>
      </c>
      <c r="H1018">
        <v>5.04</v>
      </c>
      <c r="I1018">
        <v>4.87</v>
      </c>
      <c r="J1018">
        <v>4.72</v>
      </c>
      <c r="K1018">
        <v>4.71</v>
      </c>
      <c r="L1018">
        <v>4.6900000000000004</v>
      </c>
      <c r="M1018">
        <v>4.9000000000000004</v>
      </c>
      <c r="N1018">
        <v>4.79</v>
      </c>
      <c r="O1018">
        <v>5.1715</v>
      </c>
      <c r="P1018">
        <v>3924.48</v>
      </c>
      <c r="Q1018">
        <v>943.62</v>
      </c>
      <c r="R1018">
        <v>3.7650000000000001</v>
      </c>
      <c r="S1018">
        <v>17.126799999999999</v>
      </c>
    </row>
    <row r="1019" spans="1:19" x14ac:dyDescent="0.25">
      <c r="A1019" s="4">
        <v>45411</v>
      </c>
      <c r="B1019">
        <v>5.48</v>
      </c>
      <c r="C1019">
        <v>5.51</v>
      </c>
      <c r="D1019">
        <v>5.45</v>
      </c>
      <c r="E1019">
        <v>5.45</v>
      </c>
      <c r="F1019">
        <v>5.43</v>
      </c>
      <c r="G1019">
        <v>5.2</v>
      </c>
      <c r="H1019">
        <v>4.97</v>
      </c>
      <c r="I1019">
        <v>4.8</v>
      </c>
      <c r="J1019">
        <v>4.6500000000000004</v>
      </c>
      <c r="K1019">
        <v>4.6399999999999997</v>
      </c>
      <c r="L1019">
        <v>4.63</v>
      </c>
      <c r="M1019">
        <v>4.8600000000000003</v>
      </c>
      <c r="N1019">
        <v>4.75</v>
      </c>
      <c r="O1019">
        <v>5.1151999999999997</v>
      </c>
      <c r="P1019">
        <v>3866.4</v>
      </c>
      <c r="Q1019">
        <v>947.68</v>
      </c>
      <c r="R1019">
        <v>3.73</v>
      </c>
      <c r="S1019">
        <v>17.0185</v>
      </c>
    </row>
    <row r="1020" spans="1:19" x14ac:dyDescent="0.25">
      <c r="A1020" s="4">
        <v>45408</v>
      </c>
      <c r="B1020">
        <v>5.48</v>
      </c>
      <c r="C1020">
        <v>5.51</v>
      </c>
      <c r="D1020">
        <v>5.46</v>
      </c>
      <c r="E1020">
        <v>5.45</v>
      </c>
      <c r="F1020">
        <v>5.4</v>
      </c>
      <c r="G1020">
        <v>5.21</v>
      </c>
      <c r="H1020">
        <v>4.96</v>
      </c>
      <c r="I1020">
        <v>4.84</v>
      </c>
      <c r="J1020">
        <v>4.68</v>
      </c>
      <c r="K1020">
        <v>4.68</v>
      </c>
      <c r="L1020">
        <v>4.67</v>
      </c>
      <c r="M1020">
        <v>4.8899999999999997</v>
      </c>
      <c r="N1020">
        <v>4.78</v>
      </c>
      <c r="O1020">
        <v>5.1181000000000001</v>
      </c>
      <c r="P1020">
        <v>3901</v>
      </c>
      <c r="Q1020">
        <v>948.61</v>
      </c>
      <c r="R1020">
        <v>3.7410000000000001</v>
      </c>
      <c r="S1020">
        <v>17.146599999999999</v>
      </c>
    </row>
    <row r="1021" spans="1:19" x14ac:dyDescent="0.25">
      <c r="A1021" s="4">
        <v>45407</v>
      </c>
      <c r="B1021">
        <v>5.48</v>
      </c>
      <c r="C1021">
        <v>5.51</v>
      </c>
      <c r="D1021">
        <v>5.47</v>
      </c>
      <c r="E1021">
        <v>5.46</v>
      </c>
      <c r="F1021">
        <v>5.41</v>
      </c>
      <c r="G1021">
        <v>5.21</v>
      </c>
      <c r="H1021">
        <v>4.96</v>
      </c>
      <c r="I1021">
        <v>4.8499999999999996</v>
      </c>
      <c r="J1021">
        <v>4.7</v>
      </c>
      <c r="K1021">
        <v>4.71</v>
      </c>
      <c r="L1021">
        <v>4.7</v>
      </c>
      <c r="M1021">
        <v>4.93</v>
      </c>
      <c r="N1021">
        <v>4.82</v>
      </c>
      <c r="O1021">
        <v>5.1676000000000002</v>
      </c>
      <c r="P1021">
        <v>3957.57</v>
      </c>
      <c r="Q1021">
        <v>954.58</v>
      </c>
      <c r="R1021">
        <v>3.754</v>
      </c>
      <c r="S1021">
        <v>17.2136</v>
      </c>
    </row>
    <row r="1022" spans="1:19" x14ac:dyDescent="0.25">
      <c r="A1022" s="4">
        <v>45406</v>
      </c>
      <c r="B1022">
        <v>5.49</v>
      </c>
      <c r="C1022">
        <v>5.5</v>
      </c>
      <c r="D1022">
        <v>5.46</v>
      </c>
      <c r="E1022">
        <v>5.44</v>
      </c>
      <c r="F1022">
        <v>5.4</v>
      </c>
      <c r="G1022">
        <v>5.17</v>
      </c>
      <c r="H1022">
        <v>4.8899999999999997</v>
      </c>
      <c r="I1022">
        <v>4.78</v>
      </c>
      <c r="J1022">
        <v>4.6399999999999997</v>
      </c>
      <c r="K1022">
        <v>4.66</v>
      </c>
      <c r="L1022">
        <v>4.6500000000000004</v>
      </c>
      <c r="M1022">
        <v>4.88</v>
      </c>
      <c r="N1022">
        <v>4.78</v>
      </c>
      <c r="O1022">
        <v>5.1589</v>
      </c>
      <c r="P1022">
        <v>3939.99</v>
      </c>
      <c r="Q1022">
        <v>950.77</v>
      </c>
      <c r="R1022">
        <v>3.7309999999999999</v>
      </c>
      <c r="S1022">
        <v>17.07</v>
      </c>
    </row>
    <row r="1023" spans="1:19" x14ac:dyDescent="0.25">
      <c r="A1023" s="4">
        <v>45405</v>
      </c>
      <c r="B1023">
        <v>5.49</v>
      </c>
      <c r="C1023">
        <v>5.5</v>
      </c>
      <c r="D1023">
        <v>5.45</v>
      </c>
      <c r="E1023">
        <v>5.44</v>
      </c>
      <c r="F1023">
        <v>5.39</v>
      </c>
      <c r="G1023">
        <v>5.14</v>
      </c>
      <c r="H1023">
        <v>4.8600000000000003</v>
      </c>
      <c r="I1023">
        <v>4.76</v>
      </c>
      <c r="J1023">
        <v>4.63</v>
      </c>
      <c r="K1023">
        <v>4.62</v>
      </c>
      <c r="L1023">
        <v>4.6100000000000003</v>
      </c>
      <c r="M1023">
        <v>4.84</v>
      </c>
      <c r="N1023">
        <v>4.7300000000000004</v>
      </c>
      <c r="O1023">
        <v>5.1623000000000001</v>
      </c>
      <c r="P1023">
        <v>3910.1</v>
      </c>
      <c r="Q1023">
        <v>953.75</v>
      </c>
      <c r="R1023">
        <v>3.706</v>
      </c>
      <c r="S1023">
        <v>16.961500000000001</v>
      </c>
    </row>
    <row r="1024" spans="1:19" x14ac:dyDescent="0.25">
      <c r="A1024" s="4">
        <v>45404</v>
      </c>
      <c r="B1024">
        <v>5.49</v>
      </c>
      <c r="C1024">
        <v>5.5</v>
      </c>
      <c r="D1024">
        <v>5.42</v>
      </c>
      <c r="E1024">
        <v>5.44</v>
      </c>
      <c r="F1024">
        <v>5.39</v>
      </c>
      <c r="G1024">
        <v>5.16</v>
      </c>
      <c r="H1024">
        <v>4.97</v>
      </c>
      <c r="I1024">
        <v>4.8099999999999996</v>
      </c>
      <c r="J1024">
        <v>4.66</v>
      </c>
      <c r="K1024">
        <v>4.6500000000000004</v>
      </c>
      <c r="L1024">
        <v>4.62</v>
      </c>
      <c r="M1024">
        <v>4.84</v>
      </c>
      <c r="N1024">
        <v>4.72</v>
      </c>
      <c r="O1024">
        <v>5.2039999999999997</v>
      </c>
      <c r="P1024">
        <v>3915.85</v>
      </c>
      <c r="Q1024">
        <v>956.32</v>
      </c>
      <c r="R1024">
        <v>3.6949999999999998</v>
      </c>
      <c r="S1024">
        <v>17.1389</v>
      </c>
    </row>
    <row r="1025" spans="1:19" x14ac:dyDescent="0.25">
      <c r="A1025" s="4">
        <v>45401</v>
      </c>
      <c r="B1025">
        <v>5.49</v>
      </c>
      <c r="C1025">
        <v>5.51</v>
      </c>
      <c r="D1025">
        <v>5.45</v>
      </c>
      <c r="E1025">
        <v>5.44</v>
      </c>
      <c r="F1025">
        <v>5.39</v>
      </c>
      <c r="G1025">
        <v>5.17</v>
      </c>
      <c r="H1025">
        <v>4.97</v>
      </c>
      <c r="I1025">
        <v>4.8099999999999996</v>
      </c>
      <c r="J1025">
        <v>4.66</v>
      </c>
      <c r="K1025">
        <v>4.6500000000000004</v>
      </c>
      <c r="L1025">
        <v>4.62</v>
      </c>
      <c r="M1025">
        <v>4.83</v>
      </c>
      <c r="N1025">
        <v>4.72</v>
      </c>
      <c r="O1025">
        <v>5.2266000000000004</v>
      </c>
      <c r="P1025">
        <v>3906</v>
      </c>
      <c r="Q1025">
        <v>968.44</v>
      </c>
      <c r="R1025">
        <v>3.681</v>
      </c>
      <c r="S1025">
        <v>17.116599999999998</v>
      </c>
    </row>
    <row r="1026" spans="1:19" x14ac:dyDescent="0.25">
      <c r="A1026" s="4">
        <v>45400</v>
      </c>
      <c r="B1026">
        <v>5.49</v>
      </c>
      <c r="C1026">
        <v>5.52</v>
      </c>
      <c r="D1026">
        <v>5.46</v>
      </c>
      <c r="E1026">
        <v>5.44</v>
      </c>
      <c r="F1026">
        <v>5.39</v>
      </c>
      <c r="G1026">
        <v>5.18</v>
      </c>
      <c r="H1026">
        <v>4.9800000000000004</v>
      </c>
      <c r="I1026">
        <v>4.83</v>
      </c>
      <c r="J1026">
        <v>4.68</v>
      </c>
      <c r="K1026">
        <v>4.67</v>
      </c>
      <c r="L1026">
        <v>4.6399999999999997</v>
      </c>
      <c r="M1026">
        <v>4.8499999999999996</v>
      </c>
      <c r="N1026">
        <v>4.74</v>
      </c>
      <c r="O1026">
        <v>5.2508999999999997</v>
      </c>
      <c r="P1026">
        <v>3943.8</v>
      </c>
      <c r="Q1026">
        <v>974.97</v>
      </c>
      <c r="R1026">
        <v>3.7280000000000002</v>
      </c>
      <c r="S1026">
        <v>17.0566</v>
      </c>
    </row>
    <row r="1027" spans="1:19" x14ac:dyDescent="0.25">
      <c r="A1027" s="4">
        <v>45399</v>
      </c>
      <c r="B1027">
        <v>5.49</v>
      </c>
      <c r="C1027">
        <v>5.49</v>
      </c>
      <c r="D1027">
        <v>5.45</v>
      </c>
      <c r="E1027">
        <v>5.44</v>
      </c>
      <c r="F1027">
        <v>5.38</v>
      </c>
      <c r="G1027">
        <v>5.16</v>
      </c>
      <c r="H1027">
        <v>4.93</v>
      </c>
      <c r="I1027">
        <v>4.7699999999999996</v>
      </c>
      <c r="J1027">
        <v>4.62</v>
      </c>
      <c r="K1027">
        <v>4.6100000000000003</v>
      </c>
      <c r="L1027">
        <v>4.59</v>
      </c>
      <c r="M1027">
        <v>4.8099999999999996</v>
      </c>
      <c r="N1027">
        <v>4.71</v>
      </c>
      <c r="O1027">
        <v>5.2465999999999999</v>
      </c>
      <c r="P1027">
        <v>3899.1</v>
      </c>
      <c r="Q1027">
        <v>985.05</v>
      </c>
      <c r="R1027">
        <v>3.746</v>
      </c>
      <c r="S1027">
        <v>16.977399999999999</v>
      </c>
    </row>
    <row r="1028" spans="1:19" x14ac:dyDescent="0.25">
      <c r="A1028" s="4">
        <v>45398</v>
      </c>
      <c r="B1028">
        <v>5.49</v>
      </c>
      <c r="C1028">
        <v>5.51</v>
      </c>
      <c r="D1028">
        <v>5.45</v>
      </c>
      <c r="E1028">
        <v>5.44</v>
      </c>
      <c r="F1028">
        <v>5.39</v>
      </c>
      <c r="G1028">
        <v>5.18</v>
      </c>
      <c r="H1028">
        <v>4.97</v>
      </c>
      <c r="I1028">
        <v>4.83</v>
      </c>
      <c r="J1028">
        <v>4.6900000000000004</v>
      </c>
      <c r="K1028">
        <v>4.6900000000000004</v>
      </c>
      <c r="L1028">
        <v>4.67</v>
      </c>
      <c r="M1028">
        <v>4.88</v>
      </c>
      <c r="N1028">
        <v>4.7699999999999996</v>
      </c>
      <c r="O1028">
        <v>5.2631500000000004</v>
      </c>
      <c r="P1028">
        <v>3919</v>
      </c>
      <c r="Q1028">
        <v>978.07</v>
      </c>
      <c r="R1028">
        <v>3.754</v>
      </c>
      <c r="S1028">
        <v>17.046500000000002</v>
      </c>
    </row>
    <row r="1029" spans="1:19" x14ac:dyDescent="0.25">
      <c r="A1029" s="4">
        <v>45397</v>
      </c>
      <c r="B1029">
        <v>5.49</v>
      </c>
      <c r="C1029">
        <v>5.51</v>
      </c>
      <c r="D1029">
        <v>5.45</v>
      </c>
      <c r="E1029">
        <v>5.44</v>
      </c>
      <c r="F1029">
        <v>5.38</v>
      </c>
      <c r="G1029">
        <v>5.16</v>
      </c>
      <c r="H1029">
        <v>4.93</v>
      </c>
      <c r="I1029">
        <v>4.78</v>
      </c>
      <c r="J1029">
        <v>4.6500000000000004</v>
      </c>
      <c r="K1029">
        <v>4.6500000000000004</v>
      </c>
      <c r="L1029">
        <v>4.63</v>
      </c>
      <c r="M1029">
        <v>4.8499999999999996</v>
      </c>
      <c r="N1029">
        <v>4.74</v>
      </c>
      <c r="O1029">
        <v>5.1742999999999997</v>
      </c>
      <c r="P1029">
        <v>3911</v>
      </c>
      <c r="Q1029">
        <v>964.59</v>
      </c>
      <c r="R1029">
        <v>3.738</v>
      </c>
      <c r="S1029">
        <v>16.724599999999999</v>
      </c>
    </row>
    <row r="1030" spans="1:19" x14ac:dyDescent="0.25">
      <c r="A1030" s="4">
        <v>45394</v>
      </c>
      <c r="B1030">
        <v>5.48</v>
      </c>
      <c r="C1030">
        <v>5.5</v>
      </c>
      <c r="D1030">
        <v>5.45</v>
      </c>
      <c r="E1030">
        <v>5.42</v>
      </c>
      <c r="F1030">
        <v>5.36</v>
      </c>
      <c r="G1030">
        <v>5.13</v>
      </c>
      <c r="H1030">
        <v>4.88</v>
      </c>
      <c r="I1030">
        <v>4.7</v>
      </c>
      <c r="J1030">
        <v>4.54</v>
      </c>
      <c r="K1030">
        <v>4.53</v>
      </c>
      <c r="L1030">
        <v>4.5</v>
      </c>
      <c r="M1030">
        <v>4.7300000000000004</v>
      </c>
      <c r="N1030">
        <v>4.6100000000000003</v>
      </c>
      <c r="O1030">
        <v>5.1360999999999999</v>
      </c>
      <c r="P1030">
        <v>3855.88</v>
      </c>
      <c r="Q1030">
        <v>957.03</v>
      </c>
      <c r="R1030">
        <v>3.7040000000000002</v>
      </c>
      <c r="S1030">
        <v>16.654499999999999</v>
      </c>
    </row>
    <row r="1031" spans="1:19" x14ac:dyDescent="0.25">
      <c r="A1031" s="4">
        <v>45393</v>
      </c>
      <c r="B1031">
        <v>5.48</v>
      </c>
      <c r="C1031">
        <v>5.51</v>
      </c>
      <c r="D1031">
        <v>5.45</v>
      </c>
      <c r="E1031">
        <v>5.44</v>
      </c>
      <c r="F1031">
        <v>5.38</v>
      </c>
      <c r="G1031">
        <v>5.17</v>
      </c>
      <c r="H1031">
        <v>4.93</v>
      </c>
      <c r="I1031">
        <v>4.7699999999999996</v>
      </c>
      <c r="J1031">
        <v>4.6100000000000003</v>
      </c>
      <c r="K1031">
        <v>4.5999999999999996</v>
      </c>
      <c r="L1031">
        <v>4.5599999999999996</v>
      </c>
      <c r="M1031">
        <v>4.7699999999999996</v>
      </c>
      <c r="N1031">
        <v>4.6500000000000004</v>
      </c>
      <c r="O1031">
        <v>5.0762</v>
      </c>
      <c r="P1031">
        <v>3828.79</v>
      </c>
      <c r="Q1031">
        <v>953.51</v>
      </c>
      <c r="R1031">
        <v>3.69</v>
      </c>
      <c r="S1031">
        <v>16.436</v>
      </c>
    </row>
    <row r="1032" spans="1:19" x14ac:dyDescent="0.25">
      <c r="A1032" s="4">
        <v>45392</v>
      </c>
      <c r="B1032">
        <v>5.49</v>
      </c>
      <c r="C1032">
        <v>5.5</v>
      </c>
      <c r="D1032">
        <v>5.45</v>
      </c>
      <c r="E1032">
        <v>5.44</v>
      </c>
      <c r="F1032">
        <v>5.4</v>
      </c>
      <c r="G1032">
        <v>5.19</v>
      </c>
      <c r="H1032">
        <v>4.97</v>
      </c>
      <c r="I1032">
        <v>4.7699999999999996</v>
      </c>
      <c r="J1032">
        <v>4.6100000000000003</v>
      </c>
      <c r="K1032">
        <v>4.59</v>
      </c>
      <c r="L1032">
        <v>4.55</v>
      </c>
      <c r="M1032">
        <v>4.76</v>
      </c>
      <c r="N1032">
        <v>4.6399999999999997</v>
      </c>
      <c r="O1032">
        <v>5.0651000000000002</v>
      </c>
      <c r="P1032">
        <v>3810.6</v>
      </c>
      <c r="Q1032">
        <v>940.61</v>
      </c>
      <c r="R1032">
        <v>3.714</v>
      </c>
      <c r="S1032">
        <v>16.440999999999999</v>
      </c>
    </row>
    <row r="1033" spans="1:19" x14ac:dyDescent="0.25">
      <c r="A1033" s="4">
        <v>45391</v>
      </c>
      <c r="B1033">
        <v>5.48</v>
      </c>
      <c r="C1033">
        <v>5.49</v>
      </c>
      <c r="D1033">
        <v>5.43</v>
      </c>
      <c r="E1033">
        <v>5.41</v>
      </c>
      <c r="F1033">
        <v>5.34</v>
      </c>
      <c r="G1033">
        <v>5.03</v>
      </c>
      <c r="H1033">
        <v>4.74</v>
      </c>
      <c r="I1033">
        <v>4.5199999999999996</v>
      </c>
      <c r="J1033">
        <v>4.37</v>
      </c>
      <c r="K1033">
        <v>4.38</v>
      </c>
      <c r="L1033">
        <v>4.3600000000000003</v>
      </c>
      <c r="M1033">
        <v>4.5999999999999996</v>
      </c>
      <c r="N1033">
        <v>4.5</v>
      </c>
      <c r="O1033">
        <v>5.0076999999999998</v>
      </c>
      <c r="P1033">
        <v>3776.78</v>
      </c>
      <c r="Q1033">
        <v>946.71</v>
      </c>
      <c r="R1033">
        <v>3.69</v>
      </c>
      <c r="S1033">
        <v>16.4069</v>
      </c>
    </row>
    <row r="1034" spans="1:19" x14ac:dyDescent="0.25">
      <c r="A1034" s="4">
        <v>45390</v>
      </c>
      <c r="B1034">
        <v>5.48</v>
      </c>
      <c r="C1034">
        <v>5.49</v>
      </c>
      <c r="D1034">
        <v>5.43</v>
      </c>
      <c r="E1034">
        <v>5.41</v>
      </c>
      <c r="F1034">
        <v>5.35</v>
      </c>
      <c r="G1034">
        <v>5.07</v>
      </c>
      <c r="H1034">
        <v>4.78</v>
      </c>
      <c r="I1034">
        <v>4.5999999999999996</v>
      </c>
      <c r="J1034">
        <v>4.43</v>
      </c>
      <c r="K1034">
        <v>4.43</v>
      </c>
      <c r="L1034">
        <v>4.42</v>
      </c>
      <c r="M1034">
        <v>4.6500000000000004</v>
      </c>
      <c r="N1034">
        <v>4.55</v>
      </c>
      <c r="O1034">
        <v>5.0418000000000003</v>
      </c>
      <c r="P1034">
        <v>3768.36</v>
      </c>
      <c r="Q1034">
        <v>948.92</v>
      </c>
      <c r="R1034">
        <v>3.6880000000000002</v>
      </c>
      <c r="S1034">
        <v>16.3368</v>
      </c>
    </row>
    <row r="1035" spans="1:19" x14ac:dyDescent="0.25">
      <c r="A1035" s="4">
        <v>45387</v>
      </c>
      <c r="B1035">
        <v>5.47</v>
      </c>
      <c r="C1035">
        <v>5.5</v>
      </c>
      <c r="D1035">
        <v>5.43</v>
      </c>
      <c r="E1035">
        <v>5.41</v>
      </c>
      <c r="F1035">
        <v>5.34</v>
      </c>
      <c r="G1035">
        <v>5.05</v>
      </c>
      <c r="H1035">
        <v>4.7300000000000004</v>
      </c>
      <c r="I1035">
        <v>4.54</v>
      </c>
      <c r="J1035">
        <v>4.38</v>
      </c>
      <c r="K1035">
        <v>4.3899999999999997</v>
      </c>
      <c r="L1035">
        <v>4.3899999999999997</v>
      </c>
      <c r="M1035">
        <v>4.6500000000000004</v>
      </c>
      <c r="N1035">
        <v>4.54</v>
      </c>
      <c r="O1035">
        <v>5.0517000000000003</v>
      </c>
      <c r="P1035">
        <v>3766</v>
      </c>
      <c r="Q1035">
        <v>942.72</v>
      </c>
      <c r="R1035">
        <v>3.6760000000000002</v>
      </c>
      <c r="S1035">
        <v>16.46</v>
      </c>
    </row>
    <row r="1036" spans="1:19" x14ac:dyDescent="0.25">
      <c r="A1036" s="4">
        <v>45386</v>
      </c>
      <c r="B1036">
        <v>5.47</v>
      </c>
      <c r="C1036">
        <v>5.49</v>
      </c>
      <c r="D1036">
        <v>5.41</v>
      </c>
      <c r="E1036">
        <v>5.4</v>
      </c>
      <c r="F1036">
        <v>5.32</v>
      </c>
      <c r="G1036">
        <v>5</v>
      </c>
      <c r="H1036">
        <v>4.6500000000000004</v>
      </c>
      <c r="I1036">
        <v>4.46</v>
      </c>
      <c r="J1036">
        <v>4.3</v>
      </c>
      <c r="K1036">
        <v>4.3099999999999996</v>
      </c>
      <c r="L1036">
        <v>4.3099999999999996</v>
      </c>
      <c r="M1036">
        <v>4.57</v>
      </c>
      <c r="N1036">
        <v>4.47</v>
      </c>
      <c r="O1036">
        <v>5.0233999999999996</v>
      </c>
      <c r="P1036">
        <v>3768.65</v>
      </c>
      <c r="Q1036">
        <v>962.83</v>
      </c>
      <c r="R1036">
        <v>3.6850000000000001</v>
      </c>
      <c r="S1036">
        <v>16.6052</v>
      </c>
    </row>
    <row r="1037" spans="1:19" x14ac:dyDescent="0.25">
      <c r="A1037" s="4">
        <v>45385</v>
      </c>
      <c r="B1037">
        <v>5.47</v>
      </c>
      <c r="C1037">
        <v>5.44</v>
      </c>
      <c r="D1037">
        <v>5.42</v>
      </c>
      <c r="E1037">
        <v>5.4</v>
      </c>
      <c r="F1037">
        <v>5.33</v>
      </c>
      <c r="G1037">
        <v>5.03</v>
      </c>
      <c r="H1037">
        <v>4.68</v>
      </c>
      <c r="I1037">
        <v>4.4800000000000004</v>
      </c>
      <c r="J1037">
        <v>4.34</v>
      </c>
      <c r="K1037">
        <v>4.3600000000000003</v>
      </c>
      <c r="L1037">
        <v>4.3600000000000003</v>
      </c>
      <c r="M1037">
        <v>4.6100000000000003</v>
      </c>
      <c r="N1037">
        <v>4.51</v>
      </c>
      <c r="O1037">
        <v>5.0720999999999998</v>
      </c>
      <c r="P1037">
        <v>3813</v>
      </c>
      <c r="Q1037">
        <v>979.96</v>
      </c>
      <c r="R1037">
        <v>3.6869999999999998</v>
      </c>
      <c r="S1037">
        <v>16.5425</v>
      </c>
    </row>
    <row r="1038" spans="1:19" x14ac:dyDescent="0.25">
      <c r="A1038" s="4">
        <v>45384</v>
      </c>
      <c r="B1038">
        <v>5.49</v>
      </c>
      <c r="C1038">
        <v>5.45</v>
      </c>
      <c r="D1038">
        <v>5.42</v>
      </c>
      <c r="E1038">
        <v>5.4</v>
      </c>
      <c r="F1038">
        <v>5.34</v>
      </c>
      <c r="G1038">
        <v>5.05</v>
      </c>
      <c r="H1038">
        <v>4.7</v>
      </c>
      <c r="I1038">
        <v>4.51</v>
      </c>
      <c r="J1038">
        <v>4.3499999999999996</v>
      </c>
      <c r="K1038">
        <v>4.37</v>
      </c>
      <c r="L1038">
        <v>4.3600000000000003</v>
      </c>
      <c r="M1038">
        <v>4.6100000000000003</v>
      </c>
      <c r="N1038">
        <v>4.51</v>
      </c>
      <c r="O1038">
        <v>5.04725</v>
      </c>
      <c r="P1038">
        <v>3828</v>
      </c>
      <c r="Q1038">
        <v>982.59</v>
      </c>
      <c r="R1038">
        <v>3.7040000000000002</v>
      </c>
      <c r="S1038">
        <v>16.561</v>
      </c>
    </row>
    <row r="1039" spans="1:19" x14ac:dyDescent="0.25">
      <c r="A1039" s="4">
        <v>45383</v>
      </c>
      <c r="B1039">
        <v>5.49</v>
      </c>
      <c r="C1039">
        <v>5.47</v>
      </c>
      <c r="D1039">
        <v>5.44</v>
      </c>
      <c r="E1039">
        <v>5.41</v>
      </c>
      <c r="F1039">
        <v>5.36</v>
      </c>
      <c r="G1039">
        <v>5.0599999999999996</v>
      </c>
      <c r="H1039">
        <v>4.72</v>
      </c>
      <c r="I1039">
        <v>4.51</v>
      </c>
      <c r="J1039">
        <v>4.34</v>
      </c>
      <c r="K1039">
        <v>4.33</v>
      </c>
      <c r="L1039">
        <v>4.33</v>
      </c>
      <c r="M1039">
        <v>4.58</v>
      </c>
      <c r="N1039">
        <v>4.47</v>
      </c>
      <c r="O1039">
        <v>5.0529000000000002</v>
      </c>
      <c r="P1039">
        <v>3865.3</v>
      </c>
      <c r="Q1039">
        <v>981.71</v>
      </c>
      <c r="R1039">
        <v>3.7250000000000001</v>
      </c>
      <c r="S1039">
        <v>16.6312</v>
      </c>
    </row>
    <row r="1040" spans="1:19" x14ac:dyDescent="0.25">
      <c r="A1040" s="4">
        <v>45379</v>
      </c>
      <c r="B1040">
        <v>5.49</v>
      </c>
      <c r="C1040">
        <v>5.48</v>
      </c>
      <c r="D1040">
        <v>5.46</v>
      </c>
      <c r="E1040">
        <v>5.42</v>
      </c>
      <c r="F1040">
        <v>5.38</v>
      </c>
      <c r="G1040">
        <v>5.03</v>
      </c>
      <c r="H1040">
        <v>4.59</v>
      </c>
      <c r="I1040">
        <v>4.4000000000000004</v>
      </c>
      <c r="J1040">
        <v>4.21</v>
      </c>
      <c r="K1040">
        <v>4.2</v>
      </c>
      <c r="L1040">
        <v>4.2</v>
      </c>
      <c r="M1040">
        <v>4.45</v>
      </c>
      <c r="N1040">
        <v>4.34</v>
      </c>
      <c r="O1040">
        <v>4.9958999999999998</v>
      </c>
      <c r="P1040">
        <v>3862.62</v>
      </c>
      <c r="Q1040">
        <v>982.38</v>
      </c>
      <c r="R1040">
        <v>3.7170000000000001</v>
      </c>
      <c r="S1040">
        <v>16.5625</v>
      </c>
    </row>
    <row r="1041" spans="1:19" x14ac:dyDescent="0.25">
      <c r="A1041" s="4">
        <v>45378</v>
      </c>
      <c r="B1041">
        <v>5.5</v>
      </c>
      <c r="C1041">
        <v>5.47</v>
      </c>
      <c r="D1041">
        <v>5.45</v>
      </c>
      <c r="E1041">
        <v>5.41</v>
      </c>
      <c r="F1041">
        <v>5.36</v>
      </c>
      <c r="G1041">
        <v>4.99</v>
      </c>
      <c r="H1041">
        <v>4.54</v>
      </c>
      <c r="I1041">
        <v>4.3600000000000003</v>
      </c>
      <c r="J1041">
        <v>4.18</v>
      </c>
      <c r="K1041">
        <v>4.18</v>
      </c>
      <c r="L1041">
        <v>4.2</v>
      </c>
      <c r="M1041">
        <v>4.45</v>
      </c>
      <c r="N1041">
        <v>4.3600000000000003</v>
      </c>
      <c r="O1041">
        <v>4.9852999999999996</v>
      </c>
      <c r="P1041">
        <v>3862.62</v>
      </c>
      <c r="Q1041">
        <v>981.71</v>
      </c>
      <c r="R1041">
        <v>3.7170000000000001</v>
      </c>
      <c r="S1041">
        <v>16.5625</v>
      </c>
    </row>
    <row r="1042" spans="1:19" x14ac:dyDescent="0.25">
      <c r="A1042" s="4">
        <v>45377</v>
      </c>
      <c r="B1042">
        <v>5.5</v>
      </c>
      <c r="C1042">
        <v>5.47</v>
      </c>
      <c r="D1042">
        <v>5.46</v>
      </c>
      <c r="E1042">
        <v>5.41</v>
      </c>
      <c r="F1042">
        <v>5.36</v>
      </c>
      <c r="G1042">
        <v>5</v>
      </c>
      <c r="H1042">
        <v>4.5599999999999996</v>
      </c>
      <c r="I1042">
        <v>4.38</v>
      </c>
      <c r="J1042">
        <v>4.22</v>
      </c>
      <c r="K1042">
        <v>4.2300000000000004</v>
      </c>
      <c r="L1042">
        <v>4.24</v>
      </c>
      <c r="M1042">
        <v>4.49</v>
      </c>
      <c r="N1042">
        <v>4.4000000000000004</v>
      </c>
      <c r="O1042">
        <v>4.9866999999999999</v>
      </c>
      <c r="P1042">
        <v>3847.3</v>
      </c>
      <c r="Q1042">
        <v>977.76</v>
      </c>
      <c r="R1042">
        <v>3.7170000000000001</v>
      </c>
      <c r="S1042">
        <v>16.657499999999999</v>
      </c>
    </row>
    <row r="1043" spans="1:19" x14ac:dyDescent="0.25">
      <c r="A1043" s="4">
        <v>45376</v>
      </c>
      <c r="B1043">
        <v>5.51</v>
      </c>
      <c r="C1043">
        <v>5.48</v>
      </c>
      <c r="D1043">
        <v>5.46</v>
      </c>
      <c r="E1043">
        <v>5.41</v>
      </c>
      <c r="F1043">
        <v>5.36</v>
      </c>
      <c r="G1043">
        <v>5</v>
      </c>
      <c r="H1043">
        <v>4.54</v>
      </c>
      <c r="I1043">
        <v>4.3899999999999997</v>
      </c>
      <c r="J1043">
        <v>4.2300000000000004</v>
      </c>
      <c r="K1043">
        <v>4.25</v>
      </c>
      <c r="L1043">
        <v>4.25</v>
      </c>
      <c r="M1043">
        <v>4.51</v>
      </c>
      <c r="N1043">
        <v>4.42</v>
      </c>
      <c r="O1043">
        <v>4.9866000000000001</v>
      </c>
      <c r="P1043">
        <v>3896.3</v>
      </c>
      <c r="Q1043">
        <v>980.24</v>
      </c>
      <c r="R1043">
        <v>3.706</v>
      </c>
      <c r="S1043">
        <v>16.6815</v>
      </c>
    </row>
    <row r="1044" spans="1:19" x14ac:dyDescent="0.25">
      <c r="A1044" s="4">
        <v>45373</v>
      </c>
      <c r="B1044">
        <v>5.51</v>
      </c>
      <c r="C1044">
        <v>5.47</v>
      </c>
      <c r="D1044">
        <v>5.46</v>
      </c>
      <c r="E1044">
        <v>5.4</v>
      </c>
      <c r="F1044">
        <v>5.34</v>
      </c>
      <c r="G1044">
        <v>4.9800000000000004</v>
      </c>
      <c r="H1044">
        <v>4.59</v>
      </c>
      <c r="I1044">
        <v>4.3600000000000003</v>
      </c>
      <c r="J1044">
        <v>4.2</v>
      </c>
      <c r="K1044">
        <v>4.22</v>
      </c>
      <c r="L1044">
        <v>4.22</v>
      </c>
      <c r="M1044">
        <v>4.47</v>
      </c>
      <c r="N1044">
        <v>4.3899999999999997</v>
      </c>
      <c r="O1044">
        <v>4.9893999999999998</v>
      </c>
      <c r="P1044">
        <v>3896.3</v>
      </c>
      <c r="Q1044">
        <v>971.54</v>
      </c>
      <c r="R1044">
        <v>3.7029999999999998</v>
      </c>
      <c r="S1044">
        <v>16.7668</v>
      </c>
    </row>
    <row r="1045" spans="1:19" x14ac:dyDescent="0.25">
      <c r="A1045" s="4">
        <v>45372</v>
      </c>
      <c r="B1045">
        <v>5.51</v>
      </c>
      <c r="C1045">
        <v>5.48</v>
      </c>
      <c r="D1045">
        <v>5.48</v>
      </c>
      <c r="E1045">
        <v>5.4</v>
      </c>
      <c r="F1045">
        <v>5.36</v>
      </c>
      <c r="G1045">
        <v>5.01</v>
      </c>
      <c r="H1045">
        <v>4.62</v>
      </c>
      <c r="I1045">
        <v>4.42</v>
      </c>
      <c r="J1045">
        <v>4.26</v>
      </c>
      <c r="K1045">
        <v>4.28</v>
      </c>
      <c r="L1045">
        <v>4.2699999999999996</v>
      </c>
      <c r="M1045">
        <v>4.53</v>
      </c>
      <c r="N1045">
        <v>4.4400000000000004</v>
      </c>
      <c r="O1045">
        <v>4.9804000000000004</v>
      </c>
      <c r="P1045">
        <v>3904.95</v>
      </c>
      <c r="Q1045">
        <v>975.91</v>
      </c>
      <c r="R1045">
        <v>3.6859999999999999</v>
      </c>
      <c r="S1045">
        <v>16.737300000000001</v>
      </c>
    </row>
    <row r="1046" spans="1:19" x14ac:dyDescent="0.25">
      <c r="A1046" s="4">
        <v>45371</v>
      </c>
      <c r="B1046">
        <v>5.5</v>
      </c>
      <c r="C1046">
        <v>5.47</v>
      </c>
      <c r="D1046">
        <v>5.47</v>
      </c>
      <c r="E1046">
        <v>5.41</v>
      </c>
      <c r="F1046">
        <v>5.36</v>
      </c>
      <c r="G1046">
        <v>5.01</v>
      </c>
      <c r="H1046">
        <v>4.59</v>
      </c>
      <c r="I1046">
        <v>4.41</v>
      </c>
      <c r="J1046">
        <v>4.25</v>
      </c>
      <c r="K1046">
        <v>4.28</v>
      </c>
      <c r="L1046">
        <v>4.2699999999999996</v>
      </c>
      <c r="M1046">
        <v>4.53</v>
      </c>
      <c r="N1046">
        <v>4.45</v>
      </c>
      <c r="O1046">
        <v>5.0117000000000003</v>
      </c>
      <c r="P1046">
        <v>3895.95</v>
      </c>
      <c r="Q1046">
        <v>962.06</v>
      </c>
      <c r="R1046">
        <v>3.6920000000000002</v>
      </c>
      <c r="S1046">
        <v>16.672899999999998</v>
      </c>
    </row>
    <row r="1047" spans="1:19" x14ac:dyDescent="0.25">
      <c r="A1047" s="4">
        <v>45370</v>
      </c>
      <c r="B1047">
        <v>5.52</v>
      </c>
      <c r="C1047">
        <v>5.48</v>
      </c>
      <c r="D1047">
        <v>5.48</v>
      </c>
      <c r="E1047">
        <v>5.41</v>
      </c>
      <c r="F1047">
        <v>5.39</v>
      </c>
      <c r="G1047">
        <v>5.0599999999999996</v>
      </c>
      <c r="H1047">
        <v>4.68</v>
      </c>
      <c r="I1047">
        <v>4.47</v>
      </c>
      <c r="J1047">
        <v>4.3099999999999996</v>
      </c>
      <c r="K1047">
        <v>4.3099999999999996</v>
      </c>
      <c r="L1047">
        <v>4.3</v>
      </c>
      <c r="M1047">
        <v>4.54</v>
      </c>
      <c r="N1047">
        <v>4.4400000000000004</v>
      </c>
      <c r="O1047">
        <v>5.0349000000000004</v>
      </c>
      <c r="P1047">
        <v>3871.75</v>
      </c>
      <c r="Q1047">
        <v>945.11</v>
      </c>
      <c r="R1047">
        <v>3.6989999999999998</v>
      </c>
      <c r="S1047">
        <v>16.818300000000001</v>
      </c>
    </row>
    <row r="1048" spans="1:19" x14ac:dyDescent="0.25">
      <c r="A1048" s="4">
        <v>45369</v>
      </c>
      <c r="B1048">
        <v>5.52</v>
      </c>
      <c r="C1048">
        <v>5.48</v>
      </c>
      <c r="D1048">
        <v>5.48</v>
      </c>
      <c r="E1048">
        <v>5.41</v>
      </c>
      <c r="F1048">
        <v>5.39</v>
      </c>
      <c r="G1048">
        <v>5.0599999999999996</v>
      </c>
      <c r="H1048">
        <v>4.7300000000000004</v>
      </c>
      <c r="I1048">
        <v>4.5199999999999996</v>
      </c>
      <c r="J1048">
        <v>4.3600000000000003</v>
      </c>
      <c r="K1048">
        <v>4.3499999999999996</v>
      </c>
      <c r="L1048">
        <v>4.34</v>
      </c>
      <c r="M1048">
        <v>4.57</v>
      </c>
      <c r="N1048">
        <v>4.46</v>
      </c>
      <c r="O1048">
        <v>5.0121000000000002</v>
      </c>
      <c r="P1048">
        <v>3897</v>
      </c>
      <c r="Q1048">
        <v>941.42</v>
      </c>
      <c r="R1048">
        <v>3.7029999999999998</v>
      </c>
      <c r="S1048">
        <v>16.709900000000001</v>
      </c>
    </row>
    <row r="1049" spans="1:19" x14ac:dyDescent="0.25">
      <c r="A1049" s="4">
        <v>45366</v>
      </c>
      <c r="B1049">
        <v>5.52</v>
      </c>
      <c r="C1049">
        <v>5.48</v>
      </c>
      <c r="D1049">
        <v>5.48</v>
      </c>
      <c r="E1049">
        <v>5.41</v>
      </c>
      <c r="F1049">
        <v>5.38</v>
      </c>
      <c r="G1049">
        <v>5.05</v>
      </c>
      <c r="H1049">
        <v>4.72</v>
      </c>
      <c r="I1049">
        <v>4.51</v>
      </c>
      <c r="J1049">
        <v>4.33</v>
      </c>
      <c r="K1049">
        <v>4.33</v>
      </c>
      <c r="L1049">
        <v>4.3099999999999996</v>
      </c>
      <c r="M1049">
        <v>4.55</v>
      </c>
      <c r="N1049">
        <v>4.43</v>
      </c>
      <c r="O1049">
        <v>4.9934000000000003</v>
      </c>
      <c r="P1049">
        <v>3879.25</v>
      </c>
      <c r="Q1049">
        <v>945.56</v>
      </c>
      <c r="R1049">
        <v>3.6859999999999999</v>
      </c>
      <c r="S1049">
        <v>16.709900000000001</v>
      </c>
    </row>
    <row r="1050" spans="1:19" x14ac:dyDescent="0.25">
      <c r="A1050" s="4">
        <v>45365</v>
      </c>
      <c r="B1050">
        <v>5.52</v>
      </c>
      <c r="C1050">
        <v>5.48</v>
      </c>
      <c r="D1050">
        <v>5.48</v>
      </c>
      <c r="E1050">
        <v>5.42</v>
      </c>
      <c r="F1050">
        <v>5.38</v>
      </c>
      <c r="G1050">
        <v>5.04</v>
      </c>
      <c r="H1050">
        <v>4.68</v>
      </c>
      <c r="I1050">
        <v>4.46</v>
      </c>
      <c r="J1050">
        <v>4.29</v>
      </c>
      <c r="K1050">
        <v>4.3</v>
      </c>
      <c r="L1050">
        <v>4.29</v>
      </c>
      <c r="M1050">
        <v>4.54</v>
      </c>
      <c r="N1050">
        <v>4.4400000000000004</v>
      </c>
      <c r="O1050">
        <v>4.9764999999999997</v>
      </c>
      <c r="P1050">
        <v>3890.9</v>
      </c>
      <c r="Q1050">
        <v>948.88</v>
      </c>
      <c r="R1050">
        <v>3.6850000000000001</v>
      </c>
      <c r="S1050">
        <v>16.6934</v>
      </c>
    </row>
    <row r="1051" spans="1:19" x14ac:dyDescent="0.25">
      <c r="A1051" s="4">
        <v>45364</v>
      </c>
      <c r="B1051">
        <v>5.52</v>
      </c>
      <c r="C1051">
        <v>5.47</v>
      </c>
      <c r="D1051">
        <v>5.48</v>
      </c>
      <c r="E1051">
        <v>5.41</v>
      </c>
      <c r="F1051">
        <v>5.37</v>
      </c>
      <c r="G1051">
        <v>5.01</v>
      </c>
      <c r="H1051">
        <v>4.6100000000000003</v>
      </c>
      <c r="I1051">
        <v>4.37</v>
      </c>
      <c r="J1051">
        <v>4.1900000000000004</v>
      </c>
      <c r="K1051">
        <v>4.2</v>
      </c>
      <c r="L1051">
        <v>4.1900000000000004</v>
      </c>
      <c r="M1051">
        <v>4.45</v>
      </c>
      <c r="N1051">
        <v>4.3499999999999996</v>
      </c>
      <c r="O1051">
        <v>4.9800000000000004</v>
      </c>
      <c r="P1051">
        <v>3902.99</v>
      </c>
      <c r="Q1051">
        <v>965.18</v>
      </c>
      <c r="R1051">
        <v>3.6720000000000002</v>
      </c>
      <c r="S1051">
        <v>16.675899999999999</v>
      </c>
    </row>
    <row r="1052" spans="1:19" x14ac:dyDescent="0.25">
      <c r="A1052" s="4">
        <v>45363</v>
      </c>
      <c r="B1052">
        <v>5.52</v>
      </c>
      <c r="C1052">
        <v>5.48</v>
      </c>
      <c r="D1052">
        <v>5.48</v>
      </c>
      <c r="E1052">
        <v>5.41</v>
      </c>
      <c r="F1052">
        <v>5.37</v>
      </c>
      <c r="G1052">
        <v>5</v>
      </c>
      <c r="H1052">
        <v>4.58</v>
      </c>
      <c r="I1052">
        <v>4.33</v>
      </c>
      <c r="J1052">
        <v>4.1500000000000004</v>
      </c>
      <c r="K1052">
        <v>4.16</v>
      </c>
      <c r="L1052">
        <v>4.16</v>
      </c>
      <c r="M1052">
        <v>4.42</v>
      </c>
      <c r="N1052">
        <v>4.3099999999999996</v>
      </c>
      <c r="O1052">
        <v>4.9809999999999999</v>
      </c>
      <c r="P1052">
        <v>3925.25</v>
      </c>
      <c r="Q1052">
        <v>966.29</v>
      </c>
      <c r="R1052">
        <v>3.68</v>
      </c>
      <c r="S1052">
        <v>16.799499999999998</v>
      </c>
    </row>
    <row r="1053" spans="1:19" x14ac:dyDescent="0.25">
      <c r="A1053" s="4">
        <v>45362</v>
      </c>
      <c r="B1053">
        <v>5.5</v>
      </c>
      <c r="C1053">
        <v>5.47</v>
      </c>
      <c r="D1053">
        <v>5.48</v>
      </c>
      <c r="E1053">
        <v>5.41</v>
      </c>
      <c r="F1053">
        <v>5.35</v>
      </c>
      <c r="G1053">
        <v>4.95</v>
      </c>
      <c r="H1053">
        <v>4.51</v>
      </c>
      <c r="I1053">
        <v>4.26</v>
      </c>
      <c r="J1053">
        <v>4.08</v>
      </c>
      <c r="K1053">
        <v>4.09</v>
      </c>
      <c r="L1053">
        <v>4.0999999999999996</v>
      </c>
      <c r="M1053">
        <v>4.3600000000000003</v>
      </c>
      <c r="N1053">
        <v>4.26</v>
      </c>
      <c r="O1053">
        <v>4.9774000000000003</v>
      </c>
      <c r="P1053">
        <v>3915.15</v>
      </c>
      <c r="Q1053">
        <v>964.95</v>
      </c>
      <c r="R1053">
        <v>3.6869999999999998</v>
      </c>
      <c r="S1053">
        <v>16.8003</v>
      </c>
    </row>
    <row r="1054" spans="1:19" x14ac:dyDescent="0.25">
      <c r="A1054" s="4">
        <v>45359</v>
      </c>
      <c r="B1054">
        <v>5.51</v>
      </c>
      <c r="C1054">
        <v>5.48</v>
      </c>
      <c r="D1054">
        <v>5.46</v>
      </c>
      <c r="E1054">
        <v>5.4</v>
      </c>
      <c r="F1054">
        <v>5.34</v>
      </c>
      <c r="G1054">
        <v>4.92</v>
      </c>
      <c r="H1054">
        <v>4.4800000000000004</v>
      </c>
      <c r="I1054">
        <v>4.25</v>
      </c>
      <c r="J1054">
        <v>4.0599999999999996</v>
      </c>
      <c r="K1054">
        <v>4.08</v>
      </c>
      <c r="L1054">
        <v>4.09</v>
      </c>
      <c r="M1054">
        <v>4.3600000000000003</v>
      </c>
      <c r="N1054">
        <v>4.26</v>
      </c>
      <c r="O1054">
        <v>4.9748000000000001</v>
      </c>
      <c r="P1054">
        <v>3904.5</v>
      </c>
      <c r="Q1054">
        <v>983.8</v>
      </c>
      <c r="R1054">
        <v>3.6859999999999999</v>
      </c>
      <c r="S1054">
        <v>16.807700000000001</v>
      </c>
    </row>
    <row r="1055" spans="1:19" x14ac:dyDescent="0.25">
      <c r="A1055" s="4">
        <v>45358</v>
      </c>
      <c r="B1055">
        <v>5.51</v>
      </c>
      <c r="C1055">
        <v>5.48</v>
      </c>
      <c r="D1055">
        <v>5.47</v>
      </c>
      <c r="E1055">
        <v>5.4</v>
      </c>
      <c r="F1055">
        <v>5.34</v>
      </c>
      <c r="G1055">
        <v>4.93</v>
      </c>
      <c r="H1055">
        <v>4.5</v>
      </c>
      <c r="I1055">
        <v>4.28</v>
      </c>
      <c r="J1055">
        <v>4.07</v>
      </c>
      <c r="K1055">
        <v>4.09</v>
      </c>
      <c r="L1055">
        <v>4.09</v>
      </c>
      <c r="M1055">
        <v>4.3499999999999996</v>
      </c>
      <c r="N1055">
        <v>4.25</v>
      </c>
      <c r="O1055">
        <v>4.9360999999999997</v>
      </c>
      <c r="P1055">
        <v>3918.95</v>
      </c>
      <c r="Q1055">
        <v>981.26</v>
      </c>
      <c r="R1055">
        <v>3.7090000000000001</v>
      </c>
      <c r="S1055">
        <v>16.866</v>
      </c>
    </row>
    <row r="1056" spans="1:19" x14ac:dyDescent="0.25">
      <c r="A1056" s="4">
        <v>45357</v>
      </c>
      <c r="B1056">
        <v>5.5</v>
      </c>
      <c r="C1056">
        <v>5.47</v>
      </c>
      <c r="D1056">
        <v>5.47</v>
      </c>
      <c r="E1056">
        <v>5.4</v>
      </c>
      <c r="F1056">
        <v>5.35</v>
      </c>
      <c r="G1056">
        <v>4.95</v>
      </c>
      <c r="H1056">
        <v>4.55</v>
      </c>
      <c r="I1056">
        <v>4.32</v>
      </c>
      <c r="J1056">
        <v>4.12</v>
      </c>
      <c r="K1056">
        <v>4.12</v>
      </c>
      <c r="L1056">
        <v>4.1100000000000003</v>
      </c>
      <c r="M1056">
        <v>4.3600000000000003</v>
      </c>
      <c r="N1056">
        <v>4.24</v>
      </c>
      <c r="O1056">
        <v>4.9394999999999998</v>
      </c>
      <c r="P1056">
        <v>3920.6</v>
      </c>
      <c r="Q1056">
        <v>976.36</v>
      </c>
      <c r="R1056">
        <v>3.7330000000000001</v>
      </c>
      <c r="S1056">
        <v>16.891100000000002</v>
      </c>
    </row>
    <row r="1057" spans="1:19" x14ac:dyDescent="0.25">
      <c r="A1057" s="4">
        <v>45356</v>
      </c>
      <c r="B1057">
        <v>5.5</v>
      </c>
      <c r="C1057">
        <v>5.47</v>
      </c>
      <c r="D1057">
        <v>5.47</v>
      </c>
      <c r="E1057">
        <v>5.4</v>
      </c>
      <c r="F1057">
        <v>5.35</v>
      </c>
      <c r="G1057">
        <v>4.9400000000000004</v>
      </c>
      <c r="H1057">
        <v>4.54</v>
      </c>
      <c r="I1057">
        <v>4.32</v>
      </c>
      <c r="J1057">
        <v>4.13</v>
      </c>
      <c r="K1057">
        <v>4.1500000000000004</v>
      </c>
      <c r="L1057">
        <v>4.13</v>
      </c>
      <c r="M1057">
        <v>4.3899999999999997</v>
      </c>
      <c r="N1057">
        <v>4.2699999999999996</v>
      </c>
      <c r="O1057">
        <v>4.9485000000000001</v>
      </c>
      <c r="P1057">
        <v>3945</v>
      </c>
      <c r="Q1057">
        <v>971.92</v>
      </c>
      <c r="R1057">
        <v>3.7450000000000001</v>
      </c>
      <c r="S1057">
        <v>16.948899999999998</v>
      </c>
    </row>
    <row r="1058" spans="1:19" x14ac:dyDescent="0.25">
      <c r="A1058" s="4">
        <v>45355</v>
      </c>
      <c r="B1058">
        <v>5.51</v>
      </c>
      <c r="C1058">
        <v>5.49</v>
      </c>
      <c r="D1058">
        <v>5.48</v>
      </c>
      <c r="E1058">
        <v>5.42</v>
      </c>
      <c r="F1058">
        <v>5.37</v>
      </c>
      <c r="G1058">
        <v>4.9800000000000004</v>
      </c>
      <c r="H1058">
        <v>4.6100000000000003</v>
      </c>
      <c r="I1058">
        <v>4.3899999999999997</v>
      </c>
      <c r="J1058">
        <v>4.21</v>
      </c>
      <c r="K1058">
        <v>4.2300000000000004</v>
      </c>
      <c r="L1058">
        <v>4.22</v>
      </c>
      <c r="M1058">
        <v>4.4800000000000004</v>
      </c>
      <c r="N1058">
        <v>4.3600000000000003</v>
      </c>
      <c r="O1058">
        <v>4.9471999999999996</v>
      </c>
      <c r="P1058">
        <v>3940.8</v>
      </c>
      <c r="Q1058">
        <v>966.41</v>
      </c>
      <c r="R1058">
        <v>3.7690000000000001</v>
      </c>
      <c r="S1058">
        <v>16.9619</v>
      </c>
    </row>
    <row r="1059" spans="1:19" x14ac:dyDescent="0.25">
      <c r="A1059" s="4">
        <v>45352</v>
      </c>
      <c r="B1059">
        <v>5.54</v>
      </c>
      <c r="C1059">
        <v>5.49</v>
      </c>
      <c r="D1059">
        <v>5.42</v>
      </c>
      <c r="E1059">
        <v>5.41</v>
      </c>
      <c r="F1059">
        <v>5.27</v>
      </c>
      <c r="G1059">
        <v>4.9400000000000004</v>
      </c>
      <c r="H1059">
        <v>4.54</v>
      </c>
      <c r="I1059">
        <v>4.32</v>
      </c>
      <c r="J1059">
        <v>4.17</v>
      </c>
      <c r="K1059">
        <v>4.2</v>
      </c>
      <c r="L1059">
        <v>4.1900000000000004</v>
      </c>
      <c r="M1059">
        <v>4.46</v>
      </c>
      <c r="N1059">
        <v>4.33</v>
      </c>
      <c r="O1059">
        <v>4.9592999999999998</v>
      </c>
      <c r="P1059">
        <v>3947.25</v>
      </c>
      <c r="Q1059">
        <v>969.91</v>
      </c>
      <c r="R1059">
        <v>3.7669999999999999</v>
      </c>
      <c r="S1059">
        <v>17.023199999999999</v>
      </c>
    </row>
    <row r="1060" spans="1:19" x14ac:dyDescent="0.25">
      <c r="A1060" s="4">
        <v>45351</v>
      </c>
      <c r="B1060">
        <v>5.53</v>
      </c>
      <c r="C1060">
        <v>5.5</v>
      </c>
      <c r="D1060">
        <v>5.45</v>
      </c>
      <c r="E1060">
        <v>5.43</v>
      </c>
      <c r="F1060">
        <v>5.3</v>
      </c>
      <c r="G1060">
        <v>5.01</v>
      </c>
      <c r="H1060">
        <v>4.6399999999999997</v>
      </c>
      <c r="I1060">
        <v>4.43</v>
      </c>
      <c r="J1060">
        <v>4.26</v>
      </c>
      <c r="K1060">
        <v>4.28</v>
      </c>
      <c r="L1060">
        <v>4.25</v>
      </c>
      <c r="M1060">
        <v>4.51</v>
      </c>
      <c r="N1060">
        <v>4.38</v>
      </c>
      <c r="O1060">
        <v>4.9829999999999997</v>
      </c>
      <c r="P1060">
        <v>3927</v>
      </c>
      <c r="Q1060">
        <v>980.19</v>
      </c>
      <c r="R1060">
        <v>3.7789999999999999</v>
      </c>
      <c r="S1060">
        <v>17.054300000000001</v>
      </c>
    </row>
    <row r="1061" spans="1:19" x14ac:dyDescent="0.25">
      <c r="A1061" s="4">
        <v>45350</v>
      </c>
      <c r="B1061">
        <v>5.5</v>
      </c>
      <c r="C1061">
        <v>5.51</v>
      </c>
      <c r="D1061">
        <v>5.45</v>
      </c>
      <c r="E1061">
        <v>5.43</v>
      </c>
      <c r="F1061">
        <v>5.31</v>
      </c>
      <c r="G1061">
        <v>5</v>
      </c>
      <c r="H1061">
        <v>4.6399999999999997</v>
      </c>
      <c r="I1061">
        <v>4.4400000000000004</v>
      </c>
      <c r="J1061">
        <v>4.26</v>
      </c>
      <c r="K1061">
        <v>4.28</v>
      </c>
      <c r="L1061">
        <v>4.2699999999999996</v>
      </c>
      <c r="M1061">
        <v>4.53</v>
      </c>
      <c r="N1061">
        <v>4.4000000000000004</v>
      </c>
      <c r="O1061">
        <v>4.9554</v>
      </c>
      <c r="P1061">
        <v>3924.7</v>
      </c>
      <c r="Q1061">
        <v>984.53</v>
      </c>
      <c r="R1061">
        <v>3.794</v>
      </c>
      <c r="S1061">
        <v>17.111599999999999</v>
      </c>
    </row>
    <row r="1062" spans="1:19" x14ac:dyDescent="0.25">
      <c r="A1062" s="4">
        <v>45349</v>
      </c>
      <c r="B1062">
        <v>5.5</v>
      </c>
      <c r="C1062">
        <v>5.52</v>
      </c>
      <c r="D1062">
        <v>5.45</v>
      </c>
      <c r="E1062">
        <v>5.47</v>
      </c>
      <c r="F1062">
        <v>5.33</v>
      </c>
      <c r="G1062">
        <v>5.03</v>
      </c>
      <c r="H1062">
        <v>4.7</v>
      </c>
      <c r="I1062">
        <v>4.5</v>
      </c>
      <c r="J1062">
        <v>4.32</v>
      </c>
      <c r="K1062">
        <v>4.34</v>
      </c>
      <c r="L1062">
        <v>4.3099999999999996</v>
      </c>
      <c r="M1062">
        <v>4.57</v>
      </c>
      <c r="N1062">
        <v>4.4400000000000004</v>
      </c>
      <c r="O1062">
        <v>4.9572000000000003</v>
      </c>
      <c r="P1062">
        <v>3933.5</v>
      </c>
      <c r="Q1062">
        <v>986.85</v>
      </c>
      <c r="R1062">
        <v>3.7869999999999999</v>
      </c>
      <c r="S1062">
        <v>17.058900000000001</v>
      </c>
    </row>
    <row r="1063" spans="1:19" x14ac:dyDescent="0.25">
      <c r="A1063" s="4">
        <v>45348</v>
      </c>
      <c r="B1063">
        <v>5.5</v>
      </c>
      <c r="C1063">
        <v>5.52</v>
      </c>
      <c r="D1063">
        <v>5.47</v>
      </c>
      <c r="E1063">
        <v>5.47</v>
      </c>
      <c r="F1063">
        <v>5.34</v>
      </c>
      <c r="G1063">
        <v>5.03</v>
      </c>
      <c r="H1063">
        <v>4.6900000000000004</v>
      </c>
      <c r="I1063">
        <v>4.4800000000000004</v>
      </c>
      <c r="J1063">
        <v>4.29</v>
      </c>
      <c r="K1063">
        <v>4.32</v>
      </c>
      <c r="L1063">
        <v>4.28</v>
      </c>
      <c r="M1063">
        <v>4.53</v>
      </c>
      <c r="N1063">
        <v>4.4000000000000004</v>
      </c>
      <c r="O1063">
        <v>4.9816000000000003</v>
      </c>
      <c r="P1063">
        <v>3957.59</v>
      </c>
      <c r="Q1063">
        <v>983.76</v>
      </c>
      <c r="R1063">
        <v>3.7970000000000002</v>
      </c>
      <c r="S1063">
        <v>17.089400000000001</v>
      </c>
    </row>
    <row r="1064" spans="1:19" x14ac:dyDescent="0.25">
      <c r="A1064" s="4">
        <v>45345</v>
      </c>
      <c r="B1064">
        <v>5.49</v>
      </c>
      <c r="C1064">
        <v>5.51</v>
      </c>
      <c r="D1064">
        <v>5.46</v>
      </c>
      <c r="E1064">
        <v>5.46</v>
      </c>
      <c r="F1064">
        <v>5.32</v>
      </c>
      <c r="G1064">
        <v>5</v>
      </c>
      <c r="H1064">
        <v>4.67</v>
      </c>
      <c r="I1064">
        <v>4.45</v>
      </c>
      <c r="J1064">
        <v>4.28</v>
      </c>
      <c r="K1064">
        <v>4.28</v>
      </c>
      <c r="L1064">
        <v>4.26</v>
      </c>
      <c r="M1064">
        <v>4.51</v>
      </c>
      <c r="N1064">
        <v>4.37</v>
      </c>
      <c r="O1064">
        <v>4.9847999999999999</v>
      </c>
      <c r="P1064">
        <v>3964.23</v>
      </c>
      <c r="Q1064">
        <v>972.77</v>
      </c>
      <c r="R1064">
        <v>3.7949999999999999</v>
      </c>
      <c r="S1064">
        <v>17.1205</v>
      </c>
    </row>
    <row r="1065" spans="1:19" x14ac:dyDescent="0.25">
      <c r="A1065" s="4">
        <v>45344</v>
      </c>
      <c r="B1065">
        <v>5.49</v>
      </c>
      <c r="C1065">
        <v>5.51</v>
      </c>
      <c r="D1065">
        <v>5.45</v>
      </c>
      <c r="E1065">
        <v>5.45</v>
      </c>
      <c r="F1065">
        <v>5.32</v>
      </c>
      <c r="G1065">
        <v>5.0199999999999996</v>
      </c>
      <c r="H1065">
        <v>4.6900000000000004</v>
      </c>
      <c r="I1065">
        <v>4.49</v>
      </c>
      <c r="J1065">
        <v>4.33</v>
      </c>
      <c r="K1065">
        <v>4.3499999999999996</v>
      </c>
      <c r="L1065">
        <v>4.33</v>
      </c>
      <c r="M1065">
        <v>4.58</v>
      </c>
      <c r="N1065">
        <v>4.47</v>
      </c>
      <c r="O1065">
        <v>4.9416000000000002</v>
      </c>
      <c r="P1065">
        <v>3929</v>
      </c>
      <c r="Q1065">
        <v>967.52</v>
      </c>
      <c r="R1065">
        <v>3.7850000000000001</v>
      </c>
      <c r="S1065">
        <v>17.110600000000002</v>
      </c>
    </row>
    <row r="1066" spans="1:19" x14ac:dyDescent="0.25">
      <c r="A1066" s="4">
        <v>45343</v>
      </c>
      <c r="B1066">
        <v>5.5</v>
      </c>
      <c r="C1066">
        <v>5.5</v>
      </c>
      <c r="D1066">
        <v>5.44</v>
      </c>
      <c r="E1066">
        <v>5.45</v>
      </c>
      <c r="F1066">
        <v>5.32</v>
      </c>
      <c r="G1066">
        <v>4.9800000000000004</v>
      </c>
      <c r="H1066">
        <v>4.6399999999999997</v>
      </c>
      <c r="I1066">
        <v>4.43</v>
      </c>
      <c r="J1066">
        <v>4.3</v>
      </c>
      <c r="K1066">
        <v>4.33</v>
      </c>
      <c r="L1066">
        <v>4.32</v>
      </c>
      <c r="M1066">
        <v>4.59</v>
      </c>
      <c r="N1066">
        <v>4.49</v>
      </c>
      <c r="O1066">
        <v>4.93</v>
      </c>
      <c r="P1066">
        <v>3925.11</v>
      </c>
      <c r="Q1066">
        <v>963.68</v>
      </c>
      <c r="R1066">
        <v>3.7949999999999999</v>
      </c>
      <c r="S1066">
        <v>17.048300000000001</v>
      </c>
    </row>
    <row r="1067" spans="1:19" x14ac:dyDescent="0.25">
      <c r="A1067" s="4">
        <v>45342</v>
      </c>
      <c r="B1067">
        <v>5.49</v>
      </c>
      <c r="C1067">
        <v>5.49</v>
      </c>
      <c r="D1067">
        <v>5.44</v>
      </c>
      <c r="E1067">
        <v>5.45</v>
      </c>
      <c r="F1067">
        <v>5.32</v>
      </c>
      <c r="G1067">
        <v>4.97</v>
      </c>
      <c r="H1067">
        <v>4.59</v>
      </c>
      <c r="I1067">
        <v>4.38</v>
      </c>
      <c r="J1067">
        <v>4.25</v>
      </c>
      <c r="K1067">
        <v>4.28</v>
      </c>
      <c r="L1067">
        <v>4.2699999999999996</v>
      </c>
      <c r="M1067">
        <v>4.5599999999999996</v>
      </c>
      <c r="N1067">
        <v>4.4400000000000004</v>
      </c>
      <c r="O1067">
        <v>4.9405000000000001</v>
      </c>
      <c r="P1067">
        <v>3927</v>
      </c>
      <c r="Q1067">
        <v>966.23</v>
      </c>
      <c r="R1067">
        <v>3.782</v>
      </c>
      <c r="S1067">
        <v>17.0731</v>
      </c>
    </row>
    <row r="1068" spans="1:19" x14ac:dyDescent="0.25">
      <c r="A1068" s="4">
        <v>45338</v>
      </c>
      <c r="B1068">
        <v>5.48</v>
      </c>
      <c r="C1068">
        <v>5.51</v>
      </c>
      <c r="D1068">
        <v>5.44</v>
      </c>
      <c r="E1068">
        <v>5.45</v>
      </c>
      <c r="F1068">
        <v>5.31</v>
      </c>
      <c r="G1068">
        <v>4.9800000000000004</v>
      </c>
      <c r="H1068">
        <v>4.6399999999999997</v>
      </c>
      <c r="I1068">
        <v>4.43</v>
      </c>
      <c r="J1068">
        <v>4.29</v>
      </c>
      <c r="K1068">
        <v>4.3099999999999996</v>
      </c>
      <c r="L1068">
        <v>4.3</v>
      </c>
      <c r="M1068">
        <v>4.58</v>
      </c>
      <c r="N1068">
        <v>4.45</v>
      </c>
      <c r="O1068">
        <v>4.9757999999999996</v>
      </c>
      <c r="P1068">
        <v>3909.1</v>
      </c>
      <c r="Q1068">
        <v>961.94</v>
      </c>
      <c r="R1068">
        <v>3.8180000000000001</v>
      </c>
      <c r="S1068">
        <v>17.048999999999999</v>
      </c>
    </row>
    <row r="1069" spans="1:19" x14ac:dyDescent="0.25">
      <c r="A1069" s="4">
        <v>45337</v>
      </c>
      <c r="B1069">
        <v>5.49</v>
      </c>
      <c r="C1069">
        <v>5.51</v>
      </c>
      <c r="D1069">
        <v>5.43</v>
      </c>
      <c r="E1069">
        <v>5.45</v>
      </c>
      <c r="F1069">
        <v>5.3</v>
      </c>
      <c r="G1069">
        <v>4.93</v>
      </c>
      <c r="H1069">
        <v>4.5599999999999996</v>
      </c>
      <c r="I1069">
        <v>4.3600000000000003</v>
      </c>
      <c r="J1069">
        <v>4.22</v>
      </c>
      <c r="K1069">
        <v>4.25</v>
      </c>
      <c r="L1069">
        <v>4.24</v>
      </c>
      <c r="M1069">
        <v>4.54</v>
      </c>
      <c r="N1069">
        <v>4.42</v>
      </c>
      <c r="O1069">
        <v>4.9706999999999999</v>
      </c>
      <c r="P1069">
        <v>3910</v>
      </c>
      <c r="Q1069">
        <v>959.86</v>
      </c>
      <c r="R1069">
        <v>3.84</v>
      </c>
      <c r="S1069">
        <v>17.045400000000001</v>
      </c>
    </row>
    <row r="1070" spans="1:19" x14ac:dyDescent="0.25">
      <c r="A1070" s="4">
        <v>45336</v>
      </c>
      <c r="B1070">
        <v>5.48</v>
      </c>
      <c r="C1070">
        <v>5.51</v>
      </c>
      <c r="D1070">
        <v>5.43</v>
      </c>
      <c r="E1070">
        <v>5.45</v>
      </c>
      <c r="F1070">
        <v>5.31</v>
      </c>
      <c r="G1070">
        <v>4.9400000000000004</v>
      </c>
      <c r="H1070">
        <v>4.5599999999999996</v>
      </c>
      <c r="I1070">
        <v>4.38</v>
      </c>
      <c r="J1070">
        <v>4.25</v>
      </c>
      <c r="K1070">
        <v>4.2699999999999996</v>
      </c>
      <c r="L1070">
        <v>4.2699999999999996</v>
      </c>
      <c r="M1070">
        <v>4.57</v>
      </c>
      <c r="N1070">
        <v>4.45</v>
      </c>
      <c r="O1070">
        <v>4.9720000000000004</v>
      </c>
      <c r="P1070">
        <v>3918</v>
      </c>
      <c r="Q1070">
        <v>971.56</v>
      </c>
      <c r="R1070">
        <v>3.8740000000000001</v>
      </c>
      <c r="S1070">
        <v>17.102900000000002</v>
      </c>
    </row>
    <row r="1071" spans="1:19" x14ac:dyDescent="0.25">
      <c r="A1071" s="4">
        <v>45335</v>
      </c>
      <c r="B1071">
        <v>5.48</v>
      </c>
      <c r="C1071">
        <v>5.52</v>
      </c>
      <c r="D1071">
        <v>5.45</v>
      </c>
      <c r="E1071">
        <v>5.46</v>
      </c>
      <c r="F1071">
        <v>5.32</v>
      </c>
      <c r="G1071">
        <v>4.99</v>
      </c>
      <c r="H1071">
        <v>4.6399999999999997</v>
      </c>
      <c r="I1071">
        <v>4.4400000000000004</v>
      </c>
      <c r="J1071">
        <v>4.3099999999999996</v>
      </c>
      <c r="K1071">
        <v>4.33</v>
      </c>
      <c r="L1071">
        <v>4.3099999999999996</v>
      </c>
      <c r="M1071">
        <v>4.59</v>
      </c>
      <c r="N1071">
        <v>4.46</v>
      </c>
      <c r="O1071">
        <v>4.9714</v>
      </c>
      <c r="P1071">
        <v>3924.25</v>
      </c>
      <c r="Q1071">
        <v>972.22</v>
      </c>
      <c r="R1071">
        <v>3.883</v>
      </c>
      <c r="S1071">
        <v>17.223800000000001</v>
      </c>
    </row>
    <row r="1072" spans="1:19" x14ac:dyDescent="0.25">
      <c r="A1072" s="4">
        <v>45334</v>
      </c>
      <c r="B1072">
        <v>5.49</v>
      </c>
      <c r="C1072">
        <v>5.51</v>
      </c>
      <c r="D1072">
        <v>5.43</v>
      </c>
      <c r="E1072">
        <v>5.43</v>
      </c>
      <c r="F1072">
        <v>5.27</v>
      </c>
      <c r="G1072">
        <v>4.87</v>
      </c>
      <c r="H1072">
        <v>4.46</v>
      </c>
      <c r="I1072">
        <v>4.25</v>
      </c>
      <c r="J1072">
        <v>4.13</v>
      </c>
      <c r="K1072">
        <v>4.16</v>
      </c>
      <c r="L1072">
        <v>4.17</v>
      </c>
      <c r="M1072">
        <v>4.4800000000000004</v>
      </c>
      <c r="N1072">
        <v>4.37</v>
      </c>
      <c r="O1072">
        <v>4.9714</v>
      </c>
      <c r="P1072">
        <v>3914.25</v>
      </c>
      <c r="Q1072">
        <v>968.73</v>
      </c>
      <c r="R1072">
        <v>3.867</v>
      </c>
      <c r="S1072">
        <v>17.096699999999998</v>
      </c>
    </row>
    <row r="1073" spans="1:19" x14ac:dyDescent="0.25">
      <c r="A1073" s="4">
        <v>45331</v>
      </c>
      <c r="B1073">
        <v>5.49</v>
      </c>
      <c r="C1073">
        <v>5.51</v>
      </c>
      <c r="D1073">
        <v>5.44</v>
      </c>
      <c r="E1073">
        <v>5.43</v>
      </c>
      <c r="F1073">
        <v>5.26</v>
      </c>
      <c r="G1073">
        <v>4.8600000000000003</v>
      </c>
      <c r="H1073">
        <v>4.4800000000000004</v>
      </c>
      <c r="I1073">
        <v>4.25</v>
      </c>
      <c r="J1073">
        <v>4.1399999999999997</v>
      </c>
      <c r="K1073">
        <v>4.17</v>
      </c>
      <c r="L1073">
        <v>4.17</v>
      </c>
      <c r="M1073">
        <v>4.4800000000000004</v>
      </c>
      <c r="N1073">
        <v>4.37</v>
      </c>
      <c r="O1073">
        <v>4.9714</v>
      </c>
      <c r="P1073">
        <v>3922.63</v>
      </c>
      <c r="Q1073">
        <v>957.86</v>
      </c>
      <c r="R1073">
        <v>3.8620000000000001</v>
      </c>
      <c r="S1073">
        <v>17.088699999999999</v>
      </c>
    </row>
    <row r="1074" spans="1:19" x14ac:dyDescent="0.25">
      <c r="A1074" s="4">
        <v>45330</v>
      </c>
      <c r="B1074">
        <v>5.49</v>
      </c>
      <c r="C1074">
        <v>5.51</v>
      </c>
      <c r="D1074">
        <v>5.44</v>
      </c>
      <c r="E1074">
        <v>5.42</v>
      </c>
      <c r="F1074">
        <v>5.24</v>
      </c>
      <c r="G1074">
        <v>4.83</v>
      </c>
      <c r="H1074">
        <v>4.46</v>
      </c>
      <c r="I1074">
        <v>4.22</v>
      </c>
      <c r="J1074">
        <v>4.12</v>
      </c>
      <c r="K1074">
        <v>4.1500000000000004</v>
      </c>
      <c r="L1074">
        <v>4.1500000000000004</v>
      </c>
      <c r="M1074">
        <v>4.47</v>
      </c>
      <c r="N1074">
        <v>4.3600000000000003</v>
      </c>
      <c r="O1074">
        <v>4.9801000000000002</v>
      </c>
      <c r="P1074">
        <v>3949</v>
      </c>
      <c r="Q1074">
        <v>947.9</v>
      </c>
      <c r="R1074">
        <v>3.86</v>
      </c>
      <c r="S1074">
        <v>17.1646</v>
      </c>
    </row>
    <row r="1075" spans="1:19" x14ac:dyDescent="0.25">
      <c r="A1075" s="4">
        <v>45329</v>
      </c>
      <c r="B1075">
        <v>5.47</v>
      </c>
      <c r="C1075">
        <v>5.49</v>
      </c>
      <c r="D1075">
        <v>5.43</v>
      </c>
      <c r="E1075">
        <v>5.4</v>
      </c>
      <c r="F1075">
        <v>5.23</v>
      </c>
      <c r="G1075">
        <v>4.83</v>
      </c>
      <c r="H1075">
        <v>4.41</v>
      </c>
      <c r="I1075">
        <v>4.16</v>
      </c>
      <c r="J1075">
        <v>4.0599999999999996</v>
      </c>
      <c r="K1075">
        <v>4.09</v>
      </c>
      <c r="L1075">
        <v>4.09</v>
      </c>
      <c r="M1075">
        <v>4.41</v>
      </c>
      <c r="N1075">
        <v>4.3099999999999996</v>
      </c>
      <c r="O1075">
        <v>4.9604999999999997</v>
      </c>
      <c r="P1075">
        <v>3960</v>
      </c>
      <c r="Q1075">
        <v>949.81</v>
      </c>
      <c r="R1075">
        <v>3.8410000000000002</v>
      </c>
      <c r="S1075">
        <v>17.072399999999998</v>
      </c>
    </row>
    <row r="1076" spans="1:19" x14ac:dyDescent="0.25">
      <c r="A1076" s="4">
        <v>45328</v>
      </c>
      <c r="B1076">
        <v>5.48</v>
      </c>
      <c r="C1076">
        <v>5.5</v>
      </c>
      <c r="D1076">
        <v>5.44</v>
      </c>
      <c r="E1076">
        <v>5.41</v>
      </c>
      <c r="F1076">
        <v>5.23</v>
      </c>
      <c r="G1076">
        <v>4.82</v>
      </c>
      <c r="H1076">
        <v>4.3899999999999997</v>
      </c>
      <c r="I1076">
        <v>4.1399999999999997</v>
      </c>
      <c r="J1076">
        <v>4.03</v>
      </c>
      <c r="K1076">
        <v>4.07</v>
      </c>
      <c r="L1076">
        <v>4.09</v>
      </c>
      <c r="M1076">
        <v>4.3899999999999997</v>
      </c>
      <c r="N1076">
        <v>4.29</v>
      </c>
      <c r="O1076">
        <v>4.9683999999999999</v>
      </c>
      <c r="P1076">
        <v>3956</v>
      </c>
      <c r="Q1076">
        <v>955.73</v>
      </c>
      <c r="R1076">
        <v>3.8610000000000002</v>
      </c>
      <c r="S1076">
        <v>17.056000000000001</v>
      </c>
    </row>
    <row r="1077" spans="1:19" x14ac:dyDescent="0.25">
      <c r="A1077" s="4">
        <v>45327</v>
      </c>
      <c r="B1077">
        <v>5.49</v>
      </c>
      <c r="C1077">
        <v>5.5</v>
      </c>
      <c r="D1077">
        <v>5.42</v>
      </c>
      <c r="E1077">
        <v>5.42</v>
      </c>
      <c r="F1077">
        <v>5.25</v>
      </c>
      <c r="G1077">
        <v>4.87</v>
      </c>
      <c r="H1077">
        <v>4.46</v>
      </c>
      <c r="I1077">
        <v>4.2699999999999996</v>
      </c>
      <c r="J1077">
        <v>4.13</v>
      </c>
      <c r="K1077">
        <v>4.16</v>
      </c>
      <c r="L1077">
        <v>4.17</v>
      </c>
      <c r="M1077">
        <v>4.46</v>
      </c>
      <c r="N1077">
        <v>4.3499999999999996</v>
      </c>
      <c r="O1077">
        <v>5.0049999999999999</v>
      </c>
      <c r="P1077">
        <v>3957</v>
      </c>
      <c r="Q1077">
        <v>943.84</v>
      </c>
      <c r="R1077">
        <v>3.8610000000000002</v>
      </c>
      <c r="S1077">
        <v>17.146899999999999</v>
      </c>
    </row>
    <row r="1078" spans="1:19" x14ac:dyDescent="0.25">
      <c r="A1078" s="4">
        <v>45324</v>
      </c>
      <c r="B1078">
        <v>5.49</v>
      </c>
      <c r="C1078">
        <v>5.51</v>
      </c>
      <c r="D1078">
        <v>5.43</v>
      </c>
      <c r="E1078">
        <v>5.42</v>
      </c>
      <c r="F1078">
        <v>5.22</v>
      </c>
      <c r="G1078">
        <v>4.8099999999999996</v>
      </c>
      <c r="H1078">
        <v>4.3600000000000003</v>
      </c>
      <c r="I1078">
        <v>4.1399999999999997</v>
      </c>
      <c r="J1078">
        <v>3.99</v>
      </c>
      <c r="K1078">
        <v>4.0199999999999996</v>
      </c>
      <c r="L1078">
        <v>4.03</v>
      </c>
      <c r="M1078">
        <v>4.33</v>
      </c>
      <c r="N1078">
        <v>4.22</v>
      </c>
      <c r="O1078">
        <v>4.9467999999999996</v>
      </c>
      <c r="P1078">
        <v>3938.99</v>
      </c>
      <c r="Q1078">
        <v>936.01</v>
      </c>
      <c r="R1078">
        <v>3.83</v>
      </c>
      <c r="S1078">
        <v>17.146899999999999</v>
      </c>
    </row>
    <row r="1079" spans="1:19" x14ac:dyDescent="0.25">
      <c r="A1079" s="4">
        <v>45323</v>
      </c>
      <c r="B1079">
        <v>5.49</v>
      </c>
      <c r="C1079">
        <v>5.51</v>
      </c>
      <c r="D1079">
        <v>5.42</v>
      </c>
      <c r="E1079">
        <v>5.38</v>
      </c>
      <c r="F1079">
        <v>5.15</v>
      </c>
      <c r="G1079">
        <v>4.68</v>
      </c>
      <c r="H1079">
        <v>4.2</v>
      </c>
      <c r="I1079">
        <v>3.96</v>
      </c>
      <c r="J1079">
        <v>3.8</v>
      </c>
      <c r="K1079">
        <v>3.83</v>
      </c>
      <c r="L1079">
        <v>3.87</v>
      </c>
      <c r="M1079">
        <v>4.21</v>
      </c>
      <c r="N1079">
        <v>4.0999999999999996</v>
      </c>
      <c r="O1079">
        <v>4.9347000000000003</v>
      </c>
      <c r="P1079">
        <v>3888.99</v>
      </c>
      <c r="Q1079">
        <v>932.26</v>
      </c>
      <c r="R1079">
        <v>3.81</v>
      </c>
      <c r="S1079">
        <v>17.0915</v>
      </c>
    </row>
    <row r="1080" spans="1:19" x14ac:dyDescent="0.25">
      <c r="A1080" s="4">
        <v>45322</v>
      </c>
      <c r="B1080">
        <v>5.53</v>
      </c>
      <c r="C1080">
        <v>5.46</v>
      </c>
      <c r="D1080">
        <v>5.42</v>
      </c>
      <c r="E1080">
        <v>5.4</v>
      </c>
      <c r="F1080">
        <v>5.18</v>
      </c>
      <c r="G1080">
        <v>4.7300000000000004</v>
      </c>
      <c r="H1080">
        <v>4.2699999999999996</v>
      </c>
      <c r="I1080">
        <v>4.05</v>
      </c>
      <c r="J1080">
        <v>3.91</v>
      </c>
      <c r="K1080">
        <v>3.95</v>
      </c>
      <c r="L1080">
        <v>3.99</v>
      </c>
      <c r="M1080">
        <v>4.34</v>
      </c>
      <c r="N1080">
        <v>4.22</v>
      </c>
      <c r="O1080">
        <v>4.9531999999999998</v>
      </c>
      <c r="P1080">
        <v>3911.6</v>
      </c>
      <c r="Q1080">
        <v>932.66</v>
      </c>
      <c r="R1080">
        <v>3.8079999999999998</v>
      </c>
      <c r="S1080">
        <v>17.133600000000001</v>
      </c>
    </row>
    <row r="1081" spans="1:19" x14ac:dyDescent="0.25">
      <c r="A1081" s="4">
        <v>45321</v>
      </c>
      <c r="B1081">
        <v>5.53</v>
      </c>
      <c r="C1081">
        <v>5.47</v>
      </c>
      <c r="D1081">
        <v>5.42</v>
      </c>
      <c r="E1081">
        <v>5.38</v>
      </c>
      <c r="F1081">
        <v>5.19</v>
      </c>
      <c r="G1081">
        <v>4.8</v>
      </c>
      <c r="H1081">
        <v>4.3600000000000003</v>
      </c>
      <c r="I1081">
        <v>4.1399999999999997</v>
      </c>
      <c r="J1081">
        <v>4</v>
      </c>
      <c r="K1081">
        <v>4.03</v>
      </c>
      <c r="L1081">
        <v>4.0599999999999996</v>
      </c>
      <c r="M1081">
        <v>4.4000000000000004</v>
      </c>
      <c r="N1081">
        <v>4.28</v>
      </c>
      <c r="O1081">
        <v>4.9634999999999998</v>
      </c>
      <c r="P1081">
        <v>3918.35</v>
      </c>
      <c r="Q1081">
        <v>927.63</v>
      </c>
      <c r="R1081">
        <v>3.8069999999999999</v>
      </c>
      <c r="S1081">
        <v>17.148499999999999</v>
      </c>
    </row>
    <row r="1082" spans="1:19" x14ac:dyDescent="0.25">
      <c r="A1082" s="4">
        <v>45320</v>
      </c>
      <c r="B1082">
        <v>5.53</v>
      </c>
      <c r="C1082">
        <v>5.46</v>
      </c>
      <c r="D1082">
        <v>5.42</v>
      </c>
      <c r="E1082">
        <v>5.37</v>
      </c>
      <c r="F1082">
        <v>5.19</v>
      </c>
      <c r="G1082">
        <v>4.76</v>
      </c>
      <c r="H1082">
        <v>4.29</v>
      </c>
      <c r="I1082">
        <v>4.0999999999999996</v>
      </c>
      <c r="J1082">
        <v>3.97</v>
      </c>
      <c r="K1082">
        <v>4.0199999999999996</v>
      </c>
      <c r="L1082">
        <v>4.08</v>
      </c>
      <c r="M1082">
        <v>4.42</v>
      </c>
      <c r="N1082">
        <v>4.3099999999999996</v>
      </c>
      <c r="O1082">
        <v>4.9222000000000001</v>
      </c>
      <c r="P1082">
        <v>3931</v>
      </c>
      <c r="Q1082">
        <v>916.16</v>
      </c>
      <c r="R1082">
        <v>3.8090000000000002</v>
      </c>
      <c r="S1082">
        <v>17.217400000000001</v>
      </c>
    </row>
    <row r="1083" spans="1:19" x14ac:dyDescent="0.25">
      <c r="A1083" s="4">
        <v>45317</v>
      </c>
      <c r="B1083">
        <v>5.54</v>
      </c>
      <c r="C1083">
        <v>5.45</v>
      </c>
      <c r="D1083">
        <v>5.44</v>
      </c>
      <c r="E1083">
        <v>5.39</v>
      </c>
      <c r="F1083">
        <v>5.19</v>
      </c>
      <c r="G1083">
        <v>4.78</v>
      </c>
      <c r="H1083">
        <v>4.34</v>
      </c>
      <c r="I1083">
        <v>4.1500000000000004</v>
      </c>
      <c r="J1083">
        <v>4.04</v>
      </c>
      <c r="K1083">
        <v>4.0999999999999996</v>
      </c>
      <c r="L1083">
        <v>4.1500000000000004</v>
      </c>
      <c r="M1083">
        <v>4.49</v>
      </c>
      <c r="N1083">
        <v>4.38</v>
      </c>
      <c r="O1083">
        <v>4.9122000000000003</v>
      </c>
      <c r="P1083">
        <v>3905</v>
      </c>
      <c r="Q1083">
        <v>910.97</v>
      </c>
      <c r="R1083">
        <v>3.7919999999999998</v>
      </c>
      <c r="S1083">
        <v>17.144300000000001</v>
      </c>
    </row>
    <row r="1084" spans="1:19" x14ac:dyDescent="0.25">
      <c r="A1084" s="4">
        <v>45316</v>
      </c>
      <c r="B1084">
        <v>5.54</v>
      </c>
      <c r="C1084">
        <v>5.48</v>
      </c>
      <c r="D1084">
        <v>5.44</v>
      </c>
      <c r="E1084">
        <v>5.39</v>
      </c>
      <c r="F1084">
        <v>5.19</v>
      </c>
      <c r="G1084">
        <v>4.76</v>
      </c>
      <c r="H1084">
        <v>4.28</v>
      </c>
      <c r="I1084">
        <v>4.12</v>
      </c>
      <c r="J1084">
        <v>4.01</v>
      </c>
      <c r="K1084">
        <v>4.07</v>
      </c>
      <c r="L1084">
        <v>4.1399999999999997</v>
      </c>
      <c r="M1084">
        <v>4.49</v>
      </c>
      <c r="N1084">
        <v>4.38</v>
      </c>
      <c r="O1084">
        <v>4.9229000000000003</v>
      </c>
      <c r="P1084">
        <v>3943.06</v>
      </c>
      <c r="Q1084">
        <v>908.51</v>
      </c>
      <c r="R1084">
        <v>3.7629999999999999</v>
      </c>
      <c r="S1084">
        <v>17.2105</v>
      </c>
    </row>
    <row r="1085" spans="1:19" x14ac:dyDescent="0.25">
      <c r="A1085" s="4">
        <v>45315</v>
      </c>
      <c r="B1085">
        <v>5.52</v>
      </c>
      <c r="C1085">
        <v>5.44</v>
      </c>
      <c r="D1085">
        <v>5.44</v>
      </c>
      <c r="E1085">
        <v>5.4</v>
      </c>
      <c r="F1085">
        <v>5.22</v>
      </c>
      <c r="G1085">
        <v>4.83</v>
      </c>
      <c r="H1085">
        <v>4.34</v>
      </c>
      <c r="I1085">
        <v>4.1900000000000004</v>
      </c>
      <c r="J1085">
        <v>4.0599999999999996</v>
      </c>
      <c r="K1085">
        <v>4.1399999999999997</v>
      </c>
      <c r="L1085">
        <v>4.18</v>
      </c>
      <c r="M1085">
        <v>4.5199999999999996</v>
      </c>
      <c r="N1085">
        <v>4.41</v>
      </c>
      <c r="O1085">
        <v>4.9188999999999998</v>
      </c>
      <c r="P1085">
        <v>3912</v>
      </c>
      <c r="Q1085">
        <v>908.87</v>
      </c>
      <c r="R1085">
        <v>3.7589999999999999</v>
      </c>
      <c r="S1085">
        <v>17.212800000000001</v>
      </c>
    </row>
    <row r="1086" spans="1:19" x14ac:dyDescent="0.25">
      <c r="A1086" s="4">
        <v>45314</v>
      </c>
      <c r="B1086">
        <v>5.53</v>
      </c>
      <c r="C1086">
        <v>5.46</v>
      </c>
      <c r="D1086">
        <v>5.45</v>
      </c>
      <c r="E1086">
        <v>5.38</v>
      </c>
      <c r="F1086">
        <v>5.21</v>
      </c>
      <c r="G1086">
        <v>4.8099999999999996</v>
      </c>
      <c r="H1086">
        <v>4.3099999999999996</v>
      </c>
      <c r="I1086">
        <v>4.16</v>
      </c>
      <c r="J1086">
        <v>4.0599999999999996</v>
      </c>
      <c r="K1086">
        <v>4.1100000000000003</v>
      </c>
      <c r="L1086">
        <v>4.1399999999999997</v>
      </c>
      <c r="M1086">
        <v>4.4800000000000004</v>
      </c>
      <c r="N1086">
        <v>4.38</v>
      </c>
      <c r="O1086">
        <v>4.9711999999999996</v>
      </c>
      <c r="P1086">
        <v>3961.45</v>
      </c>
      <c r="Q1086">
        <v>905.63</v>
      </c>
      <c r="R1086">
        <v>3.7669999999999999</v>
      </c>
      <c r="S1086">
        <v>17.317900000000002</v>
      </c>
    </row>
    <row r="1087" spans="1:19" x14ac:dyDescent="0.25">
      <c r="A1087" s="4">
        <v>45313</v>
      </c>
      <c r="B1087">
        <v>5.53</v>
      </c>
      <c r="C1087">
        <v>5.47</v>
      </c>
      <c r="D1087">
        <v>5.46</v>
      </c>
      <c r="E1087">
        <v>5.39</v>
      </c>
      <c r="F1087">
        <v>5.22</v>
      </c>
      <c r="G1087">
        <v>4.83</v>
      </c>
      <c r="H1087">
        <v>4.37</v>
      </c>
      <c r="I1087">
        <v>4.1399999999999997</v>
      </c>
      <c r="J1087">
        <v>4.03</v>
      </c>
      <c r="K1087">
        <v>4.07</v>
      </c>
      <c r="L1087">
        <v>4.1100000000000003</v>
      </c>
      <c r="M1087">
        <v>4.4400000000000004</v>
      </c>
      <c r="N1087">
        <v>4.32</v>
      </c>
      <c r="O1087">
        <v>4.9486999999999997</v>
      </c>
      <c r="P1087">
        <v>3904.5</v>
      </c>
      <c r="Q1087">
        <v>910.73</v>
      </c>
      <c r="R1087">
        <v>3.7389999999999999</v>
      </c>
      <c r="S1087">
        <v>17.183900000000001</v>
      </c>
    </row>
    <row r="1088" spans="1:19" x14ac:dyDescent="0.25">
      <c r="A1088" s="4">
        <v>45310</v>
      </c>
      <c r="B1088">
        <v>5.54</v>
      </c>
      <c r="C1088">
        <v>5.47</v>
      </c>
      <c r="D1088">
        <v>5.45</v>
      </c>
      <c r="E1088">
        <v>5.39</v>
      </c>
      <c r="F1088">
        <v>5.21</v>
      </c>
      <c r="G1088">
        <v>4.84</v>
      </c>
      <c r="H1088">
        <v>4.3899999999999997</v>
      </c>
      <c r="I1088">
        <v>4.18</v>
      </c>
      <c r="J1088">
        <v>4.08</v>
      </c>
      <c r="K1088">
        <v>4.12</v>
      </c>
      <c r="L1088">
        <v>4.1500000000000004</v>
      </c>
      <c r="M1088">
        <v>4.47</v>
      </c>
      <c r="N1088">
        <v>4.3600000000000003</v>
      </c>
      <c r="O1088">
        <v>4.9219999999999997</v>
      </c>
      <c r="P1088">
        <v>3912.77</v>
      </c>
      <c r="Q1088">
        <v>918.62</v>
      </c>
      <c r="R1088">
        <v>3.74</v>
      </c>
      <c r="S1088">
        <v>17.096699999999998</v>
      </c>
    </row>
    <row r="1089" spans="1:19" x14ac:dyDescent="0.25">
      <c r="A1089" s="4">
        <v>45309</v>
      </c>
      <c r="B1089">
        <v>5.53</v>
      </c>
      <c r="C1089">
        <v>5.48</v>
      </c>
      <c r="D1089">
        <v>5.45</v>
      </c>
      <c r="E1089">
        <v>5.39</v>
      </c>
      <c r="F1089">
        <v>5.2</v>
      </c>
      <c r="G1089">
        <v>4.8</v>
      </c>
      <c r="H1089">
        <v>4.34</v>
      </c>
      <c r="I1089">
        <v>4.13</v>
      </c>
      <c r="J1089">
        <v>4.04</v>
      </c>
      <c r="K1089">
        <v>4.0999999999999996</v>
      </c>
      <c r="L1089">
        <v>4.1399999999999997</v>
      </c>
      <c r="M1089">
        <v>4.4800000000000004</v>
      </c>
      <c r="N1089">
        <v>4.37</v>
      </c>
      <c r="O1089">
        <v>4.9400000000000004</v>
      </c>
      <c r="P1089">
        <v>3912</v>
      </c>
      <c r="Q1089">
        <v>926.77</v>
      </c>
      <c r="R1089">
        <v>3.7450000000000001</v>
      </c>
      <c r="S1089">
        <v>17.190100000000001</v>
      </c>
    </row>
    <row r="1090" spans="1:19" x14ac:dyDescent="0.25">
      <c r="A1090" s="4">
        <v>45308</v>
      </c>
      <c r="B1090">
        <v>5.54</v>
      </c>
      <c r="C1090">
        <v>5.47</v>
      </c>
      <c r="D1090">
        <v>5.47</v>
      </c>
      <c r="E1090">
        <v>5.4</v>
      </c>
      <c r="F1090">
        <v>5.2</v>
      </c>
      <c r="G1090">
        <v>4.8</v>
      </c>
      <c r="H1090">
        <v>4.34</v>
      </c>
      <c r="I1090">
        <v>4.12</v>
      </c>
      <c r="J1090">
        <v>4.0199999999999996</v>
      </c>
      <c r="K1090">
        <v>4.07</v>
      </c>
      <c r="L1090">
        <v>4.0999999999999996</v>
      </c>
      <c r="M1090">
        <v>4.42</v>
      </c>
      <c r="N1090">
        <v>4.3099999999999996</v>
      </c>
      <c r="O1090">
        <v>4.9343000000000004</v>
      </c>
      <c r="P1090">
        <v>3966.5</v>
      </c>
      <c r="Q1090">
        <v>922.06</v>
      </c>
      <c r="R1090">
        <v>3.7429999999999999</v>
      </c>
      <c r="S1090">
        <v>17.230399999999999</v>
      </c>
    </row>
    <row r="1091" spans="1:19" x14ac:dyDescent="0.25">
      <c r="A1091" s="4">
        <v>45307</v>
      </c>
      <c r="B1091">
        <v>5.54</v>
      </c>
      <c r="C1091">
        <v>5.47</v>
      </c>
      <c r="D1091">
        <v>5.45</v>
      </c>
      <c r="E1091">
        <v>5.37</v>
      </c>
      <c r="F1091">
        <v>5.18</v>
      </c>
      <c r="G1091">
        <v>4.7</v>
      </c>
      <c r="H1091">
        <v>4.22</v>
      </c>
      <c r="I1091">
        <v>4.0199999999999996</v>
      </c>
      <c r="J1091">
        <v>3.95</v>
      </c>
      <c r="K1091">
        <v>4.01</v>
      </c>
      <c r="L1091">
        <v>4.07</v>
      </c>
      <c r="M1091">
        <v>4.43</v>
      </c>
      <c r="N1091">
        <v>4.3</v>
      </c>
      <c r="O1091">
        <v>4.9035000000000002</v>
      </c>
      <c r="P1091">
        <v>3943</v>
      </c>
      <c r="Q1091">
        <v>912.02</v>
      </c>
      <c r="R1091">
        <v>3.72</v>
      </c>
      <c r="S1091">
        <v>17.1874</v>
      </c>
    </row>
    <row r="1092" spans="1:19" x14ac:dyDescent="0.25">
      <c r="A1092" s="4">
        <v>45303</v>
      </c>
      <c r="B1092">
        <v>5.55</v>
      </c>
      <c r="C1092">
        <v>5.47</v>
      </c>
      <c r="D1092">
        <v>5.45</v>
      </c>
      <c r="E1092">
        <v>5.37</v>
      </c>
      <c r="F1092">
        <v>5.16</v>
      </c>
      <c r="G1092">
        <v>4.6500000000000004</v>
      </c>
      <c r="H1092">
        <v>4.1399999999999997</v>
      </c>
      <c r="I1092">
        <v>3.92</v>
      </c>
      <c r="J1092">
        <v>3.84</v>
      </c>
      <c r="K1092">
        <v>3.91</v>
      </c>
      <c r="L1092">
        <v>3.96</v>
      </c>
      <c r="M1092">
        <v>4.32</v>
      </c>
      <c r="N1092">
        <v>4.2</v>
      </c>
      <c r="O1092">
        <v>4.8540000000000001</v>
      </c>
      <c r="P1092">
        <v>3909</v>
      </c>
      <c r="Q1092">
        <v>911.37</v>
      </c>
      <c r="R1092">
        <v>3.6949999999999998</v>
      </c>
      <c r="S1092">
        <v>16.861599999999999</v>
      </c>
    </row>
    <row r="1093" spans="1:19" x14ac:dyDescent="0.25">
      <c r="A1093" s="4">
        <v>45302</v>
      </c>
      <c r="B1093">
        <v>5.54</v>
      </c>
      <c r="C1093">
        <v>5.47</v>
      </c>
      <c r="D1093">
        <v>5.46</v>
      </c>
      <c r="E1093">
        <v>5.38</v>
      </c>
      <c r="F1093">
        <v>5.22</v>
      </c>
      <c r="G1093">
        <v>4.75</v>
      </c>
      <c r="H1093">
        <v>4.26</v>
      </c>
      <c r="I1093">
        <v>4.0199999999999996</v>
      </c>
      <c r="J1093">
        <v>3.9</v>
      </c>
      <c r="K1093">
        <v>3.95</v>
      </c>
      <c r="L1093">
        <v>3.98</v>
      </c>
      <c r="M1093">
        <v>4.32</v>
      </c>
      <c r="N1093">
        <v>4.18</v>
      </c>
      <c r="O1093">
        <v>4.8791000000000002</v>
      </c>
      <c r="P1093">
        <v>3927.5</v>
      </c>
      <c r="Q1093">
        <v>919.07</v>
      </c>
      <c r="R1093">
        <v>3.6989999999999998</v>
      </c>
      <c r="S1093">
        <v>16.922799999999999</v>
      </c>
    </row>
    <row r="1094" spans="1:19" x14ac:dyDescent="0.25">
      <c r="A1094" s="4">
        <v>45301</v>
      </c>
      <c r="B1094">
        <v>5.53</v>
      </c>
      <c r="C1094">
        <v>5.46</v>
      </c>
      <c r="D1094">
        <v>5.46</v>
      </c>
      <c r="E1094">
        <v>5.39</v>
      </c>
      <c r="F1094">
        <v>5.23</v>
      </c>
      <c r="G1094">
        <v>4.82</v>
      </c>
      <c r="H1094">
        <v>4.37</v>
      </c>
      <c r="I1094">
        <v>4.0999999999999996</v>
      </c>
      <c r="J1094">
        <v>3.99</v>
      </c>
      <c r="K1094">
        <v>4.01</v>
      </c>
      <c r="L1094">
        <v>4.04</v>
      </c>
      <c r="M1094">
        <v>4.3499999999999996</v>
      </c>
      <c r="N1094">
        <v>4.2</v>
      </c>
      <c r="O1094">
        <v>4.8898000000000001</v>
      </c>
      <c r="P1094">
        <v>3934</v>
      </c>
      <c r="Q1094">
        <v>914.71</v>
      </c>
      <c r="R1094">
        <v>3.6970000000000001</v>
      </c>
      <c r="S1094">
        <v>16.990300000000001</v>
      </c>
    </row>
    <row r="1095" spans="1:19" x14ac:dyDescent="0.25">
      <c r="A1095" s="4">
        <v>45300</v>
      </c>
      <c r="B1095">
        <v>5.53</v>
      </c>
      <c r="C1095">
        <v>5.46</v>
      </c>
      <c r="D1095">
        <v>5.47</v>
      </c>
      <c r="E1095">
        <v>5.38</v>
      </c>
      <c r="F1095">
        <v>5.24</v>
      </c>
      <c r="G1095">
        <v>4.82</v>
      </c>
      <c r="H1095">
        <v>4.3600000000000003</v>
      </c>
      <c r="I1095">
        <v>4.09</v>
      </c>
      <c r="J1095">
        <v>3.97</v>
      </c>
      <c r="K1095">
        <v>4</v>
      </c>
      <c r="L1095">
        <v>4.0199999999999996</v>
      </c>
      <c r="M1095">
        <v>4.33</v>
      </c>
      <c r="N1095">
        <v>4.18</v>
      </c>
      <c r="O1095">
        <v>4.8933999999999997</v>
      </c>
      <c r="P1095">
        <v>3942</v>
      </c>
      <c r="Q1095">
        <v>901.31</v>
      </c>
      <c r="R1095">
        <v>3.706</v>
      </c>
      <c r="S1095">
        <v>16.957599999999999</v>
      </c>
    </row>
    <row r="1096" spans="1:19" x14ac:dyDescent="0.25">
      <c r="A1096" s="4">
        <v>45299</v>
      </c>
      <c r="B1096">
        <v>5.54</v>
      </c>
      <c r="C1096">
        <v>5.48</v>
      </c>
      <c r="D1096">
        <v>5.49</v>
      </c>
      <c r="E1096">
        <v>5.39</v>
      </c>
      <c r="F1096">
        <v>5.24</v>
      </c>
      <c r="G1096">
        <v>4.82</v>
      </c>
      <c r="H1096">
        <v>4.3600000000000003</v>
      </c>
      <c r="I1096">
        <v>4.1100000000000003</v>
      </c>
      <c r="J1096">
        <v>3.97</v>
      </c>
      <c r="K1096">
        <v>3.99</v>
      </c>
      <c r="L1096">
        <v>4.01</v>
      </c>
      <c r="M1096">
        <v>4.33</v>
      </c>
      <c r="N1096">
        <v>4.17</v>
      </c>
      <c r="O1096">
        <v>4.8846999999999996</v>
      </c>
      <c r="P1096">
        <v>3873</v>
      </c>
      <c r="Q1096">
        <v>893.07</v>
      </c>
      <c r="R1096">
        <v>3.6960000000000002</v>
      </c>
      <c r="S1096">
        <v>16.809999999999999</v>
      </c>
    </row>
    <row r="1097" spans="1:19" x14ac:dyDescent="0.25">
      <c r="A1097" s="4">
        <v>45296</v>
      </c>
      <c r="B1097">
        <v>5.54</v>
      </c>
      <c r="C1097">
        <v>5.48</v>
      </c>
      <c r="D1097">
        <v>5.47</v>
      </c>
      <c r="E1097">
        <v>5.41</v>
      </c>
      <c r="F1097">
        <v>5.24</v>
      </c>
      <c r="G1097">
        <v>4.84</v>
      </c>
      <c r="H1097">
        <v>4.4000000000000004</v>
      </c>
      <c r="I1097">
        <v>4.17</v>
      </c>
      <c r="J1097">
        <v>4.0199999999999996</v>
      </c>
      <c r="K1097">
        <v>4.04</v>
      </c>
      <c r="L1097">
        <v>4.05</v>
      </c>
      <c r="M1097">
        <v>4.37</v>
      </c>
      <c r="N1097">
        <v>4.21</v>
      </c>
      <c r="O1097">
        <v>4.8895999999999997</v>
      </c>
      <c r="P1097">
        <v>3873</v>
      </c>
      <c r="Q1097">
        <v>884.45</v>
      </c>
      <c r="R1097">
        <v>3.7160000000000002</v>
      </c>
      <c r="S1097">
        <v>16.883199999999999</v>
      </c>
    </row>
    <row r="1098" spans="1:19" x14ac:dyDescent="0.25">
      <c r="A1098" s="4">
        <v>45295</v>
      </c>
      <c r="B1098">
        <v>5.56</v>
      </c>
      <c r="C1098">
        <v>5.48</v>
      </c>
      <c r="D1098">
        <v>5.48</v>
      </c>
      <c r="E1098">
        <v>5.41</v>
      </c>
      <c r="F1098">
        <v>5.25</v>
      </c>
      <c r="G1098">
        <v>4.8499999999999996</v>
      </c>
      <c r="H1098">
        <v>4.38</v>
      </c>
      <c r="I1098">
        <v>4.1399999999999997</v>
      </c>
      <c r="J1098">
        <v>3.97</v>
      </c>
      <c r="K1098">
        <v>3.99</v>
      </c>
      <c r="L1098">
        <v>3.99</v>
      </c>
      <c r="M1098">
        <v>4.3</v>
      </c>
      <c r="N1098">
        <v>4.13</v>
      </c>
      <c r="O1098">
        <v>4.9184999999999999</v>
      </c>
      <c r="P1098">
        <v>3934.77</v>
      </c>
      <c r="Q1098">
        <v>884.39</v>
      </c>
      <c r="R1098">
        <v>3.7250000000000001</v>
      </c>
      <c r="S1098">
        <v>17.034800000000001</v>
      </c>
    </row>
    <row r="1099" spans="1:19" x14ac:dyDescent="0.25">
      <c r="A1099" s="4">
        <v>45294</v>
      </c>
      <c r="B1099">
        <v>5.54</v>
      </c>
      <c r="C1099">
        <v>5.54</v>
      </c>
      <c r="D1099">
        <v>5.48</v>
      </c>
      <c r="E1099">
        <v>5.41</v>
      </c>
      <c r="F1099">
        <v>5.25</v>
      </c>
      <c r="G1099">
        <v>4.8099999999999996</v>
      </c>
      <c r="H1099">
        <v>4.33</v>
      </c>
      <c r="I1099">
        <v>4.07</v>
      </c>
      <c r="J1099">
        <v>3.9</v>
      </c>
      <c r="K1099">
        <v>3.92</v>
      </c>
      <c r="L1099">
        <v>3.91</v>
      </c>
      <c r="M1099">
        <v>4.21</v>
      </c>
      <c r="N1099">
        <v>4.05</v>
      </c>
      <c r="O1099">
        <v>4.9208999999999996</v>
      </c>
      <c r="P1099">
        <v>3922.5</v>
      </c>
      <c r="Q1099">
        <v>880.92</v>
      </c>
      <c r="R1099">
        <v>3.7330000000000001</v>
      </c>
      <c r="S1099">
        <v>17.0364</v>
      </c>
    </row>
    <row r="1100" spans="1:19" x14ac:dyDescent="0.25">
      <c r="A1100" s="4">
        <v>45293</v>
      </c>
      <c r="B1100">
        <v>5.55</v>
      </c>
      <c r="C1100">
        <v>5.54</v>
      </c>
      <c r="D1100">
        <v>5.46</v>
      </c>
      <c r="E1100">
        <v>5.41</v>
      </c>
      <c r="F1100">
        <v>5.24</v>
      </c>
      <c r="G1100">
        <v>4.8</v>
      </c>
      <c r="H1100">
        <v>4.33</v>
      </c>
      <c r="I1100">
        <v>4.09</v>
      </c>
      <c r="J1100">
        <v>3.93</v>
      </c>
      <c r="K1100">
        <v>3.95</v>
      </c>
      <c r="L1100">
        <v>3.95</v>
      </c>
      <c r="M1100">
        <v>4.25</v>
      </c>
      <c r="N1100">
        <v>4.08</v>
      </c>
      <c r="O1100">
        <v>4.8913000000000002</v>
      </c>
      <c r="P1100">
        <v>3880</v>
      </c>
      <c r="Q1100">
        <v>877.12</v>
      </c>
      <c r="R1100">
        <v>3.7040000000000002</v>
      </c>
      <c r="S1100">
        <v>17.044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</vt:lpstr>
      <vt:lpstr>Q</vt:lpstr>
      <vt:lpstr>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RAMIREZ JOAQUIN ADRIAN</dc:creator>
  <cp:lastModifiedBy>RODRIGUEZ RAMIREZ JOAQUIN ADRIAN</cp:lastModifiedBy>
  <dcterms:created xsi:type="dcterms:W3CDTF">2026-04-03T17:08:00Z</dcterms:created>
  <dcterms:modified xsi:type="dcterms:W3CDTF">2026-04-06T16:15:57Z</dcterms:modified>
</cp:coreProperties>
</file>